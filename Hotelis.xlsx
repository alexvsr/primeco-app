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updateLinks="always" defaultThemeVersion="166925"/>
  <mc:AlternateContent xmlns:mc="http://schemas.openxmlformats.org/markup-compatibility/2006">
    <mc:Choice Requires="x15">
      <x15ac:absPath xmlns:x15ac="http://schemas.microsoft.com/office/spreadsheetml/2010/11/ac" url="https://servettesports-my.sharepoint.com/personal/logistique_primeandco_ch/Documents/Bureau/ENVOI DE FICHIER/"/>
    </mc:Choice>
  </mc:AlternateContent>
  <xr:revisionPtr revIDLastSave="0" documentId="8_{C65D5283-F3A9-4026-8955-10625E9F0C8B}" xr6:coauthVersionLast="47" xr6:coauthVersionMax="47" xr10:uidLastSave="{00000000-0000-0000-0000-000000000000}"/>
  <bookViews>
    <workbookView xWindow="-108" yWindow="-108" windowWidth="23256" windowHeight="12576" firstSheet="2" activeTab="4" xr2:uid="{9F964D33-1BAE-4B69-8374-2FB4A79FBCD3}"/>
  </bookViews>
  <sheets>
    <sheet name="COMMANDE GD-PUBLIC GSHC" sheetId="1" r:id="rId1"/>
    <sheet name="FEUILLES HEURES" sheetId="2" state="hidden" r:id="rId2"/>
    <sheet name="Feuilles Heures a remplir GSHC" sheetId="3" r:id="rId3"/>
    <sheet name="COMMANDE GD-PUBLIC SFC" sheetId="4" r:id="rId4"/>
    <sheet name="FEUILLES HEURES SFC" sheetId="5" r:id="rId5"/>
  </sheets>
  <externalReferences>
    <externalReference r:id="rId6"/>
    <externalReference r:id="rId7"/>
    <externalReference r:id="rId8"/>
  </externalReferences>
  <definedNames>
    <definedName name="Début" localSheetId="3">'COMMANDE GD-PUBLIC SFC'!#REF!</definedName>
    <definedName name="Début" localSheetId="4">'COMMANDE GD-PUBLIC SFC'!#REF!</definedName>
    <definedName name="Début">'COMMANDE GD-PUBLIC GSHC'!#REF!</definedName>
    <definedName name="Fin" localSheetId="3">'COMMANDE GD-PUBLIC SFC'!#REF!</definedName>
    <definedName name="Fin" localSheetId="4">'COMMANDE GD-PUBLIC SFC'!#REF!</definedName>
    <definedName name="Fin">'COMMANDE GD-PUBLIC GSHC'!#REF!</definedName>
    <definedName name="HeureDécimR">'[1]Commande extra vierge'!$T$4:$T$154</definedName>
    <definedName name="HeureEstim2" localSheetId="3">'COMMANDE GD-PUBLIC SFC'!$O$6:$O$159</definedName>
    <definedName name="HeureEstim2" localSheetId="4">'COMMANDE GD-PUBLIC SFC'!$O$6:$O$159</definedName>
    <definedName name="HeureEstim2">'COMMANDE GD-PUBLIC GSHC'!$O$6:$O$71</definedName>
    <definedName name="matin" localSheetId="3">'COMMANDE GD-PUBLIC SFC'!#REF!</definedName>
    <definedName name="matin" localSheetId="4">'COMMANDE GD-PUBLIC SFC'!#REF!</definedName>
    <definedName name="matin">'COMMANDE GD-PUBLIC GSHC'!#REF!</definedName>
    <definedName name="nuit" localSheetId="3">'COMMANDE GD-PUBLIC SFC'!#REF!</definedName>
    <definedName name="nuit" localSheetId="4">'COMMANDE GD-PUBLIC SFC'!#REF!</definedName>
    <definedName name="nuit">'COMMANDE GD-PUBLIC GSHC'!#REF!</definedName>
    <definedName name="Pause" localSheetId="3">'COMMANDE GD-PUBLIC SFC'!#REF!</definedName>
    <definedName name="Pause" localSheetId="4">'COMMANDE GD-PUBLIC SFC'!#REF!</definedName>
    <definedName name="Pause">'COMMANDE GD-PUBLIC GSHC'!#REF!</definedName>
    <definedName name="S" localSheetId="3">'[2]COMMANDE GD-PUBLIC'!#REF!</definedName>
    <definedName name="S" localSheetId="4">'[2]COMMANDE GD-PUBLIC'!#REF!</definedName>
    <definedName name="S">'[3]COMMANDE GD-PUBLIC'!#REF!</definedName>
    <definedName name="Tarifs" localSheetId="3">'COMMANDE GD-PUBLIC SFC'!$Q$6:$Q$159</definedName>
    <definedName name="Tarifs" localSheetId="4">'COMMANDE GD-PUBLIC SFC'!$Q$6:$Q$159</definedName>
    <definedName name="Tarifs">'COMMANDE GD-PUBLIC GSHC'!$Q$6:$Q$71</definedName>
    <definedName name="Tarifs2">'[1]Commande extra vierge'!$U$4:$U$154</definedName>
    <definedName name="Total" localSheetId="3">'COMMANDE GD-PUBLIC SFC'!#REF!</definedName>
    <definedName name="Total" localSheetId="4">'COMMANDE GD-PUBLIC SFC'!#REF!</definedName>
    <definedName name="Total">'COMMANDE GD-PUBLIC GSHC'!#REF!</definedName>
    <definedName name="TotalCHF" localSheetId="3">'COMMANDE GD-PUBLIC SFC'!#REF!</definedName>
    <definedName name="TotalCHF" localSheetId="4">'COMMANDE GD-PUBLIC SFC'!#REF!</definedName>
    <definedName name="TotalCHF">'COMMANDE GD-PUBLIC GSHC'!#REF!</definedName>
    <definedName name="TotalRéelCHF">'[1]Commande extra vierge'!$V$4:$V$154</definedName>
    <definedName name="_xlnm.Print_Area" localSheetId="0">'COMMANDE GD-PUBLIC GSHC'!$A$1:$Q$74</definedName>
    <definedName name="_xlnm.Print_Area" localSheetId="3">'COMMANDE GD-PUBLIC SFC'!$A$1:$Q$162</definedName>
    <definedName name="_xlnm.Print_Area" localSheetId="1">'FEUILLES HEURES'!$A$1:$H$16,'FEUILLES HEURES'!$A$18:$H$33,'FEUILLES HEURES'!$A$35:$H$50,'FEUILLES HEURES'!$A$52:$H$65,'FEUILLES HEURES'!$A$67:$H$80,'FEUILLES HEURES'!$A$83:$H$96,'FEUILLES HEURES'!$A$98:$H$111,'FEUILLES HEURES'!$A$113:$H$126,'FEUILLES HEURES'!$A$128:$H$140,'FEUILLES HEURES'!$A$142:$H$157,'FEUILLES HEURES'!$A$159:$H$173,'FEUILLES HEURES'!$A$175:$H$187,'FEUILLES HEURES'!$A$189:$H$203,'FEUILLES HEURES'!$A$205:$H$219</definedName>
    <definedName name="_xlnm.Print_Area" localSheetId="4">'FEUILLES HEURES SFC'!$A$1:$H$24,'FEUILLES HEURES SFC'!$A$27:$H$51,'FEUILLES HEURES SFC'!$A$53:$H$71,'FEUILLES HEURES SFC'!$A$73:$H$92,'FEUILLES HEURES SFC'!$A$95:$H$114,'FEUILLES HEURES SFC'!$A$116:$H$130,'FEUILLES HEURES SFC'!$A$132:$H$155,'FEUILLES HEURES SFC'!$A$157:$H$180,'FEUILLES HEURES SFC'!$A$183:$H$198,'FEUILLES HEURES SFC'!$A$201:$H$216,'FEUILLES HEURES SFC'!$A$219:$H$234,'FEUILLES HEURES SFC'!$A$236:$H$251,'FEUILLES HEURES SFC'!$A$254:$H$277,'FEUILLES HEURES SFC'!$A$280:$H$297,'FEUILLES HEURES SFC'!$A$299:$H$318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3" i="3" l="1"/>
  <c r="D136" i="3"/>
  <c r="B2" i="5"/>
  <c r="C2" i="5"/>
  <c r="F2" i="5"/>
  <c r="C4" i="5"/>
  <c r="C6" i="5"/>
  <c r="B10" i="5"/>
  <c r="B11" i="5"/>
  <c r="C11" i="5"/>
  <c r="D11" i="5"/>
  <c r="B12" i="5"/>
  <c r="C12" i="5"/>
  <c r="D12" i="5"/>
  <c r="B13" i="5"/>
  <c r="C13" i="5"/>
  <c r="D13" i="5"/>
  <c r="B14" i="5"/>
  <c r="C14" i="5"/>
  <c r="D14" i="5"/>
  <c r="B15" i="5"/>
  <c r="C15" i="5"/>
  <c r="D15" i="5"/>
  <c r="B16" i="5"/>
  <c r="C16" i="5"/>
  <c r="D16" i="5"/>
  <c r="B17" i="5"/>
  <c r="C17" i="5"/>
  <c r="D17" i="5"/>
  <c r="B18" i="5"/>
  <c r="C18" i="5"/>
  <c r="D18" i="5"/>
  <c r="B19" i="5"/>
  <c r="C19" i="5"/>
  <c r="D19" i="5"/>
  <c r="B20" i="5"/>
  <c r="C20" i="5"/>
  <c r="D20" i="5"/>
  <c r="B21" i="5"/>
  <c r="C21" i="5"/>
  <c r="D21" i="5"/>
  <c r="B22" i="5"/>
  <c r="C22" i="5"/>
  <c r="D22" i="5"/>
  <c r="B23" i="5"/>
  <c r="C23" i="5"/>
  <c r="B28" i="5"/>
  <c r="C28" i="5"/>
  <c r="F28" i="5"/>
  <c r="C30" i="5"/>
  <c r="C32" i="5"/>
  <c r="B36" i="5"/>
  <c r="B37" i="5"/>
  <c r="C37" i="5"/>
  <c r="D37" i="5"/>
  <c r="B38" i="5"/>
  <c r="C38" i="5"/>
  <c r="D38" i="5"/>
  <c r="B39" i="5"/>
  <c r="C39" i="5"/>
  <c r="D39" i="5"/>
  <c r="B40" i="5"/>
  <c r="C40" i="5"/>
  <c r="D40" i="5"/>
  <c r="B41" i="5"/>
  <c r="C41" i="5"/>
  <c r="D41" i="5"/>
  <c r="B42" i="5"/>
  <c r="C42" i="5"/>
  <c r="D42" i="5"/>
  <c r="B43" i="5"/>
  <c r="C43" i="5"/>
  <c r="D43" i="5"/>
  <c r="B44" i="5"/>
  <c r="C44" i="5"/>
  <c r="D44" i="5"/>
  <c r="B45" i="5"/>
  <c r="C45" i="5"/>
  <c r="D45" i="5"/>
  <c r="B46" i="5"/>
  <c r="C46" i="5"/>
  <c r="D46" i="5"/>
  <c r="B47" i="5"/>
  <c r="C47" i="5"/>
  <c r="D47" i="5"/>
  <c r="B48" i="5"/>
  <c r="C48" i="5"/>
  <c r="D48" i="5"/>
  <c r="B49" i="5"/>
  <c r="C49" i="5"/>
  <c r="D49" i="5"/>
  <c r="B53" i="5"/>
  <c r="C53" i="5"/>
  <c r="F53" i="5"/>
  <c r="C55" i="5"/>
  <c r="C57" i="5"/>
  <c r="B61" i="5"/>
  <c r="B62" i="5"/>
  <c r="C62" i="5"/>
  <c r="D62" i="5"/>
  <c r="B63" i="5"/>
  <c r="C63" i="5"/>
  <c r="D63" i="5"/>
  <c r="B64" i="5"/>
  <c r="C64" i="5"/>
  <c r="D64" i="5"/>
  <c r="B65" i="5"/>
  <c r="C65" i="5"/>
  <c r="D65" i="5"/>
  <c r="B66" i="5"/>
  <c r="C66" i="5"/>
  <c r="D66" i="5"/>
  <c r="B67" i="5"/>
  <c r="C67" i="5"/>
  <c r="D67" i="5"/>
  <c r="B68" i="5"/>
  <c r="C68" i="5"/>
  <c r="D68" i="5"/>
  <c r="B69" i="5"/>
  <c r="C69" i="5"/>
  <c r="D69" i="5"/>
  <c r="B70" i="5"/>
  <c r="C70" i="5"/>
  <c r="D70" i="5"/>
  <c r="B74" i="5"/>
  <c r="C74" i="5"/>
  <c r="F74" i="5"/>
  <c r="C76" i="5"/>
  <c r="C78" i="5"/>
  <c r="B82" i="5"/>
  <c r="B83" i="5"/>
  <c r="C83" i="5"/>
  <c r="D83" i="5"/>
  <c r="B84" i="5"/>
  <c r="C84" i="5"/>
  <c r="D84" i="5"/>
  <c r="B85" i="5"/>
  <c r="C85" i="5"/>
  <c r="D85" i="5"/>
  <c r="B86" i="5"/>
  <c r="C86" i="5"/>
  <c r="D86" i="5"/>
  <c r="B87" i="5"/>
  <c r="C87" i="5"/>
  <c r="D87" i="5"/>
  <c r="B88" i="5"/>
  <c r="C88" i="5"/>
  <c r="D88" i="5"/>
  <c r="B89" i="5"/>
  <c r="C89" i="5"/>
  <c r="D89" i="5"/>
  <c r="B90" i="5"/>
  <c r="C90" i="5"/>
  <c r="D90" i="5"/>
  <c r="B91" i="5"/>
  <c r="C91" i="5"/>
  <c r="D91" i="5"/>
  <c r="B96" i="5"/>
  <c r="C96" i="5"/>
  <c r="F96" i="5"/>
  <c r="C98" i="5"/>
  <c r="C100" i="5"/>
  <c r="B104" i="5"/>
  <c r="B105" i="5"/>
  <c r="C105" i="5"/>
  <c r="D105" i="5"/>
  <c r="B106" i="5"/>
  <c r="C106" i="5"/>
  <c r="D106" i="5"/>
  <c r="B107" i="5"/>
  <c r="C107" i="5"/>
  <c r="D107" i="5"/>
  <c r="B108" i="5"/>
  <c r="C108" i="5"/>
  <c r="D108" i="5"/>
  <c r="B109" i="5"/>
  <c r="C109" i="5"/>
  <c r="D109" i="5"/>
  <c r="B110" i="5"/>
  <c r="C110" i="5"/>
  <c r="D110" i="5"/>
  <c r="B111" i="5"/>
  <c r="C111" i="5"/>
  <c r="D111" i="5"/>
  <c r="B112" i="5"/>
  <c r="C112" i="5"/>
  <c r="D112" i="5"/>
  <c r="B113" i="5"/>
  <c r="C113" i="5"/>
  <c r="D113" i="5"/>
  <c r="B117" i="5"/>
  <c r="C117" i="5"/>
  <c r="F117" i="5"/>
  <c r="C119" i="5"/>
  <c r="C121" i="5"/>
  <c r="B125" i="5"/>
  <c r="B126" i="5"/>
  <c r="C126" i="5"/>
  <c r="D126" i="5"/>
  <c r="B127" i="5"/>
  <c r="C127" i="5"/>
  <c r="D127" i="5"/>
  <c r="B128" i="5"/>
  <c r="C128" i="5"/>
  <c r="D128" i="5"/>
  <c r="B129" i="5"/>
  <c r="C129" i="5"/>
  <c r="D129" i="5"/>
  <c r="B133" i="5"/>
  <c r="C133" i="5"/>
  <c r="F133" i="5"/>
  <c r="C135" i="5"/>
  <c r="C137" i="5"/>
  <c r="B141" i="5"/>
  <c r="B142" i="5"/>
  <c r="C142" i="5"/>
  <c r="D142" i="5"/>
  <c r="B143" i="5"/>
  <c r="C143" i="5"/>
  <c r="D143" i="5"/>
  <c r="B144" i="5"/>
  <c r="C144" i="5"/>
  <c r="D144" i="5"/>
  <c r="B145" i="5"/>
  <c r="C145" i="5"/>
  <c r="D145" i="5"/>
  <c r="B146" i="5"/>
  <c r="C146" i="5"/>
  <c r="D146" i="5"/>
  <c r="B147" i="5"/>
  <c r="C147" i="5"/>
  <c r="D147" i="5"/>
  <c r="B148" i="5"/>
  <c r="C148" i="5"/>
  <c r="D148" i="5"/>
  <c r="B149" i="5"/>
  <c r="C149" i="5"/>
  <c r="D149" i="5"/>
  <c r="B150" i="5"/>
  <c r="C150" i="5"/>
  <c r="D150" i="5"/>
  <c r="B151" i="5"/>
  <c r="C151" i="5"/>
  <c r="D151" i="5"/>
  <c r="B152" i="5"/>
  <c r="C152" i="5"/>
  <c r="D152" i="5"/>
  <c r="B153" i="5"/>
  <c r="C153" i="5"/>
  <c r="D153" i="5"/>
  <c r="B154" i="5"/>
  <c r="C154" i="5"/>
  <c r="D154" i="5"/>
  <c r="B158" i="5"/>
  <c r="C158" i="5"/>
  <c r="F158" i="5"/>
  <c r="C160" i="5"/>
  <c r="C162" i="5"/>
  <c r="B166" i="5"/>
  <c r="B167" i="5"/>
  <c r="C167" i="5"/>
  <c r="D167" i="5"/>
  <c r="B168" i="5"/>
  <c r="C168" i="5"/>
  <c r="D168" i="5"/>
  <c r="B169" i="5"/>
  <c r="C169" i="5"/>
  <c r="D169" i="5"/>
  <c r="B170" i="5"/>
  <c r="C170" i="5"/>
  <c r="D170" i="5"/>
  <c r="B171" i="5"/>
  <c r="C171" i="5"/>
  <c r="D171" i="5"/>
  <c r="B172" i="5"/>
  <c r="C172" i="5"/>
  <c r="D172" i="5"/>
  <c r="B173" i="5"/>
  <c r="C173" i="5"/>
  <c r="D173" i="5"/>
  <c r="B174" i="5"/>
  <c r="C174" i="5"/>
  <c r="D174" i="5"/>
  <c r="B175" i="5"/>
  <c r="C175" i="5"/>
  <c r="D175" i="5"/>
  <c r="B176" i="5"/>
  <c r="C176" i="5"/>
  <c r="D176" i="5"/>
  <c r="B177" i="5"/>
  <c r="C177" i="5"/>
  <c r="D177" i="5"/>
  <c r="B178" i="5"/>
  <c r="C178" i="5"/>
  <c r="D178" i="5"/>
  <c r="B179" i="5"/>
  <c r="C179" i="5"/>
  <c r="D179" i="5"/>
  <c r="B184" i="5"/>
  <c r="C184" i="5"/>
  <c r="F184" i="5"/>
  <c r="C186" i="5"/>
  <c r="C188" i="5"/>
  <c r="B192" i="5"/>
  <c r="B193" i="5"/>
  <c r="C193" i="5"/>
  <c r="D193" i="5"/>
  <c r="B194" i="5"/>
  <c r="C194" i="5"/>
  <c r="D194" i="5"/>
  <c r="B195" i="5"/>
  <c r="C195" i="5"/>
  <c r="D195" i="5"/>
  <c r="B196" i="5"/>
  <c r="C196" i="5"/>
  <c r="D196" i="5"/>
  <c r="B197" i="5"/>
  <c r="C197" i="5"/>
  <c r="D197" i="5"/>
  <c r="B202" i="5"/>
  <c r="C202" i="5"/>
  <c r="F202" i="5"/>
  <c r="C204" i="5"/>
  <c r="C206" i="5"/>
  <c r="B210" i="5"/>
  <c r="B211" i="5"/>
  <c r="C211" i="5"/>
  <c r="D211" i="5"/>
  <c r="B212" i="5"/>
  <c r="C212" i="5"/>
  <c r="D212" i="5"/>
  <c r="B213" i="5"/>
  <c r="C213" i="5"/>
  <c r="D213" i="5"/>
  <c r="B214" i="5"/>
  <c r="C214" i="5"/>
  <c r="D214" i="5"/>
  <c r="B215" i="5"/>
  <c r="C215" i="5"/>
  <c r="D215" i="5"/>
  <c r="B220" i="5"/>
  <c r="C220" i="5"/>
  <c r="F220" i="5"/>
  <c r="C222" i="5"/>
  <c r="C224" i="5"/>
  <c r="B228" i="5"/>
  <c r="B229" i="5"/>
  <c r="C229" i="5"/>
  <c r="D229" i="5"/>
  <c r="B230" i="5"/>
  <c r="C230" i="5"/>
  <c r="D230" i="5"/>
  <c r="B231" i="5"/>
  <c r="C231" i="5"/>
  <c r="D231" i="5"/>
  <c r="B232" i="5"/>
  <c r="C232" i="5"/>
  <c r="D232" i="5"/>
  <c r="B233" i="5"/>
  <c r="C233" i="5"/>
  <c r="D233" i="5"/>
  <c r="B237" i="5"/>
  <c r="C237" i="5"/>
  <c r="F237" i="5"/>
  <c r="C239" i="5"/>
  <c r="C241" i="5"/>
  <c r="B245" i="5"/>
  <c r="B246" i="5"/>
  <c r="C246" i="5"/>
  <c r="D246" i="5"/>
  <c r="B247" i="5"/>
  <c r="C247" i="5"/>
  <c r="D247" i="5"/>
  <c r="B248" i="5"/>
  <c r="C248" i="5"/>
  <c r="D248" i="5"/>
  <c r="B249" i="5"/>
  <c r="C249" i="5"/>
  <c r="D249" i="5"/>
  <c r="B250" i="5"/>
  <c r="C250" i="5"/>
  <c r="D250" i="5"/>
  <c r="B255" i="5"/>
  <c r="C255" i="5"/>
  <c r="F255" i="5"/>
  <c r="C257" i="5"/>
  <c r="C259" i="5"/>
  <c r="B263" i="5"/>
  <c r="B264" i="5"/>
  <c r="C264" i="5"/>
  <c r="D264" i="5"/>
  <c r="B265" i="5"/>
  <c r="C265" i="5"/>
  <c r="D265" i="5"/>
  <c r="B266" i="5"/>
  <c r="C266" i="5"/>
  <c r="D266" i="5"/>
  <c r="B267" i="5"/>
  <c r="C267" i="5"/>
  <c r="D267" i="5"/>
  <c r="B268" i="5"/>
  <c r="C268" i="5"/>
  <c r="D268" i="5"/>
  <c r="B269" i="5"/>
  <c r="C269" i="5"/>
  <c r="D269" i="5"/>
  <c r="B270" i="5"/>
  <c r="C270" i="5"/>
  <c r="D270" i="5"/>
  <c r="B271" i="5"/>
  <c r="C271" i="5"/>
  <c r="D271" i="5"/>
  <c r="B272" i="5"/>
  <c r="C272" i="5"/>
  <c r="D272" i="5"/>
  <c r="B273" i="5"/>
  <c r="C273" i="5"/>
  <c r="D273" i="5"/>
  <c r="B274" i="5"/>
  <c r="C274" i="5"/>
  <c r="D274" i="5"/>
  <c r="B275" i="5"/>
  <c r="C275" i="5"/>
  <c r="D275" i="5"/>
  <c r="B276" i="5"/>
  <c r="C276" i="5"/>
  <c r="D276" i="5"/>
  <c r="B281" i="5"/>
  <c r="C281" i="5"/>
  <c r="F281" i="5"/>
  <c r="C283" i="5"/>
  <c r="C285" i="5"/>
  <c r="B289" i="5"/>
  <c r="B290" i="5"/>
  <c r="C290" i="5"/>
  <c r="D290" i="5"/>
  <c r="B291" i="5"/>
  <c r="C291" i="5"/>
  <c r="D291" i="5"/>
  <c r="B292" i="5"/>
  <c r="C292" i="5"/>
  <c r="D292" i="5"/>
  <c r="B293" i="5"/>
  <c r="C293" i="5"/>
  <c r="D293" i="5"/>
  <c r="B294" i="5"/>
  <c r="C294" i="5"/>
  <c r="D294" i="5"/>
  <c r="B295" i="5"/>
  <c r="C295" i="5"/>
  <c r="D295" i="5"/>
  <c r="B300" i="5"/>
  <c r="C300" i="5"/>
  <c r="F300" i="5"/>
  <c r="C302" i="5"/>
  <c r="C304" i="5"/>
  <c r="B308" i="5"/>
  <c r="B309" i="5"/>
  <c r="C309" i="5"/>
  <c r="D309" i="5"/>
  <c r="B310" i="5"/>
  <c r="C310" i="5"/>
  <c r="D310" i="5"/>
  <c r="B311" i="5"/>
  <c r="C311" i="5"/>
  <c r="D311" i="5"/>
  <c r="B312" i="5"/>
  <c r="C312" i="5"/>
  <c r="D312" i="5"/>
  <c r="B313" i="5"/>
  <c r="C313" i="5"/>
  <c r="D313" i="5"/>
  <c r="B314" i="5"/>
  <c r="C314" i="5"/>
  <c r="D314" i="5"/>
  <c r="B315" i="5"/>
  <c r="C315" i="5"/>
  <c r="D315" i="5"/>
  <c r="B316" i="5"/>
  <c r="C316" i="5"/>
  <c r="D316" i="5"/>
  <c r="B317" i="5"/>
  <c r="C317" i="5"/>
  <c r="D317" i="5"/>
  <c r="B321" i="5"/>
  <c r="C321" i="5"/>
  <c r="F321" i="5"/>
  <c r="C323" i="5"/>
  <c r="C325" i="5"/>
  <c r="B329" i="5"/>
  <c r="B330" i="5"/>
  <c r="C330" i="5"/>
  <c r="D330" i="5"/>
  <c r="B331" i="5"/>
  <c r="C331" i="5"/>
  <c r="D331" i="5"/>
  <c r="B332" i="5"/>
  <c r="C332" i="5"/>
  <c r="D332" i="5"/>
  <c r="B333" i="5"/>
  <c r="C333" i="5"/>
  <c r="D333" i="5"/>
  <c r="B334" i="5"/>
  <c r="C334" i="5"/>
  <c r="D334" i="5"/>
  <c r="B335" i="5"/>
  <c r="C335" i="5"/>
  <c r="D335" i="5"/>
  <c r="B336" i="5"/>
  <c r="C336" i="5"/>
  <c r="D336" i="5"/>
  <c r="B337" i="5"/>
  <c r="C337" i="5"/>
  <c r="D337" i="5"/>
  <c r="B338" i="5"/>
  <c r="C338" i="5"/>
  <c r="D338" i="5"/>
  <c r="B339" i="5"/>
  <c r="C339" i="5"/>
  <c r="D339" i="5"/>
  <c r="B340" i="5"/>
  <c r="C340" i="5"/>
  <c r="D340" i="5"/>
  <c r="B341" i="5"/>
  <c r="C341" i="5"/>
  <c r="D341" i="5"/>
  <c r="B342" i="5"/>
  <c r="C342" i="5"/>
  <c r="D342" i="5"/>
  <c r="B347" i="5"/>
  <c r="C347" i="5"/>
  <c r="F347" i="5"/>
  <c r="C349" i="5"/>
  <c r="C351" i="5"/>
  <c r="B355" i="5"/>
  <c r="B356" i="5"/>
  <c r="C356" i="5"/>
  <c r="D356" i="5"/>
  <c r="B357" i="5"/>
  <c r="C357" i="5"/>
  <c r="D357" i="5"/>
  <c r="B358" i="5"/>
  <c r="C358" i="5"/>
  <c r="D358" i="5"/>
  <c r="B359" i="5"/>
  <c r="C359" i="5"/>
  <c r="D359" i="5"/>
  <c r="B360" i="5"/>
  <c r="C360" i="5"/>
  <c r="D360" i="5"/>
  <c r="B364" i="5"/>
  <c r="C364" i="5"/>
  <c r="F364" i="5"/>
  <c r="C366" i="5"/>
  <c r="C368" i="5"/>
  <c r="B372" i="5"/>
  <c r="B373" i="5"/>
  <c r="C373" i="5"/>
  <c r="D373" i="5"/>
  <c r="B374" i="5"/>
  <c r="C374" i="5"/>
  <c r="D374" i="5"/>
  <c r="B375" i="5"/>
  <c r="C375" i="5"/>
  <c r="D375" i="5"/>
  <c r="B376" i="5"/>
  <c r="C376" i="5"/>
  <c r="D376" i="5"/>
  <c r="B377" i="5"/>
  <c r="C377" i="5"/>
  <c r="D377" i="5"/>
  <c r="K5" i="4"/>
  <c r="M5" i="4"/>
  <c r="N5" i="4"/>
  <c r="O5" i="4"/>
  <c r="P5" i="4" s="1"/>
  <c r="Q5" i="4"/>
  <c r="Q160" i="4" s="1"/>
  <c r="K6" i="4"/>
  <c r="M6" i="4"/>
  <c r="N6" i="4"/>
  <c r="O6" i="4"/>
  <c r="Q6" i="4"/>
  <c r="K7" i="4"/>
  <c r="M7" i="4"/>
  <c r="N7" i="4"/>
  <c r="Q7" i="4"/>
  <c r="O7" i="4"/>
  <c r="P7" i="4" s="1"/>
  <c r="K8" i="4"/>
  <c r="M8" i="4"/>
  <c r="N8" i="4"/>
  <c r="O8" i="4"/>
  <c r="Q8" i="4"/>
  <c r="P8" i="4"/>
  <c r="K9" i="4"/>
  <c r="M9" i="4"/>
  <c r="N9" i="4"/>
  <c r="Q9" i="4"/>
  <c r="O9" i="4"/>
  <c r="P9" i="4" s="1"/>
  <c r="K10" i="4"/>
  <c r="M10" i="4"/>
  <c r="N10" i="4"/>
  <c r="O10" i="4"/>
  <c r="P10" i="4" s="1"/>
  <c r="Q10" i="4"/>
  <c r="K11" i="4"/>
  <c r="M11" i="4"/>
  <c r="N11" i="4"/>
  <c r="O11" i="4"/>
  <c r="P11" i="4"/>
  <c r="Q11" i="4"/>
  <c r="K12" i="4"/>
  <c r="M12" i="4"/>
  <c r="O12" i="4"/>
  <c r="P12" i="4" s="1"/>
  <c r="N12" i="4"/>
  <c r="Q12" i="4"/>
  <c r="K13" i="4"/>
  <c r="M13" i="4"/>
  <c r="N13" i="4"/>
  <c r="O13" i="4"/>
  <c r="P13" i="4"/>
  <c r="Q13" i="4"/>
  <c r="K14" i="4"/>
  <c r="M14" i="4"/>
  <c r="N14" i="4"/>
  <c r="Q14" i="4"/>
  <c r="O14" i="4"/>
  <c r="P14" i="4"/>
  <c r="K15" i="4"/>
  <c r="M15" i="4"/>
  <c r="N15" i="4"/>
  <c r="O15" i="4"/>
  <c r="P15" i="4"/>
  <c r="Q15" i="4"/>
  <c r="K16" i="4"/>
  <c r="M16" i="4"/>
  <c r="O16" i="4"/>
  <c r="P16" i="4" s="1"/>
  <c r="N16" i="4"/>
  <c r="Q16" i="4"/>
  <c r="K17" i="4"/>
  <c r="M17" i="4"/>
  <c r="N17" i="4"/>
  <c r="O17" i="4"/>
  <c r="P17" i="4"/>
  <c r="Q17" i="4"/>
  <c r="K18" i="4"/>
  <c r="M18" i="4"/>
  <c r="O18" i="4"/>
  <c r="P18" i="4"/>
  <c r="N18" i="4"/>
  <c r="Q18" i="4"/>
  <c r="K19" i="4"/>
  <c r="M19" i="4"/>
  <c r="N19" i="4"/>
  <c r="O19" i="4"/>
  <c r="P19" i="4"/>
  <c r="Q19" i="4"/>
  <c r="K20" i="4"/>
  <c r="M20" i="4"/>
  <c r="N20" i="4"/>
  <c r="Q20" i="4"/>
  <c r="O20" i="4"/>
  <c r="P20" i="4" s="1"/>
  <c r="K21" i="4"/>
  <c r="M21" i="4"/>
  <c r="N21" i="4"/>
  <c r="O21" i="4"/>
  <c r="P21" i="4"/>
  <c r="Q21" i="4"/>
  <c r="K22" i="4"/>
  <c r="M22" i="4"/>
  <c r="N22" i="4"/>
  <c r="Q22" i="4"/>
  <c r="P22" i="4"/>
  <c r="O22" i="4"/>
  <c r="K23" i="4"/>
  <c r="M23" i="4"/>
  <c r="N23" i="4"/>
  <c r="O23" i="4"/>
  <c r="P23" i="4"/>
  <c r="Q23" i="4"/>
  <c r="K24" i="4"/>
  <c r="M24" i="4"/>
  <c r="N24" i="4"/>
  <c r="O24" i="4"/>
  <c r="P24" i="4" s="1"/>
  <c r="Q24" i="4"/>
  <c r="K25" i="4"/>
  <c r="M25" i="4"/>
  <c r="N25" i="4"/>
  <c r="O25" i="4"/>
  <c r="P25" i="4"/>
  <c r="Q25" i="4"/>
  <c r="K26" i="4"/>
  <c r="M26" i="4"/>
  <c r="N26" i="4"/>
  <c r="O26" i="4"/>
  <c r="P26" i="4" s="1"/>
  <c r="Q26" i="4"/>
  <c r="K27" i="4"/>
  <c r="M27" i="4"/>
  <c r="N27" i="4"/>
  <c r="O27" i="4"/>
  <c r="P27" i="4"/>
  <c r="Q27" i="4"/>
  <c r="K28" i="4"/>
  <c r="M28" i="4"/>
  <c r="N28" i="4"/>
  <c r="O28" i="4"/>
  <c r="P28" i="4" s="1"/>
  <c r="Q28" i="4"/>
  <c r="K29" i="4"/>
  <c r="M29" i="4"/>
  <c r="N29" i="4"/>
  <c r="O29" i="4"/>
  <c r="P29" i="4"/>
  <c r="Q29" i="4"/>
  <c r="K30" i="4"/>
  <c r="M30" i="4"/>
  <c r="N30" i="4"/>
  <c r="O30" i="4"/>
  <c r="P30" i="4" s="1"/>
  <c r="Q30" i="4"/>
  <c r="K31" i="4"/>
  <c r="M31" i="4"/>
  <c r="N31" i="4"/>
  <c r="O31" i="4"/>
  <c r="P31" i="4"/>
  <c r="Q31" i="4"/>
  <c r="K32" i="4"/>
  <c r="M32" i="4"/>
  <c r="N32" i="4"/>
  <c r="O32" i="4"/>
  <c r="P32" i="4" s="1"/>
  <c r="Q32" i="4"/>
  <c r="K33" i="4"/>
  <c r="M33" i="4"/>
  <c r="N33" i="4"/>
  <c r="O33" i="4"/>
  <c r="P33" i="4"/>
  <c r="Q33" i="4"/>
  <c r="K34" i="4"/>
  <c r="M34" i="4"/>
  <c r="O34" i="4"/>
  <c r="P34" i="4"/>
  <c r="N34" i="4"/>
  <c r="Q34" i="4"/>
  <c r="K35" i="4"/>
  <c r="M35" i="4"/>
  <c r="N35" i="4"/>
  <c r="O35" i="4"/>
  <c r="P35" i="4"/>
  <c r="Q35" i="4"/>
  <c r="K36" i="4"/>
  <c r="M36" i="4"/>
  <c r="O36" i="4"/>
  <c r="P36" i="4"/>
  <c r="N36" i="4"/>
  <c r="Q36" i="4"/>
  <c r="K37" i="4"/>
  <c r="M37" i="4"/>
  <c r="N37" i="4"/>
  <c r="O37" i="4"/>
  <c r="P37" i="4"/>
  <c r="Q37" i="4"/>
  <c r="K38" i="4"/>
  <c r="M38" i="4"/>
  <c r="N38" i="4"/>
  <c r="O38" i="4"/>
  <c r="P38" i="4" s="1"/>
  <c r="Q38" i="4"/>
  <c r="K39" i="4"/>
  <c r="M39" i="4"/>
  <c r="N39" i="4"/>
  <c r="O39" i="4"/>
  <c r="P39" i="4"/>
  <c r="Q39" i="4"/>
  <c r="K40" i="4"/>
  <c r="M40" i="4"/>
  <c r="O40" i="4"/>
  <c r="P40" i="4" s="1"/>
  <c r="N40" i="4"/>
  <c r="Q40" i="4"/>
  <c r="K41" i="4"/>
  <c r="M41" i="4"/>
  <c r="N41" i="4"/>
  <c r="O41" i="4"/>
  <c r="P41" i="4"/>
  <c r="Q41" i="4"/>
  <c r="K42" i="4"/>
  <c r="M42" i="4"/>
  <c r="O42" i="4"/>
  <c r="P42" i="4" s="1"/>
  <c r="N42" i="4"/>
  <c r="Q42" i="4"/>
  <c r="K43" i="4"/>
  <c r="M43" i="4"/>
  <c r="N43" i="4"/>
  <c r="O43" i="4"/>
  <c r="P43" i="4"/>
  <c r="Q43" i="4"/>
  <c r="K44" i="4"/>
  <c r="M44" i="4"/>
  <c r="N44" i="4"/>
  <c r="Q44" i="4"/>
  <c r="O44" i="4"/>
  <c r="P44" i="4" s="1"/>
  <c r="K45" i="4"/>
  <c r="M45" i="4"/>
  <c r="N45" i="4"/>
  <c r="O45" i="4"/>
  <c r="P45" i="4"/>
  <c r="Q45" i="4"/>
  <c r="K46" i="4"/>
  <c r="M46" i="4"/>
  <c r="N46" i="4"/>
  <c r="Q46" i="4"/>
  <c r="O46" i="4"/>
  <c r="P46" i="4" s="1"/>
  <c r="K47" i="4"/>
  <c r="M47" i="4"/>
  <c r="N47" i="4"/>
  <c r="O47" i="4"/>
  <c r="P47" i="4"/>
  <c r="Q47" i="4"/>
  <c r="K48" i="4"/>
  <c r="M48" i="4"/>
  <c r="N48" i="4"/>
  <c r="O48" i="4"/>
  <c r="P48" i="4"/>
  <c r="Q48" i="4"/>
  <c r="K49" i="4"/>
  <c r="M49" i="4"/>
  <c r="N49" i="4"/>
  <c r="O49" i="4"/>
  <c r="P49" i="4"/>
  <c r="Q49" i="4"/>
  <c r="K50" i="4"/>
  <c r="M50" i="4"/>
  <c r="N50" i="4"/>
  <c r="O50" i="4"/>
  <c r="Q50" i="4"/>
  <c r="P50" i="4"/>
  <c r="K51" i="4"/>
  <c r="M51" i="4"/>
  <c r="N51" i="4"/>
  <c r="O51" i="4"/>
  <c r="P51" i="4"/>
  <c r="Q51" i="4"/>
  <c r="K52" i="4"/>
  <c r="M52" i="4"/>
  <c r="N52" i="4"/>
  <c r="O52" i="4"/>
  <c r="Q52" i="4"/>
  <c r="P52" i="4"/>
  <c r="K53" i="4"/>
  <c r="M53" i="4"/>
  <c r="N53" i="4"/>
  <c r="O53" i="4"/>
  <c r="P53" i="4"/>
  <c r="Q53" i="4"/>
  <c r="K54" i="4"/>
  <c r="M54" i="4"/>
  <c r="N54" i="4"/>
  <c r="O54" i="4"/>
  <c r="Q54" i="4"/>
  <c r="P54" i="4"/>
  <c r="K55" i="4"/>
  <c r="M55" i="4"/>
  <c r="N55" i="4"/>
  <c r="O55" i="4"/>
  <c r="P55" i="4"/>
  <c r="Q55" i="4"/>
  <c r="K56" i="4"/>
  <c r="M56" i="4"/>
  <c r="N56" i="4"/>
  <c r="O56" i="4"/>
  <c r="P56" i="4"/>
  <c r="Q56" i="4"/>
  <c r="K57" i="4"/>
  <c r="M57" i="4"/>
  <c r="N57" i="4"/>
  <c r="O57" i="4"/>
  <c r="P57" i="4"/>
  <c r="Q57" i="4"/>
  <c r="K58" i="4"/>
  <c r="M58" i="4"/>
  <c r="O58" i="4"/>
  <c r="P58" i="4"/>
  <c r="N58" i="4"/>
  <c r="Q58" i="4"/>
  <c r="K59" i="4"/>
  <c r="M59" i="4"/>
  <c r="N59" i="4"/>
  <c r="O59" i="4"/>
  <c r="P59" i="4"/>
  <c r="Q59" i="4"/>
  <c r="K60" i="4"/>
  <c r="M60" i="4"/>
  <c r="O60" i="4"/>
  <c r="P60" i="4"/>
  <c r="N60" i="4"/>
  <c r="Q60" i="4"/>
  <c r="K61" i="4"/>
  <c r="M61" i="4"/>
  <c r="N61" i="4"/>
  <c r="O61" i="4"/>
  <c r="P61" i="4"/>
  <c r="Q61" i="4"/>
  <c r="K62" i="4"/>
  <c r="M62" i="4"/>
  <c r="N62" i="4"/>
  <c r="Q62" i="4"/>
  <c r="O62" i="4"/>
  <c r="P62" i="4"/>
  <c r="K63" i="4"/>
  <c r="M63" i="4"/>
  <c r="N63" i="4"/>
  <c r="O63" i="4"/>
  <c r="P63" i="4"/>
  <c r="Q63" i="4"/>
  <c r="K64" i="4"/>
  <c r="M64" i="4"/>
  <c r="O64" i="4"/>
  <c r="P64" i="4"/>
  <c r="N64" i="4"/>
  <c r="Q64" i="4"/>
  <c r="K65" i="4"/>
  <c r="M65" i="4"/>
  <c r="N65" i="4"/>
  <c r="O65" i="4"/>
  <c r="P65" i="4"/>
  <c r="Q65" i="4"/>
  <c r="K66" i="4"/>
  <c r="M66" i="4"/>
  <c r="O66" i="4"/>
  <c r="N66" i="4"/>
  <c r="Q66" i="4"/>
  <c r="K67" i="4"/>
  <c r="M67" i="4"/>
  <c r="N67" i="4"/>
  <c r="O67" i="4"/>
  <c r="P67" i="4"/>
  <c r="Q67" i="4"/>
  <c r="K68" i="4"/>
  <c r="M68" i="4"/>
  <c r="N68" i="4"/>
  <c r="Q68" i="4"/>
  <c r="O68" i="4"/>
  <c r="P68" i="4"/>
  <c r="K69" i="4"/>
  <c r="M69" i="4"/>
  <c r="N69" i="4"/>
  <c r="O69" i="4"/>
  <c r="P69" i="4"/>
  <c r="Q69" i="4"/>
  <c r="K70" i="4"/>
  <c r="M70" i="4"/>
  <c r="N70" i="4"/>
  <c r="Q70" i="4"/>
  <c r="O70" i="4"/>
  <c r="P70" i="4" s="1"/>
  <c r="K71" i="4"/>
  <c r="M71" i="4"/>
  <c r="N71" i="4"/>
  <c r="O71" i="4"/>
  <c r="P71" i="4"/>
  <c r="Q71" i="4"/>
  <c r="K72" i="4"/>
  <c r="M72" i="4"/>
  <c r="N72" i="4"/>
  <c r="O72" i="4"/>
  <c r="Q72" i="4"/>
  <c r="P72" i="4"/>
  <c r="K73" i="4"/>
  <c r="M73" i="4"/>
  <c r="N73" i="4"/>
  <c r="O73" i="4"/>
  <c r="P73" i="4"/>
  <c r="Q73" i="4"/>
  <c r="K74" i="4"/>
  <c r="M74" i="4"/>
  <c r="N74" i="4"/>
  <c r="O74" i="4"/>
  <c r="P74" i="4"/>
  <c r="Q74" i="4"/>
  <c r="K75" i="4"/>
  <c r="M75" i="4"/>
  <c r="N75" i="4"/>
  <c r="O75" i="4"/>
  <c r="P75" i="4"/>
  <c r="Q75" i="4"/>
  <c r="K76" i="4"/>
  <c r="M76" i="4"/>
  <c r="N76" i="4"/>
  <c r="O76" i="4"/>
  <c r="Q76" i="4"/>
  <c r="P76" i="4"/>
  <c r="K77" i="4"/>
  <c r="M77" i="4"/>
  <c r="N77" i="4"/>
  <c r="O77" i="4"/>
  <c r="P77" i="4"/>
  <c r="Q77" i="4"/>
  <c r="K78" i="4"/>
  <c r="M78" i="4"/>
  <c r="N78" i="4"/>
  <c r="O78" i="4"/>
  <c r="Q78" i="4"/>
  <c r="P78" i="4"/>
  <c r="K79" i="4"/>
  <c r="M79" i="4"/>
  <c r="N79" i="4"/>
  <c r="O79" i="4"/>
  <c r="P79" i="4"/>
  <c r="Q79" i="4"/>
  <c r="K80" i="4"/>
  <c r="M80" i="4"/>
  <c r="N80" i="4"/>
  <c r="O80" i="4"/>
  <c r="Q80" i="4"/>
  <c r="P80" i="4"/>
  <c r="K81" i="4"/>
  <c r="M81" i="4"/>
  <c r="N81" i="4"/>
  <c r="O81" i="4"/>
  <c r="P81" i="4"/>
  <c r="Q81" i="4"/>
  <c r="K82" i="4"/>
  <c r="M82" i="4"/>
  <c r="O82" i="4"/>
  <c r="P82" i="4"/>
  <c r="N82" i="4"/>
  <c r="Q82" i="4"/>
  <c r="K83" i="4"/>
  <c r="M83" i="4"/>
  <c r="N83" i="4"/>
  <c r="O83" i="4"/>
  <c r="P83" i="4"/>
  <c r="Q83" i="4"/>
  <c r="K84" i="4"/>
  <c r="M84" i="4"/>
  <c r="O84" i="4"/>
  <c r="P84" i="4"/>
  <c r="N84" i="4"/>
  <c r="Q84" i="4"/>
  <c r="K85" i="4"/>
  <c r="M85" i="4"/>
  <c r="N85" i="4"/>
  <c r="Q85" i="4"/>
  <c r="O85" i="4"/>
  <c r="P85" i="4"/>
  <c r="K86" i="4"/>
  <c r="M86" i="4"/>
  <c r="O86" i="4"/>
  <c r="N86" i="4"/>
  <c r="Q86" i="4"/>
  <c r="K87" i="4"/>
  <c r="M87" i="4"/>
  <c r="N87" i="4"/>
  <c r="O87" i="4"/>
  <c r="P87" i="4" s="1"/>
  <c r="Q87" i="4"/>
  <c r="K88" i="4"/>
  <c r="M88" i="4"/>
  <c r="O88" i="4"/>
  <c r="P88" i="4" s="1"/>
  <c r="N88" i="4"/>
  <c r="Q88" i="4"/>
  <c r="K89" i="4"/>
  <c r="M89" i="4"/>
  <c r="N89" i="4"/>
  <c r="Q89" i="4"/>
  <c r="O89" i="4"/>
  <c r="P89" i="4" s="1"/>
  <c r="K90" i="4"/>
  <c r="M90" i="4"/>
  <c r="N90" i="4"/>
  <c r="Q90" i="4"/>
  <c r="O90" i="4"/>
  <c r="P90" i="4" s="1"/>
  <c r="K91" i="4"/>
  <c r="M91" i="4"/>
  <c r="N91" i="4"/>
  <c r="O91" i="4"/>
  <c r="P91" i="4" s="1"/>
  <c r="Q91" i="4"/>
  <c r="K92" i="4"/>
  <c r="M92" i="4"/>
  <c r="N92" i="4"/>
  <c r="O92" i="4"/>
  <c r="P92" i="4"/>
  <c r="Q92" i="4"/>
  <c r="K93" i="4"/>
  <c r="M93" i="4"/>
  <c r="N93" i="4"/>
  <c r="Q93" i="4"/>
  <c r="O93" i="4"/>
  <c r="P93" i="4" s="1"/>
  <c r="K94" i="4"/>
  <c r="M94" i="4"/>
  <c r="N94" i="4"/>
  <c r="O94" i="4"/>
  <c r="Q94" i="4"/>
  <c r="P94" i="4"/>
  <c r="K95" i="4"/>
  <c r="M95" i="4"/>
  <c r="N95" i="4"/>
  <c r="Q95" i="4"/>
  <c r="O95" i="4"/>
  <c r="P95" i="4" s="1"/>
  <c r="K96" i="4"/>
  <c r="M96" i="4"/>
  <c r="N96" i="4"/>
  <c r="O96" i="4"/>
  <c r="P96" i="4"/>
  <c r="Q96" i="4"/>
  <c r="K97" i="4"/>
  <c r="M97" i="4"/>
  <c r="N97" i="4"/>
  <c r="O97" i="4"/>
  <c r="P97" i="4"/>
  <c r="Q97" i="4"/>
  <c r="K98" i="4"/>
  <c r="M98" i="4"/>
  <c r="O98" i="4"/>
  <c r="P98" i="4"/>
  <c r="N98" i="4"/>
  <c r="Q98" i="4"/>
  <c r="K99" i="4"/>
  <c r="M99" i="4"/>
  <c r="N99" i="4"/>
  <c r="Q99" i="4"/>
  <c r="O99" i="4"/>
  <c r="P99" i="4" s="1"/>
  <c r="K100" i="4"/>
  <c r="M100" i="4"/>
  <c r="N100" i="4"/>
  <c r="Q100" i="4"/>
  <c r="O100" i="4"/>
  <c r="K101" i="4"/>
  <c r="M101" i="4"/>
  <c r="N101" i="4"/>
  <c r="O101" i="4"/>
  <c r="P101" i="4"/>
  <c r="Q101" i="4"/>
  <c r="K102" i="4"/>
  <c r="M102" i="4"/>
  <c r="N102" i="4"/>
  <c r="O102" i="4"/>
  <c r="P102" i="4"/>
  <c r="Q102" i="4"/>
  <c r="K103" i="4"/>
  <c r="M103" i="4"/>
  <c r="N103" i="4"/>
  <c r="Q103" i="4"/>
  <c r="O103" i="4"/>
  <c r="P103" i="4"/>
  <c r="K104" i="4"/>
  <c r="M104" i="4"/>
  <c r="N104" i="4"/>
  <c r="Q104" i="4"/>
  <c r="O104" i="4"/>
  <c r="P104" i="4"/>
  <c r="K105" i="4"/>
  <c r="M105" i="4"/>
  <c r="N105" i="4"/>
  <c r="O105" i="4"/>
  <c r="Q105" i="4"/>
  <c r="K106" i="4"/>
  <c r="M106" i="4"/>
  <c r="N106" i="4"/>
  <c r="O106" i="4"/>
  <c r="P106" i="4"/>
  <c r="Q106" i="4"/>
  <c r="K107" i="4"/>
  <c r="M107" i="4"/>
  <c r="N107" i="4"/>
  <c r="O107" i="4"/>
  <c r="P107" i="4"/>
  <c r="Q107" i="4"/>
  <c r="K108" i="4"/>
  <c r="M108" i="4"/>
  <c r="N108" i="4"/>
  <c r="O108" i="4"/>
  <c r="Q108" i="4"/>
  <c r="P108" i="4"/>
  <c r="K109" i="4"/>
  <c r="M109" i="4"/>
  <c r="N109" i="4"/>
  <c r="Q109" i="4"/>
  <c r="O109" i="4"/>
  <c r="P109" i="4" s="1"/>
  <c r="K110" i="4"/>
  <c r="M110" i="4"/>
  <c r="N110" i="4"/>
  <c r="O110" i="4"/>
  <c r="Q110" i="4"/>
  <c r="P110" i="4"/>
  <c r="K111" i="4"/>
  <c r="M111" i="4"/>
  <c r="N111" i="4"/>
  <c r="Q111" i="4"/>
  <c r="O111" i="4"/>
  <c r="P111" i="4" s="1"/>
  <c r="K112" i="4"/>
  <c r="M112" i="4"/>
  <c r="N112" i="4"/>
  <c r="O112" i="4"/>
  <c r="P112" i="4" s="1"/>
  <c r="Q112" i="4"/>
  <c r="K113" i="4"/>
  <c r="M113" i="4"/>
  <c r="N113" i="4"/>
  <c r="O113" i="4"/>
  <c r="Q113" i="4"/>
  <c r="K114" i="4"/>
  <c r="M114" i="4"/>
  <c r="N114" i="4"/>
  <c r="O114" i="4"/>
  <c r="P114" i="4" s="1"/>
  <c r="Q114" i="4"/>
  <c r="K115" i="4"/>
  <c r="M115" i="4"/>
  <c r="N115" i="4"/>
  <c r="Q115" i="4"/>
  <c r="O115" i="4"/>
  <c r="K116" i="4"/>
  <c r="M116" i="4"/>
  <c r="N116" i="4"/>
  <c r="O116" i="4"/>
  <c r="P116" i="4" s="1"/>
  <c r="Q116" i="4"/>
  <c r="K117" i="4"/>
  <c r="M117" i="4"/>
  <c r="N117" i="4"/>
  <c r="Q117" i="4"/>
  <c r="O117" i="4"/>
  <c r="K118" i="4"/>
  <c r="M118" i="4"/>
  <c r="O118" i="4"/>
  <c r="P118" i="4"/>
  <c r="N118" i="4"/>
  <c r="Q118" i="4"/>
  <c r="K119" i="4"/>
  <c r="M119" i="4"/>
  <c r="N119" i="4"/>
  <c r="O119" i="4"/>
  <c r="Q119" i="4"/>
  <c r="K120" i="4"/>
  <c r="M120" i="4"/>
  <c r="N120" i="4"/>
  <c r="O120" i="4"/>
  <c r="P120" i="4"/>
  <c r="Q120" i="4"/>
  <c r="K121" i="4"/>
  <c r="M121" i="4"/>
  <c r="N121" i="4"/>
  <c r="O121" i="4"/>
  <c r="Q121" i="4"/>
  <c r="K122" i="4"/>
  <c r="M122" i="4"/>
  <c r="N122" i="4"/>
  <c r="Q122" i="4"/>
  <c r="O122" i="4"/>
  <c r="P122" i="4"/>
  <c r="K123" i="4"/>
  <c r="M123" i="4"/>
  <c r="N123" i="4"/>
  <c r="O123" i="4"/>
  <c r="Q123" i="4"/>
  <c r="K124" i="4"/>
  <c r="M124" i="4"/>
  <c r="O124" i="4"/>
  <c r="P124" i="4" s="1"/>
  <c r="N124" i="4"/>
  <c r="Q124" i="4"/>
  <c r="K125" i="4"/>
  <c r="M125" i="4"/>
  <c r="N125" i="4"/>
  <c r="O125" i="4"/>
  <c r="P125" i="4" s="1"/>
  <c r="Q125" i="4"/>
  <c r="K126" i="4"/>
  <c r="M126" i="4"/>
  <c r="N126" i="4"/>
  <c r="O126" i="4"/>
  <c r="P126" i="4"/>
  <c r="Q126" i="4"/>
  <c r="K127" i="4"/>
  <c r="M127" i="4"/>
  <c r="N127" i="4"/>
  <c r="O127" i="4"/>
  <c r="P127" i="4" s="1"/>
  <c r="Q127" i="4"/>
  <c r="K128" i="4"/>
  <c r="M128" i="4"/>
  <c r="N128" i="4"/>
  <c r="Q128" i="4"/>
  <c r="O128" i="4"/>
  <c r="K129" i="4"/>
  <c r="M129" i="4"/>
  <c r="N129" i="4"/>
  <c r="O129" i="4"/>
  <c r="P129" i="4" s="1"/>
  <c r="Q129" i="4"/>
  <c r="K130" i="4"/>
  <c r="M130" i="4"/>
  <c r="N130" i="4"/>
  <c r="Q130" i="4"/>
  <c r="O130" i="4"/>
  <c r="P130" i="4" s="1"/>
  <c r="K131" i="4"/>
  <c r="M131" i="4"/>
  <c r="N131" i="4"/>
  <c r="O131" i="4"/>
  <c r="Q131" i="4"/>
  <c r="K132" i="4"/>
  <c r="M132" i="4"/>
  <c r="N132" i="4"/>
  <c r="O132" i="4"/>
  <c r="P132" i="4" s="1"/>
  <c r="Q132" i="4"/>
  <c r="K133" i="4"/>
  <c r="M133" i="4"/>
  <c r="N133" i="4"/>
  <c r="O133" i="4"/>
  <c r="P133" i="4"/>
  <c r="Q133" i="4"/>
  <c r="K134" i="4"/>
  <c r="M134" i="4"/>
  <c r="N134" i="4"/>
  <c r="O134" i="4"/>
  <c r="P134" i="4" s="1"/>
  <c r="Q134" i="4"/>
  <c r="K135" i="4"/>
  <c r="M135" i="4"/>
  <c r="N135" i="4"/>
  <c r="O135" i="4"/>
  <c r="P135" i="4"/>
  <c r="Q135" i="4"/>
  <c r="K136" i="4"/>
  <c r="M136" i="4"/>
  <c r="N136" i="4"/>
  <c r="O136" i="4"/>
  <c r="P136" i="4" s="1"/>
  <c r="Q136" i="4"/>
  <c r="K137" i="4"/>
  <c r="M137" i="4"/>
  <c r="N137" i="4"/>
  <c r="O137" i="4"/>
  <c r="P137" i="4"/>
  <c r="Q137" i="4"/>
  <c r="K138" i="4"/>
  <c r="M138" i="4"/>
  <c r="N138" i="4"/>
  <c r="O138" i="4"/>
  <c r="P138" i="4"/>
  <c r="Q138" i="4"/>
  <c r="K139" i="4"/>
  <c r="M139" i="4"/>
  <c r="N139" i="4"/>
  <c r="O139" i="4"/>
  <c r="P139" i="4"/>
  <c r="Q139" i="4"/>
  <c r="K140" i="4"/>
  <c r="M140" i="4"/>
  <c r="N140" i="4"/>
  <c r="O140" i="4"/>
  <c r="P140" i="4"/>
  <c r="Q140" i="4"/>
  <c r="K141" i="4"/>
  <c r="M141" i="4"/>
  <c r="N141" i="4"/>
  <c r="O141" i="4"/>
  <c r="P141" i="4"/>
  <c r="Q141" i="4"/>
  <c r="K142" i="4"/>
  <c r="M142" i="4"/>
  <c r="N142" i="4"/>
  <c r="O142" i="4"/>
  <c r="P142" i="4"/>
  <c r="Q142" i="4"/>
  <c r="K143" i="4"/>
  <c r="M143" i="4"/>
  <c r="N143" i="4"/>
  <c r="O143" i="4"/>
  <c r="P143" i="4"/>
  <c r="Q143" i="4"/>
  <c r="K144" i="4"/>
  <c r="M144" i="4"/>
  <c r="N144" i="4"/>
  <c r="O144" i="4"/>
  <c r="P144" i="4"/>
  <c r="Q144" i="4"/>
  <c r="K145" i="4"/>
  <c r="M145" i="4"/>
  <c r="N145" i="4"/>
  <c r="O145" i="4"/>
  <c r="P145" i="4"/>
  <c r="Q145" i="4"/>
  <c r="K146" i="4"/>
  <c r="M146" i="4"/>
  <c r="N146" i="4"/>
  <c r="O146" i="4"/>
  <c r="P146" i="4"/>
  <c r="Q146" i="4"/>
  <c r="K147" i="4"/>
  <c r="M147" i="4"/>
  <c r="N147" i="4"/>
  <c r="O147" i="4"/>
  <c r="P147" i="4"/>
  <c r="Q147" i="4"/>
  <c r="K148" i="4"/>
  <c r="M148" i="4"/>
  <c r="N148" i="4"/>
  <c r="O148" i="4"/>
  <c r="P148" i="4"/>
  <c r="Q148" i="4"/>
  <c r="K149" i="4"/>
  <c r="M149" i="4"/>
  <c r="N149" i="4"/>
  <c r="O149" i="4"/>
  <c r="P149" i="4"/>
  <c r="Q149" i="4"/>
  <c r="K150" i="4"/>
  <c r="M150" i="4"/>
  <c r="N150" i="4"/>
  <c r="O150" i="4"/>
  <c r="P150" i="4"/>
  <c r="Q150" i="4"/>
  <c r="K151" i="4"/>
  <c r="M151" i="4"/>
  <c r="N151" i="4"/>
  <c r="O151" i="4"/>
  <c r="P151" i="4"/>
  <c r="Q151" i="4"/>
  <c r="K152" i="4"/>
  <c r="M152" i="4"/>
  <c r="N152" i="4"/>
  <c r="O152" i="4"/>
  <c r="P152" i="4"/>
  <c r="Q152" i="4"/>
  <c r="K153" i="4"/>
  <c r="M153" i="4"/>
  <c r="N153" i="4"/>
  <c r="O153" i="4"/>
  <c r="P153" i="4"/>
  <c r="Q153" i="4"/>
  <c r="K154" i="4"/>
  <c r="M154" i="4"/>
  <c r="N154" i="4"/>
  <c r="O154" i="4"/>
  <c r="P154" i="4"/>
  <c r="Q154" i="4"/>
  <c r="K155" i="4"/>
  <c r="M155" i="4"/>
  <c r="N155" i="4"/>
  <c r="O155" i="4"/>
  <c r="P155" i="4"/>
  <c r="Q155" i="4"/>
  <c r="K156" i="4"/>
  <c r="M156" i="4"/>
  <c r="N156" i="4"/>
  <c r="O156" i="4"/>
  <c r="P156" i="4"/>
  <c r="Q156" i="4"/>
  <c r="K157" i="4"/>
  <c r="M157" i="4"/>
  <c r="N157" i="4"/>
  <c r="O157" i="4"/>
  <c r="P157" i="4"/>
  <c r="Q157" i="4"/>
  <c r="K158" i="4"/>
  <c r="M158" i="4"/>
  <c r="N158" i="4"/>
  <c r="O158" i="4"/>
  <c r="P158" i="4"/>
  <c r="Q158" i="4"/>
  <c r="B160" i="4"/>
  <c r="B45" i="3"/>
  <c r="B30" i="3"/>
  <c r="B68" i="3"/>
  <c r="C68" i="3"/>
  <c r="F68" i="3"/>
  <c r="C70" i="3"/>
  <c r="B74" i="3"/>
  <c r="B75" i="3"/>
  <c r="C75" i="3"/>
  <c r="D75" i="3"/>
  <c r="B76" i="3"/>
  <c r="C76" i="3"/>
  <c r="D76" i="3"/>
  <c r="B77" i="3"/>
  <c r="C77" i="3"/>
  <c r="D77" i="3"/>
  <c r="B78" i="3"/>
  <c r="C78" i="3"/>
  <c r="D78" i="3"/>
  <c r="B84" i="3"/>
  <c r="C84" i="3"/>
  <c r="F84" i="3"/>
  <c r="C86" i="3"/>
  <c r="B90" i="3"/>
  <c r="B91" i="3"/>
  <c r="C91" i="3"/>
  <c r="D91" i="3"/>
  <c r="C92" i="3"/>
  <c r="D92" i="3"/>
  <c r="B93" i="3"/>
  <c r="C93" i="3"/>
  <c r="D93" i="3"/>
  <c r="B94" i="3"/>
  <c r="C94" i="3"/>
  <c r="D94" i="3"/>
  <c r="B99" i="3"/>
  <c r="C99" i="3"/>
  <c r="F99" i="3"/>
  <c r="C101" i="3"/>
  <c r="B105" i="3"/>
  <c r="B106" i="3"/>
  <c r="C106" i="3"/>
  <c r="D106" i="3"/>
  <c r="B107" i="3"/>
  <c r="C107" i="3"/>
  <c r="D107" i="3"/>
  <c r="B108" i="3"/>
  <c r="C108" i="3"/>
  <c r="D108" i="3"/>
  <c r="B109" i="3"/>
  <c r="C109" i="3"/>
  <c r="D109" i="3"/>
  <c r="B114" i="3"/>
  <c r="C114" i="3"/>
  <c r="F114" i="3"/>
  <c r="C116" i="3"/>
  <c r="B120" i="3"/>
  <c r="B121" i="3"/>
  <c r="C121" i="3"/>
  <c r="D121" i="3"/>
  <c r="C122" i="3"/>
  <c r="D122" i="3"/>
  <c r="C123" i="3"/>
  <c r="B124" i="3"/>
  <c r="C124" i="3"/>
  <c r="D124" i="3"/>
  <c r="B129" i="3"/>
  <c r="C129" i="3"/>
  <c r="F129" i="3"/>
  <c r="C131" i="3"/>
  <c r="B135" i="3"/>
  <c r="B136" i="3"/>
  <c r="C136" i="3"/>
  <c r="B137" i="3"/>
  <c r="C137" i="3"/>
  <c r="D137" i="3"/>
  <c r="B138" i="3"/>
  <c r="C138" i="3"/>
  <c r="D138" i="3"/>
  <c r="B143" i="3"/>
  <c r="C143" i="3"/>
  <c r="F143" i="3"/>
  <c r="C145" i="3"/>
  <c r="B149" i="3"/>
  <c r="B150" i="3"/>
  <c r="C150" i="3"/>
  <c r="D150" i="3"/>
  <c r="B151" i="3"/>
  <c r="C151" i="3"/>
  <c r="D151" i="3"/>
  <c r="B152" i="3"/>
  <c r="C152" i="3"/>
  <c r="D152" i="3"/>
  <c r="B153" i="3"/>
  <c r="C153" i="3"/>
  <c r="D153" i="3"/>
  <c r="B154" i="3"/>
  <c r="C154" i="3"/>
  <c r="D154" i="3"/>
  <c r="C155" i="3"/>
  <c r="B160" i="3"/>
  <c r="C160" i="3"/>
  <c r="F160" i="3"/>
  <c r="C162" i="3"/>
  <c r="B166" i="3"/>
  <c r="B167" i="3"/>
  <c r="C167" i="3"/>
  <c r="D167" i="3"/>
  <c r="B168" i="3"/>
  <c r="C168" i="3"/>
  <c r="B169" i="3"/>
  <c r="C169" i="3"/>
  <c r="D169" i="3"/>
  <c r="B170" i="3"/>
  <c r="C170" i="3"/>
  <c r="D170" i="3"/>
  <c r="B176" i="3"/>
  <c r="C176" i="3"/>
  <c r="F176" i="3"/>
  <c r="C178" i="3"/>
  <c r="B182" i="3"/>
  <c r="B183" i="3"/>
  <c r="C183" i="3"/>
  <c r="D183" i="3"/>
  <c r="B184" i="3"/>
  <c r="C184" i="3"/>
  <c r="D184" i="3"/>
  <c r="B185" i="3"/>
  <c r="C185" i="3"/>
  <c r="D185" i="3"/>
  <c r="B190" i="3"/>
  <c r="C190" i="3"/>
  <c r="F190" i="3"/>
  <c r="C192" i="3"/>
  <c r="B196" i="3"/>
  <c r="B197" i="3"/>
  <c r="C197" i="3"/>
  <c r="D197" i="3"/>
  <c r="B198" i="3"/>
  <c r="C198" i="3"/>
  <c r="D198" i="3"/>
  <c r="C199" i="3"/>
  <c r="D199" i="3"/>
  <c r="B200" i="3"/>
  <c r="C200" i="3"/>
  <c r="D200" i="3"/>
  <c r="B201" i="3"/>
  <c r="C201" i="3"/>
  <c r="D201" i="3"/>
  <c r="B206" i="3"/>
  <c r="C206" i="3"/>
  <c r="F206" i="3"/>
  <c r="C208" i="3"/>
  <c r="B212" i="3"/>
  <c r="C213" i="3"/>
  <c r="D213" i="3"/>
  <c r="C214" i="3"/>
  <c r="B215" i="3"/>
  <c r="C215" i="3"/>
  <c r="D215" i="3"/>
  <c r="B216" i="3"/>
  <c r="C216" i="3"/>
  <c r="D216" i="3"/>
  <c r="B217" i="3"/>
  <c r="C217" i="3"/>
  <c r="D217" i="3"/>
  <c r="B59" i="3"/>
  <c r="B60" i="3"/>
  <c r="C60" i="3"/>
  <c r="D60" i="3"/>
  <c r="B61" i="3"/>
  <c r="C61" i="3"/>
  <c r="B62" i="3"/>
  <c r="C62" i="3"/>
  <c r="D62" i="3"/>
  <c r="B63" i="3"/>
  <c r="C63" i="3"/>
  <c r="D63" i="3"/>
  <c r="C55" i="3"/>
  <c r="F53" i="3"/>
  <c r="B53" i="3"/>
  <c r="C53" i="3"/>
  <c r="B42" i="3"/>
  <c r="B43" i="3"/>
  <c r="C43" i="3"/>
  <c r="D43" i="3"/>
  <c r="B44" i="3"/>
  <c r="C44" i="3"/>
  <c r="D44" i="3"/>
  <c r="C45" i="3"/>
  <c r="D45" i="3"/>
  <c r="B46" i="3"/>
  <c r="C46" i="3"/>
  <c r="D46" i="3"/>
  <c r="B47" i="3"/>
  <c r="C47" i="3"/>
  <c r="D47" i="3"/>
  <c r="B48" i="3"/>
  <c r="C48" i="3"/>
  <c r="D48" i="3"/>
  <c r="C38" i="3"/>
  <c r="F36" i="3"/>
  <c r="B36" i="3"/>
  <c r="C36" i="3"/>
  <c r="B25" i="3"/>
  <c r="B26" i="3"/>
  <c r="C26" i="3"/>
  <c r="D26" i="3"/>
  <c r="B27" i="3"/>
  <c r="C27" i="3"/>
  <c r="D27" i="3"/>
  <c r="B28" i="3"/>
  <c r="C28" i="3"/>
  <c r="D28" i="3"/>
  <c r="B29" i="3"/>
  <c r="C29" i="3"/>
  <c r="D29" i="3"/>
  <c r="C30" i="3"/>
  <c r="D30" i="3"/>
  <c r="B31" i="3"/>
  <c r="C31" i="3"/>
  <c r="D31" i="3"/>
  <c r="C21" i="3"/>
  <c r="F19" i="3"/>
  <c r="B19" i="3"/>
  <c r="C19" i="3"/>
  <c r="B8" i="3"/>
  <c r="B9" i="3"/>
  <c r="C9" i="3"/>
  <c r="D9" i="3"/>
  <c r="B10" i="3"/>
  <c r="C10" i="3"/>
  <c r="D10" i="3"/>
  <c r="B11" i="3"/>
  <c r="C11" i="3"/>
  <c r="D11" i="3"/>
  <c r="B12" i="3"/>
  <c r="C12" i="3"/>
  <c r="D12" i="3"/>
  <c r="B13" i="3"/>
  <c r="C13" i="3"/>
  <c r="D13" i="3"/>
  <c r="B14" i="3"/>
  <c r="C14" i="3"/>
  <c r="D14" i="3"/>
  <c r="C4" i="3"/>
  <c r="F2" i="3"/>
  <c r="B2" i="3"/>
  <c r="C2" i="3"/>
  <c r="B72" i="1"/>
  <c r="K7" i="1"/>
  <c r="M7" i="1"/>
  <c r="O7" i="1"/>
  <c r="P7" i="1" s="1"/>
  <c r="N7" i="1"/>
  <c r="Q7" i="1"/>
  <c r="Q72" i="1" s="1"/>
  <c r="K8" i="1"/>
  <c r="M8" i="1"/>
  <c r="O8" i="1"/>
  <c r="N8" i="1"/>
  <c r="Q8" i="1"/>
  <c r="K9" i="1"/>
  <c r="M9" i="1"/>
  <c r="N9" i="1"/>
  <c r="Q9" i="1"/>
  <c r="O9" i="1"/>
  <c r="K10" i="1"/>
  <c r="M10" i="1"/>
  <c r="N10" i="1"/>
  <c r="O10" i="1"/>
  <c r="P10" i="1"/>
  <c r="Q10" i="1"/>
  <c r="K11" i="1"/>
  <c r="M11" i="1"/>
  <c r="O11" i="1"/>
  <c r="N11" i="1"/>
  <c r="Q11" i="1"/>
  <c r="K12" i="1"/>
  <c r="M12" i="1"/>
  <c r="O12" i="1"/>
  <c r="P12" i="1" s="1"/>
  <c r="N12" i="1"/>
  <c r="Q12" i="1"/>
  <c r="K13" i="1"/>
  <c r="M13" i="1"/>
  <c r="N13" i="1"/>
  <c r="O13" i="1"/>
  <c r="Q13" i="1"/>
  <c r="K14" i="1"/>
  <c r="M14" i="1"/>
  <c r="O14" i="1"/>
  <c r="N14" i="1"/>
  <c r="Q14" i="1"/>
  <c r="K15" i="1"/>
  <c r="M15" i="1"/>
  <c r="N15" i="1"/>
  <c r="O15" i="1"/>
  <c r="P15" i="1"/>
  <c r="Q15" i="1"/>
  <c r="K16" i="1"/>
  <c r="M16" i="1"/>
  <c r="N16" i="1"/>
  <c r="O16" i="1"/>
  <c r="P16" i="1"/>
  <c r="Q16" i="1"/>
  <c r="K17" i="1"/>
  <c r="M17" i="1"/>
  <c r="O17" i="1"/>
  <c r="P17" i="1"/>
  <c r="N17" i="1"/>
  <c r="Q17" i="1"/>
  <c r="K18" i="1"/>
  <c r="M18" i="1"/>
  <c r="N18" i="1"/>
  <c r="Q18" i="1"/>
  <c r="O18" i="1"/>
  <c r="P18" i="1"/>
  <c r="K19" i="1"/>
  <c r="M19" i="1"/>
  <c r="O19" i="1"/>
  <c r="P19" i="1"/>
  <c r="Q19" i="1"/>
  <c r="N19" i="1"/>
  <c r="K20" i="1"/>
  <c r="M20" i="1"/>
  <c r="N20" i="1"/>
  <c r="Q20" i="1"/>
  <c r="O20" i="1"/>
  <c r="P20" i="1"/>
  <c r="K21" i="1"/>
  <c r="M21" i="1"/>
  <c r="O21" i="1"/>
  <c r="P21" i="1"/>
  <c r="N21" i="1"/>
  <c r="Q21" i="1"/>
  <c r="K22" i="1"/>
  <c r="M22" i="1"/>
  <c r="N22" i="1"/>
  <c r="O22" i="1"/>
  <c r="P22" i="1"/>
  <c r="Q22" i="1"/>
  <c r="K23" i="1"/>
  <c r="M23" i="1"/>
  <c r="O23" i="1"/>
  <c r="Q23" i="1"/>
  <c r="N23" i="1"/>
  <c r="K24" i="1"/>
  <c r="M24" i="1"/>
  <c r="N24" i="1"/>
  <c r="Q24" i="1"/>
  <c r="O24" i="1"/>
  <c r="K25" i="1"/>
  <c r="M25" i="1"/>
  <c r="N25" i="1"/>
  <c r="O25" i="1"/>
  <c r="P25" i="1"/>
  <c r="Q25" i="1"/>
  <c r="K26" i="1"/>
  <c r="M26" i="1"/>
  <c r="N26" i="1"/>
  <c r="O26" i="1"/>
  <c r="P26" i="1"/>
  <c r="Q26" i="1"/>
  <c r="K27" i="1"/>
  <c r="M27" i="1"/>
  <c r="O27" i="1"/>
  <c r="N27" i="1"/>
  <c r="Q27" i="1"/>
  <c r="K28" i="1"/>
  <c r="M28" i="1"/>
  <c r="O28" i="1"/>
  <c r="P28" i="1" s="1"/>
  <c r="N28" i="1"/>
  <c r="Q28" i="1"/>
  <c r="K29" i="1"/>
  <c r="M29" i="1"/>
  <c r="N29" i="1"/>
  <c r="O29" i="1"/>
  <c r="P29" i="1" s="1"/>
  <c r="Q29" i="1"/>
  <c r="K30" i="1"/>
  <c r="M30" i="1"/>
  <c r="N30" i="1"/>
  <c r="O30" i="1"/>
  <c r="P30" i="1"/>
  <c r="Q30" i="1"/>
  <c r="K31" i="1"/>
  <c r="M31" i="1"/>
  <c r="O31" i="1"/>
  <c r="P31" i="1" s="1"/>
  <c r="N31" i="1"/>
  <c r="Q31" i="1"/>
  <c r="K32" i="1"/>
  <c r="M32" i="1"/>
  <c r="N32" i="1"/>
  <c r="Q32" i="1"/>
  <c r="O32" i="1"/>
  <c r="P32" i="1"/>
  <c r="K33" i="1"/>
  <c r="M33" i="1"/>
  <c r="O33" i="1"/>
  <c r="P33" i="1"/>
  <c r="Q33" i="1"/>
  <c r="N33" i="1"/>
  <c r="K34" i="1"/>
  <c r="M34" i="1"/>
  <c r="N34" i="1"/>
  <c r="O34" i="1"/>
  <c r="P34" i="1"/>
  <c r="Q34" i="1"/>
  <c r="K35" i="1"/>
  <c r="M35" i="1"/>
  <c r="O35" i="1"/>
  <c r="P35" i="1" s="1"/>
  <c r="Q35" i="1"/>
  <c r="N35" i="1"/>
  <c r="K36" i="1"/>
  <c r="M36" i="1"/>
  <c r="N36" i="1"/>
  <c r="Q36" i="1"/>
  <c r="O36" i="1"/>
  <c r="K37" i="1"/>
  <c r="M37" i="1"/>
  <c r="N37" i="1"/>
  <c r="O37" i="1"/>
  <c r="P37" i="1"/>
  <c r="Q37" i="1"/>
  <c r="K38" i="1"/>
  <c r="M38" i="1"/>
  <c r="N38" i="1"/>
  <c r="O38" i="1"/>
  <c r="P38" i="1"/>
  <c r="Q38" i="1"/>
  <c r="K39" i="1"/>
  <c r="M39" i="1"/>
  <c r="O39" i="1"/>
  <c r="P39" i="1" s="1"/>
  <c r="N39" i="1"/>
  <c r="Q39" i="1"/>
  <c r="K40" i="1"/>
  <c r="M40" i="1"/>
  <c r="O40" i="1"/>
  <c r="N40" i="1"/>
  <c r="Q40" i="1"/>
  <c r="K41" i="1"/>
  <c r="M41" i="1"/>
  <c r="O41" i="1"/>
  <c r="P41" i="1" s="1"/>
  <c r="N41" i="1"/>
  <c r="Q41" i="1"/>
  <c r="K42" i="1"/>
  <c r="M42" i="1"/>
  <c r="N42" i="1"/>
  <c r="O42" i="1"/>
  <c r="P42" i="1" s="1"/>
  <c r="Q42" i="1"/>
  <c r="K43" i="1"/>
  <c r="M43" i="1"/>
  <c r="O43" i="1"/>
  <c r="P43" i="1" s="1"/>
  <c r="N43" i="1"/>
  <c r="Q43" i="1"/>
  <c r="K44" i="1"/>
  <c r="M44" i="1"/>
  <c r="O44" i="1"/>
  <c r="P44" i="1" s="1"/>
  <c r="N44" i="1"/>
  <c r="Q44" i="1"/>
  <c r="K45" i="1"/>
  <c r="M45" i="1"/>
  <c r="N45" i="1"/>
  <c r="O45" i="1"/>
  <c r="P45" i="1"/>
  <c r="Q45" i="1"/>
  <c r="K46" i="1"/>
  <c r="M46" i="1"/>
  <c r="O46" i="1"/>
  <c r="P46" i="1" s="1"/>
  <c r="N46" i="1"/>
  <c r="Q46" i="1"/>
  <c r="K47" i="1"/>
  <c r="M47" i="1"/>
  <c r="O47" i="1"/>
  <c r="N47" i="1"/>
  <c r="Q47" i="1"/>
  <c r="K48" i="1"/>
  <c r="M48" i="1"/>
  <c r="O48" i="1"/>
  <c r="N48" i="1"/>
  <c r="Q48" i="1"/>
  <c r="K49" i="1"/>
  <c r="M49" i="1"/>
  <c r="O49" i="1"/>
  <c r="P49" i="1" s="1"/>
  <c r="N49" i="1"/>
  <c r="Q49" i="1"/>
  <c r="K50" i="1"/>
  <c r="M50" i="1"/>
  <c r="O50" i="1"/>
  <c r="P50" i="1" s="1"/>
  <c r="N50" i="1"/>
  <c r="Q50" i="1"/>
  <c r="K51" i="1"/>
  <c r="M51" i="1"/>
  <c r="O51" i="1"/>
  <c r="P51" i="1"/>
  <c r="N51" i="1"/>
  <c r="Q51" i="1"/>
  <c r="K52" i="1"/>
  <c r="M52" i="1"/>
  <c r="O52" i="1"/>
  <c r="N52" i="1"/>
  <c r="Q52" i="1"/>
  <c r="K53" i="1"/>
  <c r="M53" i="1"/>
  <c r="O53" i="1"/>
  <c r="P53" i="1" s="1"/>
  <c r="N53" i="1"/>
  <c r="Q53" i="1"/>
  <c r="K54" i="1"/>
  <c r="M54" i="1"/>
  <c r="N54" i="1"/>
  <c r="Q54" i="1"/>
  <c r="O54" i="1"/>
  <c r="P54" i="1"/>
  <c r="K55" i="1"/>
  <c r="M55" i="1"/>
  <c r="N55" i="1"/>
  <c r="O55" i="1"/>
  <c r="P55" i="1"/>
  <c r="Q55" i="1"/>
  <c r="K56" i="1"/>
  <c r="M56" i="1"/>
  <c r="N56" i="1"/>
  <c r="O56" i="1"/>
  <c r="P56" i="1"/>
  <c r="Q56" i="1"/>
  <c r="K57" i="1"/>
  <c r="M57" i="1"/>
  <c r="O57" i="1"/>
  <c r="N57" i="1"/>
  <c r="Q57" i="1"/>
  <c r="K58" i="1"/>
  <c r="M58" i="1"/>
  <c r="N58" i="1"/>
  <c r="O58" i="1"/>
  <c r="P58" i="1"/>
  <c r="Q58" i="1"/>
  <c r="K59" i="1"/>
  <c r="M59" i="1"/>
  <c r="N59" i="1"/>
  <c r="O59" i="1"/>
  <c r="P59" i="1"/>
  <c r="Q59" i="1"/>
  <c r="K60" i="1"/>
  <c r="M60" i="1"/>
  <c r="O60" i="1"/>
  <c r="N60" i="1"/>
  <c r="Q60" i="1"/>
  <c r="K61" i="1"/>
  <c r="M61" i="1"/>
  <c r="O61" i="1"/>
  <c r="N61" i="1"/>
  <c r="Q61" i="1"/>
  <c r="K62" i="1"/>
  <c r="M62" i="1"/>
  <c r="O62" i="1"/>
  <c r="P62" i="1" s="1"/>
  <c r="N62" i="1"/>
  <c r="Q62" i="1"/>
  <c r="K63" i="1"/>
  <c r="M63" i="1"/>
  <c r="N63" i="1"/>
  <c r="O63" i="1"/>
  <c r="P63" i="1"/>
  <c r="Q63" i="1"/>
  <c r="K64" i="1"/>
  <c r="M64" i="1"/>
  <c r="N64" i="1"/>
  <c r="O64" i="1"/>
  <c r="P64" i="1"/>
  <c r="Q64" i="1"/>
  <c r="K65" i="1"/>
  <c r="M65" i="1"/>
  <c r="N65" i="1"/>
  <c r="Q65" i="1"/>
  <c r="O65" i="1"/>
  <c r="K66" i="1"/>
  <c r="M66" i="1"/>
  <c r="O66" i="1"/>
  <c r="P66" i="1"/>
  <c r="N66" i="1"/>
  <c r="Q66" i="1"/>
  <c r="K67" i="1"/>
  <c r="M67" i="1"/>
  <c r="N67" i="1"/>
  <c r="O67" i="1"/>
  <c r="P67" i="1"/>
  <c r="Q67" i="1"/>
  <c r="K68" i="1"/>
  <c r="M68" i="1"/>
  <c r="N68" i="1"/>
  <c r="O68" i="1"/>
  <c r="P68" i="1"/>
  <c r="Q68" i="1"/>
  <c r="K69" i="1"/>
  <c r="M69" i="1"/>
  <c r="N69" i="1"/>
  <c r="O69" i="1"/>
  <c r="P69" i="1"/>
  <c r="Q69" i="1"/>
  <c r="K70" i="1"/>
  <c r="M70" i="1"/>
  <c r="N70" i="1"/>
  <c r="O70" i="1"/>
  <c r="P70" i="1"/>
  <c r="Q70" i="1"/>
  <c r="D214" i="2"/>
  <c r="D215" i="2"/>
  <c r="D216" i="2"/>
  <c r="D217" i="2"/>
  <c r="D213" i="2"/>
  <c r="C214" i="2"/>
  <c r="C215" i="2"/>
  <c r="C216" i="2"/>
  <c r="C217" i="2"/>
  <c r="C213" i="2"/>
  <c r="B214" i="2"/>
  <c r="B215" i="2"/>
  <c r="B216" i="2"/>
  <c r="B217" i="2"/>
  <c r="B213" i="2"/>
  <c r="B212" i="2"/>
  <c r="C208" i="2"/>
  <c r="F206" i="2"/>
  <c r="C206" i="2"/>
  <c r="B206" i="2"/>
  <c r="D198" i="2"/>
  <c r="D199" i="2"/>
  <c r="D200" i="2"/>
  <c r="D201" i="2"/>
  <c r="D197" i="2"/>
  <c r="C198" i="2"/>
  <c r="C199" i="2"/>
  <c r="C200" i="2"/>
  <c r="C201" i="2"/>
  <c r="C197" i="2"/>
  <c r="B198" i="2"/>
  <c r="B199" i="2"/>
  <c r="B200" i="2"/>
  <c r="B201" i="2"/>
  <c r="B197" i="2"/>
  <c r="B196" i="2"/>
  <c r="C192" i="2"/>
  <c r="F190" i="2"/>
  <c r="C190" i="2"/>
  <c r="B190" i="2"/>
  <c r="D184" i="2"/>
  <c r="D185" i="2"/>
  <c r="D183" i="2"/>
  <c r="C184" i="2"/>
  <c r="C185" i="2"/>
  <c r="C183" i="2"/>
  <c r="B184" i="2"/>
  <c r="B185" i="2"/>
  <c r="B183" i="2"/>
  <c r="B182" i="2"/>
  <c r="C178" i="2"/>
  <c r="F176" i="2"/>
  <c r="C176" i="2"/>
  <c r="B176" i="2"/>
  <c r="D168" i="2"/>
  <c r="D169" i="2"/>
  <c r="D170" i="2"/>
  <c r="D167" i="2"/>
  <c r="C168" i="2"/>
  <c r="C169" i="2"/>
  <c r="C170" i="2"/>
  <c r="C167" i="2"/>
  <c r="B168" i="2"/>
  <c r="B169" i="2"/>
  <c r="B170" i="2"/>
  <c r="B167" i="2"/>
  <c r="B166" i="2"/>
  <c r="C162" i="2"/>
  <c r="F160" i="2"/>
  <c r="C160" i="2"/>
  <c r="B160" i="2"/>
  <c r="D151" i="2"/>
  <c r="D152" i="2"/>
  <c r="D153" i="2"/>
  <c r="D154" i="2"/>
  <c r="D155" i="2"/>
  <c r="D150" i="2"/>
  <c r="C151" i="2"/>
  <c r="C152" i="2"/>
  <c r="C153" i="2"/>
  <c r="C154" i="2"/>
  <c r="C155" i="2"/>
  <c r="C150" i="2"/>
  <c r="B151" i="2"/>
  <c r="B152" i="2"/>
  <c r="B153" i="2"/>
  <c r="B154" i="2"/>
  <c r="B155" i="2"/>
  <c r="B150" i="2"/>
  <c r="B149" i="2"/>
  <c r="C145" i="2"/>
  <c r="F143" i="2"/>
  <c r="C143" i="2"/>
  <c r="B143" i="2"/>
  <c r="D137" i="2"/>
  <c r="D138" i="2"/>
  <c r="D136" i="2"/>
  <c r="C137" i="2"/>
  <c r="C138" i="2"/>
  <c r="C136" i="2"/>
  <c r="B137" i="2"/>
  <c r="B138" i="2"/>
  <c r="B136" i="2"/>
  <c r="B135" i="2"/>
  <c r="C131" i="2"/>
  <c r="F129" i="2"/>
  <c r="C129" i="2"/>
  <c r="B129" i="2"/>
  <c r="D122" i="2"/>
  <c r="D123" i="2"/>
  <c r="D124" i="2"/>
  <c r="D121" i="2"/>
  <c r="C122" i="2"/>
  <c r="C123" i="2"/>
  <c r="C124" i="2"/>
  <c r="C121" i="2"/>
  <c r="B122" i="2"/>
  <c r="B123" i="2"/>
  <c r="B124" i="2"/>
  <c r="B121" i="2"/>
  <c r="B120" i="2"/>
  <c r="C116" i="2"/>
  <c r="F114" i="2"/>
  <c r="C114" i="2"/>
  <c r="B114" i="2"/>
  <c r="B105" i="2"/>
  <c r="D107" i="2"/>
  <c r="D108" i="2"/>
  <c r="D109" i="2"/>
  <c r="D106" i="2"/>
  <c r="C107" i="2"/>
  <c r="C108" i="2"/>
  <c r="C109" i="2"/>
  <c r="C106" i="2"/>
  <c r="B107" i="2"/>
  <c r="B108" i="2"/>
  <c r="B109" i="2"/>
  <c r="B106" i="2"/>
  <c r="B99" i="2"/>
  <c r="C99" i="2"/>
  <c r="F99" i="2"/>
  <c r="C101" i="2"/>
  <c r="D92" i="2"/>
  <c r="D93" i="2"/>
  <c r="D94" i="2"/>
  <c r="D91" i="2"/>
  <c r="C92" i="2"/>
  <c r="C93" i="2"/>
  <c r="C94" i="2"/>
  <c r="C91" i="2"/>
  <c r="B90" i="2"/>
  <c r="B92" i="2"/>
  <c r="B93" i="2"/>
  <c r="B94" i="2"/>
  <c r="B91" i="2"/>
  <c r="C86" i="2"/>
  <c r="F84" i="2"/>
  <c r="C84" i="2"/>
  <c r="B84" i="2"/>
  <c r="D76" i="2"/>
  <c r="D77" i="2"/>
  <c r="D78" i="2"/>
  <c r="D75" i="2"/>
  <c r="C76" i="2"/>
  <c r="C77" i="2"/>
  <c r="C78" i="2"/>
  <c r="C75" i="2"/>
  <c r="B76" i="2"/>
  <c r="B77" i="2"/>
  <c r="B78" i="2"/>
  <c r="B75" i="2"/>
  <c r="B74" i="2"/>
  <c r="C70" i="2"/>
  <c r="F68" i="2"/>
  <c r="C68" i="2"/>
  <c r="B68" i="2"/>
  <c r="D10" i="2"/>
  <c r="D11" i="2"/>
  <c r="D12" i="2"/>
  <c r="D13" i="2"/>
  <c r="D14" i="2"/>
  <c r="D9" i="2"/>
  <c r="D27" i="2"/>
  <c r="D28" i="2"/>
  <c r="D29" i="2"/>
  <c r="D30" i="2"/>
  <c r="D31" i="2"/>
  <c r="D26" i="2"/>
  <c r="D44" i="2"/>
  <c r="D45" i="2"/>
  <c r="D46" i="2"/>
  <c r="D47" i="2"/>
  <c r="D48" i="2"/>
  <c r="D43" i="2"/>
  <c r="D61" i="2"/>
  <c r="D62" i="2"/>
  <c r="D63" i="2"/>
  <c r="D60" i="2"/>
  <c r="C61" i="2"/>
  <c r="C62" i="2"/>
  <c r="C63" i="2"/>
  <c r="C60" i="2"/>
  <c r="B61" i="2"/>
  <c r="B62" i="2"/>
  <c r="B63" i="2"/>
  <c r="B60" i="2"/>
  <c r="B59" i="2"/>
  <c r="C55" i="2"/>
  <c r="F53" i="2"/>
  <c r="C53" i="2"/>
  <c r="B53" i="2"/>
  <c r="C44" i="2"/>
  <c r="C45" i="2"/>
  <c r="C46" i="2"/>
  <c r="C47" i="2"/>
  <c r="C48" i="2"/>
  <c r="C43" i="2"/>
  <c r="B44" i="2"/>
  <c r="B45" i="2"/>
  <c r="B46" i="2"/>
  <c r="B47" i="2"/>
  <c r="B48" i="2"/>
  <c r="B43" i="2"/>
  <c r="B42" i="2"/>
  <c r="C38" i="2"/>
  <c r="F36" i="2"/>
  <c r="C36" i="2"/>
  <c r="B36" i="2"/>
  <c r="B8" i="2"/>
  <c r="B25" i="2"/>
  <c r="C27" i="2"/>
  <c r="C28" i="2"/>
  <c r="C29" i="2"/>
  <c r="C30" i="2"/>
  <c r="C31" i="2"/>
  <c r="C26" i="2"/>
  <c r="B27" i="2"/>
  <c r="B28" i="2"/>
  <c r="B29" i="2"/>
  <c r="B30" i="2"/>
  <c r="B31" i="2"/>
  <c r="B26" i="2"/>
  <c r="B19" i="2"/>
  <c r="B2" i="2"/>
  <c r="C21" i="2"/>
  <c r="F19" i="2"/>
  <c r="C19" i="2"/>
  <c r="C10" i="2"/>
  <c r="C11" i="2"/>
  <c r="C12" i="2"/>
  <c r="C13" i="2"/>
  <c r="C14" i="2"/>
  <c r="C9" i="2"/>
  <c r="B10" i="2"/>
  <c r="B11" i="2"/>
  <c r="B12" i="2"/>
  <c r="B13" i="2"/>
  <c r="B14" i="2"/>
  <c r="B9" i="2"/>
  <c r="C2" i="2"/>
  <c r="F2" i="2"/>
  <c r="C4" i="2"/>
  <c r="P9" i="1"/>
  <c r="M5" i="1"/>
  <c r="O5" i="1"/>
  <c r="N5" i="1"/>
  <c r="Q5" i="1"/>
  <c r="N6" i="1"/>
  <c r="Q6" i="1"/>
  <c r="M6" i="1"/>
  <c r="O6" i="1"/>
  <c r="O72" i="1" s="1"/>
  <c r="K6" i="1"/>
  <c r="K5" i="1"/>
  <c r="P27" i="1"/>
  <c r="P14" i="1"/>
  <c r="P61" i="1"/>
  <c r="P23" i="1"/>
  <c r="P52" i="1"/>
  <c r="P11" i="1"/>
  <c r="P13" i="1"/>
  <c r="P65" i="1"/>
  <c r="P48" i="1"/>
  <c r="P36" i="1"/>
  <c r="P24" i="1"/>
  <c r="P60" i="1"/>
  <c r="P8" i="1"/>
  <c r="P47" i="1"/>
  <c r="P40" i="1"/>
  <c r="P57" i="1"/>
  <c r="P5" i="1"/>
  <c r="P6" i="1"/>
  <c r="P66" i="4"/>
  <c r="P86" i="4"/>
  <c r="P128" i="4"/>
  <c r="P100" i="4"/>
  <c r="P119" i="4"/>
  <c r="P121" i="4"/>
  <c r="P105" i="4"/>
  <c r="P131" i="4"/>
  <c r="P123" i="4"/>
  <c r="P117" i="4"/>
  <c r="P6" i="4"/>
  <c r="P113" i="4"/>
  <c r="P115" i="4"/>
  <c r="P160" i="4" l="1"/>
  <c r="O160" i="4"/>
  <c r="P72" i="1"/>
</calcChain>
</file>

<file path=xl/sharedStrings.xml><?xml version="1.0" encoding="utf-8"?>
<sst xmlns="http://schemas.openxmlformats.org/spreadsheetml/2006/main" count="679" uniqueCount="86">
  <si>
    <t>OUVERT</t>
  </si>
  <si>
    <t>MATCH</t>
  </si>
  <si>
    <t>MATCH GSHC X</t>
  </si>
  <si>
    <t>SCL TIGERS</t>
  </si>
  <si>
    <t>COLONNE MASQUÉE</t>
  </si>
  <si>
    <t>PARTIE PRIME</t>
  </si>
  <si>
    <t>PARTIE HOTELIS</t>
  </si>
  <si>
    <t>HORAIRES INFOS</t>
  </si>
  <si>
    <t>A</t>
  </si>
  <si>
    <t>B</t>
  </si>
  <si>
    <t>E</t>
  </si>
  <si>
    <t>F</t>
  </si>
  <si>
    <t>G</t>
  </si>
  <si>
    <t>LIEU</t>
  </si>
  <si>
    <t>NBR</t>
  </si>
  <si>
    <t>POSTE</t>
  </si>
  <si>
    <t>NOM ET PRÉNOM</t>
  </si>
  <si>
    <t>N° CONTRAT</t>
  </si>
  <si>
    <t>EMAIL CANDIDATS</t>
  </si>
  <si>
    <t>N° TÉL</t>
  </si>
  <si>
    <t>SALAIRE HORAIRE</t>
  </si>
  <si>
    <t>DÉBUT</t>
  </si>
  <si>
    <r>
      <t xml:space="preserve">FIN </t>
    </r>
    <r>
      <rPr>
        <b/>
        <sz val="22"/>
        <color rgb="FFFF0000"/>
        <rFont val="Calibri"/>
        <family val="2"/>
        <scheme val="minor"/>
      </rPr>
      <t>ESTIMÉE</t>
    </r>
  </si>
  <si>
    <t>PAUSE</t>
  </si>
  <si>
    <r>
      <t xml:space="preserve">TOTAL
</t>
    </r>
    <r>
      <rPr>
        <b/>
        <i/>
        <sz val="14"/>
        <color theme="1"/>
        <rFont val="Calibri"/>
        <family val="2"/>
        <scheme val="minor"/>
      </rPr>
      <t>COLONNE MASQUÉE</t>
    </r>
  </si>
  <si>
    <r>
      <rPr>
        <b/>
        <i/>
        <sz val="14"/>
        <color theme="1"/>
        <rFont val="Calibri"/>
        <family val="2"/>
        <scheme val="minor"/>
      </rPr>
      <t>COLONNE MASQUÉE</t>
    </r>
    <r>
      <rPr>
        <b/>
        <sz val="14"/>
        <color theme="1"/>
        <rFont val="Calibri"/>
        <family val="2"/>
        <scheme val="minor"/>
      </rPr>
      <t xml:space="preserve">
Nbr heure avant 6h après 23h</t>
    </r>
  </si>
  <si>
    <t>TOTAL DÉCIMAL</t>
  </si>
  <si>
    <t>TOTAL HEURE NORMAL DÉCIMAL</t>
  </si>
  <si>
    <t>TOTAL HEURE SUPPL. DÉCIMAL</t>
  </si>
  <si>
    <t>BEV 1</t>
  </si>
  <si>
    <t>BEV 2</t>
  </si>
  <si>
    <t>BEV 3</t>
  </si>
  <si>
    <t>FOOD 1</t>
  </si>
  <si>
    <t>FOOD 2</t>
  </si>
  <si>
    <t>CHALET 1</t>
  </si>
  <si>
    <t>CHALET 2</t>
  </si>
  <si>
    <t>CHALET 3</t>
  </si>
  <si>
    <t>PUB EXTÉRIEUR</t>
  </si>
  <si>
    <t>BAR 2023</t>
  </si>
  <si>
    <t>BAR COCKTAIL</t>
  </si>
  <si>
    <t>BAR SECRET</t>
  </si>
  <si>
    <t>HOME CORNER</t>
  </si>
  <si>
    <t>VISITEURS</t>
  </si>
  <si>
    <t>EXTRAS TOTAL</t>
  </si>
  <si>
    <t>HEURES TOTALES</t>
  </si>
  <si>
    <t>HEURES NORMALES</t>
  </si>
  <si>
    <t>HEURES DE NUIT</t>
  </si>
  <si>
    <t>TOTAL</t>
  </si>
  <si>
    <t>DATE</t>
  </si>
  <si>
    <t>HEURE DÉBUT MATCH</t>
  </si>
  <si>
    <t>PATINOIRE DES VERNETS</t>
  </si>
  <si>
    <t>POINT DE VENTE</t>
  </si>
  <si>
    <t>FONCTION</t>
  </si>
  <si>
    <t>HORAIRES DE PRÉSENCE</t>
  </si>
  <si>
    <t>SIGNATURE</t>
  </si>
  <si>
    <t>ARRIVÉE</t>
  </si>
  <si>
    <t>DÉPART</t>
  </si>
  <si>
    <t>REMARQUE / APPRÉCIATION PAR LE RESPONSABLE</t>
  </si>
  <si>
    <t>17h30</t>
  </si>
  <si>
    <t>Elisabeth Mathieu</t>
  </si>
  <si>
    <t>Radureau philippe</t>
  </si>
  <si>
    <t>MATCH SFC X</t>
  </si>
  <si>
    <t>FC THOUNE</t>
  </si>
  <si>
    <t>NORD 1</t>
  </si>
  <si>
    <t>NORD 2</t>
  </si>
  <si>
    <t>NORD MOBILE 1</t>
  </si>
  <si>
    <t>NORD MOBILE 2</t>
  </si>
  <si>
    <t>ESPLANADE</t>
  </si>
  <si>
    <t xml:space="preserve">FISH AND SHIPS </t>
  </si>
  <si>
    <t>EST 1</t>
  </si>
  <si>
    <t>EST 2</t>
  </si>
  <si>
    <t>EST MOBILE 1</t>
  </si>
  <si>
    <t>EST MOBILE 2</t>
  </si>
  <si>
    <t>EST MOBILE 3</t>
  </si>
  <si>
    <t>EST MOBILE 4</t>
  </si>
  <si>
    <t>PRINCIPALE 1</t>
  </si>
  <si>
    <t>PRINCIPALE MOBILE 2</t>
  </si>
  <si>
    <t>PRINCIPALE 2</t>
  </si>
  <si>
    <t>PRINCIPALE MOBILE 3</t>
  </si>
  <si>
    <t>AUTRE</t>
  </si>
  <si>
    <t>STADE DE GENÈVE</t>
  </si>
  <si>
    <t>NOMBRE DE PERSONNE DEVANT SE TROUVER DANS LA BUVETTE</t>
  </si>
  <si>
    <t>Léo Julien wilfried Emanuel</t>
  </si>
  <si>
    <t>Zidoun Hampton</t>
  </si>
  <si>
    <t>Adama Morisset</t>
  </si>
  <si>
    <t>Alexandre Biondo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</si>
</sst>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* #,##0.00\ &quot;CHF&quot;_-;\-* #,##0.00\ &quot;CHF&quot;_-;_-* &quot;-&quot;??\ &quot;CHF&quot;_-;_-@_-"/>
    <numFmt numFmtId="164" formatCode="[$-F800]dddd\,\ mmmm\ dd\,\ yyyy"/>
    <numFmt numFmtId="165" formatCode="hh/mm&quot; h&quot;;@"/>
    <numFmt numFmtId="166" formatCode="[hh]:mm"/>
    <numFmt numFmtId="167" formatCode="[$-F400]h:mm:ss\ AM/PM"/>
    <numFmt numFmtId="168" formatCode="hh/mm;@"/>
  </numFmts>
  <fonts count="5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22"/>
      <name val="Calibri"/>
      <family val="2"/>
      <scheme val="minor"/>
    </font>
    <font>
      <sz val="10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i/>
      <sz val="2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24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6"/>
      <name val="Calibri"/>
      <family val="2"/>
      <scheme val="minor"/>
    </font>
    <font>
      <sz val="24"/>
      <color theme="0" tint="-0.34998626667073579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i/>
      <sz val="22"/>
      <name val="Calibri"/>
      <family val="2"/>
      <scheme val="minor"/>
    </font>
    <font>
      <b/>
      <sz val="28"/>
      <name val="Calibri"/>
      <family val="2"/>
      <scheme val="minor"/>
    </font>
    <font>
      <b/>
      <sz val="14"/>
      <name val="Calibri"/>
      <family val="2"/>
      <scheme val="minor"/>
    </font>
    <font>
      <sz val="10"/>
      <name val="Arial"/>
      <family val="2"/>
    </font>
    <font>
      <b/>
      <sz val="12"/>
      <name val="Cambria"/>
      <family val="1"/>
    </font>
    <font>
      <sz val="12"/>
      <name val="Cambria"/>
      <family val="1"/>
    </font>
    <font>
      <b/>
      <sz val="11"/>
      <name val="Century Gothic"/>
      <family val="2"/>
    </font>
    <font>
      <b/>
      <sz val="18"/>
      <color indexed="8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sz val="18"/>
      <name val="Calibri"/>
      <family val="2"/>
      <scheme val="minor"/>
    </font>
    <font>
      <u/>
      <sz val="18"/>
      <color theme="10"/>
      <name val="Calibri"/>
      <family val="2"/>
      <scheme val="minor"/>
    </font>
    <font>
      <sz val="10"/>
      <name val="Arial"/>
    </font>
    <font>
      <b/>
      <sz val="11"/>
      <name val="Century Gothic"/>
    </font>
    <font>
      <b/>
      <sz val="18"/>
      <color indexed="8"/>
      <name val="Century Gothic"/>
    </font>
    <font>
      <b/>
      <sz val="12"/>
      <name val="Century Gothic"/>
    </font>
    <font>
      <b/>
      <sz val="10"/>
      <name val="Century Gothic"/>
    </font>
    <font>
      <b/>
      <sz val="14"/>
      <name val="Century Gothic"/>
    </font>
    <font>
      <b/>
      <sz val="14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rgb="FFFF0000"/>
      <name val="Calibri"/>
      <family val="2"/>
      <scheme val="minor"/>
    </font>
    <font>
      <u/>
      <sz val="18"/>
      <color rgb="FF0563C1"/>
      <name val="Calibri"/>
      <family val="2"/>
      <scheme val="minor"/>
    </font>
    <font>
      <b/>
      <sz val="22"/>
      <color rgb="FF00000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1" tint="0.34998626667073579"/>
        <bgColor theme="0" tint="-0.14999847407452621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595959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A6A6A6"/>
        <bgColor rgb="FF000000"/>
      </patternFill>
    </fill>
  </fills>
  <borders count="4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28" fillId="0" borderId="0"/>
    <xf numFmtId="0" fontId="12" fillId="0" borderId="0" applyNumberFormat="0" applyFill="0" applyBorder="0" applyAlignment="0" applyProtection="0"/>
  </cellStyleXfs>
  <cellXfs count="257">
    <xf numFmtId="0" fontId="0" fillId="0" borderId="0" xfId="0"/>
    <xf numFmtId="0" fontId="0" fillId="0" borderId="0" xfId="0" applyProtection="1">
      <protection hidden="1"/>
    </xf>
    <xf numFmtId="0" fontId="0" fillId="0" borderId="0" xfId="0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0" fillId="0" borderId="0" xfId="0" applyProtection="1">
      <protection locked="0"/>
    </xf>
    <xf numFmtId="0" fontId="0" fillId="0" borderId="0" xfId="0" applyAlignment="1" applyProtection="1">
      <alignment wrapText="1"/>
      <protection locked="0"/>
    </xf>
    <xf numFmtId="0" fontId="13" fillId="11" borderId="12" xfId="0" applyFont="1" applyFill="1" applyBorder="1" applyAlignment="1" applyProtection="1">
      <alignment horizontal="center" vertical="center" wrapText="1"/>
      <protection locked="0"/>
    </xf>
    <xf numFmtId="0" fontId="14" fillId="12" borderId="12" xfId="0" applyFont="1" applyFill="1" applyBorder="1" applyAlignment="1" applyProtection="1">
      <alignment horizontal="center" vertical="center" wrapText="1"/>
      <protection locked="0"/>
    </xf>
    <xf numFmtId="0" fontId="14" fillId="12" borderId="12" xfId="0" applyFont="1" applyFill="1" applyBorder="1" applyAlignment="1" applyProtection="1">
      <alignment horizontal="center" vertical="center"/>
      <protection locked="0"/>
    </xf>
    <xf numFmtId="0" fontId="15" fillId="12" borderId="12" xfId="0" applyFont="1" applyFill="1" applyBorder="1" applyAlignment="1" applyProtection="1">
      <alignment horizontal="center" vertical="center"/>
      <protection locked="0"/>
    </xf>
    <xf numFmtId="0" fontId="16" fillId="12" borderId="12" xfId="0" applyFont="1" applyFill="1" applyBorder="1" applyAlignment="1" applyProtection="1">
      <alignment horizontal="center" vertical="center"/>
      <protection locked="0"/>
    </xf>
    <xf numFmtId="44" fontId="14" fillId="12" borderId="12" xfId="1" applyFont="1" applyFill="1" applyBorder="1" applyAlignment="1" applyProtection="1">
      <alignment horizontal="center" vertical="center"/>
      <protection locked="0"/>
    </xf>
    <xf numFmtId="166" fontId="14" fillId="11" borderId="12" xfId="0" applyNumberFormat="1" applyFont="1" applyFill="1" applyBorder="1" applyAlignment="1" applyProtection="1">
      <alignment horizontal="center" vertical="center"/>
      <protection locked="0"/>
    </xf>
    <xf numFmtId="0" fontId="17" fillId="0" borderId="0" xfId="0" applyFont="1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7" fillId="0" borderId="27" xfId="0" applyFont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44" fontId="0" fillId="0" borderId="0" xfId="1" applyFont="1" applyAlignment="1" applyProtection="1">
      <alignment horizontal="center" vertical="center"/>
      <protection locked="0"/>
    </xf>
    <xf numFmtId="168" fontId="0" fillId="0" borderId="0" xfId="0" applyNumberFormat="1" applyAlignment="1" applyProtection="1">
      <alignment horizontal="center" vertical="center"/>
      <protection hidden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1" fillId="0" borderId="0" xfId="0" applyFont="1" applyProtection="1">
      <protection locked="0"/>
    </xf>
    <xf numFmtId="0" fontId="21" fillId="0" borderId="0" xfId="0" applyFont="1"/>
    <xf numFmtId="0" fontId="20" fillId="0" borderId="16" xfId="0" applyFont="1" applyBorder="1" applyAlignment="1" applyProtection="1">
      <alignment horizontal="center" vertical="center"/>
      <protection locked="0"/>
    </xf>
    <xf numFmtId="44" fontId="20" fillId="0" borderId="16" xfId="1" applyFont="1" applyFill="1" applyBorder="1" applyAlignment="1" applyProtection="1">
      <alignment horizontal="center" vertical="center"/>
      <protection locked="0"/>
    </xf>
    <xf numFmtId="166" fontId="20" fillId="0" borderId="16" xfId="0" applyNumberFormat="1" applyFont="1" applyBorder="1" applyAlignment="1" applyProtection="1">
      <alignment horizontal="center" vertical="center"/>
      <protection locked="0"/>
    </xf>
    <xf numFmtId="0" fontId="20" fillId="0" borderId="19" xfId="0" applyFont="1" applyBorder="1" applyAlignment="1" applyProtection="1">
      <alignment horizontal="center" vertical="center"/>
      <protection locked="0"/>
    </xf>
    <xf numFmtId="44" fontId="20" fillId="0" borderId="19" xfId="1" applyFont="1" applyFill="1" applyBorder="1" applyAlignment="1" applyProtection="1">
      <alignment horizontal="center" vertical="center"/>
      <protection locked="0"/>
    </xf>
    <xf numFmtId="166" fontId="20" fillId="0" borderId="19" xfId="0" applyNumberFormat="1" applyFont="1" applyBorder="1" applyAlignment="1" applyProtection="1">
      <alignment horizontal="center" vertical="center"/>
      <protection locked="0"/>
    </xf>
    <xf numFmtId="0" fontId="20" fillId="0" borderId="22" xfId="0" applyFont="1" applyBorder="1" applyAlignment="1" applyProtection="1">
      <alignment horizontal="center" vertical="center"/>
      <protection locked="0"/>
    </xf>
    <xf numFmtId="44" fontId="20" fillId="0" borderId="22" xfId="1" applyFont="1" applyFill="1" applyBorder="1" applyAlignment="1" applyProtection="1">
      <alignment horizontal="center" vertical="center"/>
      <protection locked="0"/>
    </xf>
    <xf numFmtId="166" fontId="20" fillId="0" borderId="22" xfId="0" applyNumberFormat="1" applyFont="1" applyBorder="1" applyAlignment="1" applyProtection="1">
      <alignment horizontal="center" vertical="center"/>
      <protection locked="0"/>
    </xf>
    <xf numFmtId="166" fontId="23" fillId="0" borderId="16" xfId="0" applyNumberFormat="1" applyFont="1" applyBorder="1" applyAlignment="1" applyProtection="1">
      <alignment horizontal="center" vertical="center"/>
      <protection locked="0"/>
    </xf>
    <xf numFmtId="166" fontId="23" fillId="0" borderId="19" xfId="0" applyNumberFormat="1" applyFont="1" applyBorder="1" applyAlignment="1" applyProtection="1">
      <alignment horizontal="center" vertical="center"/>
      <protection locked="0"/>
    </xf>
    <xf numFmtId="0" fontId="22" fillId="2" borderId="0" xfId="0" applyFont="1" applyFill="1" applyAlignment="1" applyProtection="1">
      <alignment horizontal="center" vertical="center"/>
      <protection locked="0"/>
    </xf>
    <xf numFmtId="164" fontId="22" fillId="2" borderId="0" xfId="0" applyNumberFormat="1" applyFont="1" applyFill="1" applyAlignment="1" applyProtection="1">
      <alignment horizontal="center" vertical="center"/>
      <protection locked="0"/>
    </xf>
    <xf numFmtId="0" fontId="18" fillId="0" borderId="9" xfId="0" applyFont="1" applyBorder="1" applyAlignment="1" applyProtection="1">
      <alignment horizontal="center" vertical="center" wrapText="1"/>
      <protection locked="0"/>
    </xf>
    <xf numFmtId="0" fontId="18" fillId="4" borderId="10" xfId="0" applyFont="1" applyFill="1" applyBorder="1" applyAlignment="1" applyProtection="1">
      <alignment horizontal="center" vertical="center" wrapText="1"/>
      <protection locked="0"/>
    </xf>
    <xf numFmtId="165" fontId="3" fillId="0" borderId="0" xfId="0" applyNumberFormat="1" applyFont="1" applyAlignment="1" applyProtection="1">
      <alignment horizontal="center" vertical="center"/>
      <protection locked="0"/>
    </xf>
    <xf numFmtId="0" fontId="5" fillId="0" borderId="0" xfId="0" applyFont="1" applyAlignment="1">
      <alignment horizontal="center" vertical="center"/>
    </xf>
    <xf numFmtId="166" fontId="8" fillId="0" borderId="7" xfId="0" applyNumberFormat="1" applyFont="1" applyBorder="1" applyAlignment="1">
      <alignment horizontal="center" vertical="center"/>
    </xf>
    <xf numFmtId="166" fontId="8" fillId="0" borderId="0" xfId="0" applyNumberFormat="1" applyFont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5" fillId="4" borderId="10" xfId="0" applyFont="1" applyFill="1" applyBorder="1" applyAlignment="1">
      <alignment horizontal="center" vertical="center" wrapText="1"/>
    </xf>
    <xf numFmtId="0" fontId="9" fillId="4" borderId="10" xfId="0" applyFont="1" applyFill="1" applyBorder="1" applyAlignment="1">
      <alignment horizontal="center" vertical="center" wrapText="1"/>
    </xf>
    <xf numFmtId="166" fontId="8" fillId="0" borderId="12" xfId="0" applyNumberFormat="1" applyFont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167" fontId="23" fillId="0" borderId="16" xfId="0" applyNumberFormat="1" applyFont="1" applyBorder="1" applyAlignment="1">
      <alignment horizontal="center" vertical="center"/>
    </xf>
    <xf numFmtId="165" fontId="23" fillId="0" borderId="16" xfId="0" applyNumberFormat="1" applyFont="1" applyBorder="1" applyAlignment="1">
      <alignment horizontal="center" vertical="center"/>
    </xf>
    <xf numFmtId="167" fontId="23" fillId="0" borderId="19" xfId="0" applyNumberFormat="1" applyFont="1" applyBorder="1" applyAlignment="1">
      <alignment horizontal="center" vertical="center"/>
    </xf>
    <xf numFmtId="165" fontId="23" fillId="0" borderId="19" xfId="0" applyNumberFormat="1" applyFont="1" applyBorder="1" applyAlignment="1">
      <alignment horizontal="center" vertical="center"/>
    </xf>
    <xf numFmtId="0" fontId="0" fillId="0" borderId="0" xfId="0" applyAlignment="1">
      <alignment wrapText="1"/>
    </xf>
    <xf numFmtId="166" fontId="14" fillId="11" borderId="12" xfId="0" applyNumberFormat="1" applyFont="1" applyFill="1" applyBorder="1" applyAlignment="1">
      <alignment horizontal="center" vertical="center"/>
    </xf>
    <xf numFmtId="166" fontId="14" fillId="11" borderId="12" xfId="0" applyNumberFormat="1" applyFont="1" applyFill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/>
    </xf>
    <xf numFmtId="165" fontId="21" fillId="0" borderId="19" xfId="0" applyNumberFormat="1" applyFont="1" applyBorder="1" applyAlignment="1">
      <alignment horizontal="center" vertical="center"/>
    </xf>
    <xf numFmtId="0" fontId="3" fillId="0" borderId="0" xfId="0" applyFont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26" fillId="0" borderId="0" xfId="0" applyFont="1" applyAlignment="1" applyProtection="1">
      <alignment horizontal="left" vertical="center"/>
      <protection locked="0"/>
    </xf>
    <xf numFmtId="44" fontId="5" fillId="0" borderId="0" xfId="1" applyFont="1" applyAlignment="1" applyProtection="1">
      <alignment horizontal="center" vertical="center"/>
      <protection locked="0"/>
    </xf>
    <xf numFmtId="0" fontId="21" fillId="0" borderId="19" xfId="0" applyFont="1" applyBorder="1" applyProtection="1">
      <protection locked="0"/>
    </xf>
    <xf numFmtId="0" fontId="21" fillId="0" borderId="19" xfId="0" applyFont="1" applyBorder="1" applyAlignment="1" applyProtection="1">
      <alignment horizontal="center" vertical="center"/>
      <protection locked="0"/>
    </xf>
    <xf numFmtId="0" fontId="21" fillId="13" borderId="19" xfId="0" applyFont="1" applyFill="1" applyBorder="1" applyAlignment="1" applyProtection="1">
      <alignment horizontal="center" vertical="center"/>
      <protection locked="0"/>
    </xf>
    <xf numFmtId="0" fontId="22" fillId="0" borderId="19" xfId="0" applyFont="1" applyBorder="1" applyAlignment="1" applyProtection="1">
      <alignment horizontal="center" vertical="center"/>
      <protection locked="0"/>
    </xf>
    <xf numFmtId="44" fontId="21" fillId="0" borderId="19" xfId="1" applyFont="1" applyBorder="1" applyAlignment="1" applyProtection="1">
      <alignment horizontal="center" vertical="center"/>
      <protection locked="0"/>
    </xf>
    <xf numFmtId="0" fontId="9" fillId="4" borderId="10" xfId="0" applyFont="1" applyFill="1" applyBorder="1" applyAlignment="1" applyProtection="1">
      <alignment horizontal="center" vertical="center" wrapText="1"/>
      <protection locked="0"/>
    </xf>
    <xf numFmtId="0" fontId="9" fillId="4" borderId="11" xfId="0" applyFont="1" applyFill="1" applyBorder="1" applyAlignment="1" applyProtection="1">
      <alignment horizontal="center" vertical="center" wrapText="1"/>
      <protection locked="0"/>
    </xf>
    <xf numFmtId="2" fontId="23" fillId="0" borderId="16" xfId="0" applyNumberFormat="1" applyFont="1" applyBorder="1" applyAlignment="1" applyProtection="1">
      <alignment horizontal="center" vertical="center"/>
      <protection locked="0"/>
    </xf>
    <xf numFmtId="2" fontId="23" fillId="0" borderId="17" xfId="0" applyNumberFormat="1" applyFont="1" applyBorder="1" applyAlignment="1" applyProtection="1">
      <alignment horizontal="center" vertical="center"/>
      <protection locked="0"/>
    </xf>
    <xf numFmtId="2" fontId="23" fillId="0" borderId="19" xfId="0" applyNumberFormat="1" applyFont="1" applyBorder="1" applyAlignment="1" applyProtection="1">
      <alignment horizontal="center" vertical="center"/>
      <protection locked="0"/>
    </xf>
    <xf numFmtId="2" fontId="23" fillId="0" borderId="20" xfId="0" applyNumberFormat="1" applyFont="1" applyBorder="1" applyAlignment="1" applyProtection="1">
      <alignment horizontal="center" vertical="center"/>
      <protection locked="0"/>
    </xf>
    <xf numFmtId="2" fontId="14" fillId="11" borderId="12" xfId="0" applyNumberFormat="1" applyFont="1" applyFill="1" applyBorder="1" applyAlignment="1" applyProtection="1">
      <alignment horizontal="center" vertical="center" wrapText="1"/>
      <protection locked="0"/>
    </xf>
    <xf numFmtId="166" fontId="14" fillId="11" borderId="12" xfId="0" applyNumberFormat="1" applyFont="1" applyFill="1" applyBorder="1" applyAlignment="1" applyProtection="1">
      <alignment horizontal="center" vertical="center" wrapText="1"/>
      <protection locked="0"/>
    </xf>
    <xf numFmtId="2" fontId="21" fillId="9" borderId="19" xfId="0" applyNumberFormat="1" applyFont="1" applyFill="1" applyBorder="1" applyAlignment="1" applyProtection="1">
      <alignment horizontal="center" vertical="center"/>
      <protection locked="0"/>
    </xf>
    <xf numFmtId="0" fontId="36" fillId="0" borderId="16" xfId="0" applyFont="1" applyBorder="1" applyAlignment="1" applyProtection="1">
      <alignment horizontal="center" vertical="center"/>
      <protection locked="0"/>
    </xf>
    <xf numFmtId="0" fontId="37" fillId="0" borderId="16" xfId="2" applyNumberFormat="1" applyFont="1" applyFill="1" applyBorder="1" applyAlignment="1" applyProtection="1">
      <alignment horizontal="center" vertical="center"/>
      <protection locked="0"/>
    </xf>
    <xf numFmtId="0" fontId="36" fillId="0" borderId="19" xfId="0" applyFont="1" applyBorder="1" applyAlignment="1" applyProtection="1">
      <alignment horizontal="center" vertical="center"/>
      <protection locked="0"/>
    </xf>
    <xf numFmtId="0" fontId="37" fillId="0" borderId="19" xfId="2" applyNumberFormat="1" applyFont="1" applyFill="1" applyBorder="1" applyAlignment="1" applyProtection="1">
      <alignment horizontal="center" vertical="center"/>
      <protection locked="0"/>
    </xf>
    <xf numFmtId="0" fontId="36" fillId="0" borderId="22" xfId="0" applyFont="1" applyBorder="1" applyAlignment="1" applyProtection="1">
      <alignment horizontal="center" vertical="center"/>
      <protection locked="0"/>
    </xf>
    <xf numFmtId="0" fontId="37" fillId="0" borderId="22" xfId="2" applyNumberFormat="1" applyFont="1" applyFill="1" applyBorder="1" applyAlignment="1" applyProtection="1">
      <alignment horizontal="center" vertical="center"/>
      <protection locked="0"/>
    </xf>
    <xf numFmtId="0" fontId="29" fillId="13" borderId="0" xfId="3" applyFont="1" applyFill="1" applyAlignment="1">
      <alignment horizontal="right" vertical="center"/>
    </xf>
    <xf numFmtId="0" fontId="29" fillId="15" borderId="0" xfId="3" applyFont="1" applyFill="1" applyAlignment="1">
      <alignment horizontal="left" vertical="center"/>
    </xf>
    <xf numFmtId="14" fontId="29" fillId="15" borderId="0" xfId="3" applyNumberFormat="1" applyFont="1" applyFill="1" applyAlignment="1">
      <alignment vertical="center"/>
    </xf>
    <xf numFmtId="14" fontId="29" fillId="0" borderId="0" xfId="3" applyNumberFormat="1" applyFont="1" applyAlignment="1">
      <alignment vertical="center"/>
    </xf>
    <xf numFmtId="0" fontId="30" fillId="0" borderId="0" xfId="3" applyFont="1" applyAlignment="1">
      <alignment horizontal="right"/>
    </xf>
    <xf numFmtId="0" fontId="30" fillId="0" borderId="0" xfId="3" applyFont="1"/>
    <xf numFmtId="0" fontId="28" fillId="0" borderId="0" xfId="3"/>
    <xf numFmtId="165" fontId="27" fillId="15" borderId="0" xfId="0" applyNumberFormat="1" applyFont="1" applyFill="1" applyAlignment="1">
      <alignment horizontal="left" vertical="center"/>
    </xf>
    <xf numFmtId="0" fontId="29" fillId="15" borderId="0" xfId="3" applyFont="1" applyFill="1" applyAlignment="1">
      <alignment vertical="center"/>
    </xf>
    <xf numFmtId="0" fontId="29" fillId="0" borderId="0" xfId="3" applyFont="1" applyAlignment="1">
      <alignment vertical="center"/>
    </xf>
    <xf numFmtId="0" fontId="29" fillId="0" borderId="0" xfId="3" applyFont="1"/>
    <xf numFmtId="15" fontId="29" fillId="0" borderId="0" xfId="3" applyNumberFormat="1" applyFont="1" applyAlignment="1">
      <alignment horizontal="left"/>
    </xf>
    <xf numFmtId="0" fontId="31" fillId="0" borderId="0" xfId="3" applyFont="1" applyAlignment="1">
      <alignment horizontal="left"/>
    </xf>
    <xf numFmtId="0" fontId="32" fillId="13" borderId="24" xfId="0" applyFont="1" applyFill="1" applyBorder="1" applyAlignment="1">
      <alignment horizontal="center" vertical="center"/>
    </xf>
    <xf numFmtId="0" fontId="35" fillId="5" borderId="26" xfId="0" applyFont="1" applyFill="1" applyBorder="1" applyAlignment="1">
      <alignment horizontal="center" vertical="center"/>
    </xf>
    <xf numFmtId="0" fontId="34" fillId="0" borderId="22" xfId="3" applyFont="1" applyBorder="1" applyAlignment="1">
      <alignment horizontal="center" vertical="center"/>
    </xf>
    <xf numFmtId="0" fontId="34" fillId="0" borderId="22" xfId="3" applyFont="1" applyBorder="1" applyAlignment="1">
      <alignment horizontal="center" vertical="center" wrapText="1"/>
    </xf>
    <xf numFmtId="0" fontId="0" fillId="0" borderId="28" xfId="0" applyBorder="1"/>
    <xf numFmtId="0" fontId="0" fillId="0" borderId="12" xfId="0" applyBorder="1" applyAlignment="1">
      <alignment horizontal="center"/>
    </xf>
    <xf numFmtId="166" fontId="27" fillId="0" borderId="12" xfId="0" applyNumberFormat="1" applyFont="1" applyBorder="1" applyAlignment="1">
      <alignment horizontal="center" vertical="center"/>
    </xf>
    <xf numFmtId="0" fontId="0" fillId="0" borderId="12" xfId="0" applyBorder="1"/>
    <xf numFmtId="0" fontId="0" fillId="0" borderId="29" xfId="0" applyBorder="1"/>
    <xf numFmtId="0" fontId="0" fillId="0" borderId="19" xfId="0" applyBorder="1"/>
    <xf numFmtId="0" fontId="0" fillId="0" borderId="20" xfId="0" applyBorder="1"/>
    <xf numFmtId="0" fontId="0" fillId="0" borderId="26" xfId="0" applyBorder="1"/>
    <xf numFmtId="0" fontId="0" fillId="0" borderId="22" xfId="0" applyBorder="1" applyAlignment="1">
      <alignment horizontal="center"/>
    </xf>
    <xf numFmtId="0" fontId="0" fillId="0" borderId="22" xfId="0" applyBorder="1"/>
    <xf numFmtId="0" fontId="0" fillId="0" borderId="23" xfId="0" applyBorder="1"/>
    <xf numFmtId="0" fontId="35" fillId="6" borderId="26" xfId="0" applyFont="1" applyFill="1" applyBorder="1" applyAlignment="1">
      <alignment horizontal="center" vertical="center"/>
    </xf>
    <xf numFmtId="0" fontId="35" fillId="7" borderId="26" xfId="0" applyFont="1" applyFill="1" applyBorder="1" applyAlignment="1">
      <alignment horizontal="center" vertical="center"/>
    </xf>
    <xf numFmtId="0" fontId="35" fillId="8" borderId="26" xfId="0" applyFont="1" applyFill="1" applyBorder="1" applyAlignment="1">
      <alignment horizontal="center" vertical="center"/>
    </xf>
    <xf numFmtId="0" fontId="35" fillId="9" borderId="26" xfId="0" applyFont="1" applyFill="1" applyBorder="1" applyAlignment="1">
      <alignment horizontal="center" vertical="center"/>
    </xf>
    <xf numFmtId="0" fontId="35" fillId="10" borderId="26" xfId="0" applyFont="1" applyFill="1" applyBorder="1" applyAlignment="1">
      <alignment horizontal="center" vertical="center"/>
    </xf>
    <xf numFmtId="0" fontId="20" fillId="0" borderId="36" xfId="0" applyFont="1" applyBorder="1" applyAlignment="1" applyProtection="1">
      <alignment horizontal="center" vertical="center"/>
      <protection locked="0"/>
    </xf>
    <xf numFmtId="0" fontId="36" fillId="0" borderId="36" xfId="0" applyFont="1" applyBorder="1" applyAlignment="1" applyProtection="1">
      <alignment horizontal="center" vertical="center"/>
      <protection locked="0"/>
    </xf>
    <xf numFmtId="0" fontId="20" fillId="0" borderId="38" xfId="0" applyFont="1" applyBorder="1" applyAlignment="1" applyProtection="1">
      <alignment horizontal="center" vertical="center"/>
      <protection locked="0"/>
    </xf>
    <xf numFmtId="0" fontId="36" fillId="0" borderId="38" xfId="0" applyFont="1" applyBorder="1" applyAlignment="1" applyProtection="1">
      <alignment horizontal="center" vertical="center"/>
      <protection locked="0"/>
    </xf>
    <xf numFmtId="0" fontId="20" fillId="0" borderId="40" xfId="0" applyFont="1" applyBorder="1" applyAlignment="1" applyProtection="1">
      <alignment horizontal="center" vertical="center"/>
      <protection locked="0"/>
    </xf>
    <xf numFmtId="0" fontId="36" fillId="0" borderId="40" xfId="0" applyFont="1" applyBorder="1" applyAlignment="1" applyProtection="1">
      <alignment horizontal="center" vertical="center"/>
      <protection locked="0"/>
    </xf>
    <xf numFmtId="0" fontId="20" fillId="0" borderId="42" xfId="0" applyFont="1" applyBorder="1" applyAlignment="1" applyProtection="1">
      <alignment horizontal="center" vertical="center"/>
      <protection locked="0"/>
    </xf>
    <xf numFmtId="0" fontId="36" fillId="0" borderId="42" xfId="0" applyFont="1" applyBorder="1" applyAlignment="1" applyProtection="1">
      <alignment horizontal="center" vertical="center"/>
      <protection locked="0"/>
    </xf>
    <xf numFmtId="0" fontId="38" fillId="0" borderId="0" xfId="3" applyFont="1"/>
    <xf numFmtId="0" fontId="39" fillId="0" borderId="0" xfId="3" applyFont="1" applyAlignment="1">
      <alignment horizontal="left"/>
    </xf>
    <xf numFmtId="0" fontId="40" fillId="13" borderId="24" xfId="0" applyFont="1" applyFill="1" applyBorder="1" applyAlignment="1">
      <alignment horizontal="center" vertical="center"/>
    </xf>
    <xf numFmtId="0" fontId="43" fillId="5" borderId="26" xfId="0" applyFont="1" applyFill="1" applyBorder="1" applyAlignment="1">
      <alignment horizontal="center" vertical="center"/>
    </xf>
    <xf numFmtId="0" fontId="42" fillId="0" borderId="22" xfId="3" applyFont="1" applyBorder="1" applyAlignment="1">
      <alignment horizontal="center" vertical="center"/>
    </xf>
    <xf numFmtId="0" fontId="42" fillId="0" borderId="22" xfId="3" applyFont="1" applyBorder="1" applyAlignment="1">
      <alignment horizontal="center" vertical="center" wrapText="1"/>
    </xf>
    <xf numFmtId="0" fontId="43" fillId="6" borderId="26" xfId="0" applyFont="1" applyFill="1" applyBorder="1" applyAlignment="1">
      <alignment horizontal="center" vertical="center"/>
    </xf>
    <xf numFmtId="0" fontId="43" fillId="7" borderId="26" xfId="0" applyFont="1" applyFill="1" applyBorder="1" applyAlignment="1">
      <alignment horizontal="center" vertical="center"/>
    </xf>
    <xf numFmtId="0" fontId="43" fillId="8" borderId="26" xfId="0" applyFont="1" applyFill="1" applyBorder="1" applyAlignment="1">
      <alignment horizontal="center" vertical="center"/>
    </xf>
    <xf numFmtId="0" fontId="43" fillId="9" borderId="26" xfId="0" applyFont="1" applyFill="1" applyBorder="1" applyAlignment="1">
      <alignment horizontal="center" vertical="center"/>
    </xf>
    <xf numFmtId="0" fontId="43" fillId="10" borderId="26" xfId="0" applyFont="1" applyFill="1" applyBorder="1" applyAlignment="1">
      <alignment horizontal="center" vertical="center"/>
    </xf>
    <xf numFmtId="20" fontId="0" fillId="0" borderId="12" xfId="0" applyNumberFormat="1" applyBorder="1"/>
    <xf numFmtId="20" fontId="0" fillId="0" borderId="19" xfId="0" applyNumberFormat="1" applyBorder="1"/>
    <xf numFmtId="0" fontId="44" fillId="16" borderId="12" xfId="0" applyFont="1" applyFill="1" applyBorder="1" applyAlignment="1" applyProtection="1">
      <alignment horizontal="center" vertical="center"/>
      <protection locked="0"/>
    </xf>
    <xf numFmtId="20" fontId="0" fillId="0" borderId="19" xfId="0" applyNumberFormat="1" applyBorder="1" applyAlignment="1">
      <alignment horizontal="right"/>
    </xf>
    <xf numFmtId="20" fontId="0" fillId="0" borderId="0" xfId="0" applyNumberFormat="1"/>
    <xf numFmtId="0" fontId="0" fillId="0" borderId="0" xfId="0" applyAlignment="1" applyProtection="1">
      <alignment horizontal="left" vertical="center"/>
      <protection locked="0"/>
    </xf>
    <xf numFmtId="0" fontId="21" fillId="13" borderId="19" xfId="0" applyFont="1" applyFill="1" applyBorder="1" applyAlignment="1" applyProtection="1">
      <alignment horizontal="left" vertical="center"/>
      <protection locked="0"/>
    </xf>
    <xf numFmtId="0" fontId="14" fillId="12" borderId="12" xfId="0" applyFont="1" applyFill="1" applyBorder="1" applyAlignment="1" applyProtection="1">
      <alignment horizontal="left" vertical="center"/>
      <protection locked="0"/>
    </xf>
    <xf numFmtId="0" fontId="20" fillId="0" borderId="22" xfId="0" applyFont="1" applyBorder="1" applyAlignment="1" applyProtection="1">
      <alignment horizontal="left" vertical="center"/>
      <protection locked="0"/>
    </xf>
    <xf numFmtId="0" fontId="20" fillId="0" borderId="19" xfId="0" applyFont="1" applyBorder="1" applyAlignment="1" applyProtection="1">
      <alignment horizontal="left" vertical="center"/>
      <protection locked="0"/>
    </xf>
    <xf numFmtId="2" fontId="23" fillId="0" borderId="29" xfId="0" applyNumberFormat="1" applyFont="1" applyBorder="1" applyAlignment="1" applyProtection="1">
      <alignment horizontal="center" vertical="center"/>
      <protection locked="0"/>
    </xf>
    <xf numFmtId="2" fontId="23" fillId="0" borderId="12" xfId="0" applyNumberFormat="1" applyFont="1" applyBorder="1" applyAlignment="1" applyProtection="1">
      <alignment horizontal="center" vertical="center"/>
      <protection locked="0"/>
    </xf>
    <xf numFmtId="165" fontId="23" fillId="0" borderId="12" xfId="0" applyNumberFormat="1" applyFont="1" applyBorder="1" applyAlignment="1">
      <alignment horizontal="center" vertical="center"/>
    </xf>
    <xf numFmtId="166" fontId="23" fillId="0" borderId="12" xfId="0" applyNumberFormat="1" applyFont="1" applyBorder="1" applyAlignment="1" applyProtection="1">
      <alignment horizontal="center" vertical="center"/>
      <protection locked="0"/>
    </xf>
    <xf numFmtId="167" fontId="23" fillId="0" borderId="12" xfId="0" applyNumberFormat="1" applyFont="1" applyBorder="1" applyAlignment="1">
      <alignment horizontal="center" vertical="center"/>
    </xf>
    <xf numFmtId="166" fontId="20" fillId="0" borderId="12" xfId="0" applyNumberFormat="1" applyFont="1" applyBorder="1" applyAlignment="1" applyProtection="1">
      <alignment horizontal="center" vertical="center"/>
      <protection locked="0"/>
    </xf>
    <xf numFmtId="44" fontId="20" fillId="0" borderId="12" xfId="1" applyFont="1" applyFill="1" applyBorder="1" applyAlignment="1" applyProtection="1">
      <alignment horizontal="center" vertical="center"/>
      <protection locked="0"/>
    </xf>
    <xf numFmtId="0" fontId="36" fillId="0" borderId="12" xfId="0" applyFont="1" applyBorder="1" applyAlignment="1" applyProtection="1">
      <alignment horizontal="center" vertical="center"/>
      <protection locked="0"/>
    </xf>
    <xf numFmtId="0" fontId="37" fillId="0" borderId="12" xfId="2" applyNumberFormat="1" applyFont="1" applyFill="1" applyBorder="1" applyAlignment="1" applyProtection="1">
      <alignment horizontal="center" vertical="center"/>
      <protection locked="0"/>
    </xf>
    <xf numFmtId="0" fontId="20" fillId="0" borderId="12" xfId="0" applyFont="1" applyBorder="1" applyAlignment="1" applyProtection="1">
      <alignment horizontal="center" vertical="center"/>
      <protection locked="0"/>
    </xf>
    <xf numFmtId="0" fontId="20" fillId="0" borderId="12" xfId="0" applyFont="1" applyBorder="1" applyAlignment="1" applyProtection="1">
      <alignment horizontal="left" vertical="center"/>
      <protection locked="0"/>
    </xf>
    <xf numFmtId="2" fontId="23" fillId="0" borderId="23" xfId="0" applyNumberFormat="1" applyFont="1" applyBorder="1" applyAlignment="1" applyProtection="1">
      <alignment horizontal="center" vertical="center"/>
      <protection locked="0"/>
    </xf>
    <xf numFmtId="2" fontId="23" fillId="0" borderId="22" xfId="0" applyNumberFormat="1" applyFont="1" applyBorder="1" applyAlignment="1" applyProtection="1">
      <alignment horizontal="center" vertical="center"/>
      <protection locked="0"/>
    </xf>
    <xf numFmtId="165" fontId="23" fillId="0" borderId="22" xfId="0" applyNumberFormat="1" applyFont="1" applyBorder="1" applyAlignment="1">
      <alignment horizontal="center" vertical="center"/>
    </xf>
    <xf numFmtId="166" fontId="23" fillId="0" borderId="22" xfId="0" applyNumberFormat="1" applyFont="1" applyBorder="1" applyAlignment="1" applyProtection="1">
      <alignment horizontal="center" vertical="center"/>
      <protection locked="0"/>
    </xf>
    <xf numFmtId="167" fontId="23" fillId="0" borderId="22" xfId="0" applyNumberFormat="1" applyFont="1" applyBorder="1" applyAlignment="1">
      <alignment horizontal="center" vertical="center"/>
    </xf>
    <xf numFmtId="0" fontId="20" fillId="0" borderId="16" xfId="0" applyFont="1" applyBorder="1" applyAlignment="1" applyProtection="1">
      <alignment horizontal="left" vertical="center"/>
      <protection locked="0"/>
    </xf>
    <xf numFmtId="0" fontId="46" fillId="0" borderId="16" xfId="0" applyFont="1" applyBorder="1" applyAlignment="1" applyProtection="1">
      <alignment horizontal="center" vertical="center"/>
      <protection locked="0"/>
    </xf>
    <xf numFmtId="0" fontId="46" fillId="0" borderId="16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 wrapText="1"/>
      <protection locked="0"/>
    </xf>
    <xf numFmtId="164" fontId="26" fillId="2" borderId="0" xfId="0" applyNumberFormat="1" applyFont="1" applyFill="1" applyAlignment="1" applyProtection="1">
      <alignment horizontal="center" vertical="center"/>
      <protection locked="0"/>
    </xf>
    <xf numFmtId="0" fontId="26" fillId="2" borderId="0" xfId="0" applyFont="1" applyFill="1" applyAlignment="1" applyProtection="1">
      <alignment horizontal="left" vertical="center"/>
      <protection locked="0"/>
    </xf>
    <xf numFmtId="166" fontId="27" fillId="0" borderId="34" xfId="0" applyNumberFormat="1" applyFont="1" applyBorder="1" applyAlignment="1">
      <alignment horizontal="center" vertical="center"/>
    </xf>
    <xf numFmtId="0" fontId="0" fillId="0" borderId="34" xfId="0" applyBorder="1" applyAlignment="1">
      <alignment horizontal="center"/>
    </xf>
    <xf numFmtId="0" fontId="0" fillId="0" borderId="21" xfId="0" applyBorder="1"/>
    <xf numFmtId="0" fontId="35" fillId="14" borderId="26" xfId="0" applyFont="1" applyFill="1" applyBorder="1" applyAlignment="1">
      <alignment horizontal="center" vertical="center"/>
    </xf>
    <xf numFmtId="0" fontId="35" fillId="18" borderId="26" xfId="0" applyFont="1" applyFill="1" applyBorder="1" applyAlignment="1">
      <alignment horizontal="center" vertical="center"/>
    </xf>
    <xf numFmtId="0" fontId="35" fillId="19" borderId="26" xfId="0" applyFont="1" applyFill="1" applyBorder="1" applyAlignment="1">
      <alignment horizontal="center" vertical="center"/>
    </xf>
    <xf numFmtId="20" fontId="20" fillId="0" borderId="16" xfId="0" applyNumberFormat="1" applyFont="1" applyBorder="1" applyAlignment="1" applyProtection="1">
      <alignment horizontal="center" vertical="center"/>
      <protection locked="0"/>
    </xf>
    <xf numFmtId="20" fontId="20" fillId="0" borderId="19" xfId="0" applyNumberFormat="1" applyFont="1" applyBorder="1" applyAlignment="1" applyProtection="1">
      <alignment horizontal="center" vertical="center"/>
      <protection locked="0"/>
    </xf>
    <xf numFmtId="20" fontId="20" fillId="0" borderId="38" xfId="0" applyNumberFormat="1" applyFont="1" applyBorder="1" applyAlignment="1" applyProtection="1">
      <alignment horizontal="center" vertical="center"/>
      <protection locked="0"/>
    </xf>
    <xf numFmtId="0" fontId="48" fillId="0" borderId="16" xfId="0" applyFont="1" applyBorder="1" applyAlignment="1" applyProtection="1">
      <alignment horizontal="center" vertical="center"/>
      <protection locked="0"/>
    </xf>
    <xf numFmtId="0" fontId="48" fillId="0" borderId="19" xfId="0" applyFont="1" applyBorder="1" applyAlignment="1" applyProtection="1">
      <alignment horizontal="center" vertical="center"/>
      <protection locked="0"/>
    </xf>
    <xf numFmtId="0" fontId="48" fillId="0" borderId="22" xfId="0" applyFont="1" applyBorder="1" applyAlignment="1" applyProtection="1">
      <alignment horizontal="center" vertical="center"/>
      <protection locked="0"/>
    </xf>
    <xf numFmtId="0" fontId="48" fillId="0" borderId="36" xfId="0" applyFont="1" applyBorder="1" applyAlignment="1" applyProtection="1">
      <alignment horizontal="center" vertical="center"/>
      <protection locked="0"/>
    </xf>
    <xf numFmtId="0" fontId="48" fillId="0" borderId="38" xfId="0" applyFont="1" applyBorder="1" applyAlignment="1" applyProtection="1">
      <alignment horizontal="center" vertical="center"/>
      <protection locked="0"/>
    </xf>
    <xf numFmtId="0" fontId="48" fillId="0" borderId="40" xfId="0" applyFont="1" applyBorder="1" applyAlignment="1" applyProtection="1">
      <alignment horizontal="center" vertical="center"/>
      <protection locked="0"/>
    </xf>
    <xf numFmtId="0" fontId="48" fillId="0" borderId="42" xfId="0" applyFont="1" applyBorder="1" applyAlignment="1" applyProtection="1">
      <alignment horizontal="center" vertical="center"/>
      <protection locked="0"/>
    </xf>
    <xf numFmtId="0" fontId="49" fillId="0" borderId="9" xfId="0" applyFont="1" applyBorder="1" applyAlignment="1" applyProtection="1">
      <alignment horizontal="center" vertical="center" wrapText="1"/>
      <protection locked="0"/>
    </xf>
    <xf numFmtId="0" fontId="49" fillId="20" borderId="10" xfId="0" applyFont="1" applyFill="1" applyBorder="1" applyAlignment="1" applyProtection="1">
      <alignment horizontal="center" vertical="center" wrapText="1"/>
      <protection locked="0"/>
    </xf>
    <xf numFmtId="0" fontId="0" fillId="0" borderId="20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23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29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19" fillId="8" borderId="24" xfId="0" applyFont="1" applyFill="1" applyBorder="1" applyAlignment="1" applyProtection="1">
      <alignment horizontal="center" vertical="center" wrapText="1"/>
      <protection locked="0"/>
    </xf>
    <xf numFmtId="0" fontId="19" fillId="8" borderId="25" xfId="0" applyFont="1" applyFill="1" applyBorder="1" applyAlignment="1" applyProtection="1">
      <alignment horizontal="center" vertical="center" wrapText="1"/>
      <protection locked="0"/>
    </xf>
    <xf numFmtId="0" fontId="19" fillId="8" borderId="26" xfId="0" applyFont="1" applyFill="1" applyBorder="1" applyAlignment="1" applyProtection="1">
      <alignment horizontal="center" vertical="center" wrapText="1"/>
      <protection locked="0"/>
    </xf>
    <xf numFmtId="0" fontId="19" fillId="9" borderId="24" xfId="0" applyFont="1" applyFill="1" applyBorder="1" applyAlignment="1" applyProtection="1">
      <alignment horizontal="center" vertical="center" wrapText="1"/>
      <protection locked="0"/>
    </xf>
    <xf numFmtId="0" fontId="19" fillId="9" borderId="25" xfId="0" applyFont="1" applyFill="1" applyBorder="1" applyAlignment="1" applyProtection="1">
      <alignment horizontal="center" vertical="center" wrapText="1"/>
      <protection locked="0"/>
    </xf>
    <xf numFmtId="0" fontId="19" fillId="9" borderId="35" xfId="0" applyFont="1" applyFill="1" applyBorder="1" applyAlignment="1" applyProtection="1">
      <alignment horizontal="center" vertical="center" wrapText="1"/>
      <protection locked="0"/>
    </xf>
    <xf numFmtId="0" fontId="19" fillId="10" borderId="37" xfId="0" applyFont="1" applyFill="1" applyBorder="1" applyAlignment="1" applyProtection="1">
      <alignment horizontal="center" vertical="center" wrapText="1"/>
      <protection locked="0"/>
    </xf>
    <xf numFmtId="0" fontId="19" fillId="10" borderId="39" xfId="0" applyFont="1" applyFill="1" applyBorder="1" applyAlignment="1" applyProtection="1">
      <alignment horizontal="center" vertical="center" wrapText="1"/>
      <protection locked="0"/>
    </xf>
    <xf numFmtId="0" fontId="19" fillId="10" borderId="41" xfId="0" applyFont="1" applyFill="1" applyBorder="1" applyAlignment="1" applyProtection="1">
      <alignment horizontal="center" vertical="center" wrapText="1"/>
      <protection locked="0"/>
    </xf>
    <xf numFmtId="0" fontId="19" fillId="7" borderId="24" xfId="0" applyFont="1" applyFill="1" applyBorder="1" applyAlignment="1" applyProtection="1">
      <alignment horizontal="center" vertical="center" wrapText="1"/>
      <protection locked="0"/>
    </xf>
    <xf numFmtId="0" fontId="19" fillId="7" borderId="25" xfId="0" applyFont="1" applyFill="1" applyBorder="1" applyAlignment="1" applyProtection="1">
      <alignment horizontal="center" vertical="center" wrapText="1"/>
      <protection locked="0"/>
    </xf>
    <xf numFmtId="0" fontId="19" fillId="7" borderId="26" xfId="0" applyFont="1" applyFill="1" applyBorder="1" applyAlignment="1" applyProtection="1">
      <alignment horizontal="center" vertical="center" wrapText="1"/>
      <protection locked="0"/>
    </xf>
    <xf numFmtId="0" fontId="19" fillId="6" borderId="24" xfId="0" applyFont="1" applyFill="1" applyBorder="1" applyAlignment="1" applyProtection="1">
      <alignment horizontal="center" vertical="center" wrapText="1"/>
      <protection locked="0"/>
    </xf>
    <xf numFmtId="0" fontId="19" fillId="6" borderId="25" xfId="0" applyFont="1" applyFill="1" applyBorder="1" applyAlignment="1" applyProtection="1">
      <alignment horizontal="center" vertical="center" wrapText="1"/>
      <protection locked="0"/>
    </xf>
    <xf numFmtId="0" fontId="19" fillId="6" borderId="26" xfId="0" applyFont="1" applyFill="1" applyBorder="1" applyAlignment="1" applyProtection="1">
      <alignment horizontal="center" vertical="center" wrapText="1"/>
      <protection locked="0"/>
    </xf>
    <xf numFmtId="0" fontId="11" fillId="3" borderId="4" xfId="0" applyFont="1" applyFill="1" applyBorder="1" applyAlignment="1" applyProtection="1">
      <alignment horizontal="center" vertical="center"/>
      <protection locked="0"/>
    </xf>
    <xf numFmtId="0" fontId="11" fillId="3" borderId="5" xfId="0" applyFont="1" applyFill="1" applyBorder="1" applyAlignment="1" applyProtection="1">
      <alignment horizontal="center" vertical="center"/>
      <protection locked="0"/>
    </xf>
    <xf numFmtId="0" fontId="11" fillId="3" borderId="6" xfId="0" applyFont="1" applyFill="1" applyBorder="1" applyAlignment="1" applyProtection="1">
      <alignment horizontal="center" vertical="center"/>
      <protection locked="0"/>
    </xf>
    <xf numFmtId="0" fontId="9" fillId="14" borderId="4" xfId="0" applyFont="1" applyFill="1" applyBorder="1" applyAlignment="1" applyProtection="1">
      <alignment horizontal="center" vertical="center"/>
      <protection locked="0"/>
    </xf>
    <xf numFmtId="0" fontId="9" fillId="14" borderId="5" xfId="0" applyFont="1" applyFill="1" applyBorder="1" applyAlignment="1" applyProtection="1">
      <alignment horizontal="center" vertical="center"/>
      <protection locked="0"/>
    </xf>
    <xf numFmtId="0" fontId="9" fillId="14" borderId="6" xfId="0" applyFont="1" applyFill="1" applyBorder="1" applyAlignment="1" applyProtection="1">
      <alignment horizontal="center" vertical="center"/>
      <protection locked="0"/>
    </xf>
    <xf numFmtId="0" fontId="27" fillId="14" borderId="4" xfId="0" applyFont="1" applyFill="1" applyBorder="1" applyAlignment="1" applyProtection="1">
      <alignment horizontal="center" vertical="center"/>
      <protection locked="0"/>
    </xf>
    <xf numFmtId="0" fontId="27" fillId="14" borderId="5" xfId="0" applyFont="1" applyFill="1" applyBorder="1" applyAlignment="1" applyProtection="1">
      <alignment horizontal="center" vertical="center"/>
      <protection locked="0"/>
    </xf>
    <xf numFmtId="0" fontId="27" fillId="14" borderId="6" xfId="0" applyFont="1" applyFill="1" applyBorder="1" applyAlignment="1" applyProtection="1">
      <alignment horizontal="center" vertical="center"/>
      <protection locked="0"/>
    </xf>
    <xf numFmtId="166" fontId="6" fillId="0" borderId="1" xfId="0" applyNumberFormat="1" applyFont="1" applyBorder="1" applyAlignment="1">
      <alignment horizontal="center" vertical="center"/>
    </xf>
    <xf numFmtId="166" fontId="6" fillId="0" borderId="2" xfId="0" applyNumberFormat="1" applyFont="1" applyBorder="1" applyAlignment="1">
      <alignment horizontal="center" vertical="center"/>
    </xf>
    <xf numFmtId="166" fontId="6" fillId="0" borderId="3" xfId="0" applyNumberFormat="1" applyFont="1" applyBorder="1" applyAlignment="1">
      <alignment horizontal="center" vertical="center"/>
    </xf>
    <xf numFmtId="0" fontId="19" fillId="5" borderId="15" xfId="0" applyFont="1" applyFill="1" applyBorder="1" applyAlignment="1" applyProtection="1">
      <alignment horizontal="center" vertical="center" wrapText="1"/>
      <protection locked="0"/>
    </xf>
    <xf numFmtId="0" fontId="19" fillId="5" borderId="18" xfId="0" applyFont="1" applyFill="1" applyBorder="1" applyAlignment="1" applyProtection="1">
      <alignment horizontal="center" vertical="center" wrapText="1"/>
      <protection locked="0"/>
    </xf>
    <xf numFmtId="0" fontId="19" fillId="5" borderId="21" xfId="0" applyFont="1" applyFill="1" applyBorder="1" applyAlignment="1" applyProtection="1">
      <alignment horizontal="center" vertical="center" wrapText="1"/>
      <protection locked="0"/>
    </xf>
    <xf numFmtId="0" fontId="33" fillId="0" borderId="9" xfId="3" applyFont="1" applyBorder="1" applyAlignment="1">
      <alignment horizontal="center" vertical="center"/>
    </xf>
    <xf numFmtId="0" fontId="33" fillId="0" borderId="34" xfId="3" applyFont="1" applyBorder="1" applyAlignment="1">
      <alignment horizontal="center" vertical="center"/>
    </xf>
    <xf numFmtId="0" fontId="34" fillId="0" borderId="30" xfId="3" applyFont="1" applyBorder="1" applyAlignment="1">
      <alignment horizontal="center" vertical="center"/>
    </xf>
    <xf numFmtId="0" fontId="34" fillId="0" borderId="31" xfId="3" applyFont="1" applyBorder="1" applyAlignment="1">
      <alignment horizontal="center" vertical="center"/>
    </xf>
    <xf numFmtId="0" fontId="34" fillId="0" borderId="32" xfId="3" applyFont="1" applyBorder="1" applyAlignment="1">
      <alignment horizontal="center" vertical="center"/>
    </xf>
    <xf numFmtId="0" fontId="33" fillId="0" borderId="11" xfId="3" applyFont="1" applyBorder="1" applyAlignment="1">
      <alignment horizontal="center" vertical="center" wrapText="1"/>
    </xf>
    <xf numFmtId="0" fontId="33" fillId="0" borderId="33" xfId="3" applyFont="1" applyBorder="1" applyAlignment="1">
      <alignment horizontal="center" vertical="center" wrapText="1"/>
    </xf>
    <xf numFmtId="0" fontId="33" fillId="0" borderId="16" xfId="3" applyFont="1" applyBorder="1" applyAlignment="1">
      <alignment horizontal="center" vertical="center"/>
    </xf>
    <xf numFmtId="0" fontId="33" fillId="0" borderId="22" xfId="3" applyFont="1" applyBorder="1" applyAlignment="1">
      <alignment horizontal="center" vertical="center"/>
    </xf>
    <xf numFmtId="0" fontId="33" fillId="0" borderId="17" xfId="3" applyFont="1" applyBorder="1" applyAlignment="1">
      <alignment horizontal="center" vertical="center" wrapText="1"/>
    </xf>
    <xf numFmtId="0" fontId="33" fillId="0" borderId="23" xfId="3" applyFont="1" applyBorder="1" applyAlignment="1">
      <alignment horizontal="center" vertical="center"/>
    </xf>
    <xf numFmtId="0" fontId="41" fillId="0" borderId="9" xfId="3" applyFont="1" applyBorder="1" applyAlignment="1">
      <alignment horizontal="center" vertical="center"/>
    </xf>
    <xf numFmtId="0" fontId="41" fillId="0" borderId="34" xfId="3" applyFont="1" applyBorder="1" applyAlignment="1">
      <alignment horizontal="center" vertical="center"/>
    </xf>
    <xf numFmtId="0" fontId="42" fillId="0" borderId="30" xfId="3" applyFont="1" applyBorder="1" applyAlignment="1">
      <alignment horizontal="center" vertical="center"/>
    </xf>
    <xf numFmtId="0" fontId="42" fillId="0" borderId="31" xfId="3" applyFont="1" applyBorder="1" applyAlignment="1">
      <alignment horizontal="center" vertical="center"/>
    </xf>
    <xf numFmtId="0" fontId="42" fillId="0" borderId="32" xfId="3" applyFont="1" applyBorder="1" applyAlignment="1">
      <alignment horizontal="center" vertical="center"/>
    </xf>
    <xf numFmtId="0" fontId="41" fillId="0" borderId="11" xfId="3" applyFont="1" applyBorder="1" applyAlignment="1">
      <alignment horizontal="center" vertical="center" wrapText="1"/>
    </xf>
    <xf numFmtId="0" fontId="41" fillId="0" borderId="33" xfId="3" applyFont="1" applyBorder="1" applyAlignment="1">
      <alignment horizontal="center" vertical="center" wrapText="1"/>
    </xf>
    <xf numFmtId="0" fontId="41" fillId="0" borderId="16" xfId="3" applyFont="1" applyBorder="1" applyAlignment="1">
      <alignment horizontal="center" vertical="center"/>
    </xf>
    <xf numFmtId="0" fontId="41" fillId="0" borderId="22" xfId="3" applyFont="1" applyBorder="1" applyAlignment="1">
      <alignment horizontal="center" vertical="center"/>
    </xf>
    <xf numFmtId="0" fontId="41" fillId="0" borderId="17" xfId="3" applyFont="1" applyBorder="1" applyAlignment="1">
      <alignment horizontal="center" vertical="center" wrapText="1"/>
    </xf>
    <xf numFmtId="0" fontId="41" fillId="0" borderId="23" xfId="3" applyFont="1" applyBorder="1" applyAlignment="1">
      <alignment horizontal="center" vertical="center"/>
    </xf>
    <xf numFmtId="0" fontId="19" fillId="17" borderId="15" xfId="0" applyFont="1" applyFill="1" applyBorder="1" applyAlignment="1" applyProtection="1">
      <alignment horizontal="center" vertical="center" wrapText="1"/>
      <protection locked="0"/>
    </xf>
    <xf numFmtId="0" fontId="19" fillId="17" borderId="18" xfId="0" applyFont="1" applyFill="1" applyBorder="1" applyAlignment="1" applyProtection="1">
      <alignment horizontal="center" vertical="center" wrapText="1"/>
      <protection locked="0"/>
    </xf>
    <xf numFmtId="0" fontId="19" fillId="17" borderId="21" xfId="0" applyFont="1" applyFill="1" applyBorder="1" applyAlignment="1" applyProtection="1">
      <alignment horizontal="center" vertical="center" wrapText="1"/>
      <protection locked="0"/>
    </xf>
    <xf numFmtId="0" fontId="19" fillId="18" borderId="15" xfId="0" applyFont="1" applyFill="1" applyBorder="1" applyAlignment="1" applyProtection="1">
      <alignment horizontal="center" vertical="center" wrapText="1"/>
      <protection locked="0"/>
    </xf>
    <xf numFmtId="0" fontId="19" fillId="18" borderId="18" xfId="0" applyFont="1" applyFill="1" applyBorder="1" applyAlignment="1" applyProtection="1">
      <alignment horizontal="center" vertical="center" wrapText="1"/>
      <protection locked="0"/>
    </xf>
    <xf numFmtId="0" fontId="19" fillId="18" borderId="21" xfId="0" applyFont="1" applyFill="1" applyBorder="1" applyAlignment="1" applyProtection="1">
      <alignment horizontal="center" vertical="center" wrapText="1"/>
      <protection locked="0"/>
    </xf>
    <xf numFmtId="0" fontId="19" fillId="10" borderId="15" xfId="0" applyFont="1" applyFill="1" applyBorder="1" applyAlignment="1" applyProtection="1">
      <alignment horizontal="center" vertical="center" wrapText="1"/>
      <protection locked="0"/>
    </xf>
    <xf numFmtId="0" fontId="19" fillId="10" borderId="18" xfId="0" applyFont="1" applyFill="1" applyBorder="1" applyAlignment="1" applyProtection="1">
      <alignment horizontal="center" vertical="center" wrapText="1"/>
      <protection locked="0"/>
    </xf>
    <xf numFmtId="0" fontId="19" fillId="10" borderId="21" xfId="0" applyFont="1" applyFill="1" applyBorder="1" applyAlignment="1" applyProtection="1">
      <alignment horizontal="center" vertical="center" wrapText="1"/>
      <protection locked="0"/>
    </xf>
    <xf numFmtId="0" fontId="19" fillId="19" borderId="15" xfId="0" applyFont="1" applyFill="1" applyBorder="1" applyAlignment="1" applyProtection="1">
      <alignment horizontal="center" vertical="center" wrapText="1"/>
      <protection locked="0"/>
    </xf>
    <xf numFmtId="0" fontId="19" fillId="19" borderId="18" xfId="0" applyFont="1" applyFill="1" applyBorder="1" applyAlignment="1" applyProtection="1">
      <alignment horizontal="center" vertical="center" wrapText="1"/>
      <protection locked="0"/>
    </xf>
    <xf numFmtId="0" fontId="19" fillId="19" borderId="21" xfId="0" applyFont="1" applyFill="1" applyBorder="1" applyAlignment="1" applyProtection="1">
      <alignment horizontal="center" vertical="center" wrapText="1"/>
      <protection locked="0"/>
    </xf>
    <xf numFmtId="0" fontId="19" fillId="6" borderId="15" xfId="0" applyFont="1" applyFill="1" applyBorder="1" applyAlignment="1" applyProtection="1">
      <alignment horizontal="center" vertical="center" wrapText="1"/>
      <protection locked="0"/>
    </xf>
    <xf numFmtId="0" fontId="19" fillId="6" borderId="18" xfId="0" applyFont="1" applyFill="1" applyBorder="1" applyAlignment="1" applyProtection="1">
      <alignment horizontal="center" vertical="center" wrapText="1"/>
      <protection locked="0"/>
    </xf>
    <xf numFmtId="0" fontId="19" fillId="6" borderId="21" xfId="0" applyFont="1" applyFill="1" applyBorder="1" applyAlignment="1" applyProtection="1">
      <alignment horizontal="center" vertical="center" wrapText="1"/>
      <protection locked="0"/>
    </xf>
    <xf numFmtId="0" fontId="45" fillId="0" borderId="0" xfId="0" applyFont="1" applyAlignment="1">
      <alignment horizontal="right" wrapText="1"/>
    </xf>
    <xf numFmtId="0" fontId="47" fillId="0" borderId="10" xfId="0" applyFont="1" applyBorder="1" applyAlignment="1">
      <alignment horizontal="center" vertical="center"/>
    </xf>
    <xf numFmtId="0" fontId="47" fillId="0" borderId="43" xfId="0" applyFont="1" applyBorder="1" applyAlignment="1">
      <alignment horizontal="center" vertical="center"/>
    </xf>
  </cellXfs>
  <cellStyles count="5">
    <cellStyle name="Hyperlink" xfId="4" xr:uid="{00000000-000B-0000-0000-000008000000}"/>
    <cellStyle name="Lien hypertexte" xfId="2" builtinId="8"/>
    <cellStyle name="Monétaire" xfId="1" builtinId="4"/>
    <cellStyle name="Normal" xfId="0" builtinId="0"/>
    <cellStyle name="Normal 2" xfId="3" xr:uid="{484AE018-4FD0-41A3-A2C1-AFBA762AA48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22860</xdr:colOff>
          <xdr:row>3</xdr:row>
          <xdr:rowOff>0</xdr:rowOff>
        </xdr:from>
        <xdr:to>
          <xdr:col>20</xdr:col>
          <xdr:colOff>472440</xdr:colOff>
          <xdr:row>41</xdr:row>
          <xdr:rowOff>464820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2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athalieChollet\AppData\Local\Microsoft\Windows\INetCache\Content.Outlook\6BL59F3L\18.03.2023%20-%20Commande%20GSHC_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rvettesports.sharepoint.com/sites/PrimeandCo/Hotelis%20X%20PrimeCo/2.%20FOOTBALL/MOD&#200;LE_CUISINE_SERVICE_GRAND-PUBLIC_PATINOIR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rvettesports.sharepoint.com/sites/PrimeandCo/Hotelis%20X%20PrimeCo/1.%20HOCKEY/MOD&#200;LE_CUISINE_SERVICE_GRAND-PUBLIC_PATINOIR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mande extra vierge"/>
      <sheetName val="Liste pour mailing  HOT"/>
      <sheetName val="Liste check Hotelis "/>
      <sheetName val="FICHIER CANDIDATS"/>
      <sheetName val="BEV 1"/>
      <sheetName val="BEV 2"/>
      <sheetName val="BEV 3"/>
      <sheetName val="FOOD 1"/>
      <sheetName val="FOOD 2"/>
      <sheetName val="CHALET 1"/>
      <sheetName val="CHALET 2"/>
      <sheetName val="CHALET 3"/>
      <sheetName val="BAR DO BRASIL"/>
      <sheetName val="HOME CORNER"/>
      <sheetName val="BAR BURGERS"/>
      <sheetName val="BAR RACLETTE"/>
      <sheetName val="BAR CENTRAL"/>
      <sheetName val="VISITEURS"/>
      <sheetName val="LOGES ET SALONS"/>
      <sheetName val="EAGLE LOUNGE"/>
      <sheetName val="CORPORATE"/>
      <sheetName val="BROOKLYN"/>
      <sheetName val="PLONGE LOGES"/>
      <sheetName val="PUB SERVICE"/>
      <sheetName val="PUB CUISINE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MANDE GD-PUBLIC"/>
      <sheetName val="FEUILLES HEURES GD-PUBLIC"/>
    </sheetNames>
    <sheetDataSet>
      <sheetData sheetId="0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MANDE GD-PUBLIC"/>
      <sheetName val="FEUILLES HEURES GD-PUBLIC"/>
    </sheetNames>
    <sheetDataSet>
      <sheetData sheetId="0"/>
      <sheetData sheetId="1"/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image" Target="../media/image1.emf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BE58D-1998-41AA-84A8-2415346E36D6}">
  <sheetPr>
    <tabColor rgb="FFFF0000"/>
  </sheetPr>
  <dimension ref="A1:AE74"/>
  <sheetViews>
    <sheetView zoomScale="42" zoomScaleNormal="70" zoomScaleSheetLayoutView="25" workbookViewId="0">
      <selection activeCell="B5" sqref="B5:G70"/>
    </sheetView>
  </sheetViews>
  <sheetFormatPr baseColWidth="10" defaultColWidth="11.44140625" defaultRowHeight="14.4" x14ac:dyDescent="0.3"/>
  <cols>
    <col min="1" max="1" width="29.33203125" style="4" customWidth="1"/>
    <col min="2" max="2" width="11.44140625" style="14" customWidth="1"/>
    <col min="3" max="3" width="37.5546875" style="14" customWidth="1"/>
    <col min="4" max="4" width="67.77734375" style="14" customWidth="1"/>
    <col min="5" max="5" width="33.33203125" style="14" customWidth="1"/>
    <col min="6" max="6" width="35.88671875" style="14" customWidth="1"/>
    <col min="7" max="7" width="24.88671875" style="14" customWidth="1"/>
    <col min="8" max="8" width="17.44140625" style="18" customWidth="1"/>
    <col min="9" max="10" width="17.21875" style="14" customWidth="1"/>
    <col min="11" max="11" width="21.21875" style="20" hidden="1" customWidth="1"/>
    <col min="12" max="12" width="15.88671875" style="14" customWidth="1"/>
    <col min="13" max="13" width="19.5546875" style="21" hidden="1" customWidth="1"/>
    <col min="14" max="14" width="21.77734375" style="21" hidden="1" customWidth="1"/>
    <col min="15" max="16" width="19.5546875" style="21" customWidth="1"/>
    <col min="17" max="17" width="21.77734375" style="21" customWidth="1"/>
    <col min="18" max="18" width="11.44140625" customWidth="1"/>
    <col min="19" max="25" width="11.44140625" style="1" hidden="1" customWidth="1"/>
    <col min="26" max="26" width="11.44140625" customWidth="1"/>
    <col min="27" max="27" width="11.6640625" customWidth="1"/>
    <col min="28" max="29" width="11.44140625" customWidth="1"/>
  </cols>
  <sheetData>
    <row r="1" spans="1:31" ht="28.8" x14ac:dyDescent="0.3">
      <c r="I1" s="58" t="s">
        <v>0</v>
      </c>
      <c r="J1" s="59" t="s">
        <v>1</v>
      </c>
      <c r="L1" s="21"/>
      <c r="S1"/>
      <c r="T1"/>
      <c r="U1"/>
      <c r="V1"/>
      <c r="W1"/>
      <c r="X1"/>
      <c r="Y1"/>
      <c r="Z1" s="4"/>
      <c r="AA1" s="4"/>
      <c r="AB1" s="4"/>
      <c r="AC1" s="4"/>
      <c r="AD1" s="4"/>
      <c r="AE1" s="4"/>
    </row>
    <row r="2" spans="1:31" ht="37.200000000000003" thickBot="1" x14ac:dyDescent="0.35">
      <c r="A2" s="60" t="s">
        <v>2</v>
      </c>
      <c r="B2" s="58"/>
      <c r="C2" s="35" t="s">
        <v>3</v>
      </c>
      <c r="D2" s="36">
        <v>45974</v>
      </c>
      <c r="G2" s="17"/>
      <c r="H2" s="61"/>
      <c r="I2" s="39">
        <v>0.76041666666666663</v>
      </c>
      <c r="J2" s="39">
        <v>0.82291666666666663</v>
      </c>
      <c r="L2" s="40"/>
      <c r="M2" s="40"/>
      <c r="N2" s="40"/>
      <c r="O2" s="40"/>
      <c r="P2" s="40"/>
      <c r="Q2" s="40"/>
      <c r="S2" s="211" t="s">
        <v>4</v>
      </c>
      <c r="T2" s="212"/>
      <c r="U2" s="212"/>
      <c r="V2" s="212"/>
      <c r="W2" s="212"/>
      <c r="X2" s="212"/>
      <c r="Y2" s="213"/>
      <c r="Z2" s="4"/>
      <c r="AA2" s="4"/>
      <c r="AB2" s="4"/>
      <c r="AC2" s="4"/>
      <c r="AD2" s="4"/>
      <c r="AE2" s="4"/>
    </row>
    <row r="3" spans="1:31" ht="26.4" thickBot="1" x14ac:dyDescent="0.35">
      <c r="A3" s="208" t="s">
        <v>5</v>
      </c>
      <c r="B3" s="209"/>
      <c r="C3" s="210"/>
      <c r="D3" s="205" t="s">
        <v>6</v>
      </c>
      <c r="E3" s="206"/>
      <c r="F3" s="206"/>
      <c r="G3" s="206"/>
      <c r="H3" s="207"/>
      <c r="I3" s="202" t="s">
        <v>7</v>
      </c>
      <c r="J3" s="203"/>
      <c r="K3" s="203"/>
      <c r="L3" s="203"/>
      <c r="M3" s="203"/>
      <c r="N3" s="203"/>
      <c r="O3" s="203"/>
      <c r="P3" s="203"/>
      <c r="Q3" s="204"/>
      <c r="S3" s="41"/>
      <c r="T3" s="42"/>
      <c r="U3" s="20" t="s">
        <v>8</v>
      </c>
      <c r="V3" s="20" t="s">
        <v>9</v>
      </c>
      <c r="W3" s="20" t="s">
        <v>10</v>
      </c>
      <c r="X3" s="20" t="s">
        <v>11</v>
      </c>
      <c r="Y3" s="43" t="s">
        <v>12</v>
      </c>
      <c r="Z3" s="4"/>
      <c r="AA3" s="4"/>
      <c r="AB3" s="4"/>
      <c r="AC3" s="4"/>
      <c r="AD3" s="4"/>
      <c r="AE3" s="4"/>
    </row>
    <row r="4" spans="1:31" ht="105" customHeight="1" thickBot="1" x14ac:dyDescent="0.35">
      <c r="A4" s="37" t="s">
        <v>13</v>
      </c>
      <c r="B4" s="37" t="s">
        <v>14</v>
      </c>
      <c r="C4" s="182" t="s">
        <v>15</v>
      </c>
      <c r="D4" s="182" t="s">
        <v>16</v>
      </c>
      <c r="E4" s="182" t="s">
        <v>17</v>
      </c>
      <c r="F4" s="182" t="s">
        <v>18</v>
      </c>
      <c r="G4" s="182" t="s">
        <v>19</v>
      </c>
      <c r="H4" s="182" t="s">
        <v>20</v>
      </c>
      <c r="I4" s="183" t="s">
        <v>21</v>
      </c>
      <c r="J4" s="183" t="s">
        <v>22</v>
      </c>
      <c r="K4" s="44" t="s">
        <v>4</v>
      </c>
      <c r="L4" s="38" t="s">
        <v>23</v>
      </c>
      <c r="M4" s="45" t="s">
        <v>24</v>
      </c>
      <c r="N4" s="45" t="s">
        <v>25</v>
      </c>
      <c r="O4" s="67" t="s">
        <v>26</v>
      </c>
      <c r="P4" s="67" t="s">
        <v>27</v>
      </c>
      <c r="Q4" s="68" t="s">
        <v>28</v>
      </c>
      <c r="S4" s="46">
        <v>0.25</v>
      </c>
      <c r="T4" s="46">
        <v>0.95833333333333337</v>
      </c>
      <c r="U4" s="47">
        <v>-0.95833333333333404</v>
      </c>
      <c r="V4" s="47">
        <v>-0.70833333333333404</v>
      </c>
      <c r="W4" s="47">
        <v>6.9444444444366482E-4</v>
      </c>
      <c r="X4" s="47">
        <v>4.0972222222221522E-2</v>
      </c>
      <c r="Y4" s="48">
        <v>8600</v>
      </c>
      <c r="Z4" s="4"/>
      <c r="AA4" s="4"/>
      <c r="AB4" s="4"/>
      <c r="AC4" s="4"/>
      <c r="AD4" s="4"/>
      <c r="AE4" s="4"/>
    </row>
    <row r="5" spans="1:31" ht="31.5" customHeight="1" x14ac:dyDescent="0.3">
      <c r="A5" s="214" t="s">
        <v>29</v>
      </c>
      <c r="B5" s="24"/>
      <c r="C5" s="24"/>
      <c r="D5" s="24"/>
      <c r="E5" s="76"/>
      <c r="F5" s="175"/>
      <c r="G5" s="76"/>
      <c r="H5" s="24"/>
      <c r="I5" s="172">
        <v>0.72916666666666663</v>
      </c>
      <c r="J5" s="172">
        <v>0.9375</v>
      </c>
      <c r="K5" s="49">
        <f>J5+$Y$4</f>
        <v>8600.9375</v>
      </c>
      <c r="L5" s="33">
        <v>0</v>
      </c>
      <c r="M5" s="50">
        <f t="shared" ref="M5:M70" si="0">IF($I5="","",IF($J5&lt;$I5,($J5+86400)-$I5-$L5,$J5-$I5-$L5))</f>
        <v>0.20833333333333337</v>
      </c>
      <c r="N5" s="50">
        <f>IF(J5="","",IF(AND($U$4&lt;=(J5-$T$4),(J5-$T$4)&lt;=$V$4),(K5-$T$4),"00:00")+IF(AND($W$4&lt;=(J5-$T$4),(J5-$T$4)&lt;=$X$4),(J5-$T$4),"00:00")+IF(($S$4-I5)&lt;0,"00:00",($S$4-I5)))</f>
        <v>0</v>
      </c>
      <c r="O5" s="69" t="str">
        <f>IF($C5="","",(HOUR($M5)*60+MINUTE($M5))/60)</f>
        <v/>
      </c>
      <c r="P5" s="69" t="str">
        <f>IF(O5="","",O5-Q5)</f>
        <v/>
      </c>
      <c r="Q5" s="70" t="str">
        <f>IF($C5="","",(HOUR($N5)*60+MINUTE($N5))/60)</f>
        <v/>
      </c>
      <c r="S5"/>
      <c r="T5"/>
      <c r="U5"/>
      <c r="V5"/>
      <c r="W5"/>
      <c r="X5"/>
      <c r="Y5"/>
      <c r="Z5" s="4"/>
      <c r="AA5" s="4"/>
      <c r="AB5" s="4"/>
      <c r="AC5" s="4"/>
      <c r="AD5" s="4"/>
      <c r="AE5" s="4"/>
    </row>
    <row r="6" spans="1:31" ht="31.5" customHeight="1" x14ac:dyDescent="0.3">
      <c r="A6" s="215"/>
      <c r="B6" s="27"/>
      <c r="C6" s="27"/>
      <c r="D6" s="27"/>
      <c r="E6" s="78"/>
      <c r="F6" s="176"/>
      <c r="G6" s="78"/>
      <c r="H6" s="27"/>
      <c r="I6" s="173">
        <v>0.75</v>
      </c>
      <c r="J6" s="173">
        <v>0.89583333333333337</v>
      </c>
      <c r="K6" s="51">
        <f t="shared" ref="K6" si="1">J6+$Y$4</f>
        <v>8600.8958333333339</v>
      </c>
      <c r="L6" s="34">
        <v>0</v>
      </c>
      <c r="M6" s="52">
        <f t="shared" si="0"/>
        <v>0.14583333333333337</v>
      </c>
      <c r="N6" s="52">
        <f t="shared" ref="N6" si="2">IF(J6="","",IF(AND($U$4&lt;=(J6-$T$4),(J6-$T$4)&lt;=$V$4),(K6-$T$4),"00:00")+IF(AND($W$4&lt;=(J6-$T$4),(J6-$T$4)&lt;=$X$4),(J6-$T$4),"00:00")+IF(($S$4-I6)&lt;0,"00:00",($S$4-I6)))</f>
        <v>0</v>
      </c>
      <c r="O6" s="71" t="str">
        <f t="shared" ref="O6:O69" si="3">IF($C6="","",(HOUR($M6)*60+MINUTE($M6))/60)</f>
        <v/>
      </c>
      <c r="P6" s="71" t="str">
        <f t="shared" ref="P6" si="4">IF(O6="","",O6-Q6)</f>
        <v/>
      </c>
      <c r="Q6" s="72" t="str">
        <f t="shared" ref="Q6:Q69" si="5">IF($C6="","",(HOUR($N6)*60+MINUTE($N6))/60)</f>
        <v/>
      </c>
      <c r="S6"/>
      <c r="T6"/>
      <c r="U6"/>
      <c r="V6"/>
      <c r="W6"/>
      <c r="X6"/>
      <c r="Y6"/>
      <c r="Z6" s="4"/>
      <c r="AA6" s="4"/>
      <c r="AB6" s="4"/>
      <c r="AC6" s="4"/>
      <c r="AD6" s="4"/>
      <c r="AE6" s="4"/>
    </row>
    <row r="7" spans="1:31" ht="31.5" customHeight="1" x14ac:dyDescent="0.3">
      <c r="A7" s="215"/>
      <c r="B7" s="27"/>
      <c r="C7" s="27"/>
      <c r="D7" s="27"/>
      <c r="E7" s="78"/>
      <c r="F7" s="176"/>
      <c r="G7" s="78"/>
      <c r="H7" s="27"/>
      <c r="I7" s="173">
        <v>0.77083333333333337</v>
      </c>
      <c r="J7" s="173">
        <v>0.89583333333333337</v>
      </c>
      <c r="K7" s="51">
        <f t="shared" ref="K7:K70" si="6">J7+$Y$4</f>
        <v>8600.8958333333339</v>
      </c>
      <c r="L7" s="34">
        <v>0</v>
      </c>
      <c r="M7" s="52">
        <f t="shared" si="0"/>
        <v>0.125</v>
      </c>
      <c r="N7" s="52">
        <f t="shared" ref="N7:N70" si="7">IF(J7="","",IF(AND($U$4&lt;=(J7-$T$4),(J7-$T$4)&lt;=$V$4),(K7-$T$4),"00:00")+IF(AND($W$4&lt;=(J7-$T$4),(J7-$T$4)&lt;=$X$4),(J7-$T$4),"00:00")+IF(($S$4-I7)&lt;0,"00:00",($S$4-I7)))</f>
        <v>0</v>
      </c>
      <c r="O7" s="71" t="str">
        <f t="shared" si="3"/>
        <v/>
      </c>
      <c r="P7" s="71" t="str">
        <f t="shared" ref="P7:P70" si="8">IF(O7="","",O7-Q7)</f>
        <v/>
      </c>
      <c r="Q7" s="72" t="str">
        <f t="shared" si="5"/>
        <v/>
      </c>
      <c r="S7"/>
      <c r="T7"/>
      <c r="U7"/>
      <c r="V7"/>
      <c r="W7"/>
      <c r="X7"/>
      <c r="Y7"/>
      <c r="Z7" s="4"/>
      <c r="AA7" s="4"/>
      <c r="AB7" s="4"/>
      <c r="AC7" s="4"/>
      <c r="AD7" s="4"/>
      <c r="AE7" s="4"/>
    </row>
    <row r="8" spans="1:31" ht="31.5" customHeight="1" x14ac:dyDescent="0.3">
      <c r="A8" s="215"/>
      <c r="B8" s="27"/>
      <c r="C8" s="27"/>
      <c r="D8" s="27"/>
      <c r="E8" s="78"/>
      <c r="F8" s="176"/>
      <c r="G8" s="78"/>
      <c r="H8" s="27"/>
      <c r="I8" s="173">
        <v>0.79166666666666663</v>
      </c>
      <c r="J8" s="173">
        <v>0.9375</v>
      </c>
      <c r="K8" s="51">
        <f t="shared" si="6"/>
        <v>8600.9375</v>
      </c>
      <c r="L8" s="34">
        <v>0</v>
      </c>
      <c r="M8" s="52">
        <f t="shared" si="0"/>
        <v>0.14583333333333337</v>
      </c>
      <c r="N8" s="52">
        <f t="shared" si="7"/>
        <v>0</v>
      </c>
      <c r="O8" s="71" t="str">
        <f t="shared" si="3"/>
        <v/>
      </c>
      <c r="P8" s="71" t="str">
        <f t="shared" si="8"/>
        <v/>
      </c>
      <c r="Q8" s="72" t="str">
        <f t="shared" si="5"/>
        <v/>
      </c>
      <c r="S8"/>
      <c r="T8"/>
      <c r="U8"/>
      <c r="V8"/>
      <c r="W8"/>
      <c r="X8"/>
      <c r="Y8"/>
      <c r="Z8" s="4"/>
      <c r="AA8" s="4"/>
      <c r="AB8" s="4"/>
      <c r="AC8" s="4"/>
      <c r="AD8" s="4"/>
      <c r="AE8" s="4"/>
    </row>
    <row r="9" spans="1:31" ht="31.5" customHeight="1" x14ac:dyDescent="0.3">
      <c r="A9" s="215"/>
      <c r="B9" s="27"/>
      <c r="C9" s="27"/>
      <c r="D9" s="27"/>
      <c r="E9" s="78"/>
      <c r="F9" s="176"/>
      <c r="G9" s="78"/>
      <c r="H9" s="27"/>
      <c r="I9" s="27"/>
      <c r="J9" s="27"/>
      <c r="K9" s="51">
        <f t="shared" si="6"/>
        <v>8600</v>
      </c>
      <c r="L9" s="34">
        <v>0</v>
      </c>
      <c r="M9" s="52" t="str">
        <f t="shared" si="0"/>
        <v/>
      </c>
      <c r="N9" s="52" t="str">
        <f t="shared" si="7"/>
        <v/>
      </c>
      <c r="O9" s="71" t="str">
        <f t="shared" si="3"/>
        <v/>
      </c>
      <c r="P9" s="71" t="str">
        <f t="shared" si="8"/>
        <v/>
      </c>
      <c r="Q9" s="72" t="str">
        <f t="shared" si="5"/>
        <v/>
      </c>
      <c r="S9"/>
      <c r="T9" s="53"/>
      <c r="U9" s="53"/>
      <c r="V9" s="53"/>
      <c r="W9" s="53"/>
      <c r="X9" s="53"/>
      <c r="Y9" s="53"/>
      <c r="Z9" s="5"/>
      <c r="AA9" s="5"/>
      <c r="AB9" s="5"/>
      <c r="AC9" s="5"/>
      <c r="AD9" s="5"/>
      <c r="AE9" s="5"/>
    </row>
    <row r="10" spans="1:31" ht="31.5" customHeight="1" thickBot="1" x14ac:dyDescent="0.35">
      <c r="A10" s="216"/>
      <c r="B10" s="30"/>
      <c r="C10" s="30"/>
      <c r="D10" s="30"/>
      <c r="E10" s="80"/>
      <c r="F10" s="177"/>
      <c r="G10" s="80"/>
      <c r="H10" s="30"/>
      <c r="I10" s="30"/>
      <c r="J10" s="30"/>
      <c r="K10" s="51">
        <f t="shared" si="6"/>
        <v>8600</v>
      </c>
      <c r="L10" s="34">
        <v>0</v>
      </c>
      <c r="M10" s="52" t="str">
        <f t="shared" si="0"/>
        <v/>
      </c>
      <c r="N10" s="52" t="str">
        <f t="shared" si="7"/>
        <v/>
      </c>
      <c r="O10" s="71" t="str">
        <f t="shared" si="3"/>
        <v/>
      </c>
      <c r="P10" s="71" t="str">
        <f t="shared" si="8"/>
        <v/>
      </c>
      <c r="Q10" s="72" t="str">
        <f t="shared" si="5"/>
        <v/>
      </c>
      <c r="S10"/>
      <c r="T10" s="53"/>
      <c r="U10" s="53"/>
      <c r="V10" s="53"/>
      <c r="W10" s="53"/>
      <c r="X10" s="53"/>
      <c r="Y10" s="53"/>
      <c r="Z10" s="5"/>
      <c r="AA10" s="5"/>
      <c r="AB10" s="5"/>
      <c r="AC10" s="5"/>
      <c r="AD10" s="5"/>
      <c r="AE10" s="5"/>
    </row>
    <row r="11" spans="1:31" ht="31.5" customHeight="1" x14ac:dyDescent="0.3">
      <c r="A11" s="214" t="s">
        <v>30</v>
      </c>
      <c r="B11" s="24"/>
      <c r="C11" s="24"/>
      <c r="D11" s="24"/>
      <c r="E11" s="76"/>
      <c r="F11" s="175"/>
      <c r="G11" s="76"/>
      <c r="H11" s="24"/>
      <c r="I11" s="172">
        <v>0.72916666666666663</v>
      </c>
      <c r="J11" s="172">
        <v>0.9375</v>
      </c>
      <c r="K11" s="51">
        <f t="shared" si="6"/>
        <v>8600.9375</v>
      </c>
      <c r="L11" s="34">
        <v>0</v>
      </c>
      <c r="M11" s="52">
        <f t="shared" si="0"/>
        <v>0.20833333333333337</v>
      </c>
      <c r="N11" s="52">
        <f t="shared" si="7"/>
        <v>0</v>
      </c>
      <c r="O11" s="71" t="str">
        <f t="shared" si="3"/>
        <v/>
      </c>
      <c r="P11" s="71" t="str">
        <f t="shared" si="8"/>
        <v/>
      </c>
      <c r="Q11" s="72" t="str">
        <f t="shared" si="5"/>
        <v/>
      </c>
      <c r="S11"/>
      <c r="T11"/>
      <c r="U11"/>
      <c r="V11"/>
      <c r="W11"/>
      <c r="X11"/>
      <c r="Y11"/>
      <c r="Z11" s="4"/>
      <c r="AA11" s="4"/>
      <c r="AB11" s="4"/>
      <c r="AC11" s="4"/>
      <c r="AD11" s="4"/>
      <c r="AE11" s="4"/>
    </row>
    <row r="12" spans="1:31" ht="31.5" customHeight="1" x14ac:dyDescent="0.3">
      <c r="A12" s="215"/>
      <c r="B12" s="27"/>
      <c r="C12" s="27"/>
      <c r="D12" s="27"/>
      <c r="E12" s="78"/>
      <c r="F12" s="176"/>
      <c r="G12" s="78"/>
      <c r="H12" s="27"/>
      <c r="I12" s="173">
        <v>0.75</v>
      </c>
      <c r="J12" s="173">
        <v>0.89583333333333337</v>
      </c>
      <c r="K12" s="51">
        <f t="shared" si="6"/>
        <v>8600.8958333333339</v>
      </c>
      <c r="L12" s="34">
        <v>0</v>
      </c>
      <c r="M12" s="52">
        <f t="shared" si="0"/>
        <v>0.14583333333333337</v>
      </c>
      <c r="N12" s="52">
        <f t="shared" si="7"/>
        <v>0</v>
      </c>
      <c r="O12" s="71" t="str">
        <f t="shared" si="3"/>
        <v/>
      </c>
      <c r="P12" s="71" t="str">
        <f t="shared" si="8"/>
        <v/>
      </c>
      <c r="Q12" s="72" t="str">
        <f t="shared" si="5"/>
        <v/>
      </c>
      <c r="S12"/>
      <c r="T12"/>
      <c r="U12" s="53"/>
      <c r="V12" s="53"/>
      <c r="W12" s="53"/>
      <c r="X12" s="53"/>
      <c r="Y12" s="53"/>
      <c r="Z12" s="5"/>
      <c r="AA12" s="5"/>
      <c r="AB12" s="5"/>
      <c r="AC12" s="5"/>
      <c r="AD12" s="4"/>
      <c r="AE12" s="4"/>
    </row>
    <row r="13" spans="1:31" ht="31.5" customHeight="1" x14ac:dyDescent="0.3">
      <c r="A13" s="215"/>
      <c r="B13" s="27"/>
      <c r="C13" s="27"/>
      <c r="D13" s="27"/>
      <c r="E13" s="78"/>
      <c r="F13" s="176"/>
      <c r="G13" s="78"/>
      <c r="H13" s="27"/>
      <c r="I13" s="173">
        <v>0.77083333333333337</v>
      </c>
      <c r="J13" s="173">
        <v>0.89583333333333337</v>
      </c>
      <c r="K13" s="51">
        <f t="shared" si="6"/>
        <v>8600.8958333333339</v>
      </c>
      <c r="L13" s="34">
        <v>0</v>
      </c>
      <c r="M13" s="52">
        <f t="shared" si="0"/>
        <v>0.125</v>
      </c>
      <c r="N13" s="52">
        <f t="shared" si="7"/>
        <v>0</v>
      </c>
      <c r="O13" s="71" t="str">
        <f t="shared" si="3"/>
        <v/>
      </c>
      <c r="P13" s="71" t="str">
        <f t="shared" si="8"/>
        <v/>
      </c>
      <c r="Q13" s="72" t="str">
        <f t="shared" si="5"/>
        <v/>
      </c>
      <c r="S13"/>
      <c r="T13"/>
      <c r="U13" s="53"/>
      <c r="V13" s="53"/>
      <c r="W13" s="53"/>
      <c r="X13" s="53"/>
      <c r="Y13" s="53"/>
      <c r="Z13" s="5"/>
      <c r="AA13" s="5"/>
      <c r="AB13" s="5"/>
      <c r="AC13" s="5"/>
      <c r="AD13" s="4"/>
      <c r="AE13" s="4"/>
    </row>
    <row r="14" spans="1:31" ht="31.5" customHeight="1" thickBot="1" x14ac:dyDescent="0.35">
      <c r="A14" s="215"/>
      <c r="B14" s="27"/>
      <c r="C14" s="27"/>
      <c r="D14" s="27"/>
      <c r="E14" s="78"/>
      <c r="F14" s="176"/>
      <c r="G14" s="78"/>
      <c r="H14" s="27"/>
      <c r="I14" s="173">
        <v>0.79166666666666663</v>
      </c>
      <c r="J14" s="173">
        <v>0.9375</v>
      </c>
      <c r="K14" s="51">
        <f t="shared" si="6"/>
        <v>8600.9375</v>
      </c>
      <c r="L14" s="34">
        <v>0</v>
      </c>
      <c r="M14" s="52">
        <f t="shared" si="0"/>
        <v>0.14583333333333337</v>
      </c>
      <c r="N14" s="52">
        <f t="shared" si="7"/>
        <v>0</v>
      </c>
      <c r="O14" s="71" t="str">
        <f t="shared" si="3"/>
        <v/>
      </c>
      <c r="P14" s="71" t="str">
        <f t="shared" si="8"/>
        <v/>
      </c>
      <c r="Q14" s="72" t="str">
        <f t="shared" si="5"/>
        <v/>
      </c>
      <c r="S14"/>
      <c r="T14"/>
      <c r="U14"/>
      <c r="V14"/>
      <c r="W14"/>
      <c r="X14"/>
      <c r="Y14"/>
      <c r="Z14" s="4"/>
      <c r="AA14" s="4"/>
      <c r="AB14" s="4"/>
      <c r="AC14" s="4"/>
      <c r="AD14" s="4"/>
      <c r="AE14" s="4"/>
    </row>
    <row r="15" spans="1:31" ht="31.5" customHeight="1" x14ac:dyDescent="0.3">
      <c r="A15" s="215"/>
      <c r="B15" s="27"/>
      <c r="C15" s="27"/>
      <c r="D15" s="24"/>
      <c r="E15" s="76"/>
      <c r="F15" s="175"/>
      <c r="G15" s="76"/>
      <c r="H15" s="27"/>
      <c r="I15" s="27"/>
      <c r="J15" s="27"/>
      <c r="K15" s="51">
        <f t="shared" si="6"/>
        <v>8600</v>
      </c>
      <c r="L15" s="34">
        <v>0</v>
      </c>
      <c r="M15" s="52" t="str">
        <f t="shared" si="0"/>
        <v/>
      </c>
      <c r="N15" s="52" t="str">
        <f t="shared" si="7"/>
        <v/>
      </c>
      <c r="O15" s="71" t="str">
        <f t="shared" si="3"/>
        <v/>
      </c>
      <c r="P15" s="71" t="str">
        <f t="shared" si="8"/>
        <v/>
      </c>
      <c r="Q15" s="72" t="str">
        <f t="shared" si="5"/>
        <v/>
      </c>
      <c r="S15"/>
      <c r="T15"/>
      <c r="U15" s="53"/>
      <c r="V15" s="53"/>
      <c r="W15" s="53"/>
      <c r="X15" s="53"/>
      <c r="Y15" s="53"/>
      <c r="Z15" s="5"/>
      <c r="AA15" s="5"/>
      <c r="AB15" s="5"/>
      <c r="AC15" s="5"/>
      <c r="AD15" s="4"/>
      <c r="AE15" s="4"/>
    </row>
    <row r="16" spans="1:31" ht="31.5" customHeight="1" thickBot="1" x14ac:dyDescent="0.35">
      <c r="A16" s="216"/>
      <c r="B16" s="30"/>
      <c r="C16" s="30"/>
      <c r="D16" s="30"/>
      <c r="E16" s="80"/>
      <c r="F16" s="177"/>
      <c r="G16" s="80"/>
      <c r="H16" s="30"/>
      <c r="I16" s="30"/>
      <c r="J16" s="30"/>
      <c r="K16" s="51">
        <f t="shared" si="6"/>
        <v>8600</v>
      </c>
      <c r="L16" s="34">
        <v>0</v>
      </c>
      <c r="M16" s="52" t="str">
        <f t="shared" si="0"/>
        <v/>
      </c>
      <c r="N16" s="52" t="str">
        <f t="shared" si="7"/>
        <v/>
      </c>
      <c r="O16" s="71" t="str">
        <f t="shared" si="3"/>
        <v/>
      </c>
      <c r="P16" s="71" t="str">
        <f t="shared" si="8"/>
        <v/>
      </c>
      <c r="Q16" s="72" t="str">
        <f t="shared" si="5"/>
        <v/>
      </c>
      <c r="S16"/>
      <c r="T16"/>
      <c r="U16" s="53"/>
      <c r="V16" s="53"/>
      <c r="W16" s="53"/>
      <c r="X16" s="53"/>
      <c r="Y16" s="53"/>
      <c r="Z16" s="5"/>
      <c r="AA16" s="5"/>
      <c r="AB16" s="5"/>
      <c r="AC16" s="5"/>
      <c r="AD16" s="4"/>
      <c r="AE16" s="4"/>
    </row>
    <row r="17" spans="1:31" ht="31.5" customHeight="1" x14ac:dyDescent="0.3">
      <c r="A17" s="214" t="s">
        <v>31</v>
      </c>
      <c r="B17" s="24"/>
      <c r="C17" s="24"/>
      <c r="D17" s="24"/>
      <c r="E17" s="76"/>
      <c r="F17" s="175"/>
      <c r="G17" s="76"/>
      <c r="H17" s="24"/>
      <c r="I17" s="172">
        <v>0.72916666666666663</v>
      </c>
      <c r="J17" s="172">
        <v>0.9375</v>
      </c>
      <c r="K17" s="51">
        <f t="shared" si="6"/>
        <v>8600.9375</v>
      </c>
      <c r="L17" s="34">
        <v>0</v>
      </c>
      <c r="M17" s="52">
        <f t="shared" si="0"/>
        <v>0.20833333333333337</v>
      </c>
      <c r="N17" s="52">
        <f t="shared" si="7"/>
        <v>0</v>
      </c>
      <c r="O17" s="71" t="str">
        <f t="shared" si="3"/>
        <v/>
      </c>
      <c r="P17" s="71" t="str">
        <f t="shared" si="8"/>
        <v/>
      </c>
      <c r="Q17" s="72" t="str">
        <f t="shared" si="5"/>
        <v/>
      </c>
      <c r="S17"/>
      <c r="T17"/>
      <c r="U17" s="53"/>
      <c r="V17" s="53"/>
      <c r="W17" s="53"/>
      <c r="X17" s="53"/>
      <c r="Y17" s="53"/>
      <c r="Z17" s="5"/>
      <c r="AA17" s="5"/>
      <c r="AB17" s="5"/>
      <c r="AC17" s="5"/>
      <c r="AD17" s="4"/>
      <c r="AE17" s="4"/>
    </row>
    <row r="18" spans="1:31" ht="31.5" customHeight="1" x14ac:dyDescent="0.3">
      <c r="A18" s="215"/>
      <c r="B18" s="27"/>
      <c r="C18" s="27"/>
      <c r="D18" s="27"/>
      <c r="E18" s="78"/>
      <c r="F18" s="176"/>
      <c r="G18" s="78"/>
      <c r="H18" s="27"/>
      <c r="I18" s="173">
        <v>0.75</v>
      </c>
      <c r="J18" s="173">
        <v>0.89583333333333337</v>
      </c>
      <c r="K18" s="51">
        <f t="shared" si="6"/>
        <v>8600.8958333333339</v>
      </c>
      <c r="L18" s="34">
        <v>0</v>
      </c>
      <c r="M18" s="52">
        <f t="shared" si="0"/>
        <v>0.14583333333333337</v>
      </c>
      <c r="N18" s="52">
        <f t="shared" si="7"/>
        <v>0</v>
      </c>
      <c r="O18" s="71" t="str">
        <f t="shared" si="3"/>
        <v/>
      </c>
      <c r="P18" s="71" t="str">
        <f t="shared" si="8"/>
        <v/>
      </c>
      <c r="Q18" s="72" t="str">
        <f t="shared" si="5"/>
        <v/>
      </c>
      <c r="S18"/>
      <c r="T18"/>
      <c r="U18"/>
      <c r="V18"/>
      <c r="W18"/>
      <c r="X18"/>
      <c r="Y18"/>
      <c r="Z18" s="4"/>
      <c r="AA18" s="4"/>
      <c r="AB18" s="4"/>
      <c r="AC18" s="4"/>
      <c r="AD18" s="4"/>
      <c r="AE18" s="4"/>
    </row>
    <row r="19" spans="1:31" ht="31.5" customHeight="1" x14ac:dyDescent="0.3">
      <c r="A19" s="215"/>
      <c r="B19" s="27"/>
      <c r="C19" s="27"/>
      <c r="D19" s="27"/>
      <c r="E19" s="78"/>
      <c r="F19" s="176"/>
      <c r="G19" s="78"/>
      <c r="H19" s="27"/>
      <c r="I19" s="173">
        <v>0.77083333333333337</v>
      </c>
      <c r="J19" s="173">
        <v>0.89583333333333337</v>
      </c>
      <c r="K19" s="51">
        <f t="shared" si="6"/>
        <v>8600.8958333333339</v>
      </c>
      <c r="L19" s="34">
        <v>0</v>
      </c>
      <c r="M19" s="52">
        <f t="shared" si="0"/>
        <v>0.125</v>
      </c>
      <c r="N19" s="52">
        <f t="shared" si="7"/>
        <v>0</v>
      </c>
      <c r="O19" s="71" t="str">
        <f t="shared" si="3"/>
        <v/>
      </c>
      <c r="P19" s="71" t="str">
        <f t="shared" si="8"/>
        <v/>
      </c>
      <c r="Q19" s="72" t="str">
        <f t="shared" si="5"/>
        <v/>
      </c>
      <c r="S19"/>
      <c r="T19"/>
      <c r="U19"/>
      <c r="V19"/>
      <c r="W19"/>
      <c r="X19"/>
      <c r="Y19"/>
      <c r="Z19" s="4"/>
      <c r="AA19" s="4"/>
      <c r="AB19" s="4"/>
      <c r="AC19" s="4"/>
      <c r="AD19" s="4"/>
      <c r="AE19" s="4"/>
    </row>
    <row r="20" spans="1:31" ht="31.5" customHeight="1" x14ac:dyDescent="0.3">
      <c r="A20" s="215"/>
      <c r="B20" s="27"/>
      <c r="C20" s="27"/>
      <c r="D20" s="27"/>
      <c r="E20" s="78"/>
      <c r="F20" s="176"/>
      <c r="G20" s="78"/>
      <c r="H20" s="27"/>
      <c r="I20" s="173">
        <v>0.79166666666666663</v>
      </c>
      <c r="J20" s="173">
        <v>0.9375</v>
      </c>
      <c r="K20" s="51">
        <f t="shared" si="6"/>
        <v>8600.9375</v>
      </c>
      <c r="L20" s="34">
        <v>0</v>
      </c>
      <c r="M20" s="52">
        <f t="shared" si="0"/>
        <v>0.14583333333333337</v>
      </c>
      <c r="N20" s="52">
        <f t="shared" si="7"/>
        <v>0</v>
      </c>
      <c r="O20" s="71" t="str">
        <f t="shared" si="3"/>
        <v/>
      </c>
      <c r="P20" s="71" t="str">
        <f t="shared" si="8"/>
        <v/>
      </c>
      <c r="Q20" s="72" t="str">
        <f t="shared" si="5"/>
        <v/>
      </c>
      <c r="S20"/>
      <c r="T20"/>
      <c r="U20"/>
      <c r="V20"/>
      <c r="W20"/>
      <c r="X20"/>
      <c r="Y20"/>
      <c r="Z20" s="4"/>
      <c r="AA20" s="4"/>
      <c r="AB20" s="4"/>
      <c r="AC20" s="4"/>
      <c r="AD20" s="4"/>
      <c r="AE20" s="4"/>
    </row>
    <row r="21" spans="1:31" ht="31.5" customHeight="1" x14ac:dyDescent="0.3">
      <c r="A21" s="215"/>
      <c r="B21" s="27"/>
      <c r="C21" s="27"/>
      <c r="D21" s="27"/>
      <c r="E21" s="78"/>
      <c r="F21" s="176"/>
      <c r="G21" s="78"/>
      <c r="H21" s="27"/>
      <c r="I21" s="27"/>
      <c r="J21" s="27"/>
      <c r="K21" s="51">
        <f t="shared" si="6"/>
        <v>8600</v>
      </c>
      <c r="L21" s="34">
        <v>0</v>
      </c>
      <c r="M21" s="52" t="str">
        <f t="shared" si="0"/>
        <v/>
      </c>
      <c r="N21" s="52" t="str">
        <f t="shared" si="7"/>
        <v/>
      </c>
      <c r="O21" s="71" t="str">
        <f t="shared" si="3"/>
        <v/>
      </c>
      <c r="P21" s="71" t="str">
        <f t="shared" si="8"/>
        <v/>
      </c>
      <c r="Q21" s="72" t="str">
        <f t="shared" si="5"/>
        <v/>
      </c>
      <c r="S21"/>
      <c r="T21"/>
      <c r="U21"/>
      <c r="V21"/>
      <c r="W21"/>
      <c r="X21"/>
      <c r="Y21"/>
      <c r="Z21" s="4"/>
      <c r="AA21" s="4"/>
      <c r="AB21" s="4"/>
      <c r="AC21" s="4"/>
      <c r="AD21" s="4"/>
      <c r="AE21" s="4"/>
    </row>
    <row r="22" spans="1:31" ht="31.5" customHeight="1" thickBot="1" x14ac:dyDescent="0.35">
      <c r="A22" s="216"/>
      <c r="B22" s="30"/>
      <c r="C22" s="30"/>
      <c r="D22" s="30"/>
      <c r="E22" s="80"/>
      <c r="F22" s="177"/>
      <c r="G22" s="80"/>
      <c r="H22" s="30"/>
      <c r="I22" s="30"/>
      <c r="J22" s="30"/>
      <c r="K22" s="51">
        <f t="shared" si="6"/>
        <v>8600</v>
      </c>
      <c r="L22" s="34">
        <v>0</v>
      </c>
      <c r="M22" s="52" t="str">
        <f t="shared" si="0"/>
        <v/>
      </c>
      <c r="N22" s="52" t="str">
        <f t="shared" si="7"/>
        <v/>
      </c>
      <c r="O22" s="71" t="str">
        <f t="shared" si="3"/>
        <v/>
      </c>
      <c r="P22" s="71" t="str">
        <f t="shared" si="8"/>
        <v/>
      </c>
      <c r="Q22" s="72" t="str">
        <f t="shared" si="5"/>
        <v/>
      </c>
      <c r="S22"/>
      <c r="T22"/>
      <c r="U22"/>
      <c r="V22"/>
      <c r="W22"/>
      <c r="X22"/>
      <c r="Y22"/>
      <c r="Z22" s="4"/>
      <c r="AA22" s="4"/>
      <c r="AB22" s="4"/>
      <c r="AC22" s="4"/>
      <c r="AD22" s="4"/>
      <c r="AE22" s="4"/>
    </row>
    <row r="23" spans="1:31" ht="31.2" x14ac:dyDescent="0.3">
      <c r="A23" s="199" t="s">
        <v>32</v>
      </c>
      <c r="B23" s="24"/>
      <c r="C23" s="24"/>
      <c r="D23" s="24"/>
      <c r="E23" s="76"/>
      <c r="F23" s="175"/>
      <c r="G23" s="76"/>
      <c r="H23" s="24"/>
      <c r="I23" s="172">
        <v>0.75</v>
      </c>
      <c r="J23" s="172">
        <v>0.9375</v>
      </c>
      <c r="K23" s="51">
        <f t="shared" si="6"/>
        <v>8600.9375</v>
      </c>
      <c r="L23" s="34">
        <v>0</v>
      </c>
      <c r="M23" s="52">
        <f t="shared" si="0"/>
        <v>0.1875</v>
      </c>
      <c r="N23" s="52">
        <f t="shared" si="7"/>
        <v>0</v>
      </c>
      <c r="O23" s="71" t="str">
        <f t="shared" si="3"/>
        <v/>
      </c>
      <c r="P23" s="71" t="str">
        <f t="shared" si="8"/>
        <v/>
      </c>
      <c r="Q23" s="72" t="str">
        <f t="shared" si="5"/>
        <v/>
      </c>
      <c r="S23"/>
      <c r="T23"/>
      <c r="U23"/>
      <c r="V23"/>
      <c r="W23"/>
      <c r="X23"/>
      <c r="Y23"/>
      <c r="Z23" s="4"/>
      <c r="AA23" s="4"/>
      <c r="AB23" s="4"/>
      <c r="AC23" s="4"/>
      <c r="AD23" s="4"/>
      <c r="AE23" s="4"/>
    </row>
    <row r="24" spans="1:31" ht="31.5" customHeight="1" x14ac:dyDescent="0.3">
      <c r="A24" s="200"/>
      <c r="B24" s="27"/>
      <c r="C24" s="27"/>
      <c r="D24" s="27"/>
      <c r="E24" s="78"/>
      <c r="F24" s="176"/>
      <c r="G24" s="78"/>
      <c r="H24" s="27"/>
      <c r="I24" s="173">
        <v>0.72916666666666663</v>
      </c>
      <c r="J24" s="173">
        <v>0.91666666666666663</v>
      </c>
      <c r="K24" s="51">
        <f t="shared" si="6"/>
        <v>8600.9166666666661</v>
      </c>
      <c r="L24" s="34">
        <v>0</v>
      </c>
      <c r="M24" s="52">
        <f t="shared" si="0"/>
        <v>0.1875</v>
      </c>
      <c r="N24" s="52">
        <f t="shared" si="7"/>
        <v>0</v>
      </c>
      <c r="O24" s="71" t="str">
        <f t="shared" si="3"/>
        <v/>
      </c>
      <c r="P24" s="71" t="str">
        <f t="shared" si="8"/>
        <v/>
      </c>
      <c r="Q24" s="72" t="str">
        <f t="shared" si="5"/>
        <v/>
      </c>
      <c r="S24"/>
      <c r="T24"/>
      <c r="U24"/>
      <c r="V24"/>
      <c r="W24"/>
      <c r="X24"/>
      <c r="Y24"/>
      <c r="Z24" s="4"/>
      <c r="AA24" s="4"/>
      <c r="AB24" s="4"/>
      <c r="AC24" s="4"/>
      <c r="AD24" s="4"/>
      <c r="AE24" s="4"/>
    </row>
    <row r="25" spans="1:31" ht="31.2" x14ac:dyDescent="0.3">
      <c r="A25" s="200"/>
      <c r="B25" s="27"/>
      <c r="C25" s="27"/>
      <c r="D25" s="27"/>
      <c r="E25" s="78"/>
      <c r="F25" s="176"/>
      <c r="G25" s="78"/>
      <c r="H25" s="27"/>
      <c r="I25" s="27"/>
      <c r="J25" s="27"/>
      <c r="K25" s="51">
        <f t="shared" si="6"/>
        <v>8600</v>
      </c>
      <c r="L25" s="34">
        <v>0</v>
      </c>
      <c r="M25" s="52" t="str">
        <f t="shared" si="0"/>
        <v/>
      </c>
      <c r="N25" s="52" t="str">
        <f t="shared" si="7"/>
        <v/>
      </c>
      <c r="O25" s="71" t="str">
        <f t="shared" si="3"/>
        <v/>
      </c>
      <c r="P25" s="71" t="str">
        <f t="shared" si="8"/>
        <v/>
      </c>
      <c r="Q25" s="72" t="str">
        <f t="shared" si="5"/>
        <v/>
      </c>
      <c r="S25"/>
      <c r="T25"/>
      <c r="U25"/>
      <c r="V25"/>
      <c r="W25"/>
      <c r="X25"/>
      <c r="Y25"/>
      <c r="Z25" s="4"/>
      <c r="AA25" s="4"/>
      <c r="AB25" s="4"/>
      <c r="AC25" s="4"/>
      <c r="AD25" s="4"/>
      <c r="AE25" s="4"/>
    </row>
    <row r="26" spans="1:31" ht="31.8" thickBot="1" x14ac:dyDescent="0.35">
      <c r="A26" s="201"/>
      <c r="B26" s="30"/>
      <c r="C26" s="30"/>
      <c r="D26" s="30"/>
      <c r="E26" s="80"/>
      <c r="F26" s="177"/>
      <c r="G26" s="80"/>
      <c r="H26" s="30"/>
      <c r="I26" s="30"/>
      <c r="J26" s="30"/>
      <c r="K26" s="51">
        <f t="shared" si="6"/>
        <v>8600</v>
      </c>
      <c r="L26" s="34">
        <v>0</v>
      </c>
      <c r="M26" s="52" t="str">
        <f t="shared" si="0"/>
        <v/>
      </c>
      <c r="N26" s="52" t="str">
        <f t="shared" si="7"/>
        <v/>
      </c>
      <c r="O26" s="71" t="str">
        <f t="shared" si="3"/>
        <v/>
      </c>
      <c r="P26" s="71" t="str">
        <f t="shared" si="8"/>
        <v/>
      </c>
      <c r="Q26" s="72" t="str">
        <f t="shared" si="5"/>
        <v/>
      </c>
      <c r="S26"/>
      <c r="T26"/>
      <c r="U26"/>
      <c r="V26"/>
      <c r="W26"/>
      <c r="X26"/>
      <c r="Y26"/>
      <c r="Z26" s="4"/>
      <c r="AA26" s="4"/>
      <c r="AB26" s="4"/>
      <c r="AC26" s="4"/>
      <c r="AD26" s="4"/>
      <c r="AE26" s="4"/>
    </row>
    <row r="27" spans="1:31" ht="31.2" x14ac:dyDescent="0.3">
      <c r="A27" s="199" t="s">
        <v>33</v>
      </c>
      <c r="B27" s="24"/>
      <c r="C27" s="24"/>
      <c r="D27" s="24"/>
      <c r="E27" s="76"/>
      <c r="F27" s="175"/>
      <c r="G27" s="76"/>
      <c r="H27" s="24"/>
      <c r="I27" s="172">
        <v>0.75</v>
      </c>
      <c r="J27" s="172">
        <v>0.9375</v>
      </c>
      <c r="K27" s="51">
        <f t="shared" si="6"/>
        <v>8600.9375</v>
      </c>
      <c r="L27" s="34">
        <v>0</v>
      </c>
      <c r="M27" s="52">
        <f t="shared" si="0"/>
        <v>0.1875</v>
      </c>
      <c r="N27" s="52">
        <f t="shared" si="7"/>
        <v>0</v>
      </c>
      <c r="O27" s="71" t="str">
        <f t="shared" si="3"/>
        <v/>
      </c>
      <c r="P27" s="71" t="str">
        <f t="shared" si="8"/>
        <v/>
      </c>
      <c r="Q27" s="72" t="str">
        <f t="shared" si="5"/>
        <v/>
      </c>
      <c r="S27"/>
      <c r="T27"/>
      <c r="U27"/>
      <c r="V27"/>
      <c r="W27"/>
      <c r="X27"/>
      <c r="Y27"/>
      <c r="Z27" s="4"/>
      <c r="AA27" s="4"/>
      <c r="AB27" s="4"/>
      <c r="AC27" s="4"/>
      <c r="AD27" s="4"/>
      <c r="AE27" s="4"/>
    </row>
    <row r="28" spans="1:31" ht="31.2" x14ac:dyDescent="0.3">
      <c r="A28" s="200"/>
      <c r="B28" s="27"/>
      <c r="C28" s="27"/>
      <c r="D28" s="27"/>
      <c r="E28" s="78"/>
      <c r="F28" s="176"/>
      <c r="G28" s="78"/>
      <c r="H28" s="27"/>
      <c r="I28" s="173">
        <v>0.79166666666666663</v>
      </c>
      <c r="J28" s="173">
        <v>0.9375</v>
      </c>
      <c r="K28" s="51">
        <f t="shared" si="6"/>
        <v>8600.9375</v>
      </c>
      <c r="L28" s="34">
        <v>0</v>
      </c>
      <c r="M28" s="52">
        <f t="shared" si="0"/>
        <v>0.14583333333333337</v>
      </c>
      <c r="N28" s="52">
        <f t="shared" si="7"/>
        <v>0</v>
      </c>
      <c r="O28" s="71" t="str">
        <f t="shared" si="3"/>
        <v/>
      </c>
      <c r="P28" s="71" t="str">
        <f t="shared" si="8"/>
        <v/>
      </c>
      <c r="Q28" s="72" t="str">
        <f t="shared" si="5"/>
        <v/>
      </c>
      <c r="S28"/>
      <c r="T28"/>
      <c r="U28"/>
      <c r="V28"/>
      <c r="W28"/>
      <c r="X28"/>
      <c r="Y28"/>
      <c r="Z28" s="4"/>
      <c r="AA28" s="4"/>
      <c r="AB28" s="4"/>
      <c r="AC28" s="4"/>
      <c r="AD28" s="4"/>
      <c r="AE28" s="4"/>
    </row>
    <row r="29" spans="1:31" ht="31.2" x14ac:dyDescent="0.3">
      <c r="A29" s="200"/>
      <c r="B29" s="27"/>
      <c r="C29" s="27"/>
      <c r="D29" s="27"/>
      <c r="E29" s="78"/>
      <c r="F29" s="176"/>
      <c r="G29" s="78"/>
      <c r="H29" s="27"/>
      <c r="I29" s="27"/>
      <c r="J29" s="27"/>
      <c r="K29" s="51">
        <f t="shared" si="6"/>
        <v>8600</v>
      </c>
      <c r="L29" s="34">
        <v>0</v>
      </c>
      <c r="M29" s="52" t="str">
        <f t="shared" si="0"/>
        <v/>
      </c>
      <c r="N29" s="52" t="str">
        <f t="shared" si="7"/>
        <v/>
      </c>
      <c r="O29" s="71" t="str">
        <f t="shared" si="3"/>
        <v/>
      </c>
      <c r="P29" s="71" t="str">
        <f t="shared" si="8"/>
        <v/>
      </c>
      <c r="Q29" s="72" t="str">
        <f t="shared" si="5"/>
        <v/>
      </c>
      <c r="S29"/>
      <c r="T29"/>
      <c r="U29"/>
      <c r="V29"/>
      <c r="W29"/>
      <c r="X29"/>
      <c r="Y29"/>
      <c r="Z29" s="4"/>
      <c r="AA29" s="4"/>
      <c r="AB29" s="4"/>
      <c r="AC29" s="4"/>
      <c r="AD29" s="4"/>
      <c r="AE29" s="4"/>
    </row>
    <row r="30" spans="1:31" ht="31.8" thickBot="1" x14ac:dyDescent="0.35">
      <c r="A30" s="201"/>
      <c r="B30" s="30"/>
      <c r="C30" s="30"/>
      <c r="D30" s="30"/>
      <c r="E30" s="80"/>
      <c r="F30" s="177"/>
      <c r="G30" s="80"/>
      <c r="H30" s="30"/>
      <c r="I30" s="30"/>
      <c r="J30" s="30"/>
      <c r="K30" s="51">
        <f t="shared" si="6"/>
        <v>8600</v>
      </c>
      <c r="L30" s="34">
        <v>0</v>
      </c>
      <c r="M30" s="52" t="str">
        <f t="shared" si="0"/>
        <v/>
      </c>
      <c r="N30" s="52" t="str">
        <f t="shared" si="7"/>
        <v/>
      </c>
      <c r="O30" s="71" t="str">
        <f t="shared" si="3"/>
        <v/>
      </c>
      <c r="P30" s="71" t="str">
        <f t="shared" si="8"/>
        <v/>
      </c>
      <c r="Q30" s="72" t="str">
        <f t="shared" si="5"/>
        <v/>
      </c>
      <c r="S30"/>
      <c r="T30"/>
      <c r="U30"/>
      <c r="V30"/>
      <c r="W30"/>
      <c r="X30"/>
      <c r="Y30"/>
      <c r="Z30" s="4"/>
      <c r="AA30" s="4"/>
      <c r="AB30" s="4"/>
      <c r="AC30" s="4"/>
      <c r="AD30" s="4"/>
      <c r="AE30" s="4"/>
    </row>
    <row r="31" spans="1:31" ht="31.2" x14ac:dyDescent="0.3">
      <c r="A31" s="196" t="s">
        <v>34</v>
      </c>
      <c r="B31" s="24"/>
      <c r="C31" s="24"/>
      <c r="D31" s="24"/>
      <c r="E31" s="76"/>
      <c r="F31" s="175"/>
      <c r="G31" s="76"/>
      <c r="H31" s="24"/>
      <c r="I31" s="172">
        <v>0.72916666666666663</v>
      </c>
      <c r="J31" s="172">
        <v>0.9375</v>
      </c>
      <c r="K31" s="51">
        <f t="shared" si="6"/>
        <v>8600.9375</v>
      </c>
      <c r="L31" s="34">
        <v>0</v>
      </c>
      <c r="M31" s="52">
        <f t="shared" si="0"/>
        <v>0.20833333333333337</v>
      </c>
      <c r="N31" s="52">
        <f t="shared" si="7"/>
        <v>0</v>
      </c>
      <c r="O31" s="71" t="str">
        <f t="shared" si="3"/>
        <v/>
      </c>
      <c r="P31" s="71" t="str">
        <f t="shared" si="8"/>
        <v/>
      </c>
      <c r="Q31" s="72" t="str">
        <f t="shared" si="5"/>
        <v/>
      </c>
      <c r="S31"/>
      <c r="T31"/>
      <c r="U31"/>
      <c r="V31"/>
      <c r="W31"/>
      <c r="X31"/>
      <c r="Y31"/>
      <c r="Z31" s="4"/>
      <c r="AA31" s="4"/>
      <c r="AB31" s="4"/>
      <c r="AC31" s="4"/>
      <c r="AD31" s="4"/>
      <c r="AE31" s="4"/>
    </row>
    <row r="32" spans="1:31" ht="31.2" x14ac:dyDescent="0.3">
      <c r="A32" s="197"/>
      <c r="B32" s="27"/>
      <c r="C32" s="27"/>
      <c r="D32" s="27"/>
      <c r="E32" s="78"/>
      <c r="F32" s="176"/>
      <c r="G32" s="78"/>
      <c r="H32" s="27"/>
      <c r="I32" s="173">
        <v>0.75</v>
      </c>
      <c r="J32" s="173">
        <v>0.89583333333333337</v>
      </c>
      <c r="K32" s="51">
        <f t="shared" si="6"/>
        <v>8600.8958333333339</v>
      </c>
      <c r="L32" s="34">
        <v>0</v>
      </c>
      <c r="M32" s="52">
        <f t="shared" si="0"/>
        <v>0.14583333333333337</v>
      </c>
      <c r="N32" s="52">
        <f t="shared" si="7"/>
        <v>0</v>
      </c>
      <c r="O32" s="71" t="str">
        <f t="shared" si="3"/>
        <v/>
      </c>
      <c r="P32" s="71" t="str">
        <f t="shared" si="8"/>
        <v/>
      </c>
      <c r="Q32" s="72" t="str">
        <f t="shared" si="5"/>
        <v/>
      </c>
      <c r="S32"/>
      <c r="T32"/>
      <c r="U32"/>
      <c r="V32"/>
      <c r="W32"/>
      <c r="X32"/>
      <c r="Y32"/>
      <c r="Z32" s="4"/>
      <c r="AA32" s="4"/>
      <c r="AB32" s="4"/>
      <c r="AC32" s="4"/>
      <c r="AD32" s="4"/>
      <c r="AE32" s="4"/>
    </row>
    <row r="33" spans="1:31" ht="31.2" x14ac:dyDescent="0.3">
      <c r="A33" s="197"/>
      <c r="B33" s="27"/>
      <c r="C33" s="27"/>
      <c r="D33" s="27"/>
      <c r="E33" s="78"/>
      <c r="F33" s="176"/>
      <c r="G33" s="78"/>
      <c r="H33" s="27"/>
      <c r="I33" s="173">
        <v>0.72916666666666663</v>
      </c>
      <c r="J33" s="173">
        <v>0.91666666666666663</v>
      </c>
      <c r="K33" s="51">
        <f t="shared" si="6"/>
        <v>8600.9166666666661</v>
      </c>
      <c r="L33" s="34">
        <v>0</v>
      </c>
      <c r="M33" s="52">
        <f t="shared" si="0"/>
        <v>0.1875</v>
      </c>
      <c r="N33" s="52">
        <f t="shared" si="7"/>
        <v>0</v>
      </c>
      <c r="O33" s="71" t="str">
        <f t="shared" si="3"/>
        <v/>
      </c>
      <c r="P33" s="71" t="str">
        <f t="shared" si="8"/>
        <v/>
      </c>
      <c r="Q33" s="72" t="str">
        <f t="shared" si="5"/>
        <v/>
      </c>
      <c r="S33"/>
      <c r="T33"/>
      <c r="U33"/>
      <c r="V33"/>
      <c r="W33"/>
      <c r="X33"/>
      <c r="Y33"/>
      <c r="Z33" s="4"/>
      <c r="AA33" s="4"/>
      <c r="AB33" s="4"/>
      <c r="AC33" s="4"/>
      <c r="AD33" s="4"/>
      <c r="AE33" s="4"/>
    </row>
    <row r="34" spans="1:31" ht="31.8" thickBot="1" x14ac:dyDescent="0.35">
      <c r="A34" s="198"/>
      <c r="B34" s="30"/>
      <c r="C34" s="30"/>
      <c r="D34" s="30"/>
      <c r="E34" s="80"/>
      <c r="F34" s="177"/>
      <c r="G34" s="80"/>
      <c r="H34" s="30"/>
      <c r="I34" s="30"/>
      <c r="J34" s="30"/>
      <c r="K34" s="51">
        <f t="shared" si="6"/>
        <v>8600</v>
      </c>
      <c r="L34" s="34">
        <v>0</v>
      </c>
      <c r="M34" s="52" t="str">
        <f t="shared" si="0"/>
        <v/>
      </c>
      <c r="N34" s="52" t="str">
        <f t="shared" si="7"/>
        <v/>
      </c>
      <c r="O34" s="71" t="str">
        <f t="shared" si="3"/>
        <v/>
      </c>
      <c r="P34" s="71" t="str">
        <f t="shared" si="8"/>
        <v/>
      </c>
      <c r="Q34" s="72" t="str">
        <f t="shared" si="5"/>
        <v/>
      </c>
      <c r="S34"/>
      <c r="T34"/>
      <c r="U34"/>
      <c r="V34"/>
      <c r="W34"/>
      <c r="X34"/>
      <c r="Y34"/>
      <c r="Z34" s="4"/>
      <c r="AA34" s="4"/>
      <c r="AB34" s="4"/>
      <c r="AC34" s="4"/>
      <c r="AD34" s="4"/>
      <c r="AE34" s="4"/>
    </row>
    <row r="35" spans="1:31" ht="31.2" x14ac:dyDescent="0.3">
      <c r="A35" s="196" t="s">
        <v>35</v>
      </c>
      <c r="B35" s="24"/>
      <c r="C35" s="24"/>
      <c r="D35" s="24"/>
      <c r="E35" s="76"/>
      <c r="F35" s="175"/>
      <c r="G35" s="76"/>
      <c r="H35" s="24"/>
      <c r="I35" s="172">
        <v>0.72916666666666663</v>
      </c>
      <c r="J35" s="172">
        <v>0.9375</v>
      </c>
      <c r="K35" s="51">
        <f t="shared" si="6"/>
        <v>8600.9375</v>
      </c>
      <c r="L35" s="34">
        <v>0</v>
      </c>
      <c r="M35" s="52">
        <f t="shared" si="0"/>
        <v>0.20833333333333337</v>
      </c>
      <c r="N35" s="52">
        <f t="shared" si="7"/>
        <v>0</v>
      </c>
      <c r="O35" s="71" t="str">
        <f t="shared" si="3"/>
        <v/>
      </c>
      <c r="P35" s="71" t="str">
        <f t="shared" si="8"/>
        <v/>
      </c>
      <c r="Q35" s="72" t="str">
        <f t="shared" si="5"/>
        <v/>
      </c>
      <c r="S35"/>
      <c r="T35"/>
      <c r="U35"/>
      <c r="V35"/>
      <c r="W35"/>
      <c r="X35"/>
      <c r="Y35"/>
      <c r="Z35" s="4"/>
      <c r="AA35" s="4"/>
      <c r="AB35" s="4"/>
      <c r="AC35" s="4"/>
      <c r="AD35" s="4"/>
      <c r="AE35" s="4"/>
    </row>
    <row r="36" spans="1:31" ht="31.2" x14ac:dyDescent="0.3">
      <c r="A36" s="197"/>
      <c r="B36" s="27"/>
      <c r="C36" s="27"/>
      <c r="D36" s="27"/>
      <c r="E36" s="78"/>
      <c r="F36" s="176"/>
      <c r="G36" s="78"/>
      <c r="H36" s="27"/>
      <c r="I36" s="173">
        <v>0.72916666666666663</v>
      </c>
      <c r="J36" s="173">
        <v>0.91666666666666663</v>
      </c>
      <c r="K36" s="51">
        <f t="shared" si="6"/>
        <v>8600.9166666666661</v>
      </c>
      <c r="L36" s="34">
        <v>0</v>
      </c>
      <c r="M36" s="52">
        <f t="shared" si="0"/>
        <v>0.1875</v>
      </c>
      <c r="N36" s="52">
        <f t="shared" si="7"/>
        <v>0</v>
      </c>
      <c r="O36" s="71" t="str">
        <f t="shared" si="3"/>
        <v/>
      </c>
      <c r="P36" s="71" t="str">
        <f t="shared" si="8"/>
        <v/>
      </c>
      <c r="Q36" s="72" t="str">
        <f t="shared" si="5"/>
        <v/>
      </c>
      <c r="S36"/>
      <c r="T36"/>
      <c r="U36"/>
      <c r="V36"/>
      <c r="W36"/>
      <c r="X36"/>
      <c r="Y36"/>
      <c r="Z36" s="4"/>
      <c r="AA36" s="4"/>
      <c r="AB36" s="4"/>
      <c r="AC36" s="4"/>
      <c r="AD36" s="4"/>
      <c r="AE36" s="4"/>
    </row>
    <row r="37" spans="1:31" ht="31.2" x14ac:dyDescent="0.3">
      <c r="A37" s="197"/>
      <c r="B37" s="27"/>
      <c r="C37" s="27"/>
      <c r="D37" s="27"/>
      <c r="E37" s="78"/>
      <c r="F37" s="176"/>
      <c r="G37" s="78"/>
      <c r="H37" s="27"/>
      <c r="I37" s="27"/>
      <c r="J37" s="27"/>
      <c r="K37" s="51">
        <f t="shared" si="6"/>
        <v>8600</v>
      </c>
      <c r="L37" s="34">
        <v>0</v>
      </c>
      <c r="M37" s="52" t="str">
        <f t="shared" si="0"/>
        <v/>
      </c>
      <c r="N37" s="52" t="str">
        <f t="shared" si="7"/>
        <v/>
      </c>
      <c r="O37" s="71" t="str">
        <f t="shared" si="3"/>
        <v/>
      </c>
      <c r="P37" s="71" t="str">
        <f t="shared" si="8"/>
        <v/>
      </c>
      <c r="Q37" s="72" t="str">
        <f t="shared" si="5"/>
        <v/>
      </c>
      <c r="S37"/>
      <c r="T37"/>
      <c r="U37"/>
      <c r="V37"/>
      <c r="W37"/>
      <c r="X37"/>
      <c r="Y37"/>
      <c r="Z37" s="4"/>
      <c r="AA37" s="4"/>
      <c r="AB37" s="4"/>
      <c r="AC37" s="4"/>
      <c r="AD37" s="4"/>
      <c r="AE37" s="4"/>
    </row>
    <row r="38" spans="1:31" ht="31.8" thickBot="1" x14ac:dyDescent="0.35">
      <c r="A38" s="198"/>
      <c r="B38" s="30"/>
      <c r="C38" s="30"/>
      <c r="D38" s="30"/>
      <c r="E38" s="80"/>
      <c r="F38" s="177"/>
      <c r="G38" s="80"/>
      <c r="H38" s="30"/>
      <c r="I38" s="30"/>
      <c r="J38" s="30"/>
      <c r="K38" s="51">
        <f t="shared" si="6"/>
        <v>8600</v>
      </c>
      <c r="L38" s="34">
        <v>0</v>
      </c>
      <c r="M38" s="52" t="str">
        <f t="shared" si="0"/>
        <v/>
      </c>
      <c r="N38" s="52" t="str">
        <f t="shared" si="7"/>
        <v/>
      </c>
      <c r="O38" s="71" t="str">
        <f t="shared" si="3"/>
        <v/>
      </c>
      <c r="P38" s="71" t="str">
        <f t="shared" si="8"/>
        <v/>
      </c>
      <c r="Q38" s="72" t="str">
        <f t="shared" si="5"/>
        <v/>
      </c>
      <c r="S38"/>
      <c r="T38"/>
      <c r="U38"/>
      <c r="V38"/>
      <c r="W38"/>
      <c r="X38"/>
      <c r="Y38"/>
      <c r="Z38" s="4"/>
      <c r="AA38" s="4"/>
      <c r="AB38" s="4"/>
      <c r="AC38" s="4"/>
      <c r="AD38" s="4"/>
      <c r="AE38" s="4"/>
    </row>
    <row r="39" spans="1:31" ht="31.2" x14ac:dyDescent="0.3">
      <c r="A39" s="196" t="s">
        <v>36</v>
      </c>
      <c r="B39" s="24"/>
      <c r="C39" s="24"/>
      <c r="D39" s="24"/>
      <c r="E39" s="76"/>
      <c r="F39" s="175"/>
      <c r="G39" s="76"/>
      <c r="H39" s="24"/>
      <c r="I39" s="172">
        <v>0.72916666666666663</v>
      </c>
      <c r="J39" s="172">
        <v>0.9375</v>
      </c>
      <c r="K39" s="51">
        <f t="shared" si="6"/>
        <v>8600.9375</v>
      </c>
      <c r="L39" s="34">
        <v>0</v>
      </c>
      <c r="M39" s="52">
        <f t="shared" si="0"/>
        <v>0.20833333333333337</v>
      </c>
      <c r="N39" s="52">
        <f t="shared" si="7"/>
        <v>0</v>
      </c>
      <c r="O39" s="71" t="str">
        <f t="shared" si="3"/>
        <v/>
      </c>
      <c r="P39" s="71" t="str">
        <f t="shared" si="8"/>
        <v/>
      </c>
      <c r="Q39" s="72" t="str">
        <f t="shared" si="5"/>
        <v/>
      </c>
      <c r="S39"/>
      <c r="T39"/>
      <c r="U39"/>
      <c r="V39"/>
      <c r="W39"/>
      <c r="X39"/>
      <c r="Y39"/>
      <c r="Z39" s="4"/>
      <c r="AA39" s="4"/>
      <c r="AB39" s="4"/>
      <c r="AC39" s="4"/>
      <c r="AD39" s="4"/>
      <c r="AE39" s="4"/>
    </row>
    <row r="40" spans="1:31" ht="31.2" x14ac:dyDescent="0.3">
      <c r="A40" s="197"/>
      <c r="B40" s="27"/>
      <c r="C40" s="27"/>
      <c r="D40" s="27"/>
      <c r="E40" s="78"/>
      <c r="F40" s="176"/>
      <c r="G40" s="78"/>
      <c r="H40" s="27"/>
      <c r="I40" s="173">
        <v>0.75</v>
      </c>
      <c r="J40" s="173">
        <v>0.89583333333333337</v>
      </c>
      <c r="K40" s="51">
        <f t="shared" si="6"/>
        <v>8600.8958333333339</v>
      </c>
      <c r="L40" s="34">
        <v>0</v>
      </c>
      <c r="M40" s="52">
        <f t="shared" si="0"/>
        <v>0.14583333333333337</v>
      </c>
      <c r="N40" s="52">
        <f t="shared" si="7"/>
        <v>0</v>
      </c>
      <c r="O40" s="71" t="str">
        <f t="shared" si="3"/>
        <v/>
      </c>
      <c r="P40" s="71" t="str">
        <f t="shared" si="8"/>
        <v/>
      </c>
      <c r="Q40" s="72" t="str">
        <f t="shared" si="5"/>
        <v/>
      </c>
      <c r="S40"/>
      <c r="T40"/>
      <c r="U40"/>
      <c r="V40"/>
      <c r="W40"/>
      <c r="X40"/>
      <c r="Y40"/>
      <c r="Z40" s="4"/>
      <c r="AA40" s="4"/>
      <c r="AB40" s="4"/>
      <c r="AC40" s="4"/>
      <c r="AD40" s="4"/>
      <c r="AE40" s="4"/>
    </row>
    <row r="41" spans="1:31" ht="31.2" x14ac:dyDescent="0.3">
      <c r="A41" s="197"/>
      <c r="B41" s="27"/>
      <c r="C41" s="27"/>
      <c r="D41" s="27"/>
      <c r="E41" s="78"/>
      <c r="F41" s="176"/>
      <c r="G41" s="78"/>
      <c r="H41" s="27"/>
      <c r="I41" s="173">
        <v>0.72916666666666663</v>
      </c>
      <c r="J41" s="173">
        <v>0.91666666666666663</v>
      </c>
      <c r="K41" s="51">
        <f t="shared" si="6"/>
        <v>8600.9166666666661</v>
      </c>
      <c r="L41" s="34">
        <v>0</v>
      </c>
      <c r="M41" s="52">
        <f t="shared" si="0"/>
        <v>0.1875</v>
      </c>
      <c r="N41" s="52">
        <f t="shared" si="7"/>
        <v>0</v>
      </c>
      <c r="O41" s="71" t="str">
        <f t="shared" si="3"/>
        <v/>
      </c>
      <c r="P41" s="71" t="str">
        <f t="shared" si="8"/>
        <v/>
      </c>
      <c r="Q41" s="72" t="str">
        <f t="shared" si="5"/>
        <v/>
      </c>
      <c r="S41"/>
      <c r="T41"/>
      <c r="U41"/>
      <c r="V41"/>
      <c r="W41"/>
      <c r="X41"/>
      <c r="Y41"/>
      <c r="Z41" s="4"/>
      <c r="AA41" s="4"/>
      <c r="AB41" s="4"/>
      <c r="AC41" s="4"/>
      <c r="AD41" s="4"/>
      <c r="AE41" s="4"/>
    </row>
    <row r="42" spans="1:31" ht="31.8" thickBot="1" x14ac:dyDescent="0.35">
      <c r="A42" s="198"/>
      <c r="B42" s="30"/>
      <c r="C42" s="30"/>
      <c r="D42" s="30"/>
      <c r="E42" s="80"/>
      <c r="F42" s="177"/>
      <c r="G42" s="80"/>
      <c r="H42" s="30"/>
      <c r="I42" s="30"/>
      <c r="J42" s="30"/>
      <c r="K42" s="51">
        <f t="shared" si="6"/>
        <v>8600</v>
      </c>
      <c r="L42" s="34">
        <v>0</v>
      </c>
      <c r="M42" s="52" t="str">
        <f t="shared" si="0"/>
        <v/>
      </c>
      <c r="N42" s="52" t="str">
        <f t="shared" si="7"/>
        <v/>
      </c>
      <c r="O42" s="71" t="str">
        <f t="shared" si="3"/>
        <v/>
      </c>
      <c r="P42" s="71" t="str">
        <f t="shared" si="8"/>
        <v/>
      </c>
      <c r="Q42" s="72" t="str">
        <f t="shared" si="5"/>
        <v/>
      </c>
      <c r="S42"/>
      <c r="T42"/>
      <c r="U42"/>
      <c r="V42"/>
      <c r="W42"/>
      <c r="X42"/>
      <c r="Y42"/>
      <c r="Z42" s="4"/>
      <c r="AA42" s="4"/>
      <c r="AB42" s="4"/>
      <c r="AC42" s="4"/>
      <c r="AD42" s="4"/>
      <c r="AE42" s="4"/>
    </row>
    <row r="43" spans="1:31" ht="31.2" x14ac:dyDescent="0.3">
      <c r="A43" s="196" t="s">
        <v>37</v>
      </c>
      <c r="B43" s="24"/>
      <c r="C43" s="24"/>
      <c r="D43" s="24"/>
      <c r="E43" s="76"/>
      <c r="F43" s="175"/>
      <c r="G43" s="76"/>
      <c r="H43" s="24"/>
      <c r="I43" s="172">
        <v>0.75</v>
      </c>
      <c r="J43" s="172">
        <v>0.9375</v>
      </c>
      <c r="K43" s="51">
        <f t="shared" si="6"/>
        <v>8600.9375</v>
      </c>
      <c r="L43" s="34">
        <v>0</v>
      </c>
      <c r="M43" s="52">
        <f t="shared" si="0"/>
        <v>0.1875</v>
      </c>
      <c r="N43" s="52">
        <f t="shared" si="7"/>
        <v>0</v>
      </c>
      <c r="O43" s="71" t="str">
        <f t="shared" si="3"/>
        <v/>
      </c>
      <c r="P43" s="71" t="str">
        <f t="shared" si="8"/>
        <v/>
      </c>
      <c r="Q43" s="72" t="str">
        <f t="shared" si="5"/>
        <v/>
      </c>
      <c r="S43"/>
      <c r="T43"/>
      <c r="U43"/>
      <c r="V43"/>
      <c r="W43"/>
      <c r="X43"/>
      <c r="Y43"/>
      <c r="Z43" s="4"/>
      <c r="AA43" s="4"/>
      <c r="AB43" s="4"/>
      <c r="AC43" s="4"/>
      <c r="AD43" s="4"/>
      <c r="AE43" s="4"/>
    </row>
    <row r="44" spans="1:31" ht="31.2" x14ac:dyDescent="0.3">
      <c r="A44" s="197"/>
      <c r="B44" s="27"/>
      <c r="C44" s="27"/>
      <c r="D44" s="27"/>
      <c r="E44" s="78"/>
      <c r="F44" s="176"/>
      <c r="G44" s="78"/>
      <c r="H44" s="27"/>
      <c r="I44" s="27"/>
      <c r="J44" s="27"/>
      <c r="K44" s="51">
        <f t="shared" si="6"/>
        <v>8600</v>
      </c>
      <c r="L44" s="34">
        <v>0</v>
      </c>
      <c r="M44" s="52" t="str">
        <f t="shared" si="0"/>
        <v/>
      </c>
      <c r="N44" s="52" t="str">
        <f t="shared" si="7"/>
        <v/>
      </c>
      <c r="O44" s="71" t="str">
        <f t="shared" si="3"/>
        <v/>
      </c>
      <c r="P44" s="71" t="str">
        <f t="shared" si="8"/>
        <v/>
      </c>
      <c r="Q44" s="72" t="str">
        <f t="shared" si="5"/>
        <v/>
      </c>
      <c r="S44"/>
      <c r="T44"/>
      <c r="U44"/>
      <c r="V44"/>
      <c r="W44"/>
      <c r="X44"/>
      <c r="Y44"/>
      <c r="Z44" s="4"/>
      <c r="AA44" s="4"/>
      <c r="AB44" s="4"/>
      <c r="AC44" s="4"/>
      <c r="AD44" s="4"/>
      <c r="AE44" s="4"/>
    </row>
    <row r="45" spans="1:31" ht="31.8" thickBot="1" x14ac:dyDescent="0.35">
      <c r="A45" s="198"/>
      <c r="B45" s="30"/>
      <c r="C45" s="30"/>
      <c r="D45" s="30"/>
      <c r="E45" s="80"/>
      <c r="F45" s="177"/>
      <c r="G45" s="80"/>
      <c r="H45" s="30"/>
      <c r="I45" s="30"/>
      <c r="J45" s="30"/>
      <c r="K45" s="51">
        <f t="shared" si="6"/>
        <v>8600</v>
      </c>
      <c r="L45" s="34">
        <v>0</v>
      </c>
      <c r="M45" s="52" t="str">
        <f t="shared" si="0"/>
        <v/>
      </c>
      <c r="N45" s="52" t="str">
        <f t="shared" si="7"/>
        <v/>
      </c>
      <c r="O45" s="71" t="str">
        <f t="shared" si="3"/>
        <v/>
      </c>
      <c r="P45" s="71" t="str">
        <f t="shared" si="8"/>
        <v/>
      </c>
      <c r="Q45" s="72" t="str">
        <f t="shared" si="5"/>
        <v/>
      </c>
      <c r="S45"/>
      <c r="T45"/>
      <c r="U45"/>
      <c r="V45"/>
      <c r="W45"/>
      <c r="X45"/>
      <c r="Y45"/>
      <c r="Z45" s="4"/>
      <c r="AA45" s="4"/>
      <c r="AB45" s="4"/>
      <c r="AC45" s="4"/>
      <c r="AD45" s="4"/>
      <c r="AE45" s="4"/>
    </row>
    <row r="46" spans="1:31" ht="31.2" x14ac:dyDescent="0.3">
      <c r="A46" s="187" t="s">
        <v>38</v>
      </c>
      <c r="B46" s="24"/>
      <c r="C46" s="24"/>
      <c r="D46" s="24"/>
      <c r="E46" s="76"/>
      <c r="F46" s="175"/>
      <c r="G46" s="76"/>
      <c r="H46" s="24"/>
      <c r="I46" s="172">
        <v>0.70833333333333337</v>
      </c>
      <c r="J46" s="172">
        <v>0.9375</v>
      </c>
      <c r="K46" s="51">
        <f t="shared" si="6"/>
        <v>8600.9375</v>
      </c>
      <c r="L46" s="34">
        <v>0</v>
      </c>
      <c r="M46" s="52">
        <f t="shared" si="0"/>
        <v>0.22916666666666663</v>
      </c>
      <c r="N46" s="52">
        <f t="shared" si="7"/>
        <v>0</v>
      </c>
      <c r="O46" s="71" t="str">
        <f t="shared" si="3"/>
        <v/>
      </c>
      <c r="P46" s="71" t="str">
        <f t="shared" si="8"/>
        <v/>
      </c>
      <c r="Q46" s="72" t="str">
        <f t="shared" si="5"/>
        <v/>
      </c>
      <c r="S46"/>
      <c r="T46"/>
      <c r="U46"/>
      <c r="V46"/>
      <c r="W46"/>
      <c r="X46"/>
      <c r="Y46"/>
      <c r="Z46" s="4"/>
      <c r="AA46" s="4"/>
      <c r="AB46" s="4"/>
      <c r="AC46" s="4"/>
      <c r="AD46" s="4"/>
      <c r="AE46" s="4"/>
    </row>
    <row r="47" spans="1:31" ht="31.2" x14ac:dyDescent="0.3">
      <c r="A47" s="188"/>
      <c r="B47" s="27"/>
      <c r="C47" s="27"/>
      <c r="D47" s="27"/>
      <c r="E47" s="78"/>
      <c r="F47" s="176"/>
      <c r="G47" s="78"/>
      <c r="H47" s="27"/>
      <c r="I47" s="173">
        <v>0.72916666666666663</v>
      </c>
      <c r="J47" s="173">
        <v>0.91666666666666663</v>
      </c>
      <c r="K47" s="51">
        <f t="shared" si="6"/>
        <v>8600.9166666666661</v>
      </c>
      <c r="L47" s="34">
        <v>0</v>
      </c>
      <c r="M47" s="52">
        <f t="shared" si="0"/>
        <v>0.1875</v>
      </c>
      <c r="N47" s="52">
        <f t="shared" si="7"/>
        <v>0</v>
      </c>
      <c r="O47" s="71" t="str">
        <f t="shared" si="3"/>
        <v/>
      </c>
      <c r="P47" s="71" t="str">
        <f t="shared" si="8"/>
        <v/>
      </c>
      <c r="Q47" s="72" t="str">
        <f t="shared" si="5"/>
        <v/>
      </c>
      <c r="S47"/>
      <c r="T47"/>
      <c r="U47"/>
      <c r="V47"/>
      <c r="W47"/>
      <c r="X47"/>
      <c r="Y47"/>
      <c r="Z47" s="4"/>
      <c r="AA47" s="4"/>
      <c r="AB47" s="4"/>
      <c r="AC47" s="4"/>
      <c r="AD47" s="4"/>
      <c r="AE47" s="4"/>
    </row>
    <row r="48" spans="1:31" ht="31.2" x14ac:dyDescent="0.3">
      <c r="A48" s="188"/>
      <c r="B48" s="27"/>
      <c r="C48" s="27"/>
      <c r="D48" s="27"/>
      <c r="E48" s="78"/>
      <c r="F48" s="176"/>
      <c r="G48" s="78"/>
      <c r="H48" s="27"/>
      <c r="I48" s="173">
        <v>0.75</v>
      </c>
      <c r="J48" s="173">
        <v>0.89583333333333337</v>
      </c>
      <c r="K48" s="51">
        <f t="shared" si="6"/>
        <v>8600.8958333333339</v>
      </c>
      <c r="L48" s="34">
        <v>0</v>
      </c>
      <c r="M48" s="52">
        <f t="shared" si="0"/>
        <v>0.14583333333333337</v>
      </c>
      <c r="N48" s="52">
        <f t="shared" si="7"/>
        <v>0</v>
      </c>
      <c r="O48" s="71" t="str">
        <f t="shared" si="3"/>
        <v/>
      </c>
      <c r="P48" s="71" t="str">
        <f t="shared" si="8"/>
        <v/>
      </c>
      <c r="Q48" s="72" t="str">
        <f t="shared" si="5"/>
        <v/>
      </c>
      <c r="S48"/>
      <c r="T48"/>
      <c r="U48"/>
      <c r="V48"/>
      <c r="W48"/>
      <c r="X48"/>
      <c r="Y48"/>
      <c r="Z48" s="4"/>
      <c r="AA48" s="4"/>
      <c r="AB48" s="4"/>
      <c r="AC48" s="4"/>
      <c r="AD48" s="4"/>
      <c r="AE48" s="4"/>
    </row>
    <row r="49" spans="1:31" ht="31.2" x14ac:dyDescent="0.3">
      <c r="A49" s="188"/>
      <c r="B49" s="27"/>
      <c r="C49" s="27"/>
      <c r="D49" s="27"/>
      <c r="E49" s="78"/>
      <c r="F49" s="176"/>
      <c r="G49" s="78"/>
      <c r="H49" s="27"/>
      <c r="I49" s="173">
        <v>0.72916666666666663</v>
      </c>
      <c r="J49" s="173">
        <v>0.91666666666666663</v>
      </c>
      <c r="K49" s="51">
        <f t="shared" si="6"/>
        <v>8600.9166666666661</v>
      </c>
      <c r="L49" s="34">
        <v>0</v>
      </c>
      <c r="M49" s="52">
        <f t="shared" si="0"/>
        <v>0.1875</v>
      </c>
      <c r="N49" s="52">
        <f t="shared" si="7"/>
        <v>0</v>
      </c>
      <c r="O49" s="71" t="str">
        <f t="shared" si="3"/>
        <v/>
      </c>
      <c r="P49" s="71" t="str">
        <f t="shared" si="8"/>
        <v/>
      </c>
      <c r="Q49" s="72" t="str">
        <f t="shared" si="5"/>
        <v/>
      </c>
      <c r="S49"/>
      <c r="T49"/>
      <c r="U49"/>
      <c r="V49"/>
      <c r="W49"/>
      <c r="X49"/>
      <c r="Y49"/>
      <c r="Z49" s="4"/>
      <c r="AA49" s="4"/>
      <c r="AB49" s="4"/>
      <c r="AC49" s="4"/>
      <c r="AD49" s="4"/>
      <c r="AE49" s="4"/>
    </row>
    <row r="50" spans="1:31" ht="31.2" x14ac:dyDescent="0.3">
      <c r="A50" s="188"/>
      <c r="B50" s="27"/>
      <c r="C50" s="27"/>
      <c r="D50" s="27"/>
      <c r="E50" s="78"/>
      <c r="F50" s="176"/>
      <c r="G50" s="78"/>
      <c r="H50" s="27"/>
      <c r="I50" s="173">
        <v>0.72916666666666663</v>
      </c>
      <c r="J50" s="173">
        <v>0.91666666666666663</v>
      </c>
      <c r="K50" s="51">
        <f t="shared" si="6"/>
        <v>8600.9166666666661</v>
      </c>
      <c r="L50" s="34">
        <v>0</v>
      </c>
      <c r="M50" s="52">
        <f t="shared" si="0"/>
        <v>0.1875</v>
      </c>
      <c r="N50" s="52">
        <f t="shared" si="7"/>
        <v>0</v>
      </c>
      <c r="O50" s="71" t="str">
        <f t="shared" si="3"/>
        <v/>
      </c>
      <c r="P50" s="71" t="str">
        <f t="shared" si="8"/>
        <v/>
      </c>
      <c r="Q50" s="72" t="str">
        <f t="shared" si="5"/>
        <v/>
      </c>
      <c r="S50"/>
      <c r="T50"/>
      <c r="U50"/>
      <c r="V50"/>
      <c r="W50"/>
      <c r="X50"/>
      <c r="Y50"/>
      <c r="Z50" s="4"/>
      <c r="AA50" s="4"/>
      <c r="AB50" s="4"/>
      <c r="AC50" s="4"/>
      <c r="AD50" s="4"/>
      <c r="AE50" s="4"/>
    </row>
    <row r="51" spans="1:31" ht="31.8" thickBot="1" x14ac:dyDescent="0.35">
      <c r="A51" s="189"/>
      <c r="B51" s="30"/>
      <c r="C51" s="30"/>
      <c r="D51" s="30"/>
      <c r="E51" s="80"/>
      <c r="F51" s="177"/>
      <c r="G51" s="80"/>
      <c r="H51" s="30"/>
      <c r="I51" s="30"/>
      <c r="J51" s="30"/>
      <c r="K51" s="51">
        <f t="shared" si="6"/>
        <v>8600</v>
      </c>
      <c r="L51" s="34">
        <v>0</v>
      </c>
      <c r="M51" s="52" t="str">
        <f t="shared" si="0"/>
        <v/>
      </c>
      <c r="N51" s="52" t="str">
        <f t="shared" si="7"/>
        <v/>
      </c>
      <c r="O51" s="71" t="str">
        <f t="shared" si="3"/>
        <v/>
      </c>
      <c r="P51" s="71" t="str">
        <f t="shared" si="8"/>
        <v/>
      </c>
      <c r="Q51" s="72" t="str">
        <f t="shared" si="5"/>
        <v/>
      </c>
      <c r="S51"/>
      <c r="T51"/>
      <c r="U51"/>
      <c r="V51"/>
      <c r="W51"/>
      <c r="X51"/>
      <c r="Y51"/>
      <c r="Z51" s="4"/>
      <c r="AA51" s="4"/>
      <c r="AB51" s="4"/>
      <c r="AC51" s="4"/>
      <c r="AD51" s="4"/>
      <c r="AE51" s="4"/>
    </row>
    <row r="52" spans="1:31" ht="31.2" x14ac:dyDescent="0.3">
      <c r="A52" s="187" t="s">
        <v>39</v>
      </c>
      <c r="B52" s="24"/>
      <c r="C52" s="24"/>
      <c r="D52" s="24"/>
      <c r="E52" s="76"/>
      <c r="F52" s="175"/>
      <c r="G52" s="76"/>
      <c r="H52" s="24"/>
      <c r="I52" s="172">
        <v>0.72916666666666663</v>
      </c>
      <c r="J52" s="172">
        <v>0.91666666666666663</v>
      </c>
      <c r="K52" s="51">
        <f t="shared" si="6"/>
        <v>8600.9166666666661</v>
      </c>
      <c r="L52" s="34">
        <v>0</v>
      </c>
      <c r="M52" s="52">
        <f t="shared" si="0"/>
        <v>0.1875</v>
      </c>
      <c r="N52" s="52">
        <f t="shared" si="7"/>
        <v>0</v>
      </c>
      <c r="O52" s="71" t="str">
        <f t="shared" si="3"/>
        <v/>
      </c>
      <c r="P52" s="71" t="str">
        <f t="shared" si="8"/>
        <v/>
      </c>
      <c r="Q52" s="72" t="str">
        <f t="shared" si="5"/>
        <v/>
      </c>
      <c r="S52"/>
      <c r="T52"/>
      <c r="U52"/>
      <c r="V52"/>
      <c r="W52"/>
      <c r="X52"/>
      <c r="Y52"/>
      <c r="Z52" s="4"/>
      <c r="AA52" s="4"/>
      <c r="AB52" s="4"/>
      <c r="AC52" s="4"/>
      <c r="AD52" s="4"/>
      <c r="AE52" s="4"/>
    </row>
    <row r="53" spans="1:31" ht="31.2" x14ac:dyDescent="0.3">
      <c r="A53" s="188"/>
      <c r="B53" s="27"/>
      <c r="C53" s="27"/>
      <c r="D53" s="27"/>
      <c r="E53" s="78"/>
      <c r="F53" s="176"/>
      <c r="G53" s="78"/>
      <c r="H53" s="27"/>
      <c r="I53" s="173">
        <v>0.75</v>
      </c>
      <c r="J53" s="173">
        <v>0.89583333333333337</v>
      </c>
      <c r="K53" s="51">
        <f t="shared" si="6"/>
        <v>8600.8958333333339</v>
      </c>
      <c r="L53" s="34">
        <v>0</v>
      </c>
      <c r="M53" s="52">
        <f t="shared" si="0"/>
        <v>0.14583333333333337</v>
      </c>
      <c r="N53" s="52">
        <f t="shared" si="7"/>
        <v>0</v>
      </c>
      <c r="O53" s="71" t="str">
        <f t="shared" si="3"/>
        <v/>
      </c>
      <c r="P53" s="71" t="str">
        <f t="shared" si="8"/>
        <v/>
      </c>
      <c r="Q53" s="72" t="str">
        <f t="shared" si="5"/>
        <v/>
      </c>
      <c r="S53"/>
      <c r="T53"/>
      <c r="U53"/>
      <c r="V53"/>
      <c r="W53"/>
      <c r="X53"/>
      <c r="Y53"/>
      <c r="Z53" s="4"/>
      <c r="AA53" s="4"/>
      <c r="AB53" s="4"/>
      <c r="AC53" s="4"/>
      <c r="AD53" s="4"/>
      <c r="AE53" s="4"/>
    </row>
    <row r="54" spans="1:31" ht="31.2" x14ac:dyDescent="0.3">
      <c r="A54" s="188"/>
      <c r="B54" s="27"/>
      <c r="C54" s="27"/>
      <c r="D54" s="27"/>
      <c r="E54" s="78"/>
      <c r="F54" s="176"/>
      <c r="G54" s="78"/>
      <c r="H54" s="27"/>
      <c r="I54" s="27"/>
      <c r="J54" s="27"/>
      <c r="K54" s="51">
        <f t="shared" si="6"/>
        <v>8600</v>
      </c>
      <c r="L54" s="34">
        <v>0</v>
      </c>
      <c r="M54" s="52" t="str">
        <f t="shared" si="0"/>
        <v/>
      </c>
      <c r="N54" s="52" t="str">
        <f t="shared" si="7"/>
        <v/>
      </c>
      <c r="O54" s="71" t="str">
        <f t="shared" si="3"/>
        <v/>
      </c>
      <c r="P54" s="71" t="str">
        <f t="shared" si="8"/>
        <v/>
      </c>
      <c r="Q54" s="72" t="str">
        <f t="shared" si="5"/>
        <v/>
      </c>
      <c r="S54"/>
      <c r="T54"/>
      <c r="U54"/>
      <c r="V54"/>
      <c r="W54"/>
      <c r="X54"/>
      <c r="Y54"/>
      <c r="Z54" s="4"/>
      <c r="AA54" s="4"/>
      <c r="AB54" s="4"/>
      <c r="AC54" s="4"/>
      <c r="AD54" s="4"/>
      <c r="AE54" s="4"/>
    </row>
    <row r="55" spans="1:31" ht="31.2" x14ac:dyDescent="0.3">
      <c r="A55" s="188"/>
      <c r="B55" s="27"/>
      <c r="C55" s="27"/>
      <c r="D55" s="27"/>
      <c r="E55" s="78"/>
      <c r="F55" s="176"/>
      <c r="G55" s="78"/>
      <c r="H55" s="27"/>
      <c r="I55" s="27"/>
      <c r="J55" s="27"/>
      <c r="K55" s="51">
        <f t="shared" si="6"/>
        <v>8600</v>
      </c>
      <c r="L55" s="34">
        <v>0</v>
      </c>
      <c r="M55" s="52" t="str">
        <f t="shared" si="0"/>
        <v/>
      </c>
      <c r="N55" s="52" t="str">
        <f t="shared" si="7"/>
        <v/>
      </c>
      <c r="O55" s="71" t="str">
        <f t="shared" si="3"/>
        <v/>
      </c>
      <c r="P55" s="71" t="str">
        <f t="shared" si="8"/>
        <v/>
      </c>
      <c r="Q55" s="72" t="str">
        <f t="shared" si="5"/>
        <v/>
      </c>
      <c r="S55"/>
      <c r="T55"/>
      <c r="U55"/>
      <c r="V55"/>
      <c r="W55"/>
      <c r="X55"/>
      <c r="Y55"/>
      <c r="Z55" s="4"/>
      <c r="AA55" s="4"/>
      <c r="AB55" s="4"/>
      <c r="AC55" s="4"/>
      <c r="AD55" s="4"/>
      <c r="AE55" s="4"/>
    </row>
    <row r="56" spans="1:31" ht="31.8" thickBot="1" x14ac:dyDescent="0.35">
      <c r="A56" s="189"/>
      <c r="B56" s="30"/>
      <c r="C56" s="30"/>
      <c r="D56" s="30"/>
      <c r="E56" s="80"/>
      <c r="F56" s="177"/>
      <c r="G56" s="80"/>
      <c r="H56" s="30"/>
      <c r="I56" s="30"/>
      <c r="J56" s="30"/>
      <c r="K56" s="51">
        <f t="shared" si="6"/>
        <v>8600</v>
      </c>
      <c r="L56" s="34">
        <v>0</v>
      </c>
      <c r="M56" s="52" t="str">
        <f t="shared" si="0"/>
        <v/>
      </c>
      <c r="N56" s="52" t="str">
        <f t="shared" si="7"/>
        <v/>
      </c>
      <c r="O56" s="71" t="str">
        <f t="shared" si="3"/>
        <v/>
      </c>
      <c r="P56" s="71" t="str">
        <f t="shared" si="8"/>
        <v/>
      </c>
      <c r="Q56" s="72" t="str">
        <f t="shared" si="5"/>
        <v/>
      </c>
      <c r="S56"/>
      <c r="T56"/>
      <c r="U56"/>
      <c r="V56"/>
      <c r="W56"/>
      <c r="X56"/>
      <c r="Y56"/>
      <c r="Z56" s="4"/>
      <c r="AA56" s="4"/>
      <c r="AB56" s="4"/>
      <c r="AC56" s="4"/>
      <c r="AD56" s="4"/>
      <c r="AE56" s="4"/>
    </row>
    <row r="57" spans="1:31" ht="31.2" x14ac:dyDescent="0.3">
      <c r="A57" s="187" t="s">
        <v>40</v>
      </c>
      <c r="B57" s="24"/>
      <c r="C57" s="24"/>
      <c r="D57" s="24"/>
      <c r="E57" s="76"/>
      <c r="F57" s="175"/>
      <c r="G57" s="76"/>
      <c r="H57" s="24"/>
      <c r="I57" s="172">
        <v>0.72916666666666663</v>
      </c>
      <c r="J57" s="172">
        <v>0.91666666666666663</v>
      </c>
      <c r="K57" s="51">
        <f t="shared" si="6"/>
        <v>8600.9166666666661</v>
      </c>
      <c r="L57" s="34">
        <v>0</v>
      </c>
      <c r="M57" s="52">
        <f t="shared" si="0"/>
        <v>0.1875</v>
      </c>
      <c r="N57" s="52">
        <f t="shared" si="7"/>
        <v>0</v>
      </c>
      <c r="O57" s="71" t="str">
        <f t="shared" si="3"/>
        <v/>
      </c>
      <c r="P57" s="71" t="str">
        <f t="shared" si="8"/>
        <v/>
      </c>
      <c r="Q57" s="72" t="str">
        <f t="shared" si="5"/>
        <v/>
      </c>
      <c r="S57"/>
      <c r="T57"/>
      <c r="U57"/>
      <c r="V57"/>
      <c r="W57"/>
      <c r="X57"/>
      <c r="Y57"/>
      <c r="Z57" s="4"/>
      <c r="AA57" s="4"/>
      <c r="AB57" s="4"/>
      <c r="AC57" s="4"/>
      <c r="AD57" s="4"/>
      <c r="AE57" s="4"/>
    </row>
    <row r="58" spans="1:31" ht="31.2" x14ac:dyDescent="0.3">
      <c r="A58" s="188"/>
      <c r="B58" s="27"/>
      <c r="C58" s="27"/>
      <c r="D58" s="27"/>
      <c r="E58" s="78"/>
      <c r="F58" s="176"/>
      <c r="G58" s="78"/>
      <c r="H58" s="27"/>
      <c r="I58" s="27"/>
      <c r="J58" s="27"/>
      <c r="K58" s="51">
        <f t="shared" si="6"/>
        <v>8600</v>
      </c>
      <c r="L58" s="34">
        <v>0</v>
      </c>
      <c r="M58" s="52" t="str">
        <f t="shared" si="0"/>
        <v/>
      </c>
      <c r="N58" s="52" t="str">
        <f t="shared" si="7"/>
        <v/>
      </c>
      <c r="O58" s="71" t="str">
        <f t="shared" si="3"/>
        <v/>
      </c>
      <c r="P58" s="71" t="str">
        <f t="shared" si="8"/>
        <v/>
      </c>
      <c r="Q58" s="72" t="str">
        <f t="shared" si="5"/>
        <v/>
      </c>
      <c r="S58"/>
      <c r="T58"/>
      <c r="U58"/>
      <c r="V58"/>
      <c r="W58"/>
      <c r="X58"/>
      <c r="Y58"/>
      <c r="Z58" s="4"/>
      <c r="AA58" s="4"/>
      <c r="AB58" s="4"/>
      <c r="AC58" s="4"/>
      <c r="AD58" s="4"/>
      <c r="AE58" s="4"/>
    </row>
    <row r="59" spans="1:31" ht="31.8" thickBot="1" x14ac:dyDescent="0.35">
      <c r="A59" s="189"/>
      <c r="B59" s="30"/>
      <c r="C59" s="30"/>
      <c r="D59" s="30"/>
      <c r="E59" s="80"/>
      <c r="F59" s="177"/>
      <c r="G59" s="80"/>
      <c r="H59" s="30"/>
      <c r="I59" s="30"/>
      <c r="J59" s="30"/>
      <c r="K59" s="51">
        <f t="shared" si="6"/>
        <v>8600</v>
      </c>
      <c r="L59" s="34">
        <v>0</v>
      </c>
      <c r="M59" s="52" t="str">
        <f t="shared" si="0"/>
        <v/>
      </c>
      <c r="N59" s="52" t="str">
        <f t="shared" si="7"/>
        <v/>
      </c>
      <c r="O59" s="71" t="str">
        <f t="shared" si="3"/>
        <v/>
      </c>
      <c r="P59" s="71" t="str">
        <f t="shared" si="8"/>
        <v/>
      </c>
      <c r="Q59" s="72" t="str">
        <f t="shared" si="5"/>
        <v/>
      </c>
      <c r="S59"/>
      <c r="T59"/>
      <c r="U59"/>
      <c r="V59"/>
      <c r="W59"/>
      <c r="X59"/>
      <c r="Y59"/>
      <c r="Z59" s="4"/>
      <c r="AA59" s="4"/>
      <c r="AB59" s="4"/>
      <c r="AC59" s="4"/>
      <c r="AD59" s="4"/>
      <c r="AE59" s="4"/>
    </row>
    <row r="60" spans="1:31" ht="31.2" x14ac:dyDescent="0.3">
      <c r="A60" s="190" t="s">
        <v>41</v>
      </c>
      <c r="B60" s="24"/>
      <c r="C60" s="24"/>
      <c r="D60" s="24"/>
      <c r="E60" s="76"/>
      <c r="F60" s="175"/>
      <c r="G60" s="76"/>
      <c r="H60" s="24"/>
      <c r="I60" s="172">
        <v>0.72916666666666663</v>
      </c>
      <c r="J60" s="172">
        <v>0.9375</v>
      </c>
      <c r="K60" s="51">
        <f t="shared" si="6"/>
        <v>8600.9375</v>
      </c>
      <c r="L60" s="34">
        <v>0</v>
      </c>
      <c r="M60" s="52">
        <f t="shared" si="0"/>
        <v>0.20833333333333337</v>
      </c>
      <c r="N60" s="52">
        <f t="shared" si="7"/>
        <v>0</v>
      </c>
      <c r="O60" s="71" t="str">
        <f t="shared" si="3"/>
        <v/>
      </c>
      <c r="P60" s="71" t="str">
        <f t="shared" si="8"/>
        <v/>
      </c>
      <c r="Q60" s="72" t="str">
        <f t="shared" si="5"/>
        <v/>
      </c>
      <c r="S60"/>
      <c r="T60"/>
      <c r="U60"/>
      <c r="V60"/>
      <c r="W60"/>
      <c r="X60"/>
      <c r="Y60"/>
      <c r="Z60" s="4"/>
      <c r="AA60" s="4"/>
      <c r="AB60" s="4"/>
      <c r="AC60" s="4"/>
      <c r="AD60" s="4"/>
      <c r="AE60" s="4"/>
    </row>
    <row r="61" spans="1:31" ht="31.2" x14ac:dyDescent="0.3">
      <c r="A61" s="191"/>
      <c r="B61" s="27"/>
      <c r="C61" s="27"/>
      <c r="D61" s="27"/>
      <c r="E61" s="78"/>
      <c r="F61" s="176"/>
      <c r="G61" s="78"/>
      <c r="H61" s="27"/>
      <c r="I61" s="173">
        <v>0.77083333333333337</v>
      </c>
      <c r="J61" s="173">
        <v>0.91666666666666663</v>
      </c>
      <c r="K61" s="51">
        <f t="shared" si="6"/>
        <v>8600.9166666666661</v>
      </c>
      <c r="L61" s="34">
        <v>0</v>
      </c>
      <c r="M61" s="52">
        <f t="shared" si="0"/>
        <v>0.14583333333333326</v>
      </c>
      <c r="N61" s="52">
        <f t="shared" si="7"/>
        <v>0</v>
      </c>
      <c r="O61" s="71" t="str">
        <f t="shared" si="3"/>
        <v/>
      </c>
      <c r="P61" s="71" t="str">
        <f t="shared" si="8"/>
        <v/>
      </c>
      <c r="Q61" s="72" t="str">
        <f t="shared" si="5"/>
        <v/>
      </c>
      <c r="S61"/>
      <c r="T61"/>
      <c r="U61"/>
      <c r="V61"/>
      <c r="W61"/>
      <c r="X61"/>
      <c r="Y61"/>
      <c r="Z61" s="4"/>
      <c r="AA61" s="4"/>
      <c r="AB61" s="4"/>
      <c r="AC61" s="4"/>
      <c r="AD61" s="4"/>
      <c r="AE61" s="4"/>
    </row>
    <row r="62" spans="1:31" ht="31.2" x14ac:dyDescent="0.3">
      <c r="A62" s="191"/>
      <c r="B62" s="27"/>
      <c r="C62" s="27"/>
      <c r="D62" s="27"/>
      <c r="E62" s="78"/>
      <c r="F62" s="176"/>
      <c r="G62" s="78"/>
      <c r="H62" s="27"/>
      <c r="I62" s="173">
        <v>0.79166666666666663</v>
      </c>
      <c r="J62" s="173">
        <v>0.91666666666666663</v>
      </c>
      <c r="K62" s="51">
        <f t="shared" si="6"/>
        <v>8600.9166666666661</v>
      </c>
      <c r="L62" s="34">
        <v>0</v>
      </c>
      <c r="M62" s="52">
        <f t="shared" si="0"/>
        <v>0.125</v>
      </c>
      <c r="N62" s="52">
        <f t="shared" si="7"/>
        <v>0</v>
      </c>
      <c r="O62" s="71" t="str">
        <f t="shared" si="3"/>
        <v/>
      </c>
      <c r="P62" s="71" t="str">
        <f t="shared" si="8"/>
        <v/>
      </c>
      <c r="Q62" s="72" t="str">
        <f t="shared" si="5"/>
        <v/>
      </c>
      <c r="S62"/>
      <c r="T62"/>
      <c r="U62"/>
      <c r="V62"/>
      <c r="W62"/>
      <c r="X62"/>
      <c r="Y62"/>
      <c r="Z62" s="4"/>
      <c r="AA62" s="4"/>
      <c r="AB62" s="4"/>
      <c r="AC62" s="4"/>
      <c r="AD62" s="4"/>
      <c r="AE62" s="4"/>
    </row>
    <row r="63" spans="1:31" ht="31.2" x14ac:dyDescent="0.3">
      <c r="A63" s="191"/>
      <c r="B63" s="27"/>
      <c r="C63" s="27"/>
      <c r="D63" s="27"/>
      <c r="E63" s="78"/>
      <c r="F63" s="176"/>
      <c r="G63" s="78"/>
      <c r="H63" s="27"/>
      <c r="I63" s="27"/>
      <c r="J63" s="27"/>
      <c r="K63" s="51">
        <f t="shared" si="6"/>
        <v>8600</v>
      </c>
      <c r="L63" s="34">
        <v>0</v>
      </c>
      <c r="M63" s="52" t="str">
        <f t="shared" si="0"/>
        <v/>
      </c>
      <c r="N63" s="52" t="str">
        <f t="shared" si="7"/>
        <v/>
      </c>
      <c r="O63" s="71" t="str">
        <f t="shared" si="3"/>
        <v/>
      </c>
      <c r="P63" s="71" t="str">
        <f t="shared" si="8"/>
        <v/>
      </c>
      <c r="Q63" s="72" t="str">
        <f t="shared" si="5"/>
        <v/>
      </c>
      <c r="S63"/>
      <c r="T63"/>
      <c r="U63"/>
      <c r="V63"/>
      <c r="W63"/>
      <c r="X63"/>
      <c r="Y63"/>
      <c r="Z63" s="4"/>
      <c r="AA63" s="4"/>
      <c r="AB63" s="4"/>
      <c r="AC63" s="4"/>
      <c r="AD63" s="4"/>
      <c r="AE63" s="4"/>
    </row>
    <row r="64" spans="1:31" ht="31.8" thickBot="1" x14ac:dyDescent="0.35">
      <c r="A64" s="192"/>
      <c r="B64" s="115"/>
      <c r="C64" s="115"/>
      <c r="D64" s="115"/>
      <c r="E64" s="116"/>
      <c r="F64" s="178"/>
      <c r="G64" s="116"/>
      <c r="H64" s="115"/>
      <c r="I64" s="115"/>
      <c r="J64" s="115"/>
      <c r="K64" s="51">
        <f t="shared" si="6"/>
        <v>8600</v>
      </c>
      <c r="L64" s="34">
        <v>0</v>
      </c>
      <c r="M64" s="52" t="str">
        <f t="shared" si="0"/>
        <v/>
      </c>
      <c r="N64" s="52" t="str">
        <f t="shared" si="7"/>
        <v/>
      </c>
      <c r="O64" s="71" t="str">
        <f t="shared" si="3"/>
        <v/>
      </c>
      <c r="P64" s="71" t="str">
        <f t="shared" si="8"/>
        <v/>
      </c>
      <c r="Q64" s="72" t="str">
        <f t="shared" si="5"/>
        <v/>
      </c>
      <c r="S64"/>
      <c r="T64"/>
      <c r="U64"/>
      <c r="V64"/>
      <c r="W64"/>
      <c r="X64"/>
      <c r="Y64"/>
      <c r="Z64" s="4"/>
      <c r="AA64" s="4"/>
      <c r="AB64" s="4"/>
      <c r="AC64" s="4"/>
      <c r="AD64" s="4"/>
      <c r="AE64" s="4"/>
    </row>
    <row r="65" spans="1:31" ht="31.2" x14ac:dyDescent="0.3">
      <c r="A65" s="193" t="s">
        <v>42</v>
      </c>
      <c r="B65" s="117"/>
      <c r="C65" s="117"/>
      <c r="D65" s="117"/>
      <c r="E65" s="118"/>
      <c r="F65" s="179"/>
      <c r="G65" s="118"/>
      <c r="H65" s="117"/>
      <c r="I65" s="174">
        <v>0.75</v>
      </c>
      <c r="J65" s="174">
        <v>0.91666666666666663</v>
      </c>
      <c r="K65" s="51">
        <f t="shared" si="6"/>
        <v>8600.9166666666661</v>
      </c>
      <c r="L65" s="34">
        <v>0</v>
      </c>
      <c r="M65" s="52">
        <f t="shared" si="0"/>
        <v>0.16666666666666663</v>
      </c>
      <c r="N65" s="52">
        <f t="shared" si="7"/>
        <v>0</v>
      </c>
      <c r="O65" s="71" t="str">
        <f t="shared" si="3"/>
        <v/>
      </c>
      <c r="P65" s="71" t="str">
        <f t="shared" si="8"/>
        <v/>
      </c>
      <c r="Q65" s="72" t="str">
        <f t="shared" si="5"/>
        <v/>
      </c>
      <c r="S65"/>
      <c r="T65"/>
      <c r="U65"/>
      <c r="V65"/>
      <c r="W65"/>
      <c r="X65"/>
      <c r="Y65"/>
      <c r="Z65" s="4"/>
      <c r="AA65" s="4"/>
      <c r="AB65" s="4"/>
      <c r="AC65" s="4"/>
      <c r="AD65" s="4"/>
      <c r="AE65" s="4"/>
    </row>
    <row r="66" spans="1:31" ht="31.2" x14ac:dyDescent="0.3">
      <c r="A66" s="194"/>
      <c r="B66" s="119"/>
      <c r="C66" s="119"/>
      <c r="D66" s="119"/>
      <c r="E66" s="120"/>
      <c r="F66" s="180"/>
      <c r="G66" s="120"/>
      <c r="H66" s="119"/>
      <c r="I66" s="119"/>
      <c r="J66" s="119"/>
      <c r="K66" s="51">
        <f t="shared" si="6"/>
        <v>8600</v>
      </c>
      <c r="L66" s="34">
        <v>0</v>
      </c>
      <c r="M66" s="52" t="str">
        <f t="shared" si="0"/>
        <v/>
      </c>
      <c r="N66" s="52" t="str">
        <f t="shared" si="7"/>
        <v/>
      </c>
      <c r="O66" s="71" t="str">
        <f t="shared" si="3"/>
        <v/>
      </c>
      <c r="P66" s="71" t="str">
        <f t="shared" si="8"/>
        <v/>
      </c>
      <c r="Q66" s="72" t="str">
        <f t="shared" si="5"/>
        <v/>
      </c>
      <c r="S66"/>
      <c r="T66"/>
      <c r="U66"/>
      <c r="V66"/>
      <c r="W66"/>
      <c r="X66"/>
      <c r="Y66"/>
      <c r="Z66" s="4"/>
      <c r="AA66" s="4"/>
      <c r="AB66" s="4"/>
      <c r="AC66" s="4"/>
      <c r="AD66" s="4"/>
      <c r="AE66" s="4"/>
    </row>
    <row r="67" spans="1:31" ht="31.2" x14ac:dyDescent="0.3">
      <c r="A67" s="194"/>
      <c r="B67" s="119"/>
      <c r="C67" s="119"/>
      <c r="D67" s="119"/>
      <c r="E67" s="120"/>
      <c r="F67" s="180"/>
      <c r="G67" s="120"/>
      <c r="H67" s="119"/>
      <c r="I67" s="119"/>
      <c r="J67" s="119"/>
      <c r="K67" s="51">
        <f t="shared" si="6"/>
        <v>8600</v>
      </c>
      <c r="L67" s="34">
        <v>0</v>
      </c>
      <c r="M67" s="52" t="str">
        <f t="shared" si="0"/>
        <v/>
      </c>
      <c r="N67" s="52" t="str">
        <f t="shared" si="7"/>
        <v/>
      </c>
      <c r="O67" s="71" t="str">
        <f t="shared" si="3"/>
        <v/>
      </c>
      <c r="P67" s="71" t="str">
        <f t="shared" si="8"/>
        <v/>
      </c>
      <c r="Q67" s="72" t="str">
        <f t="shared" si="5"/>
        <v/>
      </c>
      <c r="S67"/>
      <c r="T67"/>
      <c r="U67"/>
      <c r="V67"/>
      <c r="W67"/>
      <c r="X67"/>
      <c r="Y67"/>
      <c r="Z67" s="4"/>
      <c r="AA67" s="4"/>
      <c r="AB67" s="4"/>
      <c r="AC67" s="4"/>
      <c r="AD67" s="4"/>
      <c r="AE67" s="4"/>
    </row>
    <row r="68" spans="1:31" ht="31.2" x14ac:dyDescent="0.3">
      <c r="A68" s="194"/>
      <c r="B68" s="119"/>
      <c r="C68" s="119"/>
      <c r="D68" s="119"/>
      <c r="E68" s="120"/>
      <c r="F68" s="180"/>
      <c r="G68" s="120"/>
      <c r="H68" s="119"/>
      <c r="I68" s="119"/>
      <c r="J68" s="119"/>
      <c r="K68" s="51">
        <f t="shared" si="6"/>
        <v>8600</v>
      </c>
      <c r="L68" s="34">
        <v>0</v>
      </c>
      <c r="M68" s="52" t="str">
        <f t="shared" si="0"/>
        <v/>
      </c>
      <c r="N68" s="52" t="str">
        <f t="shared" si="7"/>
        <v/>
      </c>
      <c r="O68" s="71" t="str">
        <f t="shared" si="3"/>
        <v/>
      </c>
      <c r="P68" s="71" t="str">
        <f t="shared" si="8"/>
        <v/>
      </c>
      <c r="Q68" s="72" t="str">
        <f t="shared" si="5"/>
        <v/>
      </c>
      <c r="S68"/>
      <c r="T68"/>
      <c r="U68"/>
      <c r="V68"/>
      <c r="W68"/>
      <c r="X68"/>
      <c r="Y68"/>
      <c r="Z68" s="4"/>
      <c r="AA68" s="4"/>
      <c r="AB68" s="4"/>
      <c r="AC68" s="4"/>
      <c r="AD68" s="4"/>
      <c r="AE68" s="4"/>
    </row>
    <row r="69" spans="1:31" ht="31.2" x14ac:dyDescent="0.3">
      <c r="A69" s="194"/>
      <c r="B69" s="119"/>
      <c r="C69" s="119"/>
      <c r="D69" s="119"/>
      <c r="E69" s="120"/>
      <c r="F69" s="180"/>
      <c r="G69" s="120"/>
      <c r="H69" s="119"/>
      <c r="I69" s="119"/>
      <c r="J69" s="119"/>
      <c r="K69" s="51">
        <f t="shared" si="6"/>
        <v>8600</v>
      </c>
      <c r="L69" s="34">
        <v>0</v>
      </c>
      <c r="M69" s="52" t="str">
        <f t="shared" si="0"/>
        <v/>
      </c>
      <c r="N69" s="52" t="str">
        <f t="shared" si="7"/>
        <v/>
      </c>
      <c r="O69" s="71" t="str">
        <f t="shared" si="3"/>
        <v/>
      </c>
      <c r="P69" s="71" t="str">
        <f t="shared" si="8"/>
        <v/>
      </c>
      <c r="Q69" s="72" t="str">
        <f t="shared" si="5"/>
        <v/>
      </c>
      <c r="S69"/>
      <c r="T69"/>
      <c r="U69"/>
      <c r="V69"/>
      <c r="W69"/>
      <c r="X69"/>
      <c r="Y69"/>
      <c r="Z69" s="4"/>
      <c r="AA69" s="4"/>
      <c r="AB69" s="4"/>
      <c r="AC69" s="4"/>
      <c r="AD69" s="4"/>
      <c r="AE69" s="4"/>
    </row>
    <row r="70" spans="1:31" ht="31.8" thickBot="1" x14ac:dyDescent="0.35">
      <c r="A70" s="195"/>
      <c r="B70" s="121"/>
      <c r="C70" s="121"/>
      <c r="D70" s="121"/>
      <c r="E70" s="122"/>
      <c r="F70" s="181"/>
      <c r="G70" s="122"/>
      <c r="H70" s="121"/>
      <c r="I70" s="121"/>
      <c r="J70" s="121"/>
      <c r="K70" s="51">
        <f t="shared" si="6"/>
        <v>8600</v>
      </c>
      <c r="L70" s="34">
        <v>0</v>
      </c>
      <c r="M70" s="52" t="str">
        <f t="shared" si="0"/>
        <v/>
      </c>
      <c r="N70" s="52" t="str">
        <f t="shared" si="7"/>
        <v/>
      </c>
      <c r="O70" s="71" t="str">
        <f t="shared" ref="O70" si="9">IF($C70="","",(HOUR($M70)*60+MINUTE($M70))/60)</f>
        <v/>
      </c>
      <c r="P70" s="71" t="str">
        <f t="shared" si="8"/>
        <v/>
      </c>
      <c r="Q70" s="72" t="str">
        <f t="shared" ref="Q70" si="10">IF($C70="","",(HOUR($N70)*60+MINUTE($N70))/60)</f>
        <v/>
      </c>
      <c r="S70"/>
      <c r="T70"/>
      <c r="U70"/>
      <c r="V70"/>
      <c r="W70"/>
      <c r="X70"/>
      <c r="Y70"/>
      <c r="Z70" s="4"/>
      <c r="AA70" s="4"/>
      <c r="AB70" s="4"/>
      <c r="AC70" s="4"/>
      <c r="AD70" s="4"/>
      <c r="AE70" s="4"/>
    </row>
    <row r="71" spans="1:31" ht="36" x14ac:dyDescent="0.3">
      <c r="A71" s="6"/>
      <c r="B71" s="7" t="s">
        <v>43</v>
      </c>
      <c r="C71" s="8"/>
      <c r="D71" s="136"/>
      <c r="E71" s="8"/>
      <c r="F71" s="9"/>
      <c r="G71" s="10"/>
      <c r="H71" s="11"/>
      <c r="I71" s="12"/>
      <c r="J71" s="12"/>
      <c r="K71" s="54"/>
      <c r="L71" s="12"/>
      <c r="M71" s="54"/>
      <c r="N71" s="55"/>
      <c r="O71" s="73" t="s">
        <v>44</v>
      </c>
      <c r="P71" s="73" t="s">
        <v>45</v>
      </c>
      <c r="Q71" s="74" t="s">
        <v>46</v>
      </c>
      <c r="S71"/>
      <c r="T71"/>
      <c r="U71"/>
      <c r="V71"/>
      <c r="W71"/>
      <c r="X71"/>
      <c r="Y71"/>
      <c r="Z71" s="4"/>
      <c r="AA71" s="4"/>
      <c r="AB71" s="4"/>
      <c r="AC71" s="4"/>
      <c r="AD71" s="4"/>
      <c r="AE71" s="4"/>
    </row>
    <row r="72" spans="1:31" s="23" customFormat="1" ht="33.6" x14ac:dyDescent="0.65">
      <c r="A72" s="62" t="s">
        <v>47</v>
      </c>
      <c r="B72" s="63">
        <f>SUM(B5:B70)</f>
        <v>0</v>
      </c>
      <c r="C72" s="64"/>
      <c r="D72" s="65"/>
      <c r="E72" s="63"/>
      <c r="F72" s="63"/>
      <c r="G72" s="63"/>
      <c r="H72" s="66"/>
      <c r="I72" s="63"/>
      <c r="J72" s="63"/>
      <c r="K72" s="56"/>
      <c r="L72" s="63"/>
      <c r="M72" s="57"/>
      <c r="N72" s="57"/>
      <c r="O72" s="75">
        <f>SUM(O5:O70)</f>
        <v>0</v>
      </c>
      <c r="P72" s="75">
        <f t="shared" ref="P72:Q72" si="11">SUM(P5:P70)</f>
        <v>0</v>
      </c>
      <c r="Q72" s="75">
        <f t="shared" si="11"/>
        <v>0</v>
      </c>
      <c r="Z72" s="22"/>
      <c r="AA72" s="22"/>
      <c r="AB72" s="22"/>
      <c r="AC72" s="22"/>
      <c r="AD72" s="22"/>
      <c r="AE72" s="22"/>
    </row>
    <row r="73" spans="1:31" ht="25.8" x14ac:dyDescent="0.5">
      <c r="A73" s="13"/>
      <c r="D73" s="15"/>
      <c r="F73" s="16"/>
      <c r="G73" s="17"/>
      <c r="K73" s="3"/>
      <c r="M73" s="19"/>
      <c r="N73" s="19"/>
      <c r="O73" s="2"/>
      <c r="P73" s="2"/>
      <c r="Q73" s="2"/>
      <c r="R73" s="4"/>
      <c r="Z73" s="4"/>
      <c r="AA73" s="4"/>
      <c r="AB73" s="4"/>
      <c r="AC73" s="4"/>
      <c r="AD73" s="4"/>
      <c r="AE73" s="4"/>
    </row>
    <row r="74" spans="1:31" ht="25.8" x14ac:dyDescent="0.5">
      <c r="A74" s="13"/>
      <c r="D74" s="15"/>
      <c r="F74" s="16"/>
      <c r="G74" s="17"/>
      <c r="K74" s="3"/>
      <c r="M74" s="19"/>
      <c r="N74" s="19"/>
      <c r="O74" s="2"/>
      <c r="P74" s="2"/>
      <c r="Q74" s="2"/>
      <c r="R74" s="4"/>
      <c r="Z74" s="4"/>
      <c r="AA74" s="4"/>
      <c r="AB74" s="4"/>
      <c r="AC74" s="4"/>
      <c r="AD74" s="4"/>
      <c r="AE74" s="4"/>
    </row>
  </sheetData>
  <sheetProtection algorithmName="SHA-512" hashValue="zF3BJrbb0dS8BM4zJzPL71lY/GVwy2qjuQ1ZUB7E6WKgDQFeEdA03yNN+U5RgNcgWcv2uvvA0sxVJM9j+DNN7Q==" saltValue="yZ0rVhDgjxF6oK6xcZwlNg==" spinCount="100000" sheet="1" formatCells="0" formatColumns="0" formatRows="0" selectLockedCells="1" sort="0"/>
  <mergeCells count="18">
    <mergeCell ref="A27:A30"/>
    <mergeCell ref="I3:Q3"/>
    <mergeCell ref="D3:H3"/>
    <mergeCell ref="A3:C3"/>
    <mergeCell ref="S2:Y2"/>
    <mergeCell ref="A5:A10"/>
    <mergeCell ref="A11:A16"/>
    <mergeCell ref="A17:A22"/>
    <mergeCell ref="A23:A26"/>
    <mergeCell ref="A57:A59"/>
    <mergeCell ref="A60:A64"/>
    <mergeCell ref="A65:A70"/>
    <mergeCell ref="A31:A34"/>
    <mergeCell ref="A35:A38"/>
    <mergeCell ref="A39:A42"/>
    <mergeCell ref="A43:A45"/>
    <mergeCell ref="A46:A51"/>
    <mergeCell ref="A52:A56"/>
  </mergeCells>
  <pageMargins left="0.7" right="0.7" top="0.75" bottom="0.75" header="0.3" footer="0.3"/>
  <pageSetup paperSize="9" scale="24" orientation="landscape" r:id="rId1"/>
  <colBreaks count="1" manualBreakCount="1">
    <brk id="1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353B7-6314-43B1-B337-5E29F7FDD0AE}">
  <sheetPr>
    <pageSetUpPr fitToPage="1"/>
  </sheetPr>
  <dimension ref="B2:H218"/>
  <sheetViews>
    <sheetView topLeftCell="B2" zoomScale="70" zoomScaleNormal="70" zoomScaleSheetLayoutView="25" workbookViewId="0">
      <selection activeCell="B45" sqref="B45"/>
    </sheetView>
  </sheetViews>
  <sheetFormatPr baseColWidth="10" defaultColWidth="11.44140625" defaultRowHeight="14.4" x14ac:dyDescent="0.3"/>
  <cols>
    <col min="2" max="2" width="37.44140625" customWidth="1"/>
    <col min="3" max="3" width="18.6640625" customWidth="1"/>
    <col min="4" max="4" width="11.88671875" customWidth="1"/>
    <col min="5" max="6" width="14.44140625" customWidth="1"/>
    <col min="7" max="7" width="23.5546875" customWidth="1"/>
    <col min="8" max="8" width="30.109375" customWidth="1"/>
  </cols>
  <sheetData>
    <row r="2" spans="2:8" ht="15" x14ac:dyDescent="0.3">
      <c r="B2" s="82" t="str">
        <f>'COMMANDE GD-PUBLIC GSHC'!$A$2</f>
        <v>MATCH GSHC X</v>
      </c>
      <c r="C2" s="83" t="str">
        <f>'COMMANDE GD-PUBLIC GSHC'!$C$2</f>
        <v>SCL TIGERS</v>
      </c>
      <c r="D2" s="83"/>
      <c r="E2" s="82" t="s">
        <v>48</v>
      </c>
      <c r="F2" s="84">
        <f>'COMMANDE GD-PUBLIC GSHC'!$D$2</f>
        <v>45974</v>
      </c>
      <c r="G2" s="85"/>
      <c r="H2" s="85"/>
    </row>
    <row r="3" spans="2:8" ht="15.6" x14ac:dyDescent="0.3">
      <c r="B3" s="86"/>
      <c r="C3" s="87"/>
      <c r="D3" s="87"/>
      <c r="E3" s="86"/>
      <c r="F3" s="87"/>
      <c r="G3" s="87"/>
      <c r="H3" s="88"/>
    </row>
    <row r="4" spans="2:8" ht="18" x14ac:dyDescent="0.3">
      <c r="B4" s="82" t="s">
        <v>49</v>
      </c>
      <c r="C4" s="89">
        <f>'COMMANDE GD-PUBLIC GSHC'!$J$2</f>
        <v>0.82291666666666663</v>
      </c>
      <c r="D4" s="89"/>
      <c r="E4" s="82" t="s">
        <v>13</v>
      </c>
      <c r="F4" s="83" t="s">
        <v>50</v>
      </c>
      <c r="G4" s="90"/>
      <c r="H4" s="91"/>
    </row>
    <row r="5" spans="2:8" ht="15.6" x14ac:dyDescent="0.3">
      <c r="B5" s="92"/>
      <c r="C5" s="92"/>
      <c r="D5" s="92"/>
      <c r="E5" s="93"/>
      <c r="F5" s="93"/>
      <c r="G5" s="93"/>
      <c r="H5" s="94"/>
    </row>
    <row r="6" spans="2:8" ht="15" thickBot="1" x14ac:dyDescent="0.35"/>
    <row r="7" spans="2:8" ht="23.4" x14ac:dyDescent="0.3">
      <c r="B7" s="95" t="s">
        <v>51</v>
      </c>
      <c r="C7" s="224" t="s">
        <v>52</v>
      </c>
      <c r="D7" s="219" t="s">
        <v>53</v>
      </c>
      <c r="E7" s="220"/>
      <c r="F7" s="220"/>
      <c r="G7" s="221"/>
      <c r="H7" s="226" t="s">
        <v>54</v>
      </c>
    </row>
    <row r="8" spans="2:8" ht="38.4" thickBot="1" x14ac:dyDescent="0.35">
      <c r="B8" s="96" t="str">
        <f>'COMMANDE GD-PUBLIC GSHC'!A5</f>
        <v>BEV 1</v>
      </c>
      <c r="C8" s="225"/>
      <c r="D8" s="97" t="s">
        <v>55</v>
      </c>
      <c r="E8" s="97" t="s">
        <v>23</v>
      </c>
      <c r="F8" s="97" t="s">
        <v>56</v>
      </c>
      <c r="G8" s="98" t="s">
        <v>57</v>
      </c>
      <c r="H8" s="227"/>
    </row>
    <row r="9" spans="2:8" ht="24.75" customHeight="1" x14ac:dyDescent="0.3">
      <c r="B9" s="99" t="str">
        <f>IF('COMMANDE GD-PUBLIC GSHC'!D5="","",'COMMANDE GD-PUBLIC GSHC'!D5)</f>
        <v/>
      </c>
      <c r="C9" s="100" t="str">
        <f>IF('COMMANDE GD-PUBLIC GSHC'!C5="","",'COMMANDE GD-PUBLIC GSHC'!C5)</f>
        <v/>
      </c>
      <c r="D9" s="101">
        <f>IF('COMMANDE GD-PUBLIC GSHC'!I5="","",'COMMANDE GD-PUBLIC GSHC'!I5)</f>
        <v>0.72916666666666663</v>
      </c>
      <c r="E9" s="101"/>
      <c r="F9" s="102"/>
      <c r="G9" s="102"/>
      <c r="H9" s="103"/>
    </row>
    <row r="10" spans="2:8" ht="24.75" customHeight="1" x14ac:dyDescent="0.3">
      <c r="B10" s="99" t="str">
        <f>IF('COMMANDE GD-PUBLIC GSHC'!D6="","",'COMMANDE GD-PUBLIC GSHC'!D6)</f>
        <v/>
      </c>
      <c r="C10" s="100" t="str">
        <f>IF('COMMANDE GD-PUBLIC GSHC'!C6="","",'COMMANDE GD-PUBLIC GSHC'!C6)</f>
        <v/>
      </c>
      <c r="D10" s="101">
        <f>IF('COMMANDE GD-PUBLIC GSHC'!I6="","",'COMMANDE GD-PUBLIC GSHC'!I6)</f>
        <v>0.75</v>
      </c>
      <c r="E10" s="101"/>
      <c r="F10" s="104"/>
      <c r="G10" s="104"/>
      <c r="H10" s="105"/>
    </row>
    <row r="11" spans="2:8" ht="24.75" customHeight="1" x14ac:dyDescent="0.3">
      <c r="B11" s="99" t="str">
        <f>IF('COMMANDE GD-PUBLIC GSHC'!D7="","",'COMMANDE GD-PUBLIC GSHC'!D7)</f>
        <v/>
      </c>
      <c r="C11" s="100" t="str">
        <f>IF('COMMANDE GD-PUBLIC GSHC'!C7="","",'COMMANDE GD-PUBLIC GSHC'!C7)</f>
        <v/>
      </c>
      <c r="D11" s="101">
        <f>IF('COMMANDE GD-PUBLIC GSHC'!I7="","",'COMMANDE GD-PUBLIC GSHC'!I7)</f>
        <v>0.77083333333333337</v>
      </c>
      <c r="E11" s="101"/>
      <c r="F11" s="104"/>
      <c r="G11" s="104"/>
      <c r="H11" s="105"/>
    </row>
    <row r="12" spans="2:8" ht="24.75" customHeight="1" x14ac:dyDescent="0.3">
      <c r="B12" s="99" t="str">
        <f>IF('COMMANDE GD-PUBLIC GSHC'!D8="","",'COMMANDE GD-PUBLIC GSHC'!D8)</f>
        <v/>
      </c>
      <c r="C12" s="100" t="str">
        <f>IF('COMMANDE GD-PUBLIC GSHC'!C8="","",'COMMANDE GD-PUBLIC GSHC'!C8)</f>
        <v/>
      </c>
      <c r="D12" s="101">
        <f>IF('COMMANDE GD-PUBLIC GSHC'!I8="","",'COMMANDE GD-PUBLIC GSHC'!I8)</f>
        <v>0.79166666666666663</v>
      </c>
      <c r="E12" s="101"/>
      <c r="F12" s="104"/>
      <c r="G12" s="104"/>
      <c r="H12" s="105"/>
    </row>
    <row r="13" spans="2:8" ht="24.75" customHeight="1" x14ac:dyDescent="0.3">
      <c r="B13" s="99" t="str">
        <f>IF('COMMANDE GD-PUBLIC GSHC'!D9="","",'COMMANDE GD-PUBLIC GSHC'!D9)</f>
        <v/>
      </c>
      <c r="C13" s="100" t="str">
        <f>IF('COMMANDE GD-PUBLIC GSHC'!C9="","",'COMMANDE GD-PUBLIC GSHC'!C9)</f>
        <v/>
      </c>
      <c r="D13" s="101" t="str">
        <f>IF('COMMANDE GD-PUBLIC GSHC'!I9="","",'COMMANDE GD-PUBLIC GSHC'!I9)</f>
        <v/>
      </c>
      <c r="E13" s="101"/>
      <c r="F13" s="104"/>
      <c r="G13" s="104"/>
      <c r="H13" s="105"/>
    </row>
    <row r="14" spans="2:8" ht="24.75" customHeight="1" x14ac:dyDescent="0.3">
      <c r="B14" s="99" t="str">
        <f>IF('COMMANDE GD-PUBLIC GSHC'!D10="","",'COMMANDE GD-PUBLIC GSHC'!D10)</f>
        <v/>
      </c>
      <c r="C14" s="100" t="str">
        <f>IF('COMMANDE GD-PUBLIC GSHC'!C10="","",'COMMANDE GD-PUBLIC GSHC'!C10)</f>
        <v/>
      </c>
      <c r="D14" s="101" t="str">
        <f>IF('COMMANDE GD-PUBLIC GSHC'!I10="","",'COMMANDE GD-PUBLIC GSHC'!I10)</f>
        <v/>
      </c>
      <c r="E14" s="101"/>
      <c r="F14" s="104"/>
      <c r="G14" s="104"/>
      <c r="H14" s="105"/>
    </row>
    <row r="15" spans="2:8" ht="10.5" customHeight="1" thickBot="1" x14ac:dyDescent="0.35">
      <c r="B15" s="106"/>
      <c r="C15" s="107"/>
      <c r="D15" s="108"/>
      <c r="E15" s="108"/>
      <c r="F15" s="108"/>
      <c r="G15" s="108"/>
      <c r="H15" s="109"/>
    </row>
    <row r="19" spans="2:8" ht="15" x14ac:dyDescent="0.3">
      <c r="B19" s="82" t="str">
        <f>'COMMANDE GD-PUBLIC GSHC'!$A$2</f>
        <v>MATCH GSHC X</v>
      </c>
      <c r="C19" s="83" t="str">
        <f>'COMMANDE GD-PUBLIC GSHC'!$C$2</f>
        <v>SCL TIGERS</v>
      </c>
      <c r="D19" s="83"/>
      <c r="E19" s="82" t="s">
        <v>48</v>
      </c>
      <c r="F19" s="84">
        <f>'COMMANDE GD-PUBLIC GSHC'!$D$2</f>
        <v>45974</v>
      </c>
      <c r="G19" s="85"/>
      <c r="H19" s="85"/>
    </row>
    <row r="20" spans="2:8" ht="15.6" x14ac:dyDescent="0.3">
      <c r="B20" s="86"/>
      <c r="C20" s="87"/>
      <c r="D20" s="87"/>
      <c r="E20" s="86"/>
      <c r="F20" s="87"/>
      <c r="G20" s="87"/>
      <c r="H20" s="88"/>
    </row>
    <row r="21" spans="2:8" ht="18" x14ac:dyDescent="0.3">
      <c r="B21" s="82" t="s">
        <v>49</v>
      </c>
      <c r="C21" s="89">
        <f>'COMMANDE GD-PUBLIC GSHC'!$J$2</f>
        <v>0.82291666666666663</v>
      </c>
      <c r="D21" s="89"/>
      <c r="E21" s="82" t="s">
        <v>13</v>
      </c>
      <c r="F21" s="83" t="s">
        <v>50</v>
      </c>
      <c r="G21" s="90"/>
      <c r="H21" s="91"/>
    </row>
    <row r="22" spans="2:8" ht="15.6" x14ac:dyDescent="0.3">
      <c r="B22" s="92"/>
      <c r="C22" s="92"/>
      <c r="D22" s="92"/>
      <c r="E22" s="93"/>
      <c r="F22" s="93"/>
      <c r="G22" s="93"/>
      <c r="H22" s="94"/>
    </row>
    <row r="23" spans="2:8" ht="15" thickBot="1" x14ac:dyDescent="0.35"/>
    <row r="24" spans="2:8" ht="23.4" x14ac:dyDescent="0.3">
      <c r="B24" s="95" t="s">
        <v>51</v>
      </c>
      <c r="C24" s="224" t="s">
        <v>52</v>
      </c>
      <c r="D24" s="219" t="s">
        <v>53</v>
      </c>
      <c r="E24" s="220"/>
      <c r="F24" s="220"/>
      <c r="G24" s="221"/>
      <c r="H24" s="226" t="s">
        <v>54</v>
      </c>
    </row>
    <row r="25" spans="2:8" ht="38.4" thickBot="1" x14ac:dyDescent="0.35">
      <c r="B25" s="96" t="str">
        <f>'COMMANDE GD-PUBLIC GSHC'!A11</f>
        <v>BEV 2</v>
      </c>
      <c r="C25" s="225"/>
      <c r="D25" s="97" t="s">
        <v>55</v>
      </c>
      <c r="E25" s="97" t="s">
        <v>23</v>
      </c>
      <c r="F25" s="97" t="s">
        <v>56</v>
      </c>
      <c r="G25" s="98" t="s">
        <v>57</v>
      </c>
      <c r="H25" s="227"/>
    </row>
    <row r="26" spans="2:8" ht="24.75" customHeight="1" x14ac:dyDescent="0.3">
      <c r="B26" s="99" t="str">
        <f>IF('COMMANDE GD-PUBLIC GSHC'!D11="","",'COMMANDE GD-PUBLIC GSHC'!D11)</f>
        <v/>
      </c>
      <c r="C26" s="100" t="str">
        <f>IF('COMMANDE GD-PUBLIC GSHC'!C11="","",'COMMANDE GD-PUBLIC GSHC'!C11)</f>
        <v/>
      </c>
      <c r="D26" s="101">
        <f>IF('COMMANDE GD-PUBLIC GSHC'!I11="","",'COMMANDE GD-PUBLIC GSHC'!I11)</f>
        <v>0.72916666666666663</v>
      </c>
      <c r="E26" s="101"/>
      <c r="F26" s="102"/>
      <c r="G26" s="102"/>
      <c r="H26" s="103"/>
    </row>
    <row r="27" spans="2:8" ht="24.75" customHeight="1" x14ac:dyDescent="0.3">
      <c r="B27" s="99" t="str">
        <f>IF('COMMANDE GD-PUBLIC GSHC'!D12="","",'COMMANDE GD-PUBLIC GSHC'!D12)</f>
        <v/>
      </c>
      <c r="C27" s="100" t="str">
        <f>IF('COMMANDE GD-PUBLIC GSHC'!C12="","",'COMMANDE GD-PUBLIC GSHC'!C12)</f>
        <v/>
      </c>
      <c r="D27" s="101">
        <f>IF('COMMANDE GD-PUBLIC GSHC'!I12="","",'COMMANDE GD-PUBLIC GSHC'!I12)</f>
        <v>0.75</v>
      </c>
      <c r="E27" s="101"/>
      <c r="F27" s="104"/>
      <c r="G27" s="104"/>
      <c r="H27" s="105"/>
    </row>
    <row r="28" spans="2:8" ht="24.75" customHeight="1" x14ac:dyDescent="0.3">
      <c r="B28" s="99" t="str">
        <f>IF('COMMANDE GD-PUBLIC GSHC'!D13="","",'COMMANDE GD-PUBLIC GSHC'!D13)</f>
        <v/>
      </c>
      <c r="C28" s="100" t="str">
        <f>IF('COMMANDE GD-PUBLIC GSHC'!C13="","",'COMMANDE GD-PUBLIC GSHC'!C13)</f>
        <v/>
      </c>
      <c r="D28" s="101">
        <f>IF('COMMANDE GD-PUBLIC GSHC'!I13="","",'COMMANDE GD-PUBLIC GSHC'!I13)</f>
        <v>0.77083333333333337</v>
      </c>
      <c r="E28" s="101"/>
      <c r="F28" s="104"/>
      <c r="G28" s="104"/>
      <c r="H28" s="105"/>
    </row>
    <row r="29" spans="2:8" ht="24.75" customHeight="1" x14ac:dyDescent="0.3">
      <c r="B29" s="99" t="str">
        <f>IF('COMMANDE GD-PUBLIC GSHC'!D14="","",'COMMANDE GD-PUBLIC GSHC'!D14)</f>
        <v/>
      </c>
      <c r="C29" s="100" t="str">
        <f>IF('COMMANDE GD-PUBLIC GSHC'!C14="","",'COMMANDE GD-PUBLIC GSHC'!C14)</f>
        <v/>
      </c>
      <c r="D29" s="101">
        <f>IF('COMMANDE GD-PUBLIC GSHC'!I14="","",'COMMANDE GD-PUBLIC GSHC'!I14)</f>
        <v>0.79166666666666663</v>
      </c>
      <c r="E29" s="101"/>
      <c r="F29" s="104"/>
      <c r="G29" s="104"/>
      <c r="H29" s="105"/>
    </row>
    <row r="30" spans="2:8" ht="24.75" customHeight="1" x14ac:dyDescent="0.3">
      <c r="B30" s="99" t="str">
        <f>IF('COMMANDE GD-PUBLIC GSHC'!D15="","",'COMMANDE GD-PUBLIC GSHC'!D15)</f>
        <v/>
      </c>
      <c r="C30" s="100" t="str">
        <f>IF('COMMANDE GD-PUBLIC GSHC'!C15="","",'COMMANDE GD-PUBLIC GSHC'!C15)</f>
        <v/>
      </c>
      <c r="D30" s="101" t="str">
        <f>IF('COMMANDE GD-PUBLIC GSHC'!I15="","",'COMMANDE GD-PUBLIC GSHC'!I15)</f>
        <v/>
      </c>
      <c r="E30" s="101"/>
      <c r="F30" s="104"/>
      <c r="G30" s="104"/>
      <c r="H30" s="105"/>
    </row>
    <row r="31" spans="2:8" ht="24.75" customHeight="1" x14ac:dyDescent="0.3">
      <c r="B31" s="99" t="str">
        <f>IF('COMMANDE GD-PUBLIC GSHC'!D16="","",'COMMANDE GD-PUBLIC GSHC'!D16)</f>
        <v/>
      </c>
      <c r="C31" s="100" t="str">
        <f>IF('COMMANDE GD-PUBLIC GSHC'!C16="","",'COMMANDE GD-PUBLIC GSHC'!C16)</f>
        <v/>
      </c>
      <c r="D31" s="101" t="str">
        <f>IF('COMMANDE GD-PUBLIC GSHC'!I16="","",'COMMANDE GD-PUBLIC GSHC'!I16)</f>
        <v/>
      </c>
      <c r="E31" s="101"/>
      <c r="F31" s="104"/>
      <c r="G31" s="104"/>
      <c r="H31" s="105"/>
    </row>
    <row r="32" spans="2:8" ht="15" thickBot="1" x14ac:dyDescent="0.35">
      <c r="B32" s="106"/>
      <c r="C32" s="107"/>
      <c r="D32" s="108"/>
      <c r="E32" s="108"/>
      <c r="F32" s="108"/>
      <c r="G32" s="108"/>
      <c r="H32" s="109"/>
    </row>
    <row r="36" spans="2:8" ht="15" x14ac:dyDescent="0.3">
      <c r="B36" s="82" t="str">
        <f>'COMMANDE GD-PUBLIC GSHC'!$A$2</f>
        <v>MATCH GSHC X</v>
      </c>
      <c r="C36" s="83" t="str">
        <f>'COMMANDE GD-PUBLIC GSHC'!$C$2</f>
        <v>SCL TIGERS</v>
      </c>
      <c r="D36" s="83"/>
      <c r="E36" s="82" t="s">
        <v>48</v>
      </c>
      <c r="F36" s="84">
        <f>'COMMANDE GD-PUBLIC GSHC'!$D$2</f>
        <v>45974</v>
      </c>
      <c r="G36" s="85"/>
      <c r="H36" s="85"/>
    </row>
    <row r="37" spans="2:8" ht="15.6" x14ac:dyDescent="0.3">
      <c r="B37" s="86"/>
      <c r="C37" s="87"/>
      <c r="D37" s="87"/>
      <c r="E37" s="86"/>
      <c r="F37" s="87"/>
      <c r="G37" s="87"/>
      <c r="H37" s="88"/>
    </row>
    <row r="38" spans="2:8" ht="18" x14ac:dyDescent="0.3">
      <c r="B38" s="82" t="s">
        <v>49</v>
      </c>
      <c r="C38" s="89">
        <f>'COMMANDE GD-PUBLIC GSHC'!$J$2</f>
        <v>0.82291666666666663</v>
      </c>
      <c r="D38" s="89"/>
      <c r="E38" s="82" t="s">
        <v>13</v>
      </c>
      <c r="F38" s="83" t="s">
        <v>50</v>
      </c>
      <c r="G38" s="90"/>
      <c r="H38" s="91"/>
    </row>
    <row r="39" spans="2:8" ht="15.6" x14ac:dyDescent="0.3">
      <c r="B39" s="92"/>
      <c r="C39" s="92"/>
      <c r="D39" s="92"/>
      <c r="E39" s="93"/>
      <c r="F39" s="93"/>
      <c r="G39" s="93"/>
      <c r="H39" s="94"/>
    </row>
    <row r="40" spans="2:8" ht="15" thickBot="1" x14ac:dyDescent="0.35"/>
    <row r="41" spans="2:8" ht="23.4" x14ac:dyDescent="0.3">
      <c r="B41" s="95" t="s">
        <v>51</v>
      </c>
      <c r="C41" s="224" t="s">
        <v>52</v>
      </c>
      <c r="D41" s="219" t="s">
        <v>53</v>
      </c>
      <c r="E41" s="220"/>
      <c r="F41" s="220"/>
      <c r="G41" s="221"/>
      <c r="H41" s="226" t="s">
        <v>54</v>
      </c>
    </row>
    <row r="42" spans="2:8" ht="38.4" thickBot="1" x14ac:dyDescent="0.35">
      <c r="B42" s="96" t="str">
        <f>'COMMANDE GD-PUBLIC GSHC'!A17</f>
        <v>BEV 3</v>
      </c>
      <c r="C42" s="225"/>
      <c r="D42" s="97" t="s">
        <v>55</v>
      </c>
      <c r="E42" s="97" t="s">
        <v>23</v>
      </c>
      <c r="F42" s="97" t="s">
        <v>56</v>
      </c>
      <c r="G42" s="98" t="s">
        <v>57</v>
      </c>
      <c r="H42" s="227"/>
    </row>
    <row r="43" spans="2:8" ht="24.75" customHeight="1" x14ac:dyDescent="0.3">
      <c r="B43" s="99" t="str">
        <f>IF('COMMANDE GD-PUBLIC GSHC'!D17="","",'COMMANDE GD-PUBLIC GSHC'!D17)</f>
        <v/>
      </c>
      <c r="C43" s="100" t="str">
        <f>IF('COMMANDE GD-PUBLIC GSHC'!C17="","",'COMMANDE GD-PUBLIC GSHC'!C17)</f>
        <v/>
      </c>
      <c r="D43" s="101">
        <f>IF('COMMANDE GD-PUBLIC GSHC'!I17="","",'COMMANDE GD-PUBLIC GSHC'!I17)</f>
        <v>0.72916666666666663</v>
      </c>
      <c r="E43" s="101"/>
      <c r="F43" s="102"/>
      <c r="G43" s="102"/>
      <c r="H43" s="103"/>
    </row>
    <row r="44" spans="2:8" ht="24.75" customHeight="1" x14ac:dyDescent="0.3">
      <c r="B44" s="99" t="str">
        <f>IF('COMMANDE GD-PUBLIC GSHC'!D18="","",'COMMANDE GD-PUBLIC GSHC'!D18)</f>
        <v/>
      </c>
      <c r="C44" s="100" t="str">
        <f>IF('COMMANDE GD-PUBLIC GSHC'!C18="","",'COMMANDE GD-PUBLIC GSHC'!C18)</f>
        <v/>
      </c>
      <c r="D44" s="101">
        <f>IF('COMMANDE GD-PUBLIC GSHC'!I18="","",'COMMANDE GD-PUBLIC GSHC'!I18)</f>
        <v>0.75</v>
      </c>
      <c r="E44" s="101"/>
      <c r="F44" s="104"/>
      <c r="G44" s="104"/>
      <c r="H44" s="105"/>
    </row>
    <row r="45" spans="2:8" ht="24.75" customHeight="1" x14ac:dyDescent="0.3">
      <c r="B45" s="99" t="str">
        <f>IF('COMMANDE GD-PUBLIC GSHC'!D19="","",'COMMANDE GD-PUBLIC GSHC'!D19)</f>
        <v/>
      </c>
      <c r="C45" s="100" t="str">
        <f>IF('COMMANDE GD-PUBLIC GSHC'!C19="","",'COMMANDE GD-PUBLIC GSHC'!C19)</f>
        <v/>
      </c>
      <c r="D45" s="101">
        <f>IF('COMMANDE GD-PUBLIC GSHC'!I19="","",'COMMANDE GD-PUBLIC GSHC'!I19)</f>
        <v>0.77083333333333337</v>
      </c>
      <c r="E45" s="101"/>
      <c r="F45" s="104"/>
      <c r="G45" s="104"/>
      <c r="H45" s="105"/>
    </row>
    <row r="46" spans="2:8" ht="24.75" customHeight="1" x14ac:dyDescent="0.3">
      <c r="B46" s="99" t="str">
        <f>IF('COMMANDE GD-PUBLIC GSHC'!D20="","",'COMMANDE GD-PUBLIC GSHC'!D20)</f>
        <v/>
      </c>
      <c r="C46" s="100" t="str">
        <f>IF('COMMANDE GD-PUBLIC GSHC'!C20="","",'COMMANDE GD-PUBLIC GSHC'!C20)</f>
        <v/>
      </c>
      <c r="D46" s="101">
        <f>IF('COMMANDE GD-PUBLIC GSHC'!I20="","",'COMMANDE GD-PUBLIC GSHC'!I20)</f>
        <v>0.79166666666666663</v>
      </c>
      <c r="E46" s="101"/>
      <c r="F46" s="104"/>
      <c r="G46" s="104"/>
      <c r="H46" s="105"/>
    </row>
    <row r="47" spans="2:8" ht="24.75" customHeight="1" x14ac:dyDescent="0.3">
      <c r="B47" s="99" t="str">
        <f>IF('COMMANDE GD-PUBLIC GSHC'!D21="","",'COMMANDE GD-PUBLIC GSHC'!D21)</f>
        <v/>
      </c>
      <c r="C47" s="100" t="str">
        <f>IF('COMMANDE GD-PUBLIC GSHC'!C21="","",'COMMANDE GD-PUBLIC GSHC'!C21)</f>
        <v/>
      </c>
      <c r="D47" s="101" t="str">
        <f>IF('COMMANDE GD-PUBLIC GSHC'!I21="","",'COMMANDE GD-PUBLIC GSHC'!I21)</f>
        <v/>
      </c>
      <c r="E47" s="101"/>
      <c r="F47" s="104"/>
      <c r="G47" s="104"/>
      <c r="H47" s="105"/>
    </row>
    <row r="48" spans="2:8" ht="24.75" customHeight="1" x14ac:dyDescent="0.3">
      <c r="B48" s="99" t="str">
        <f>IF('COMMANDE GD-PUBLIC GSHC'!D22="","",'COMMANDE GD-PUBLIC GSHC'!D22)</f>
        <v/>
      </c>
      <c r="C48" s="100" t="str">
        <f>IF('COMMANDE GD-PUBLIC GSHC'!C22="","",'COMMANDE GD-PUBLIC GSHC'!C22)</f>
        <v/>
      </c>
      <c r="D48" s="101" t="str">
        <f>IF('COMMANDE GD-PUBLIC GSHC'!I22="","",'COMMANDE GD-PUBLIC GSHC'!I22)</f>
        <v/>
      </c>
      <c r="E48" s="101"/>
      <c r="F48" s="104"/>
      <c r="G48" s="104"/>
      <c r="H48" s="105"/>
    </row>
    <row r="49" spans="2:8" ht="15" thickBot="1" x14ac:dyDescent="0.35">
      <c r="B49" s="106"/>
      <c r="C49" s="107"/>
      <c r="D49" s="108"/>
      <c r="E49" s="108"/>
      <c r="F49" s="108"/>
      <c r="G49" s="108"/>
      <c r="H49" s="109"/>
    </row>
    <row r="53" spans="2:8" ht="15" x14ac:dyDescent="0.3">
      <c r="B53" s="82" t="str">
        <f>'COMMANDE GD-PUBLIC GSHC'!$A$2</f>
        <v>MATCH GSHC X</v>
      </c>
      <c r="C53" s="83" t="str">
        <f>'COMMANDE GD-PUBLIC GSHC'!$C$2</f>
        <v>SCL TIGERS</v>
      </c>
      <c r="D53" s="83"/>
      <c r="E53" s="82" t="s">
        <v>48</v>
      </c>
      <c r="F53" s="84">
        <f>'COMMANDE GD-PUBLIC GSHC'!$D$2</f>
        <v>45974</v>
      </c>
      <c r="G53" s="85"/>
      <c r="H53" s="85"/>
    </row>
    <row r="54" spans="2:8" ht="15.6" x14ac:dyDescent="0.3">
      <c r="B54" s="86"/>
      <c r="C54" s="87"/>
      <c r="D54" s="87"/>
      <c r="E54" s="86"/>
      <c r="F54" s="87"/>
      <c r="G54" s="87"/>
      <c r="H54" s="88"/>
    </row>
    <row r="55" spans="2:8" ht="18" x14ac:dyDescent="0.3">
      <c r="B55" s="82" t="s">
        <v>49</v>
      </c>
      <c r="C55" s="89">
        <f>'COMMANDE GD-PUBLIC GSHC'!$J$2</f>
        <v>0.82291666666666663</v>
      </c>
      <c r="D55" s="89"/>
      <c r="E55" s="82" t="s">
        <v>13</v>
      </c>
      <c r="F55" s="83" t="s">
        <v>50</v>
      </c>
      <c r="G55" s="90"/>
      <c r="H55" s="91"/>
    </row>
    <row r="56" spans="2:8" ht="15.6" x14ac:dyDescent="0.3">
      <c r="B56" s="92"/>
      <c r="C56" s="92"/>
      <c r="D56" s="92"/>
      <c r="E56" s="93"/>
      <c r="F56" s="93"/>
      <c r="G56" s="93"/>
      <c r="H56" s="94"/>
    </row>
    <row r="57" spans="2:8" ht="15" thickBot="1" x14ac:dyDescent="0.35"/>
    <row r="58" spans="2:8" ht="23.4" x14ac:dyDescent="0.3">
      <c r="B58" s="95" t="s">
        <v>51</v>
      </c>
      <c r="C58" s="224" t="s">
        <v>52</v>
      </c>
      <c r="D58" s="219" t="s">
        <v>53</v>
      </c>
      <c r="E58" s="220"/>
      <c r="F58" s="220"/>
      <c r="G58" s="221"/>
      <c r="H58" s="226" t="s">
        <v>54</v>
      </c>
    </row>
    <row r="59" spans="2:8" ht="38.4" thickBot="1" x14ac:dyDescent="0.35">
      <c r="B59" s="110" t="str">
        <f>'COMMANDE GD-PUBLIC GSHC'!A23</f>
        <v>FOOD 1</v>
      </c>
      <c r="C59" s="225"/>
      <c r="D59" s="97" t="s">
        <v>55</v>
      </c>
      <c r="E59" s="97" t="s">
        <v>23</v>
      </c>
      <c r="F59" s="97" t="s">
        <v>56</v>
      </c>
      <c r="G59" s="98" t="s">
        <v>57</v>
      </c>
      <c r="H59" s="227"/>
    </row>
    <row r="60" spans="2:8" ht="24.75" customHeight="1" x14ac:dyDescent="0.3">
      <c r="B60" s="99" t="str">
        <f>IF('COMMANDE GD-PUBLIC GSHC'!D23="","",'COMMANDE GD-PUBLIC GSHC'!D23)</f>
        <v/>
      </c>
      <c r="C60" s="100" t="str">
        <f>IF('COMMANDE GD-PUBLIC GSHC'!C23="","",'COMMANDE GD-PUBLIC GSHC'!C23)</f>
        <v/>
      </c>
      <c r="D60" s="101">
        <f>IF('COMMANDE GD-PUBLIC GSHC'!I23="","",'COMMANDE GD-PUBLIC GSHC'!I23)</f>
        <v>0.75</v>
      </c>
      <c r="E60" s="101"/>
      <c r="F60" s="102"/>
      <c r="G60" s="102"/>
      <c r="H60" s="103"/>
    </row>
    <row r="61" spans="2:8" ht="24.75" customHeight="1" x14ac:dyDescent="0.3">
      <c r="B61" s="99" t="str">
        <f>IF('COMMANDE GD-PUBLIC GSHC'!D24="","",'COMMANDE GD-PUBLIC GSHC'!D24)</f>
        <v/>
      </c>
      <c r="C61" s="100" t="str">
        <f>IF('COMMANDE GD-PUBLIC GSHC'!C24="","",'COMMANDE GD-PUBLIC GSHC'!C24)</f>
        <v/>
      </c>
      <c r="D61" s="101">
        <f>IF('COMMANDE GD-PUBLIC GSHC'!I24="","",'COMMANDE GD-PUBLIC GSHC'!I24)</f>
        <v>0.72916666666666663</v>
      </c>
      <c r="E61" s="101"/>
      <c r="F61" s="104"/>
      <c r="G61" s="104"/>
      <c r="H61" s="105"/>
    </row>
    <row r="62" spans="2:8" ht="24.75" customHeight="1" x14ac:dyDescent="0.3">
      <c r="B62" s="99" t="str">
        <f>IF('COMMANDE GD-PUBLIC GSHC'!D25="","",'COMMANDE GD-PUBLIC GSHC'!D25)</f>
        <v/>
      </c>
      <c r="C62" s="100" t="str">
        <f>IF('COMMANDE GD-PUBLIC GSHC'!C25="","",'COMMANDE GD-PUBLIC GSHC'!C25)</f>
        <v/>
      </c>
      <c r="D62" s="101" t="str">
        <f>IF('COMMANDE GD-PUBLIC GSHC'!I25="","",'COMMANDE GD-PUBLIC GSHC'!I25)</f>
        <v/>
      </c>
      <c r="E62" s="101"/>
      <c r="F62" s="104"/>
      <c r="G62" s="104"/>
      <c r="H62" s="105"/>
    </row>
    <row r="63" spans="2:8" ht="24.75" customHeight="1" x14ac:dyDescent="0.3">
      <c r="B63" s="99" t="str">
        <f>IF('COMMANDE GD-PUBLIC GSHC'!D26="","",'COMMANDE GD-PUBLIC GSHC'!D26)</f>
        <v/>
      </c>
      <c r="C63" s="100" t="str">
        <f>IF('COMMANDE GD-PUBLIC GSHC'!C26="","",'COMMANDE GD-PUBLIC GSHC'!C26)</f>
        <v/>
      </c>
      <c r="D63" s="101" t="str">
        <f>IF('COMMANDE GD-PUBLIC GSHC'!I26="","",'COMMANDE GD-PUBLIC GSHC'!I26)</f>
        <v/>
      </c>
      <c r="E63" s="101"/>
      <c r="F63" s="104"/>
      <c r="G63" s="104"/>
      <c r="H63" s="105"/>
    </row>
    <row r="64" spans="2:8" ht="15" thickBot="1" x14ac:dyDescent="0.35">
      <c r="B64" s="106"/>
      <c r="C64" s="107"/>
      <c r="D64" s="108"/>
      <c r="E64" s="108"/>
      <c r="F64" s="108"/>
      <c r="G64" s="108"/>
      <c r="H64" s="109"/>
    </row>
    <row r="68" spans="2:8" ht="15" x14ac:dyDescent="0.3">
      <c r="B68" s="82" t="str">
        <f>'COMMANDE GD-PUBLIC GSHC'!$A$2</f>
        <v>MATCH GSHC X</v>
      </c>
      <c r="C68" s="83" t="str">
        <f>'COMMANDE GD-PUBLIC GSHC'!$C$2</f>
        <v>SCL TIGERS</v>
      </c>
      <c r="D68" s="83"/>
      <c r="E68" s="82" t="s">
        <v>48</v>
      </c>
      <c r="F68" s="84">
        <f>'COMMANDE GD-PUBLIC GSHC'!$D$2</f>
        <v>45974</v>
      </c>
      <c r="G68" s="85"/>
      <c r="H68" s="85"/>
    </row>
    <row r="69" spans="2:8" ht="15.6" x14ac:dyDescent="0.3">
      <c r="B69" s="86"/>
      <c r="C69" s="87"/>
      <c r="D69" s="87"/>
      <c r="E69" s="86"/>
      <c r="F69" s="87"/>
      <c r="G69" s="87"/>
      <c r="H69" s="88"/>
    </row>
    <row r="70" spans="2:8" ht="18" x14ac:dyDescent="0.3">
      <c r="B70" s="82" t="s">
        <v>49</v>
      </c>
      <c r="C70" s="89">
        <f>'COMMANDE GD-PUBLIC GSHC'!$J$2</f>
        <v>0.82291666666666663</v>
      </c>
      <c r="D70" s="89"/>
      <c r="E70" s="82" t="s">
        <v>13</v>
      </c>
      <c r="F70" s="83" t="s">
        <v>50</v>
      </c>
      <c r="G70" s="90"/>
      <c r="H70" s="91"/>
    </row>
    <row r="71" spans="2:8" ht="15.6" x14ac:dyDescent="0.3">
      <c r="B71" s="92"/>
      <c r="C71" s="92"/>
      <c r="D71" s="92"/>
      <c r="E71" s="93"/>
      <c r="F71" s="93"/>
      <c r="G71" s="93"/>
      <c r="H71" s="94"/>
    </row>
    <row r="72" spans="2:8" ht="15" thickBot="1" x14ac:dyDescent="0.35"/>
    <row r="73" spans="2:8" ht="23.4" x14ac:dyDescent="0.3">
      <c r="B73" s="95" t="s">
        <v>51</v>
      </c>
      <c r="C73" s="224" t="s">
        <v>52</v>
      </c>
      <c r="D73" s="219" t="s">
        <v>53</v>
      </c>
      <c r="E73" s="220"/>
      <c r="F73" s="220"/>
      <c r="G73" s="221"/>
      <c r="H73" s="226" t="s">
        <v>54</v>
      </c>
    </row>
    <row r="74" spans="2:8" ht="38.4" thickBot="1" x14ac:dyDescent="0.35">
      <c r="B74" s="110" t="str">
        <f>'COMMANDE GD-PUBLIC GSHC'!A27</f>
        <v>FOOD 2</v>
      </c>
      <c r="C74" s="225"/>
      <c r="D74" s="97" t="s">
        <v>55</v>
      </c>
      <c r="E74" s="97" t="s">
        <v>23</v>
      </c>
      <c r="F74" s="97" t="s">
        <v>56</v>
      </c>
      <c r="G74" s="98" t="s">
        <v>57</v>
      </c>
      <c r="H74" s="227"/>
    </row>
    <row r="75" spans="2:8" ht="24.75" customHeight="1" x14ac:dyDescent="0.3">
      <c r="B75" s="99" t="str">
        <f>IF('COMMANDE GD-PUBLIC GSHC'!D27="","",'COMMANDE GD-PUBLIC GSHC'!D27)</f>
        <v/>
      </c>
      <c r="C75" s="100" t="str">
        <f>IF('COMMANDE GD-PUBLIC GSHC'!C27="","",'COMMANDE GD-PUBLIC GSHC'!C27)</f>
        <v/>
      </c>
      <c r="D75" s="101">
        <f>IF('COMMANDE GD-PUBLIC GSHC'!I27="","",'COMMANDE GD-PUBLIC GSHC'!I27)</f>
        <v>0.75</v>
      </c>
      <c r="E75" s="101"/>
      <c r="F75" s="102"/>
      <c r="G75" s="102"/>
      <c r="H75" s="103"/>
    </row>
    <row r="76" spans="2:8" ht="24.75" customHeight="1" x14ac:dyDescent="0.3">
      <c r="B76" s="99" t="str">
        <f>IF('COMMANDE GD-PUBLIC GSHC'!D28="","",'COMMANDE GD-PUBLIC GSHC'!D28)</f>
        <v/>
      </c>
      <c r="C76" s="100" t="str">
        <f>IF('COMMANDE GD-PUBLIC GSHC'!C28="","",'COMMANDE GD-PUBLIC GSHC'!C28)</f>
        <v/>
      </c>
      <c r="D76" s="101">
        <f>IF('COMMANDE GD-PUBLIC GSHC'!I28="","",'COMMANDE GD-PUBLIC GSHC'!I28)</f>
        <v>0.79166666666666663</v>
      </c>
      <c r="E76" s="101"/>
      <c r="F76" s="104"/>
      <c r="G76" s="104"/>
      <c r="H76" s="105"/>
    </row>
    <row r="77" spans="2:8" ht="24.75" customHeight="1" x14ac:dyDescent="0.3">
      <c r="B77" s="99" t="str">
        <f>IF('COMMANDE GD-PUBLIC GSHC'!D29="","",'COMMANDE GD-PUBLIC GSHC'!D29)</f>
        <v/>
      </c>
      <c r="C77" s="100" t="str">
        <f>IF('COMMANDE GD-PUBLIC GSHC'!C29="","",'COMMANDE GD-PUBLIC GSHC'!C29)</f>
        <v/>
      </c>
      <c r="D77" s="101" t="str">
        <f>IF('COMMANDE GD-PUBLIC GSHC'!I29="","",'COMMANDE GD-PUBLIC GSHC'!I29)</f>
        <v/>
      </c>
      <c r="E77" s="101"/>
      <c r="F77" s="104"/>
      <c r="G77" s="104"/>
      <c r="H77" s="105"/>
    </row>
    <row r="78" spans="2:8" ht="24.75" customHeight="1" x14ac:dyDescent="0.3">
      <c r="B78" s="99" t="str">
        <f>IF('COMMANDE GD-PUBLIC GSHC'!D30="","",'COMMANDE GD-PUBLIC GSHC'!D30)</f>
        <v/>
      </c>
      <c r="C78" s="100" t="str">
        <f>IF('COMMANDE GD-PUBLIC GSHC'!C30="","",'COMMANDE GD-PUBLIC GSHC'!C30)</f>
        <v/>
      </c>
      <c r="D78" s="101" t="str">
        <f>IF('COMMANDE GD-PUBLIC GSHC'!I30="","",'COMMANDE GD-PUBLIC GSHC'!I30)</f>
        <v/>
      </c>
      <c r="E78" s="101"/>
      <c r="F78" s="104"/>
      <c r="G78" s="104"/>
      <c r="H78" s="105"/>
    </row>
    <row r="79" spans="2:8" ht="12" customHeight="1" thickBot="1" x14ac:dyDescent="0.35">
      <c r="B79" s="106"/>
      <c r="C79" s="107"/>
      <c r="D79" s="108"/>
      <c r="E79" s="108"/>
      <c r="F79" s="108"/>
      <c r="G79" s="108"/>
      <c r="H79" s="109"/>
    </row>
    <row r="84" spans="2:8" ht="15" x14ac:dyDescent="0.3">
      <c r="B84" s="82" t="str">
        <f>'COMMANDE GD-PUBLIC GSHC'!$A$2</f>
        <v>MATCH GSHC X</v>
      </c>
      <c r="C84" s="83" t="str">
        <f>'COMMANDE GD-PUBLIC GSHC'!$C$2</f>
        <v>SCL TIGERS</v>
      </c>
      <c r="D84" s="83"/>
      <c r="E84" s="82" t="s">
        <v>48</v>
      </c>
      <c r="F84" s="84">
        <f>'COMMANDE GD-PUBLIC GSHC'!$D$2</f>
        <v>45974</v>
      </c>
      <c r="G84" s="85"/>
      <c r="H84" s="85"/>
    </row>
    <row r="85" spans="2:8" ht="15.6" x14ac:dyDescent="0.3">
      <c r="B85" s="86"/>
      <c r="C85" s="87"/>
      <c r="D85" s="87"/>
      <c r="E85" s="86"/>
      <c r="F85" s="87"/>
      <c r="G85" s="87"/>
      <c r="H85" s="88"/>
    </row>
    <row r="86" spans="2:8" ht="18" x14ac:dyDescent="0.3">
      <c r="B86" s="82" t="s">
        <v>49</v>
      </c>
      <c r="C86" s="89">
        <f>'COMMANDE GD-PUBLIC GSHC'!$J$2</f>
        <v>0.82291666666666663</v>
      </c>
      <c r="D86" s="89"/>
      <c r="E86" s="82" t="s">
        <v>13</v>
      </c>
      <c r="F86" s="83" t="s">
        <v>50</v>
      </c>
      <c r="G86" s="90"/>
      <c r="H86" s="91"/>
    </row>
    <row r="87" spans="2:8" ht="15.6" x14ac:dyDescent="0.3">
      <c r="B87" s="92"/>
      <c r="C87" s="92"/>
      <c r="D87" s="92"/>
      <c r="E87" s="93"/>
      <c r="F87" s="93"/>
      <c r="G87" s="93"/>
      <c r="H87" s="94"/>
    </row>
    <row r="88" spans="2:8" ht="15" thickBot="1" x14ac:dyDescent="0.35"/>
    <row r="89" spans="2:8" ht="23.4" x14ac:dyDescent="0.3">
      <c r="B89" s="95" t="s">
        <v>51</v>
      </c>
      <c r="C89" s="224" t="s">
        <v>52</v>
      </c>
      <c r="D89" s="219" t="s">
        <v>53</v>
      </c>
      <c r="E89" s="220"/>
      <c r="F89" s="220"/>
      <c r="G89" s="221"/>
      <c r="H89" s="226" t="s">
        <v>54</v>
      </c>
    </row>
    <row r="90" spans="2:8" ht="38.4" thickBot="1" x14ac:dyDescent="0.35">
      <c r="B90" s="111" t="str">
        <f>'COMMANDE GD-PUBLIC GSHC'!A31</f>
        <v>CHALET 1</v>
      </c>
      <c r="C90" s="225"/>
      <c r="D90" s="97" t="s">
        <v>55</v>
      </c>
      <c r="E90" s="97" t="s">
        <v>23</v>
      </c>
      <c r="F90" s="97" t="s">
        <v>56</v>
      </c>
      <c r="G90" s="98" t="s">
        <v>57</v>
      </c>
      <c r="H90" s="227"/>
    </row>
    <row r="91" spans="2:8" ht="24.75" customHeight="1" x14ac:dyDescent="0.3">
      <c r="B91" s="99" t="str">
        <f>IF('COMMANDE GD-PUBLIC GSHC'!D31="","",'COMMANDE GD-PUBLIC GSHC'!D31)</f>
        <v/>
      </c>
      <c r="C91" s="100" t="str">
        <f>IF('COMMANDE GD-PUBLIC GSHC'!C31="","",'COMMANDE GD-PUBLIC GSHC'!C31)</f>
        <v/>
      </c>
      <c r="D91" s="101">
        <f>IF('COMMANDE GD-PUBLIC GSHC'!I31="","",'COMMANDE GD-PUBLIC GSHC'!I31)</f>
        <v>0.72916666666666663</v>
      </c>
      <c r="E91" s="101"/>
      <c r="F91" s="102"/>
      <c r="G91" s="102"/>
      <c r="H91" s="103"/>
    </row>
    <row r="92" spans="2:8" ht="24.75" customHeight="1" x14ac:dyDescent="0.3">
      <c r="B92" s="99" t="str">
        <f>IF('COMMANDE GD-PUBLIC GSHC'!D32="","",'COMMANDE GD-PUBLIC GSHC'!D32)</f>
        <v/>
      </c>
      <c r="C92" s="100" t="str">
        <f>IF('COMMANDE GD-PUBLIC GSHC'!C32="","",'COMMANDE GD-PUBLIC GSHC'!C32)</f>
        <v/>
      </c>
      <c r="D92" s="101">
        <f>IF('COMMANDE GD-PUBLIC GSHC'!I32="","",'COMMANDE GD-PUBLIC GSHC'!I32)</f>
        <v>0.75</v>
      </c>
      <c r="E92" s="101"/>
      <c r="F92" s="104"/>
      <c r="G92" s="104"/>
      <c r="H92" s="105"/>
    </row>
    <row r="93" spans="2:8" ht="24.75" customHeight="1" x14ac:dyDescent="0.3">
      <c r="B93" s="99" t="str">
        <f>IF('COMMANDE GD-PUBLIC GSHC'!D33="","",'COMMANDE GD-PUBLIC GSHC'!D33)</f>
        <v/>
      </c>
      <c r="C93" s="100" t="str">
        <f>IF('COMMANDE GD-PUBLIC GSHC'!C33="","",'COMMANDE GD-PUBLIC GSHC'!C33)</f>
        <v/>
      </c>
      <c r="D93" s="101">
        <f>IF('COMMANDE GD-PUBLIC GSHC'!I33="","",'COMMANDE GD-PUBLIC GSHC'!I33)</f>
        <v>0.72916666666666663</v>
      </c>
      <c r="E93" s="101"/>
      <c r="F93" s="104"/>
      <c r="G93" s="104"/>
      <c r="H93" s="105"/>
    </row>
    <row r="94" spans="2:8" ht="24.75" customHeight="1" x14ac:dyDescent="0.3">
      <c r="B94" s="99" t="str">
        <f>IF('COMMANDE GD-PUBLIC GSHC'!D34="","",'COMMANDE GD-PUBLIC GSHC'!D34)</f>
        <v/>
      </c>
      <c r="C94" s="100" t="str">
        <f>IF('COMMANDE GD-PUBLIC GSHC'!C34="","",'COMMANDE GD-PUBLIC GSHC'!C34)</f>
        <v/>
      </c>
      <c r="D94" s="101" t="str">
        <f>IF('COMMANDE GD-PUBLIC GSHC'!I34="","",'COMMANDE GD-PUBLIC GSHC'!I34)</f>
        <v/>
      </c>
      <c r="E94" s="101"/>
      <c r="F94" s="104"/>
      <c r="G94" s="104"/>
      <c r="H94" s="105"/>
    </row>
    <row r="95" spans="2:8" ht="15" thickBot="1" x14ac:dyDescent="0.35">
      <c r="B95" s="106"/>
      <c r="C95" s="107"/>
      <c r="D95" s="108"/>
      <c r="E95" s="108"/>
      <c r="F95" s="108"/>
      <c r="G95" s="108"/>
      <c r="H95" s="109"/>
    </row>
    <row r="99" spans="2:8" ht="15" x14ac:dyDescent="0.3">
      <c r="B99" s="82" t="str">
        <f>'COMMANDE GD-PUBLIC GSHC'!$A$2</f>
        <v>MATCH GSHC X</v>
      </c>
      <c r="C99" s="83" t="str">
        <f>'COMMANDE GD-PUBLIC GSHC'!$C$2</f>
        <v>SCL TIGERS</v>
      </c>
      <c r="D99" s="83"/>
      <c r="E99" s="82" t="s">
        <v>48</v>
      </c>
      <c r="F99" s="84">
        <f>'COMMANDE GD-PUBLIC GSHC'!$D$2</f>
        <v>45974</v>
      </c>
      <c r="G99" s="85"/>
      <c r="H99" s="85"/>
    </row>
    <row r="100" spans="2:8" ht="15.6" x14ac:dyDescent="0.3">
      <c r="B100" s="86"/>
      <c r="C100" s="87"/>
      <c r="D100" s="87"/>
      <c r="E100" s="86"/>
      <c r="F100" s="87"/>
      <c r="G100" s="87"/>
      <c r="H100" s="88"/>
    </row>
    <row r="101" spans="2:8" ht="18" x14ac:dyDescent="0.3">
      <c r="B101" s="82" t="s">
        <v>49</v>
      </c>
      <c r="C101" s="89">
        <f>'COMMANDE GD-PUBLIC GSHC'!$J$2</f>
        <v>0.82291666666666663</v>
      </c>
      <c r="D101" s="89"/>
      <c r="E101" s="82" t="s">
        <v>13</v>
      </c>
      <c r="F101" s="83" t="s">
        <v>50</v>
      </c>
      <c r="G101" s="90"/>
      <c r="H101" s="91"/>
    </row>
    <row r="102" spans="2:8" ht="15.6" x14ac:dyDescent="0.3">
      <c r="B102" s="92"/>
      <c r="C102" s="92"/>
      <c r="D102" s="92"/>
      <c r="E102" s="93"/>
      <c r="F102" s="93"/>
      <c r="G102" s="93"/>
      <c r="H102" s="94"/>
    </row>
    <row r="103" spans="2:8" ht="15" thickBot="1" x14ac:dyDescent="0.35"/>
    <row r="104" spans="2:8" ht="23.4" x14ac:dyDescent="0.3">
      <c r="B104" s="95" t="s">
        <v>51</v>
      </c>
      <c r="C104" s="217" t="s">
        <v>52</v>
      </c>
      <c r="D104" s="219" t="s">
        <v>53</v>
      </c>
      <c r="E104" s="220"/>
      <c r="F104" s="220"/>
      <c r="G104" s="221"/>
      <c r="H104" s="222" t="s">
        <v>54</v>
      </c>
    </row>
    <row r="105" spans="2:8" ht="38.4" thickBot="1" x14ac:dyDescent="0.35">
      <c r="B105" s="111" t="str">
        <f>'COMMANDE GD-PUBLIC GSHC'!A35</f>
        <v>CHALET 2</v>
      </c>
      <c r="C105" s="218"/>
      <c r="D105" s="97" t="s">
        <v>55</v>
      </c>
      <c r="E105" s="97" t="s">
        <v>23</v>
      </c>
      <c r="F105" s="97" t="s">
        <v>56</v>
      </c>
      <c r="G105" s="98" t="s">
        <v>57</v>
      </c>
      <c r="H105" s="223"/>
    </row>
    <row r="106" spans="2:8" ht="24.75" customHeight="1" x14ac:dyDescent="0.3">
      <c r="B106" s="99" t="str">
        <f>IF('COMMANDE GD-PUBLIC GSHC'!D35="","",'COMMANDE GD-PUBLIC GSHC'!D35)</f>
        <v/>
      </c>
      <c r="C106" s="100" t="str">
        <f>IF('COMMANDE GD-PUBLIC GSHC'!C35="","",'COMMANDE GD-PUBLIC GSHC'!C35)</f>
        <v/>
      </c>
      <c r="D106" s="101">
        <f>IF('COMMANDE GD-PUBLIC GSHC'!I35="","",'COMMANDE GD-PUBLIC GSHC'!I35)</f>
        <v>0.72916666666666663</v>
      </c>
      <c r="E106" s="101"/>
      <c r="F106" s="102"/>
      <c r="G106" s="102"/>
      <c r="H106" s="103"/>
    </row>
    <row r="107" spans="2:8" ht="24.75" customHeight="1" x14ac:dyDescent="0.3">
      <c r="B107" s="99" t="str">
        <f>IF('COMMANDE GD-PUBLIC GSHC'!D36="","",'COMMANDE GD-PUBLIC GSHC'!D36)</f>
        <v/>
      </c>
      <c r="C107" s="100" t="str">
        <f>IF('COMMANDE GD-PUBLIC GSHC'!C36="","",'COMMANDE GD-PUBLIC GSHC'!C36)</f>
        <v/>
      </c>
      <c r="D107" s="101">
        <f>IF('COMMANDE GD-PUBLIC GSHC'!I36="","",'COMMANDE GD-PUBLIC GSHC'!I36)</f>
        <v>0.72916666666666663</v>
      </c>
      <c r="E107" s="101"/>
      <c r="F107" s="104"/>
      <c r="G107" s="104"/>
      <c r="H107" s="105"/>
    </row>
    <row r="108" spans="2:8" ht="24.75" customHeight="1" x14ac:dyDescent="0.3">
      <c r="B108" s="99" t="str">
        <f>IF('COMMANDE GD-PUBLIC GSHC'!D37="","",'COMMANDE GD-PUBLIC GSHC'!D37)</f>
        <v/>
      </c>
      <c r="C108" s="100" t="str">
        <f>IF('COMMANDE GD-PUBLIC GSHC'!C37="","",'COMMANDE GD-PUBLIC GSHC'!C37)</f>
        <v/>
      </c>
      <c r="D108" s="101" t="str">
        <f>IF('COMMANDE GD-PUBLIC GSHC'!I37="","",'COMMANDE GD-PUBLIC GSHC'!I37)</f>
        <v/>
      </c>
      <c r="E108" s="101"/>
      <c r="F108" s="104"/>
      <c r="G108" s="104"/>
      <c r="H108" s="105"/>
    </row>
    <row r="109" spans="2:8" ht="24.75" customHeight="1" x14ac:dyDescent="0.3">
      <c r="B109" s="99" t="str">
        <f>IF('COMMANDE GD-PUBLIC GSHC'!D38="","",'COMMANDE GD-PUBLIC GSHC'!D38)</f>
        <v/>
      </c>
      <c r="C109" s="100" t="str">
        <f>IF('COMMANDE GD-PUBLIC GSHC'!C38="","",'COMMANDE GD-PUBLIC GSHC'!C38)</f>
        <v/>
      </c>
      <c r="D109" s="101" t="str">
        <f>IF('COMMANDE GD-PUBLIC GSHC'!I38="","",'COMMANDE GD-PUBLIC GSHC'!I38)</f>
        <v/>
      </c>
      <c r="E109" s="101"/>
      <c r="F109" s="104"/>
      <c r="G109" s="104"/>
      <c r="H109" s="105"/>
    </row>
    <row r="110" spans="2:8" ht="15" thickBot="1" x14ac:dyDescent="0.35">
      <c r="B110" s="106"/>
      <c r="C110" s="107"/>
      <c r="D110" s="108"/>
      <c r="E110" s="108"/>
      <c r="F110" s="108"/>
      <c r="G110" s="108"/>
      <c r="H110" s="109"/>
    </row>
    <row r="114" spans="2:8" ht="15" x14ac:dyDescent="0.3">
      <c r="B114" s="82" t="str">
        <f>'COMMANDE GD-PUBLIC GSHC'!$A$2</f>
        <v>MATCH GSHC X</v>
      </c>
      <c r="C114" s="83" t="str">
        <f>'COMMANDE GD-PUBLIC GSHC'!$C$2</f>
        <v>SCL TIGERS</v>
      </c>
      <c r="D114" s="83"/>
      <c r="E114" s="82" t="s">
        <v>48</v>
      </c>
      <c r="F114" s="84">
        <f>'COMMANDE GD-PUBLIC GSHC'!$D$2</f>
        <v>45974</v>
      </c>
      <c r="G114" s="85"/>
      <c r="H114" s="85"/>
    </row>
    <row r="115" spans="2:8" ht="15.6" x14ac:dyDescent="0.3">
      <c r="B115" s="86"/>
      <c r="C115" s="87"/>
      <c r="D115" s="87"/>
      <c r="E115" s="86"/>
      <c r="F115" s="87"/>
      <c r="G115" s="87"/>
      <c r="H115" s="88"/>
    </row>
    <row r="116" spans="2:8" ht="18" x14ac:dyDescent="0.3">
      <c r="B116" s="82" t="s">
        <v>49</v>
      </c>
      <c r="C116" s="89">
        <f>'COMMANDE GD-PUBLIC GSHC'!$J$2</f>
        <v>0.82291666666666663</v>
      </c>
      <c r="D116" s="89"/>
      <c r="E116" s="82" t="s">
        <v>13</v>
      </c>
      <c r="F116" s="83" t="s">
        <v>50</v>
      </c>
      <c r="G116" s="90"/>
      <c r="H116" s="91"/>
    </row>
    <row r="117" spans="2:8" ht="15.6" x14ac:dyDescent="0.3">
      <c r="B117" s="92"/>
      <c r="C117" s="92"/>
      <c r="D117" s="92"/>
      <c r="E117" s="93"/>
      <c r="F117" s="93"/>
      <c r="G117" s="93"/>
      <c r="H117" s="94"/>
    </row>
    <row r="118" spans="2:8" ht="15" thickBot="1" x14ac:dyDescent="0.35"/>
    <row r="119" spans="2:8" ht="23.4" x14ac:dyDescent="0.3">
      <c r="B119" s="95" t="s">
        <v>51</v>
      </c>
      <c r="C119" s="217" t="s">
        <v>52</v>
      </c>
      <c r="D119" s="219" t="s">
        <v>53</v>
      </c>
      <c r="E119" s="220"/>
      <c r="F119" s="220"/>
      <c r="G119" s="221"/>
      <c r="H119" s="222" t="s">
        <v>54</v>
      </c>
    </row>
    <row r="120" spans="2:8" ht="38.4" thickBot="1" x14ac:dyDescent="0.35">
      <c r="B120" s="111" t="str">
        <f>'COMMANDE GD-PUBLIC GSHC'!A39</f>
        <v>CHALET 3</v>
      </c>
      <c r="C120" s="218"/>
      <c r="D120" s="97" t="s">
        <v>55</v>
      </c>
      <c r="E120" s="97" t="s">
        <v>23</v>
      </c>
      <c r="F120" s="97" t="s">
        <v>56</v>
      </c>
      <c r="G120" s="98" t="s">
        <v>57</v>
      </c>
      <c r="H120" s="223"/>
    </row>
    <row r="121" spans="2:8" ht="24.75" customHeight="1" x14ac:dyDescent="0.3">
      <c r="B121" s="99" t="str">
        <f>IF('COMMANDE GD-PUBLIC GSHC'!D39="","",'COMMANDE GD-PUBLIC GSHC'!D39)</f>
        <v/>
      </c>
      <c r="C121" s="100" t="str">
        <f>IF('COMMANDE GD-PUBLIC GSHC'!C39="","",'COMMANDE GD-PUBLIC GSHC'!C39)</f>
        <v/>
      </c>
      <c r="D121" s="101">
        <f>IF('COMMANDE GD-PUBLIC GSHC'!I39="","",'COMMANDE GD-PUBLIC GSHC'!I39)</f>
        <v>0.72916666666666663</v>
      </c>
      <c r="E121" s="101"/>
      <c r="F121" s="102"/>
      <c r="G121" s="102"/>
      <c r="H121" s="103"/>
    </row>
    <row r="122" spans="2:8" ht="24.75" customHeight="1" x14ac:dyDescent="0.3">
      <c r="B122" s="99" t="str">
        <f>IF('COMMANDE GD-PUBLIC GSHC'!D40="","",'COMMANDE GD-PUBLIC GSHC'!D40)</f>
        <v/>
      </c>
      <c r="C122" s="100" t="str">
        <f>IF('COMMANDE GD-PUBLIC GSHC'!C40="","",'COMMANDE GD-PUBLIC GSHC'!C40)</f>
        <v/>
      </c>
      <c r="D122" s="101">
        <f>IF('COMMANDE GD-PUBLIC GSHC'!I40="","",'COMMANDE GD-PUBLIC GSHC'!I40)</f>
        <v>0.75</v>
      </c>
      <c r="E122" s="101"/>
      <c r="F122" s="104"/>
      <c r="G122" s="104"/>
      <c r="H122" s="105"/>
    </row>
    <row r="123" spans="2:8" ht="24.75" customHeight="1" x14ac:dyDescent="0.3">
      <c r="B123" s="99" t="str">
        <f>IF('COMMANDE GD-PUBLIC GSHC'!D41="","",'COMMANDE GD-PUBLIC GSHC'!D41)</f>
        <v/>
      </c>
      <c r="C123" s="100" t="str">
        <f>IF('COMMANDE GD-PUBLIC GSHC'!C41="","",'COMMANDE GD-PUBLIC GSHC'!C41)</f>
        <v/>
      </c>
      <c r="D123" s="101">
        <f>IF('COMMANDE GD-PUBLIC GSHC'!I41="","",'COMMANDE GD-PUBLIC GSHC'!I41)</f>
        <v>0.72916666666666663</v>
      </c>
      <c r="E123" s="101"/>
      <c r="F123" s="104"/>
      <c r="G123" s="104"/>
      <c r="H123" s="105"/>
    </row>
    <row r="124" spans="2:8" ht="24.75" customHeight="1" x14ac:dyDescent="0.3">
      <c r="B124" s="99" t="str">
        <f>IF('COMMANDE GD-PUBLIC GSHC'!D42="","",'COMMANDE GD-PUBLIC GSHC'!D42)</f>
        <v/>
      </c>
      <c r="C124" s="100" t="str">
        <f>IF('COMMANDE GD-PUBLIC GSHC'!C42="","",'COMMANDE GD-PUBLIC GSHC'!C42)</f>
        <v/>
      </c>
      <c r="D124" s="101" t="str">
        <f>IF('COMMANDE GD-PUBLIC GSHC'!I42="","",'COMMANDE GD-PUBLIC GSHC'!I42)</f>
        <v/>
      </c>
      <c r="E124" s="101"/>
      <c r="F124" s="104"/>
      <c r="G124" s="104"/>
      <c r="H124" s="105"/>
    </row>
    <row r="125" spans="2:8" ht="15" thickBot="1" x14ac:dyDescent="0.35">
      <c r="B125" s="106"/>
      <c r="C125" s="107"/>
      <c r="D125" s="108"/>
      <c r="E125" s="108"/>
      <c r="F125" s="108"/>
      <c r="G125" s="108"/>
      <c r="H125" s="109"/>
    </row>
    <row r="129" spans="2:8" ht="15" x14ac:dyDescent="0.3">
      <c r="B129" s="82" t="str">
        <f>'COMMANDE GD-PUBLIC GSHC'!$A$2</f>
        <v>MATCH GSHC X</v>
      </c>
      <c r="C129" s="83" t="str">
        <f>'COMMANDE GD-PUBLIC GSHC'!$C$2</f>
        <v>SCL TIGERS</v>
      </c>
      <c r="D129" s="83"/>
      <c r="E129" s="82" t="s">
        <v>48</v>
      </c>
      <c r="F129" s="84">
        <f>'COMMANDE GD-PUBLIC GSHC'!$D$2</f>
        <v>45974</v>
      </c>
      <c r="G129" s="85"/>
      <c r="H129" s="85"/>
    </row>
    <row r="130" spans="2:8" ht="15.6" x14ac:dyDescent="0.3">
      <c r="B130" s="86"/>
      <c r="C130" s="87"/>
      <c r="D130" s="87"/>
      <c r="E130" s="86"/>
      <c r="F130" s="87"/>
      <c r="G130" s="87"/>
      <c r="H130" s="88"/>
    </row>
    <row r="131" spans="2:8" ht="18" x14ac:dyDescent="0.3">
      <c r="B131" s="82" t="s">
        <v>49</v>
      </c>
      <c r="C131" s="89">
        <f>'COMMANDE GD-PUBLIC GSHC'!$J$2</f>
        <v>0.82291666666666663</v>
      </c>
      <c r="D131" s="89"/>
      <c r="E131" s="82" t="s">
        <v>13</v>
      </c>
      <c r="F131" s="83" t="s">
        <v>50</v>
      </c>
      <c r="G131" s="90"/>
      <c r="H131" s="91"/>
    </row>
    <row r="132" spans="2:8" ht="15.6" x14ac:dyDescent="0.3">
      <c r="B132" s="92"/>
      <c r="C132" s="92"/>
      <c r="D132" s="92"/>
      <c r="E132" s="93"/>
      <c r="F132" s="93"/>
      <c r="G132" s="93"/>
      <c r="H132" s="94"/>
    </row>
    <row r="133" spans="2:8" ht="15" thickBot="1" x14ac:dyDescent="0.35"/>
    <row r="134" spans="2:8" ht="23.4" x14ac:dyDescent="0.3">
      <c r="B134" s="95" t="s">
        <v>51</v>
      </c>
      <c r="C134" s="217" t="s">
        <v>52</v>
      </c>
      <c r="D134" s="219" t="s">
        <v>53</v>
      </c>
      <c r="E134" s="220"/>
      <c r="F134" s="220"/>
      <c r="G134" s="221"/>
      <c r="H134" s="222" t="s">
        <v>54</v>
      </c>
    </row>
    <row r="135" spans="2:8" ht="38.4" thickBot="1" x14ac:dyDescent="0.35">
      <c r="B135" s="111" t="str">
        <f>'COMMANDE GD-PUBLIC GSHC'!A43</f>
        <v>PUB EXTÉRIEUR</v>
      </c>
      <c r="C135" s="218"/>
      <c r="D135" s="97" t="s">
        <v>55</v>
      </c>
      <c r="E135" s="97" t="s">
        <v>23</v>
      </c>
      <c r="F135" s="97" t="s">
        <v>56</v>
      </c>
      <c r="G135" s="98" t="s">
        <v>57</v>
      </c>
      <c r="H135" s="223"/>
    </row>
    <row r="136" spans="2:8" ht="24.75" customHeight="1" x14ac:dyDescent="0.3">
      <c r="B136" s="99" t="str">
        <f>IF('COMMANDE GD-PUBLIC GSHC'!D43="","",'COMMANDE GD-PUBLIC GSHC'!D43)</f>
        <v/>
      </c>
      <c r="C136" s="100" t="str">
        <f>IF('COMMANDE GD-PUBLIC GSHC'!C43="","",'COMMANDE GD-PUBLIC GSHC'!C43)</f>
        <v/>
      </c>
      <c r="D136" s="101">
        <f>IF('COMMANDE GD-PUBLIC GSHC'!I43="","",'COMMANDE GD-PUBLIC GSHC'!I43)</f>
        <v>0.75</v>
      </c>
      <c r="E136" s="101"/>
      <c r="F136" s="102"/>
      <c r="G136" s="102"/>
      <c r="H136" s="103"/>
    </row>
    <row r="137" spans="2:8" ht="24.75" customHeight="1" x14ac:dyDescent="0.3">
      <c r="B137" s="99" t="str">
        <f>IF('COMMANDE GD-PUBLIC GSHC'!D44="","",'COMMANDE GD-PUBLIC GSHC'!D44)</f>
        <v/>
      </c>
      <c r="C137" s="100" t="str">
        <f>IF('COMMANDE GD-PUBLIC GSHC'!C44="","",'COMMANDE GD-PUBLIC GSHC'!C44)</f>
        <v/>
      </c>
      <c r="D137" s="101" t="str">
        <f>IF('COMMANDE GD-PUBLIC GSHC'!I44="","",'COMMANDE GD-PUBLIC GSHC'!I44)</f>
        <v/>
      </c>
      <c r="E137" s="101"/>
      <c r="F137" s="104"/>
      <c r="G137" s="104"/>
      <c r="H137" s="105"/>
    </row>
    <row r="138" spans="2:8" ht="24.75" customHeight="1" x14ac:dyDescent="0.3">
      <c r="B138" s="99" t="str">
        <f>IF('COMMANDE GD-PUBLIC GSHC'!D45="","",'COMMANDE GD-PUBLIC GSHC'!D45)</f>
        <v/>
      </c>
      <c r="C138" s="100" t="str">
        <f>IF('COMMANDE GD-PUBLIC GSHC'!C45="","",'COMMANDE GD-PUBLIC GSHC'!C45)</f>
        <v/>
      </c>
      <c r="D138" s="101" t="str">
        <f>IF('COMMANDE GD-PUBLIC GSHC'!I45="","",'COMMANDE GD-PUBLIC GSHC'!I45)</f>
        <v/>
      </c>
      <c r="E138" s="101"/>
      <c r="F138" s="104"/>
      <c r="G138" s="104"/>
      <c r="H138" s="105"/>
    </row>
    <row r="139" spans="2:8" ht="15" thickBot="1" x14ac:dyDescent="0.35">
      <c r="B139" s="106"/>
      <c r="C139" s="107"/>
      <c r="D139" s="108"/>
      <c r="E139" s="108"/>
      <c r="F139" s="108"/>
      <c r="G139" s="108"/>
      <c r="H139" s="109"/>
    </row>
    <row r="143" spans="2:8" ht="15" x14ac:dyDescent="0.3">
      <c r="B143" s="82" t="str">
        <f>'COMMANDE GD-PUBLIC GSHC'!$A$2</f>
        <v>MATCH GSHC X</v>
      </c>
      <c r="C143" s="83" t="str">
        <f>'COMMANDE GD-PUBLIC GSHC'!$C$2</f>
        <v>SCL TIGERS</v>
      </c>
      <c r="D143" s="83"/>
      <c r="E143" s="82" t="s">
        <v>48</v>
      </c>
      <c r="F143" s="84">
        <f>'COMMANDE GD-PUBLIC GSHC'!$D$2</f>
        <v>45974</v>
      </c>
      <c r="G143" s="85"/>
      <c r="H143" s="85"/>
    </row>
    <row r="144" spans="2:8" ht="15.6" x14ac:dyDescent="0.3">
      <c r="B144" s="86"/>
      <c r="C144" s="87"/>
      <c r="D144" s="87"/>
      <c r="E144" s="86"/>
      <c r="F144" s="87"/>
      <c r="G144" s="87"/>
      <c r="H144" s="88"/>
    </row>
    <row r="145" spans="2:8" ht="18" x14ac:dyDescent="0.3">
      <c r="B145" s="82" t="s">
        <v>49</v>
      </c>
      <c r="C145" s="89">
        <f>'COMMANDE GD-PUBLIC GSHC'!$J$2</f>
        <v>0.82291666666666663</v>
      </c>
      <c r="D145" s="89"/>
      <c r="E145" s="82" t="s">
        <v>13</v>
      </c>
      <c r="F145" s="83" t="s">
        <v>50</v>
      </c>
      <c r="G145" s="90"/>
      <c r="H145" s="91"/>
    </row>
    <row r="146" spans="2:8" ht="15.6" x14ac:dyDescent="0.3">
      <c r="B146" s="92"/>
      <c r="C146" s="92"/>
      <c r="D146" s="92"/>
      <c r="E146" s="93"/>
      <c r="F146" s="93"/>
      <c r="G146" s="93"/>
      <c r="H146" s="94"/>
    </row>
    <row r="147" spans="2:8" ht="15" thickBot="1" x14ac:dyDescent="0.35"/>
    <row r="148" spans="2:8" ht="23.4" x14ac:dyDescent="0.3">
      <c r="B148" s="95" t="s">
        <v>51</v>
      </c>
      <c r="C148" s="217" t="s">
        <v>52</v>
      </c>
      <c r="D148" s="219" t="s">
        <v>53</v>
      </c>
      <c r="E148" s="220"/>
      <c r="F148" s="220"/>
      <c r="G148" s="221"/>
      <c r="H148" s="222" t="s">
        <v>54</v>
      </c>
    </row>
    <row r="149" spans="2:8" ht="38.4" thickBot="1" x14ac:dyDescent="0.35">
      <c r="B149" s="112" t="str">
        <f>'COMMANDE GD-PUBLIC GSHC'!A46</f>
        <v>BAR 2023</v>
      </c>
      <c r="C149" s="218"/>
      <c r="D149" s="97" t="s">
        <v>55</v>
      </c>
      <c r="E149" s="97" t="s">
        <v>23</v>
      </c>
      <c r="F149" s="97" t="s">
        <v>56</v>
      </c>
      <c r="G149" s="98" t="s">
        <v>57</v>
      </c>
      <c r="H149" s="223"/>
    </row>
    <row r="150" spans="2:8" ht="24.75" customHeight="1" x14ac:dyDescent="0.3">
      <c r="B150" s="99" t="str">
        <f>IF('COMMANDE GD-PUBLIC GSHC'!D46="","",'COMMANDE GD-PUBLIC GSHC'!D46)</f>
        <v/>
      </c>
      <c r="C150" s="100" t="str">
        <f>IF('COMMANDE GD-PUBLIC GSHC'!C46="","",'COMMANDE GD-PUBLIC GSHC'!C46)</f>
        <v/>
      </c>
      <c r="D150" s="101">
        <f>IF('COMMANDE GD-PUBLIC GSHC'!I46="","",'COMMANDE GD-PUBLIC GSHC'!I46)</f>
        <v>0.70833333333333337</v>
      </c>
      <c r="E150" s="101"/>
      <c r="F150" s="102"/>
      <c r="G150" s="102"/>
      <c r="H150" s="103"/>
    </row>
    <row r="151" spans="2:8" ht="24.75" customHeight="1" x14ac:dyDescent="0.3">
      <c r="B151" s="99" t="str">
        <f>IF('COMMANDE GD-PUBLIC GSHC'!D47="","",'COMMANDE GD-PUBLIC GSHC'!D47)</f>
        <v/>
      </c>
      <c r="C151" s="100" t="str">
        <f>IF('COMMANDE GD-PUBLIC GSHC'!C47="","",'COMMANDE GD-PUBLIC GSHC'!C47)</f>
        <v/>
      </c>
      <c r="D151" s="101">
        <f>IF('COMMANDE GD-PUBLIC GSHC'!I47="","",'COMMANDE GD-PUBLIC GSHC'!I47)</f>
        <v>0.72916666666666663</v>
      </c>
      <c r="E151" s="101"/>
      <c r="F151" s="104"/>
      <c r="G151" s="104"/>
      <c r="H151" s="105"/>
    </row>
    <row r="152" spans="2:8" ht="24.75" customHeight="1" x14ac:dyDescent="0.3">
      <c r="B152" s="99" t="str">
        <f>IF('COMMANDE GD-PUBLIC GSHC'!D48="","",'COMMANDE GD-PUBLIC GSHC'!D48)</f>
        <v/>
      </c>
      <c r="C152" s="100" t="str">
        <f>IF('COMMANDE GD-PUBLIC GSHC'!C48="","",'COMMANDE GD-PUBLIC GSHC'!C48)</f>
        <v/>
      </c>
      <c r="D152" s="101">
        <f>IF('COMMANDE GD-PUBLIC GSHC'!I48="","",'COMMANDE GD-PUBLIC GSHC'!I48)</f>
        <v>0.75</v>
      </c>
      <c r="E152" s="101"/>
      <c r="F152" s="104"/>
      <c r="G152" s="104"/>
      <c r="H152" s="105"/>
    </row>
    <row r="153" spans="2:8" ht="24.75" customHeight="1" x14ac:dyDescent="0.3">
      <c r="B153" s="99" t="str">
        <f>IF('COMMANDE GD-PUBLIC GSHC'!D49="","",'COMMANDE GD-PUBLIC GSHC'!D49)</f>
        <v/>
      </c>
      <c r="C153" s="100" t="str">
        <f>IF('COMMANDE GD-PUBLIC GSHC'!C49="","",'COMMANDE GD-PUBLIC GSHC'!C49)</f>
        <v/>
      </c>
      <c r="D153" s="101">
        <f>IF('COMMANDE GD-PUBLIC GSHC'!I49="","",'COMMANDE GD-PUBLIC GSHC'!I49)</f>
        <v>0.72916666666666663</v>
      </c>
      <c r="E153" s="101"/>
      <c r="F153" s="104"/>
      <c r="G153" s="104"/>
      <c r="H153" s="105"/>
    </row>
    <row r="154" spans="2:8" ht="24.75" customHeight="1" x14ac:dyDescent="0.3">
      <c r="B154" s="99" t="str">
        <f>IF('COMMANDE GD-PUBLIC GSHC'!D50="","",'COMMANDE GD-PUBLIC GSHC'!D50)</f>
        <v/>
      </c>
      <c r="C154" s="100" t="str">
        <f>IF('COMMANDE GD-PUBLIC GSHC'!C50="","",'COMMANDE GD-PUBLIC GSHC'!C50)</f>
        <v/>
      </c>
      <c r="D154" s="101">
        <f>IF('COMMANDE GD-PUBLIC GSHC'!I50="","",'COMMANDE GD-PUBLIC GSHC'!I50)</f>
        <v>0.72916666666666663</v>
      </c>
      <c r="E154" s="101"/>
      <c r="F154" s="104"/>
      <c r="G154" s="104"/>
      <c r="H154" s="105"/>
    </row>
    <row r="155" spans="2:8" ht="24.75" customHeight="1" x14ac:dyDescent="0.3">
      <c r="B155" s="99" t="str">
        <f>IF('COMMANDE GD-PUBLIC GSHC'!D51="","",'COMMANDE GD-PUBLIC GSHC'!D51)</f>
        <v/>
      </c>
      <c r="C155" s="100" t="str">
        <f>IF('COMMANDE GD-PUBLIC GSHC'!C51="","",'COMMANDE GD-PUBLIC GSHC'!C51)</f>
        <v/>
      </c>
      <c r="D155" s="101" t="str">
        <f>IF('COMMANDE GD-PUBLIC GSHC'!I51="","",'COMMANDE GD-PUBLIC GSHC'!I51)</f>
        <v/>
      </c>
      <c r="E155" s="101"/>
      <c r="F155" s="104"/>
      <c r="G155" s="104"/>
      <c r="H155" s="105"/>
    </row>
    <row r="156" spans="2:8" ht="15" thickBot="1" x14ac:dyDescent="0.35">
      <c r="B156" s="106"/>
      <c r="C156" s="107"/>
      <c r="D156" s="108"/>
      <c r="E156" s="108"/>
      <c r="F156" s="108"/>
      <c r="G156" s="108"/>
      <c r="H156" s="109"/>
    </row>
    <row r="160" spans="2:8" ht="15" x14ac:dyDescent="0.3">
      <c r="B160" s="82" t="str">
        <f>'COMMANDE GD-PUBLIC GSHC'!$A$2</f>
        <v>MATCH GSHC X</v>
      </c>
      <c r="C160" s="83" t="str">
        <f>'COMMANDE GD-PUBLIC GSHC'!$C$2</f>
        <v>SCL TIGERS</v>
      </c>
      <c r="D160" s="83"/>
      <c r="E160" s="82" t="s">
        <v>48</v>
      </c>
      <c r="F160" s="84">
        <f>'COMMANDE GD-PUBLIC GSHC'!$D$2</f>
        <v>45974</v>
      </c>
      <c r="G160" s="85"/>
      <c r="H160" s="85"/>
    </row>
    <row r="161" spans="2:8" ht="15.6" x14ac:dyDescent="0.3">
      <c r="B161" s="86"/>
      <c r="C161" s="87"/>
      <c r="D161" s="87"/>
      <c r="E161" s="86"/>
      <c r="F161" s="87"/>
      <c r="G161" s="87"/>
      <c r="H161" s="88"/>
    </row>
    <row r="162" spans="2:8" ht="18" x14ac:dyDescent="0.3">
      <c r="B162" s="82" t="s">
        <v>49</v>
      </c>
      <c r="C162" s="89">
        <f>'COMMANDE GD-PUBLIC GSHC'!$J$2</f>
        <v>0.82291666666666663</v>
      </c>
      <c r="D162" s="89"/>
      <c r="E162" s="82" t="s">
        <v>13</v>
      </c>
      <c r="F162" s="83" t="s">
        <v>50</v>
      </c>
      <c r="G162" s="90"/>
      <c r="H162" s="91"/>
    </row>
    <row r="163" spans="2:8" ht="15.6" x14ac:dyDescent="0.3">
      <c r="B163" s="92"/>
      <c r="C163" s="92"/>
      <c r="D163" s="92"/>
      <c r="E163" s="93"/>
      <c r="F163" s="93"/>
      <c r="G163" s="93"/>
      <c r="H163" s="94"/>
    </row>
    <row r="164" spans="2:8" ht="15" thickBot="1" x14ac:dyDescent="0.35"/>
    <row r="165" spans="2:8" ht="23.4" x14ac:dyDescent="0.3">
      <c r="B165" s="95" t="s">
        <v>51</v>
      </c>
      <c r="C165" s="217" t="s">
        <v>52</v>
      </c>
      <c r="D165" s="219" t="s">
        <v>53</v>
      </c>
      <c r="E165" s="220"/>
      <c r="F165" s="220"/>
      <c r="G165" s="221"/>
      <c r="H165" s="222" t="s">
        <v>54</v>
      </c>
    </row>
    <row r="166" spans="2:8" ht="38.4" thickBot="1" x14ac:dyDescent="0.35">
      <c r="B166" s="112" t="str">
        <f>'COMMANDE GD-PUBLIC GSHC'!A52</f>
        <v>BAR COCKTAIL</v>
      </c>
      <c r="C166" s="218"/>
      <c r="D166" s="97" t="s">
        <v>55</v>
      </c>
      <c r="E166" s="97" t="s">
        <v>23</v>
      </c>
      <c r="F166" s="97" t="s">
        <v>56</v>
      </c>
      <c r="G166" s="98" t="s">
        <v>57</v>
      </c>
      <c r="H166" s="223"/>
    </row>
    <row r="167" spans="2:8" ht="24.75" customHeight="1" x14ac:dyDescent="0.3">
      <c r="B167" s="99" t="str">
        <f>IF('COMMANDE GD-PUBLIC GSHC'!D52="","",'COMMANDE GD-PUBLIC GSHC'!D52)</f>
        <v/>
      </c>
      <c r="C167" s="100" t="str">
        <f>IF('COMMANDE GD-PUBLIC GSHC'!C52="","",'COMMANDE GD-PUBLIC GSHC'!C52)</f>
        <v/>
      </c>
      <c r="D167" s="101">
        <f>IF('COMMANDE GD-PUBLIC GSHC'!I52="","",'COMMANDE GD-PUBLIC GSHC'!I52)</f>
        <v>0.72916666666666663</v>
      </c>
      <c r="E167" s="101"/>
      <c r="F167" s="102"/>
      <c r="G167" s="102"/>
      <c r="H167" s="103"/>
    </row>
    <row r="168" spans="2:8" ht="24.75" customHeight="1" x14ac:dyDescent="0.3">
      <c r="B168" s="99" t="str">
        <f>IF('COMMANDE GD-PUBLIC GSHC'!D53="","",'COMMANDE GD-PUBLIC GSHC'!D53)</f>
        <v/>
      </c>
      <c r="C168" s="100" t="str">
        <f>IF('COMMANDE GD-PUBLIC GSHC'!C53="","",'COMMANDE GD-PUBLIC GSHC'!C53)</f>
        <v/>
      </c>
      <c r="D168" s="101">
        <f>IF('COMMANDE GD-PUBLIC GSHC'!I53="","",'COMMANDE GD-PUBLIC GSHC'!I53)</f>
        <v>0.75</v>
      </c>
      <c r="E168" s="101"/>
      <c r="F168" s="104"/>
      <c r="G168" s="104"/>
      <c r="H168" s="105"/>
    </row>
    <row r="169" spans="2:8" ht="24.75" customHeight="1" x14ac:dyDescent="0.3">
      <c r="B169" s="99" t="str">
        <f>IF('COMMANDE GD-PUBLIC GSHC'!D54="","",'COMMANDE GD-PUBLIC GSHC'!D54)</f>
        <v/>
      </c>
      <c r="C169" s="100" t="str">
        <f>IF('COMMANDE GD-PUBLIC GSHC'!C54="","",'COMMANDE GD-PUBLIC GSHC'!C54)</f>
        <v/>
      </c>
      <c r="D169" s="101" t="str">
        <f>IF('COMMANDE GD-PUBLIC GSHC'!I54="","",'COMMANDE GD-PUBLIC GSHC'!I54)</f>
        <v/>
      </c>
      <c r="E169" s="101"/>
      <c r="F169" s="104"/>
      <c r="G169" s="104"/>
      <c r="H169" s="105"/>
    </row>
    <row r="170" spans="2:8" ht="24.75" customHeight="1" x14ac:dyDescent="0.3">
      <c r="B170" s="99" t="str">
        <f>IF('COMMANDE GD-PUBLIC GSHC'!D55="","",'COMMANDE GD-PUBLIC GSHC'!D55)</f>
        <v/>
      </c>
      <c r="C170" s="100" t="str">
        <f>IF('COMMANDE GD-PUBLIC GSHC'!C55="","",'COMMANDE GD-PUBLIC GSHC'!C55)</f>
        <v/>
      </c>
      <c r="D170" s="101" t="str">
        <f>IF('COMMANDE GD-PUBLIC GSHC'!I55="","",'COMMANDE GD-PUBLIC GSHC'!I55)</f>
        <v/>
      </c>
      <c r="E170" s="101"/>
      <c r="F170" s="104"/>
      <c r="G170" s="104"/>
      <c r="H170" s="105"/>
    </row>
    <row r="171" spans="2:8" ht="15" thickBot="1" x14ac:dyDescent="0.35">
      <c r="B171" s="106"/>
      <c r="C171" s="107"/>
      <c r="D171" s="108"/>
      <c r="E171" s="108"/>
      <c r="F171" s="108"/>
      <c r="G171" s="108"/>
      <c r="H171" s="109"/>
    </row>
    <row r="176" spans="2:8" ht="15" x14ac:dyDescent="0.3">
      <c r="B176" s="82" t="str">
        <f>'COMMANDE GD-PUBLIC GSHC'!$A$2</f>
        <v>MATCH GSHC X</v>
      </c>
      <c r="C176" s="83" t="str">
        <f>'COMMANDE GD-PUBLIC GSHC'!$C$2</f>
        <v>SCL TIGERS</v>
      </c>
      <c r="D176" s="83"/>
      <c r="E176" s="82" t="s">
        <v>48</v>
      </c>
      <c r="F176" s="84">
        <f>'COMMANDE GD-PUBLIC GSHC'!$D$2</f>
        <v>45974</v>
      </c>
      <c r="G176" s="85"/>
      <c r="H176" s="85"/>
    </row>
    <row r="177" spans="2:8" ht="15.6" x14ac:dyDescent="0.3">
      <c r="B177" s="86"/>
      <c r="C177" s="87"/>
      <c r="D177" s="87"/>
      <c r="E177" s="86"/>
      <c r="F177" s="87"/>
      <c r="G177" s="87"/>
      <c r="H177" s="88"/>
    </row>
    <row r="178" spans="2:8" ht="18" x14ac:dyDescent="0.3">
      <c r="B178" s="82" t="s">
        <v>49</v>
      </c>
      <c r="C178" s="89">
        <f>'COMMANDE GD-PUBLIC GSHC'!$J$2</f>
        <v>0.82291666666666663</v>
      </c>
      <c r="D178" s="89"/>
      <c r="E178" s="82" t="s">
        <v>13</v>
      </c>
      <c r="F178" s="83" t="s">
        <v>50</v>
      </c>
      <c r="G178" s="90"/>
      <c r="H178" s="91"/>
    </row>
    <row r="179" spans="2:8" ht="15.6" x14ac:dyDescent="0.3">
      <c r="B179" s="92"/>
      <c r="C179" s="92"/>
      <c r="D179" s="92"/>
      <c r="E179" s="93"/>
      <c r="F179" s="93"/>
      <c r="G179" s="93"/>
      <c r="H179" s="94"/>
    </row>
    <row r="180" spans="2:8" ht="15" thickBot="1" x14ac:dyDescent="0.35"/>
    <row r="181" spans="2:8" ht="23.4" x14ac:dyDescent="0.3">
      <c r="B181" s="95" t="s">
        <v>51</v>
      </c>
      <c r="C181" s="217" t="s">
        <v>52</v>
      </c>
      <c r="D181" s="219" t="s">
        <v>53</v>
      </c>
      <c r="E181" s="220"/>
      <c r="F181" s="220"/>
      <c r="G181" s="221"/>
      <c r="H181" s="222" t="s">
        <v>54</v>
      </c>
    </row>
    <row r="182" spans="2:8" ht="38.4" thickBot="1" x14ac:dyDescent="0.35">
      <c r="B182" s="112" t="str">
        <f>'COMMANDE GD-PUBLIC GSHC'!A57</f>
        <v>BAR SECRET</v>
      </c>
      <c r="C182" s="218"/>
      <c r="D182" s="97" t="s">
        <v>55</v>
      </c>
      <c r="E182" s="97" t="s">
        <v>23</v>
      </c>
      <c r="F182" s="97" t="s">
        <v>56</v>
      </c>
      <c r="G182" s="98" t="s">
        <v>57</v>
      </c>
      <c r="H182" s="223"/>
    </row>
    <row r="183" spans="2:8" ht="24.75" customHeight="1" x14ac:dyDescent="0.3">
      <c r="B183" s="99" t="str">
        <f>IF('COMMANDE GD-PUBLIC GSHC'!D57="","",'COMMANDE GD-PUBLIC GSHC'!D57)</f>
        <v/>
      </c>
      <c r="C183" s="100" t="str">
        <f>IF('COMMANDE GD-PUBLIC GSHC'!C57="","",'COMMANDE GD-PUBLIC GSHC'!C57)</f>
        <v/>
      </c>
      <c r="D183" s="101">
        <f>IF('COMMANDE GD-PUBLIC GSHC'!I57="","",'COMMANDE GD-PUBLIC GSHC'!I57)</f>
        <v>0.72916666666666663</v>
      </c>
      <c r="E183" s="101"/>
      <c r="F183" s="102"/>
      <c r="G183" s="102"/>
      <c r="H183" s="103"/>
    </row>
    <row r="184" spans="2:8" ht="24.75" customHeight="1" x14ac:dyDescent="0.3">
      <c r="B184" s="99" t="str">
        <f>IF('COMMANDE GD-PUBLIC GSHC'!D58="","",'COMMANDE GD-PUBLIC GSHC'!D58)</f>
        <v/>
      </c>
      <c r="C184" s="100" t="str">
        <f>IF('COMMANDE GD-PUBLIC GSHC'!C58="","",'COMMANDE GD-PUBLIC GSHC'!C58)</f>
        <v/>
      </c>
      <c r="D184" s="101" t="str">
        <f>IF('COMMANDE GD-PUBLIC GSHC'!I58="","",'COMMANDE GD-PUBLIC GSHC'!I58)</f>
        <v/>
      </c>
      <c r="E184" s="101"/>
      <c r="F184" s="104"/>
      <c r="G184" s="104"/>
      <c r="H184" s="105"/>
    </row>
    <row r="185" spans="2:8" ht="24.75" customHeight="1" x14ac:dyDescent="0.3">
      <c r="B185" s="99" t="str">
        <f>IF('COMMANDE GD-PUBLIC GSHC'!D59="","",'COMMANDE GD-PUBLIC GSHC'!D59)</f>
        <v/>
      </c>
      <c r="C185" s="100" t="str">
        <f>IF('COMMANDE GD-PUBLIC GSHC'!C59="","",'COMMANDE GD-PUBLIC GSHC'!C59)</f>
        <v/>
      </c>
      <c r="D185" s="101" t="str">
        <f>IF('COMMANDE GD-PUBLIC GSHC'!I59="","",'COMMANDE GD-PUBLIC GSHC'!I59)</f>
        <v/>
      </c>
      <c r="E185" s="101"/>
      <c r="F185" s="104"/>
      <c r="G185" s="104"/>
      <c r="H185" s="105"/>
    </row>
    <row r="186" spans="2:8" ht="15" thickBot="1" x14ac:dyDescent="0.35">
      <c r="B186" s="106"/>
      <c r="C186" s="107"/>
      <c r="D186" s="108"/>
      <c r="E186" s="108"/>
      <c r="F186" s="108"/>
      <c r="G186" s="108"/>
      <c r="H186" s="109"/>
    </row>
    <row r="190" spans="2:8" ht="15" x14ac:dyDescent="0.3">
      <c r="B190" s="82" t="str">
        <f>'COMMANDE GD-PUBLIC GSHC'!$A$2</f>
        <v>MATCH GSHC X</v>
      </c>
      <c r="C190" s="83" t="str">
        <f>'COMMANDE GD-PUBLIC GSHC'!$C$2</f>
        <v>SCL TIGERS</v>
      </c>
      <c r="D190" s="83"/>
      <c r="E190" s="82" t="s">
        <v>48</v>
      </c>
      <c r="F190" s="84">
        <f>'COMMANDE GD-PUBLIC GSHC'!$D$2</f>
        <v>45974</v>
      </c>
      <c r="G190" s="85"/>
      <c r="H190" s="85"/>
    </row>
    <row r="191" spans="2:8" ht="15.6" x14ac:dyDescent="0.3">
      <c r="B191" s="86"/>
      <c r="C191" s="87"/>
      <c r="D191" s="87"/>
      <c r="E191" s="86"/>
      <c r="F191" s="87"/>
      <c r="G191" s="87"/>
      <c r="H191" s="88"/>
    </row>
    <row r="192" spans="2:8" ht="18" x14ac:dyDescent="0.3">
      <c r="B192" s="82" t="s">
        <v>49</v>
      </c>
      <c r="C192" s="89">
        <f>'COMMANDE GD-PUBLIC GSHC'!$J$2</f>
        <v>0.82291666666666663</v>
      </c>
      <c r="D192" s="89"/>
      <c r="E192" s="82" t="s">
        <v>13</v>
      </c>
      <c r="F192" s="83" t="s">
        <v>50</v>
      </c>
      <c r="G192" s="90"/>
      <c r="H192" s="91"/>
    </row>
    <row r="193" spans="2:8" ht="15.6" x14ac:dyDescent="0.3">
      <c r="B193" s="92"/>
      <c r="C193" s="92"/>
      <c r="D193" s="92"/>
      <c r="E193" s="93"/>
      <c r="F193" s="93"/>
      <c r="G193" s="93"/>
      <c r="H193" s="94"/>
    </row>
    <row r="194" spans="2:8" ht="15" thickBot="1" x14ac:dyDescent="0.35"/>
    <row r="195" spans="2:8" ht="23.4" x14ac:dyDescent="0.3">
      <c r="B195" s="95" t="s">
        <v>51</v>
      </c>
      <c r="C195" s="217" t="s">
        <v>52</v>
      </c>
      <c r="D195" s="219" t="s">
        <v>53</v>
      </c>
      <c r="E195" s="220"/>
      <c r="F195" s="220"/>
      <c r="G195" s="221"/>
      <c r="H195" s="222" t="s">
        <v>54</v>
      </c>
    </row>
    <row r="196" spans="2:8" ht="38.4" thickBot="1" x14ac:dyDescent="0.35">
      <c r="B196" s="113" t="str">
        <f>'COMMANDE GD-PUBLIC GSHC'!A60</f>
        <v>HOME CORNER</v>
      </c>
      <c r="C196" s="218"/>
      <c r="D196" s="97" t="s">
        <v>55</v>
      </c>
      <c r="E196" s="97" t="s">
        <v>23</v>
      </c>
      <c r="F196" s="97" t="s">
        <v>56</v>
      </c>
      <c r="G196" s="98" t="s">
        <v>57</v>
      </c>
      <c r="H196" s="223"/>
    </row>
    <row r="197" spans="2:8" ht="24.75" customHeight="1" x14ac:dyDescent="0.3">
      <c r="B197" s="99" t="str">
        <f>IF('COMMANDE GD-PUBLIC GSHC'!D60="","",'COMMANDE GD-PUBLIC GSHC'!D60)</f>
        <v/>
      </c>
      <c r="C197" s="100" t="str">
        <f>IF('COMMANDE GD-PUBLIC GSHC'!C60="","",'COMMANDE GD-PUBLIC GSHC'!C60)</f>
        <v/>
      </c>
      <c r="D197" s="101">
        <f>IF('COMMANDE GD-PUBLIC GSHC'!I60="","",'COMMANDE GD-PUBLIC GSHC'!I60)</f>
        <v>0.72916666666666663</v>
      </c>
      <c r="E197" s="101"/>
      <c r="F197" s="102"/>
      <c r="G197" s="102"/>
      <c r="H197" s="103"/>
    </row>
    <row r="198" spans="2:8" ht="24.75" customHeight="1" x14ac:dyDescent="0.3">
      <c r="B198" s="99" t="str">
        <f>IF('COMMANDE GD-PUBLIC GSHC'!D61="","",'COMMANDE GD-PUBLIC GSHC'!D61)</f>
        <v/>
      </c>
      <c r="C198" s="100" t="str">
        <f>IF('COMMANDE GD-PUBLIC GSHC'!C61="","",'COMMANDE GD-PUBLIC GSHC'!C61)</f>
        <v/>
      </c>
      <c r="D198" s="101">
        <f>IF('COMMANDE GD-PUBLIC GSHC'!I61="","",'COMMANDE GD-PUBLIC GSHC'!I61)</f>
        <v>0.77083333333333337</v>
      </c>
      <c r="E198" s="101"/>
      <c r="F198" s="104"/>
      <c r="G198" s="104"/>
      <c r="H198" s="105"/>
    </row>
    <row r="199" spans="2:8" ht="24.75" customHeight="1" x14ac:dyDescent="0.3">
      <c r="B199" s="99" t="str">
        <f>IF('COMMANDE GD-PUBLIC GSHC'!D62="","",'COMMANDE GD-PUBLIC GSHC'!D62)</f>
        <v/>
      </c>
      <c r="C199" s="100" t="str">
        <f>IF('COMMANDE GD-PUBLIC GSHC'!C62="","",'COMMANDE GD-PUBLIC GSHC'!C62)</f>
        <v/>
      </c>
      <c r="D199" s="101">
        <f>IF('COMMANDE GD-PUBLIC GSHC'!I62="","",'COMMANDE GD-PUBLIC GSHC'!I62)</f>
        <v>0.79166666666666663</v>
      </c>
      <c r="E199" s="101"/>
      <c r="F199" s="104"/>
      <c r="G199" s="104"/>
      <c r="H199" s="105"/>
    </row>
    <row r="200" spans="2:8" ht="24.75" customHeight="1" x14ac:dyDescent="0.3">
      <c r="B200" s="99" t="str">
        <f>IF('COMMANDE GD-PUBLIC GSHC'!D63="","",'COMMANDE GD-PUBLIC GSHC'!D63)</f>
        <v/>
      </c>
      <c r="C200" s="100" t="str">
        <f>IF('COMMANDE GD-PUBLIC GSHC'!C63="","",'COMMANDE GD-PUBLIC GSHC'!C63)</f>
        <v/>
      </c>
      <c r="D200" s="101" t="str">
        <f>IF('COMMANDE GD-PUBLIC GSHC'!I63="","",'COMMANDE GD-PUBLIC GSHC'!I63)</f>
        <v/>
      </c>
      <c r="E200" s="101"/>
      <c r="F200" s="104"/>
      <c r="G200" s="104"/>
      <c r="H200" s="105"/>
    </row>
    <row r="201" spans="2:8" ht="24.75" customHeight="1" x14ac:dyDescent="0.3">
      <c r="B201" s="99" t="str">
        <f>IF('COMMANDE GD-PUBLIC GSHC'!D64="","",'COMMANDE GD-PUBLIC GSHC'!D64)</f>
        <v/>
      </c>
      <c r="C201" s="100" t="str">
        <f>IF('COMMANDE GD-PUBLIC GSHC'!C64="","",'COMMANDE GD-PUBLIC GSHC'!C64)</f>
        <v/>
      </c>
      <c r="D201" s="101" t="str">
        <f>IF('COMMANDE GD-PUBLIC GSHC'!I64="","",'COMMANDE GD-PUBLIC GSHC'!I64)</f>
        <v/>
      </c>
      <c r="E201" s="101"/>
      <c r="F201" s="104"/>
      <c r="G201" s="104"/>
      <c r="H201" s="105"/>
    </row>
    <row r="202" spans="2:8" ht="15" thickBot="1" x14ac:dyDescent="0.35">
      <c r="B202" s="106"/>
      <c r="C202" s="107"/>
      <c r="D202" s="108"/>
      <c r="E202" s="108"/>
      <c r="F202" s="108"/>
      <c r="G202" s="108"/>
      <c r="H202" s="109"/>
    </row>
    <row r="206" spans="2:8" ht="15" x14ac:dyDescent="0.3">
      <c r="B206" s="82" t="str">
        <f>'COMMANDE GD-PUBLIC GSHC'!$A$2</f>
        <v>MATCH GSHC X</v>
      </c>
      <c r="C206" s="83" t="str">
        <f>'COMMANDE GD-PUBLIC GSHC'!$C$2</f>
        <v>SCL TIGERS</v>
      </c>
      <c r="D206" s="83"/>
      <c r="E206" s="82" t="s">
        <v>48</v>
      </c>
      <c r="F206" s="84">
        <f>'COMMANDE GD-PUBLIC GSHC'!$D$2</f>
        <v>45974</v>
      </c>
      <c r="G206" s="85"/>
      <c r="H206" s="85"/>
    </row>
    <row r="207" spans="2:8" ht="15.6" x14ac:dyDescent="0.3">
      <c r="B207" s="86"/>
      <c r="C207" s="87"/>
      <c r="D207" s="87"/>
      <c r="E207" s="86"/>
      <c r="F207" s="87"/>
      <c r="G207" s="87"/>
      <c r="H207" s="88"/>
    </row>
    <row r="208" spans="2:8" ht="18" x14ac:dyDescent="0.3">
      <c r="B208" s="82" t="s">
        <v>49</v>
      </c>
      <c r="C208" s="89">
        <f>'COMMANDE GD-PUBLIC GSHC'!$J$2</f>
        <v>0.82291666666666663</v>
      </c>
      <c r="D208" s="89"/>
      <c r="E208" s="82" t="s">
        <v>13</v>
      </c>
      <c r="F208" s="83" t="s">
        <v>50</v>
      </c>
      <c r="G208" s="90"/>
      <c r="H208" s="91"/>
    </row>
    <row r="209" spans="2:8" ht="15.6" x14ac:dyDescent="0.3">
      <c r="B209" s="92"/>
      <c r="C209" s="92"/>
      <c r="D209" s="92"/>
      <c r="E209" s="93"/>
      <c r="F209" s="93"/>
      <c r="G209" s="93"/>
      <c r="H209" s="94"/>
    </row>
    <row r="210" spans="2:8" ht="15" thickBot="1" x14ac:dyDescent="0.35"/>
    <row r="211" spans="2:8" ht="23.4" x14ac:dyDescent="0.3">
      <c r="B211" s="95" t="s">
        <v>51</v>
      </c>
      <c r="C211" s="217" t="s">
        <v>52</v>
      </c>
      <c r="D211" s="219" t="s">
        <v>53</v>
      </c>
      <c r="E211" s="220"/>
      <c r="F211" s="220"/>
      <c r="G211" s="221"/>
      <c r="H211" s="222" t="s">
        <v>54</v>
      </c>
    </row>
    <row r="212" spans="2:8" ht="38.4" thickBot="1" x14ac:dyDescent="0.35">
      <c r="B212" s="114" t="str">
        <f>'COMMANDE GD-PUBLIC GSHC'!A65</f>
        <v>VISITEURS</v>
      </c>
      <c r="C212" s="218"/>
      <c r="D212" s="97" t="s">
        <v>55</v>
      </c>
      <c r="E212" s="97" t="s">
        <v>23</v>
      </c>
      <c r="F212" s="97" t="s">
        <v>56</v>
      </c>
      <c r="G212" s="98" t="s">
        <v>57</v>
      </c>
      <c r="H212" s="223"/>
    </row>
    <row r="213" spans="2:8" ht="24.75" customHeight="1" x14ac:dyDescent="0.3">
      <c r="B213" s="99" t="str">
        <f>IF('COMMANDE GD-PUBLIC GSHC'!D65="","",'COMMANDE GD-PUBLIC GSHC'!D65)</f>
        <v/>
      </c>
      <c r="C213" s="100" t="str">
        <f>IF('COMMANDE GD-PUBLIC GSHC'!C65="","",'COMMANDE GD-PUBLIC GSHC'!C65)</f>
        <v/>
      </c>
      <c r="D213" s="101">
        <f>IF('COMMANDE GD-PUBLIC GSHC'!I65="","",'COMMANDE GD-PUBLIC GSHC'!I65)</f>
        <v>0.75</v>
      </c>
      <c r="E213" s="101"/>
      <c r="F213" s="102"/>
      <c r="G213" s="102"/>
      <c r="H213" s="103"/>
    </row>
    <row r="214" spans="2:8" ht="24.75" customHeight="1" x14ac:dyDescent="0.3">
      <c r="B214" s="99" t="str">
        <f>IF('COMMANDE GD-PUBLIC GSHC'!D66="","",'COMMANDE GD-PUBLIC GSHC'!D66)</f>
        <v/>
      </c>
      <c r="C214" s="100" t="str">
        <f>IF('COMMANDE GD-PUBLIC GSHC'!C66="","",'COMMANDE GD-PUBLIC GSHC'!C66)</f>
        <v/>
      </c>
      <c r="D214" s="101" t="str">
        <f>IF('COMMANDE GD-PUBLIC GSHC'!I66="","",'COMMANDE GD-PUBLIC GSHC'!I66)</f>
        <v/>
      </c>
      <c r="E214" s="101"/>
      <c r="F214" s="104"/>
      <c r="G214" s="104"/>
      <c r="H214" s="105"/>
    </row>
    <row r="215" spans="2:8" ht="24.75" customHeight="1" x14ac:dyDescent="0.3">
      <c r="B215" s="99" t="str">
        <f>IF('COMMANDE GD-PUBLIC GSHC'!D67="","",'COMMANDE GD-PUBLIC GSHC'!D67)</f>
        <v/>
      </c>
      <c r="C215" s="100" t="str">
        <f>IF('COMMANDE GD-PUBLIC GSHC'!C67="","",'COMMANDE GD-PUBLIC GSHC'!C67)</f>
        <v/>
      </c>
      <c r="D215" s="101" t="str">
        <f>IF('COMMANDE GD-PUBLIC GSHC'!I67="","",'COMMANDE GD-PUBLIC GSHC'!I67)</f>
        <v/>
      </c>
      <c r="E215" s="101"/>
      <c r="F215" s="104"/>
      <c r="G215" s="104"/>
      <c r="H215" s="105"/>
    </row>
    <row r="216" spans="2:8" ht="24.75" customHeight="1" x14ac:dyDescent="0.3">
      <c r="B216" s="99" t="str">
        <f>IF('COMMANDE GD-PUBLIC GSHC'!D68="","",'COMMANDE GD-PUBLIC GSHC'!D68)</f>
        <v/>
      </c>
      <c r="C216" s="100" t="str">
        <f>IF('COMMANDE GD-PUBLIC GSHC'!C68="","",'COMMANDE GD-PUBLIC GSHC'!C68)</f>
        <v/>
      </c>
      <c r="D216" s="101" t="str">
        <f>IF('COMMANDE GD-PUBLIC GSHC'!I68="","",'COMMANDE GD-PUBLIC GSHC'!I68)</f>
        <v/>
      </c>
      <c r="E216" s="101"/>
      <c r="F216" s="104"/>
      <c r="G216" s="104"/>
      <c r="H216" s="105"/>
    </row>
    <row r="217" spans="2:8" ht="24.75" customHeight="1" x14ac:dyDescent="0.3">
      <c r="B217" s="99" t="str">
        <f>IF('COMMANDE GD-PUBLIC GSHC'!D69="","",'COMMANDE GD-PUBLIC GSHC'!D69)</f>
        <v/>
      </c>
      <c r="C217" s="100" t="str">
        <f>IF('COMMANDE GD-PUBLIC GSHC'!C69="","",'COMMANDE GD-PUBLIC GSHC'!C69)</f>
        <v/>
      </c>
      <c r="D217" s="101" t="str">
        <f>IF('COMMANDE GD-PUBLIC GSHC'!I69="","",'COMMANDE GD-PUBLIC GSHC'!I69)</f>
        <v/>
      </c>
      <c r="E217" s="101"/>
      <c r="F217" s="104"/>
      <c r="G217" s="104"/>
      <c r="H217" s="105"/>
    </row>
    <row r="218" spans="2:8" ht="15" thickBot="1" x14ac:dyDescent="0.35">
      <c r="B218" s="106"/>
      <c r="C218" s="107"/>
      <c r="D218" s="108"/>
      <c r="E218" s="108"/>
      <c r="F218" s="108"/>
      <c r="G218" s="108"/>
      <c r="H218" s="109"/>
    </row>
  </sheetData>
  <sheetProtection algorithmName="SHA-512" hashValue="a//+5aO3AepLtRf5VeWCNtVd7VK3LnV0r62C0a4pU0C+qzLf4B5BB4TihT3f3X2Ns+aWOSPY9XTnnei2qAJRkQ==" saltValue="+qyWKzE7B+dLT0gr1A5Y6g==" spinCount="100000" sheet="1" objects="1" scenarios="1"/>
  <mergeCells count="42">
    <mergeCell ref="C58:C59"/>
    <mergeCell ref="D58:G58"/>
    <mergeCell ref="H58:H59"/>
    <mergeCell ref="C41:C42"/>
    <mergeCell ref="D41:G41"/>
    <mergeCell ref="H41:H42"/>
    <mergeCell ref="C7:C8"/>
    <mergeCell ref="D7:G7"/>
    <mergeCell ref="H7:H8"/>
    <mergeCell ref="C24:C25"/>
    <mergeCell ref="D24:G24"/>
    <mergeCell ref="H24:H25"/>
    <mergeCell ref="C104:C105"/>
    <mergeCell ref="D104:G104"/>
    <mergeCell ref="H104:H105"/>
    <mergeCell ref="C73:C74"/>
    <mergeCell ref="D73:G73"/>
    <mergeCell ref="H73:H74"/>
    <mergeCell ref="C89:C90"/>
    <mergeCell ref="D89:G89"/>
    <mergeCell ref="H89:H90"/>
    <mergeCell ref="C119:C120"/>
    <mergeCell ref="D119:G119"/>
    <mergeCell ref="H119:H120"/>
    <mergeCell ref="C134:C135"/>
    <mergeCell ref="D134:G134"/>
    <mergeCell ref="H134:H135"/>
    <mergeCell ref="C148:C149"/>
    <mergeCell ref="D148:G148"/>
    <mergeCell ref="H148:H149"/>
    <mergeCell ref="C165:C166"/>
    <mergeCell ref="D165:G165"/>
    <mergeCell ref="H165:H166"/>
    <mergeCell ref="C211:C212"/>
    <mergeCell ref="D211:G211"/>
    <mergeCell ref="H211:H212"/>
    <mergeCell ref="C181:C182"/>
    <mergeCell ref="D181:G181"/>
    <mergeCell ref="H181:H182"/>
    <mergeCell ref="C195:C196"/>
    <mergeCell ref="D195:G195"/>
    <mergeCell ref="H195:H196"/>
  </mergeCells>
  <pageMargins left="0.7" right="0.7" top="0.75" bottom="0.75" header="0.3" footer="0.3"/>
  <pageSetup paperSize="9" scale="8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4AE74-D7B5-4464-AA3A-0B3BD259C23D}">
  <sheetPr>
    <tabColor rgb="FFFF0000"/>
  </sheetPr>
  <dimension ref="B2:K218"/>
  <sheetViews>
    <sheetView topLeftCell="A120" zoomScale="62" zoomScaleNormal="150" zoomScaleSheetLayoutView="100" workbookViewId="0">
      <selection activeCell="H183" sqref="H183"/>
    </sheetView>
  </sheetViews>
  <sheetFormatPr baseColWidth="10" defaultColWidth="9.109375" defaultRowHeight="14.4" x14ac:dyDescent="0.3"/>
  <cols>
    <col min="2" max="2" width="23.5546875" bestFit="1" customWidth="1"/>
    <col min="3" max="3" width="16.6640625" customWidth="1"/>
    <col min="5" max="5" width="12" customWidth="1"/>
    <col min="6" max="6" width="23.21875" bestFit="1" customWidth="1"/>
    <col min="7" max="7" width="18.109375" customWidth="1"/>
    <col min="8" max="8" width="28.77734375" customWidth="1"/>
  </cols>
  <sheetData>
    <row r="2" spans="2:11" ht="15" x14ac:dyDescent="0.3">
      <c r="B2" s="82" t="str">
        <f>'COMMANDE GD-PUBLIC GSHC'!$A$2</f>
        <v>MATCH GSHC X</v>
      </c>
      <c r="C2" s="83" t="str">
        <f>'COMMANDE GD-PUBLIC GSHC'!$C$2</f>
        <v>SCL TIGERS</v>
      </c>
      <c r="D2" s="83"/>
      <c r="E2" s="82" t="s">
        <v>48</v>
      </c>
      <c r="F2" s="84">
        <f>'COMMANDE GD-PUBLIC GSHC'!$D$2</f>
        <v>45974</v>
      </c>
      <c r="G2" s="85"/>
      <c r="H2" s="85"/>
    </row>
    <row r="3" spans="2:11" ht="15.6" x14ac:dyDescent="0.3">
      <c r="B3" s="86"/>
      <c r="C3" s="87"/>
      <c r="D3" s="87"/>
      <c r="E3" s="86"/>
      <c r="F3" s="87"/>
      <c r="G3" s="87"/>
      <c r="H3" s="123"/>
    </row>
    <row r="4" spans="2:11" ht="18" x14ac:dyDescent="0.3">
      <c r="B4" s="82" t="s">
        <v>49</v>
      </c>
      <c r="C4" s="89">
        <f>'COMMANDE GD-PUBLIC GSHC'!$J$2</f>
        <v>0.82291666666666663</v>
      </c>
      <c r="D4" s="89"/>
      <c r="E4" s="82" t="s">
        <v>13</v>
      </c>
      <c r="F4" s="83" t="s">
        <v>50</v>
      </c>
      <c r="G4" s="90"/>
      <c r="H4" s="91"/>
    </row>
    <row r="5" spans="2:11" ht="15.6" x14ac:dyDescent="0.3">
      <c r="B5" s="92"/>
      <c r="C5" s="92"/>
      <c r="D5" s="92"/>
      <c r="E5" s="93"/>
      <c r="F5" s="93"/>
      <c r="G5" s="93"/>
      <c r="H5" s="124"/>
    </row>
    <row r="6" spans="2:11" ht="15" thickBot="1" x14ac:dyDescent="0.35"/>
    <row r="7" spans="2:11" ht="23.25" customHeight="1" x14ac:dyDescent="0.3">
      <c r="B7" s="125" t="s">
        <v>51</v>
      </c>
      <c r="C7" s="235" t="s">
        <v>52</v>
      </c>
      <c r="D7" s="230" t="s">
        <v>53</v>
      </c>
      <c r="E7" s="231"/>
      <c r="F7" s="231"/>
      <c r="G7" s="232"/>
      <c r="H7" s="237" t="s">
        <v>54</v>
      </c>
    </row>
    <row r="8" spans="2:11" ht="51" thickBot="1" x14ac:dyDescent="0.35">
      <c r="B8" s="126" t="str">
        <f>'COMMANDE GD-PUBLIC GSHC'!A5</f>
        <v>BEV 1</v>
      </c>
      <c r="C8" s="236"/>
      <c r="D8" s="127" t="s">
        <v>55</v>
      </c>
      <c r="E8" s="127" t="s">
        <v>23</v>
      </c>
      <c r="F8" s="127" t="s">
        <v>56</v>
      </c>
      <c r="G8" s="128" t="s">
        <v>57</v>
      </c>
      <c r="H8" s="238"/>
      <c r="K8" s="138"/>
    </row>
    <row r="9" spans="2:11" ht="18" x14ac:dyDescent="0.3">
      <c r="B9" s="99" t="str">
        <f>IF('COMMANDE GD-PUBLIC GSHC'!D5="","",'COMMANDE GD-PUBLIC GSHC'!D5)</f>
        <v/>
      </c>
      <c r="C9" s="100" t="str">
        <f>IF('COMMANDE GD-PUBLIC GSHC'!C5="","",'COMMANDE GD-PUBLIC GSHC'!C5)</f>
        <v/>
      </c>
      <c r="D9" s="101">
        <f>IF('COMMANDE GD-PUBLIC GSHC'!I5="","",'COMMANDE GD-PUBLIC GSHC'!I5)</f>
        <v>0.72916666666666663</v>
      </c>
      <c r="E9" s="101"/>
      <c r="F9" s="135"/>
      <c r="G9" s="102"/>
      <c r="H9" s="184" t="b">
        <v>0</v>
      </c>
    </row>
    <row r="10" spans="2:11" ht="18" x14ac:dyDescent="0.3">
      <c r="B10" s="99" t="str">
        <f>IF('COMMANDE GD-PUBLIC GSHC'!D6="","",'COMMANDE GD-PUBLIC GSHC'!D6)</f>
        <v/>
      </c>
      <c r="C10" s="100" t="str">
        <f>IF('COMMANDE GD-PUBLIC GSHC'!C6="","",'COMMANDE GD-PUBLIC GSHC'!C6)</f>
        <v/>
      </c>
      <c r="D10" s="101">
        <f>IF('COMMANDE GD-PUBLIC GSHC'!I6="","",'COMMANDE GD-PUBLIC GSHC'!I6)</f>
        <v>0.75</v>
      </c>
      <c r="E10" s="101"/>
      <c r="F10" s="135"/>
      <c r="G10" s="104"/>
      <c r="H10" s="184" t="b">
        <v>0</v>
      </c>
    </row>
    <row r="11" spans="2:11" ht="18" x14ac:dyDescent="0.3">
      <c r="B11" s="99" t="str">
        <f>IF('COMMANDE GD-PUBLIC GSHC'!D7="","",'COMMANDE GD-PUBLIC GSHC'!D7)</f>
        <v/>
      </c>
      <c r="C11" s="100" t="str">
        <f>IF('COMMANDE GD-PUBLIC GSHC'!C7="","",'COMMANDE GD-PUBLIC GSHC'!C7)</f>
        <v/>
      </c>
      <c r="D11" s="101">
        <f>IF('COMMANDE GD-PUBLIC GSHC'!I7="","",'COMMANDE GD-PUBLIC GSHC'!I7)</f>
        <v>0.77083333333333337</v>
      </c>
      <c r="E11" s="101"/>
      <c r="F11" s="137"/>
      <c r="G11" s="104"/>
      <c r="H11" s="184" t="b">
        <v>0</v>
      </c>
    </row>
    <row r="12" spans="2:11" ht="18" x14ac:dyDescent="0.3">
      <c r="B12" s="99" t="str">
        <f>IF('COMMANDE GD-PUBLIC GSHC'!D8="","",'COMMANDE GD-PUBLIC GSHC'!D8)</f>
        <v/>
      </c>
      <c r="C12" s="100" t="str">
        <f>IF('COMMANDE GD-PUBLIC GSHC'!C8="","",'COMMANDE GD-PUBLIC GSHC'!C8)</f>
        <v/>
      </c>
      <c r="D12" s="101">
        <f>IF('COMMANDE GD-PUBLIC GSHC'!I8="","",'COMMANDE GD-PUBLIC GSHC'!I8)</f>
        <v>0.79166666666666663</v>
      </c>
      <c r="E12" s="101"/>
      <c r="F12" s="135"/>
      <c r="G12" s="104"/>
      <c r="H12" s="184" t="b">
        <v>0</v>
      </c>
    </row>
    <row r="13" spans="2:11" ht="18" x14ac:dyDescent="0.3">
      <c r="B13" s="99" t="str">
        <f>IF('COMMANDE GD-PUBLIC GSHC'!D9="","",'COMMANDE GD-PUBLIC GSHC'!D9)</f>
        <v/>
      </c>
      <c r="C13" s="100" t="str">
        <f>IF('COMMANDE GD-PUBLIC GSHC'!C9="","",'COMMANDE GD-PUBLIC GSHC'!C9)</f>
        <v/>
      </c>
      <c r="D13" s="101" t="str">
        <f>IF('COMMANDE GD-PUBLIC GSHC'!I9="","",'COMMANDE GD-PUBLIC GSHC'!I9)</f>
        <v/>
      </c>
      <c r="E13" s="101"/>
      <c r="G13" s="104"/>
      <c r="H13" s="184" t="b">
        <v>0</v>
      </c>
    </row>
    <row r="14" spans="2:11" ht="18" x14ac:dyDescent="0.3">
      <c r="B14" s="99" t="str">
        <f>IF('COMMANDE GD-PUBLIC GSHC'!D10="","",'COMMANDE GD-PUBLIC GSHC'!D10)</f>
        <v/>
      </c>
      <c r="C14" s="100" t="str">
        <f>IF('COMMANDE GD-PUBLIC GSHC'!C10="","",'COMMANDE GD-PUBLIC GSHC'!C10)</f>
        <v/>
      </c>
      <c r="D14" s="101" t="str">
        <f>IF('COMMANDE GD-PUBLIC GSHC'!I10="","",'COMMANDE GD-PUBLIC GSHC'!I10)</f>
        <v/>
      </c>
      <c r="E14" s="101"/>
      <c r="F14" s="104"/>
      <c r="G14" s="104"/>
      <c r="H14" s="184" t="b">
        <v>0</v>
      </c>
    </row>
    <row r="15" spans="2:11" ht="15" thickBot="1" x14ac:dyDescent="0.35">
      <c r="B15" s="106"/>
      <c r="C15" s="107"/>
      <c r="D15" s="108"/>
      <c r="E15" s="108"/>
      <c r="F15" s="108"/>
      <c r="G15" s="108"/>
      <c r="H15" s="185" t="b">
        <v>0</v>
      </c>
    </row>
    <row r="19" spans="2:8" ht="15" x14ac:dyDescent="0.3">
      <c r="B19" s="82" t="str">
        <f>'COMMANDE GD-PUBLIC GSHC'!$A$2</f>
        <v>MATCH GSHC X</v>
      </c>
      <c r="C19" s="83" t="str">
        <f>'COMMANDE GD-PUBLIC GSHC'!$C$2</f>
        <v>SCL TIGERS</v>
      </c>
      <c r="D19" s="83"/>
      <c r="E19" s="82" t="s">
        <v>48</v>
      </c>
      <c r="F19" s="84">
        <f>'COMMANDE GD-PUBLIC GSHC'!$D$2</f>
        <v>45974</v>
      </c>
      <c r="G19" s="85"/>
      <c r="H19" s="85"/>
    </row>
    <row r="20" spans="2:8" ht="15.6" x14ac:dyDescent="0.3">
      <c r="B20" s="86"/>
      <c r="C20" s="87"/>
      <c r="D20" s="87"/>
      <c r="E20" s="86"/>
      <c r="F20" s="87"/>
      <c r="G20" s="87"/>
      <c r="H20" s="123"/>
    </row>
    <row r="21" spans="2:8" ht="18" x14ac:dyDescent="0.3">
      <c r="B21" s="82" t="s">
        <v>49</v>
      </c>
      <c r="C21" s="89">
        <f>'COMMANDE GD-PUBLIC GSHC'!$J$2</f>
        <v>0.82291666666666663</v>
      </c>
      <c r="D21" s="89"/>
      <c r="E21" s="82" t="s">
        <v>13</v>
      </c>
      <c r="F21" s="83" t="s">
        <v>50</v>
      </c>
      <c r="G21" s="90"/>
      <c r="H21" s="91"/>
    </row>
    <row r="22" spans="2:8" ht="15.6" x14ac:dyDescent="0.3">
      <c r="B22" s="92"/>
      <c r="C22" s="92"/>
      <c r="D22" s="92"/>
      <c r="E22" s="93"/>
      <c r="F22" s="93"/>
      <c r="G22" s="93"/>
      <c r="H22" s="124"/>
    </row>
    <row r="23" spans="2:8" ht="15" thickBot="1" x14ac:dyDescent="0.35"/>
    <row r="24" spans="2:8" ht="23.25" customHeight="1" x14ac:dyDescent="0.3">
      <c r="B24" s="125" t="s">
        <v>51</v>
      </c>
      <c r="C24" s="235" t="s">
        <v>52</v>
      </c>
      <c r="D24" s="230" t="s">
        <v>53</v>
      </c>
      <c r="E24" s="231"/>
      <c r="F24" s="231"/>
      <c r="G24" s="232"/>
      <c r="H24" s="237" t="s">
        <v>54</v>
      </c>
    </row>
    <row r="25" spans="2:8" ht="51" thickBot="1" x14ac:dyDescent="0.35">
      <c r="B25" s="126" t="str">
        <f>'COMMANDE GD-PUBLIC GSHC'!A11</f>
        <v>BEV 2</v>
      </c>
      <c r="C25" s="236"/>
      <c r="D25" s="127" t="s">
        <v>55</v>
      </c>
      <c r="E25" s="127" t="s">
        <v>23</v>
      </c>
      <c r="F25" s="127" t="s">
        <v>56</v>
      </c>
      <c r="G25" s="128" t="s">
        <v>57</v>
      </c>
      <c r="H25" s="238"/>
    </row>
    <row r="26" spans="2:8" ht="18" x14ac:dyDescent="0.3">
      <c r="B26" s="99" t="str">
        <f>IF('COMMANDE GD-PUBLIC GSHC'!D11="","",'COMMANDE GD-PUBLIC GSHC'!D11)</f>
        <v/>
      </c>
      <c r="C26" s="100" t="str">
        <f>IF('COMMANDE GD-PUBLIC GSHC'!C11="","",'COMMANDE GD-PUBLIC GSHC'!C11)</f>
        <v/>
      </c>
      <c r="D26" s="101">
        <f>IF('COMMANDE GD-PUBLIC GSHC'!I11="","",'COMMANDE GD-PUBLIC GSHC'!I11)</f>
        <v>0.72916666666666663</v>
      </c>
      <c r="E26" s="101"/>
      <c r="F26" s="134"/>
      <c r="G26" s="102"/>
      <c r="H26" s="186" t="b">
        <v>0</v>
      </c>
    </row>
    <row r="27" spans="2:8" ht="18" x14ac:dyDescent="0.3">
      <c r="B27" s="99" t="str">
        <f>IF('COMMANDE GD-PUBLIC GSHC'!D12="","",'COMMANDE GD-PUBLIC GSHC'!D12)</f>
        <v/>
      </c>
      <c r="C27" s="100" t="str">
        <f>IF('COMMANDE GD-PUBLIC GSHC'!C12="","",'COMMANDE GD-PUBLIC GSHC'!C12)</f>
        <v/>
      </c>
      <c r="D27" s="101">
        <f>IF('COMMANDE GD-PUBLIC GSHC'!I12="","",'COMMANDE GD-PUBLIC GSHC'!I12)</f>
        <v>0.75</v>
      </c>
      <c r="E27" s="101"/>
      <c r="F27" s="135"/>
      <c r="G27" s="104"/>
      <c r="H27" s="184" t="b">
        <v>0</v>
      </c>
    </row>
    <row r="28" spans="2:8" ht="18" x14ac:dyDescent="0.3">
      <c r="B28" s="99" t="str">
        <f>IF('COMMANDE GD-PUBLIC GSHC'!D13="","",'COMMANDE GD-PUBLIC GSHC'!D13)</f>
        <v/>
      </c>
      <c r="C28" s="100" t="str">
        <f>IF('COMMANDE GD-PUBLIC GSHC'!C13="","",'COMMANDE GD-PUBLIC GSHC'!C13)</f>
        <v/>
      </c>
      <c r="D28" s="101">
        <f>IF('COMMANDE GD-PUBLIC GSHC'!I13="","",'COMMANDE GD-PUBLIC GSHC'!I13)</f>
        <v>0.77083333333333337</v>
      </c>
      <c r="E28" s="101"/>
      <c r="F28" s="135"/>
      <c r="G28" s="104"/>
      <c r="H28" s="184" t="b">
        <v>0</v>
      </c>
    </row>
    <row r="29" spans="2:8" ht="18" x14ac:dyDescent="0.3">
      <c r="B29" s="99" t="str">
        <f>IF('COMMANDE GD-PUBLIC GSHC'!D14="","",'COMMANDE GD-PUBLIC GSHC'!D14)</f>
        <v/>
      </c>
      <c r="C29" s="100" t="str">
        <f>IF('COMMANDE GD-PUBLIC GSHC'!C14="","",'COMMANDE GD-PUBLIC GSHC'!C14)</f>
        <v/>
      </c>
      <c r="D29" s="101">
        <f>IF('COMMANDE GD-PUBLIC GSHC'!I14="","",'COMMANDE GD-PUBLIC GSHC'!I14)</f>
        <v>0.79166666666666663</v>
      </c>
      <c r="E29" s="101"/>
      <c r="F29" s="135"/>
      <c r="G29" s="104"/>
      <c r="H29" s="184" t="b">
        <v>0</v>
      </c>
    </row>
    <row r="30" spans="2:8" ht="18" x14ac:dyDescent="0.3">
      <c r="B30" s="99" t="str">
        <f>IF('COMMANDE GD-PUBLIC GSHC'!D15="","",'COMMANDE GD-PUBLIC GSHC'!D15)</f>
        <v/>
      </c>
      <c r="C30" s="100" t="str">
        <f>IF('COMMANDE GD-PUBLIC GSHC'!C15="","",'COMMANDE GD-PUBLIC GSHC'!C15)</f>
        <v/>
      </c>
      <c r="D30" s="101" t="str">
        <f>IF('COMMANDE GD-PUBLIC GSHC'!I15="","",'COMMANDE GD-PUBLIC GSHC'!I15)</f>
        <v/>
      </c>
      <c r="E30" s="101"/>
      <c r="F30" s="135"/>
      <c r="G30" s="104"/>
      <c r="H30" s="184" t="b">
        <v>0</v>
      </c>
    </row>
    <row r="31" spans="2:8" ht="18" x14ac:dyDescent="0.3">
      <c r="B31" s="99" t="str">
        <f>IF('COMMANDE GD-PUBLIC GSHC'!D16="","",'COMMANDE GD-PUBLIC GSHC'!D16)</f>
        <v/>
      </c>
      <c r="C31" s="100" t="str">
        <f>IF('COMMANDE GD-PUBLIC GSHC'!C16="","",'COMMANDE GD-PUBLIC GSHC'!C16)</f>
        <v/>
      </c>
      <c r="D31" s="101" t="str">
        <f>IF('COMMANDE GD-PUBLIC GSHC'!I16="","",'COMMANDE GD-PUBLIC GSHC'!I16)</f>
        <v/>
      </c>
      <c r="E31" s="101"/>
      <c r="F31" s="104"/>
      <c r="G31" s="104"/>
      <c r="H31" s="184" t="b">
        <v>0</v>
      </c>
    </row>
    <row r="32" spans="2:8" ht="15" thickBot="1" x14ac:dyDescent="0.35">
      <c r="B32" s="106"/>
      <c r="C32" s="107"/>
      <c r="D32" s="108"/>
      <c r="E32" s="108"/>
      <c r="F32" s="108"/>
      <c r="G32" s="108"/>
      <c r="H32" s="185" t="b">
        <v>0</v>
      </c>
    </row>
    <row r="36" spans="2:8" ht="15" x14ac:dyDescent="0.3">
      <c r="B36" s="82" t="str">
        <f>'COMMANDE GD-PUBLIC GSHC'!$A$2</f>
        <v>MATCH GSHC X</v>
      </c>
      <c r="C36" s="83" t="str">
        <f>'COMMANDE GD-PUBLIC GSHC'!$C$2</f>
        <v>SCL TIGERS</v>
      </c>
      <c r="D36" s="83"/>
      <c r="E36" s="82" t="s">
        <v>48</v>
      </c>
      <c r="F36" s="84">
        <f>'COMMANDE GD-PUBLIC GSHC'!$D$2</f>
        <v>45974</v>
      </c>
      <c r="G36" s="85"/>
      <c r="H36" s="85"/>
    </row>
    <row r="37" spans="2:8" ht="15.6" x14ac:dyDescent="0.3">
      <c r="B37" s="86"/>
      <c r="C37" s="87"/>
      <c r="D37" s="87"/>
      <c r="E37" s="86"/>
      <c r="F37" s="87"/>
      <c r="G37" s="87"/>
      <c r="H37" s="123"/>
    </row>
    <row r="38" spans="2:8" ht="18" x14ac:dyDescent="0.3">
      <c r="B38" s="82" t="s">
        <v>49</v>
      </c>
      <c r="C38" s="89">
        <f>'COMMANDE GD-PUBLIC GSHC'!$J$2</f>
        <v>0.82291666666666663</v>
      </c>
      <c r="D38" s="89"/>
      <c r="E38" s="82" t="s">
        <v>13</v>
      </c>
      <c r="F38" s="83" t="s">
        <v>50</v>
      </c>
      <c r="G38" s="90"/>
      <c r="H38" s="91"/>
    </row>
    <row r="39" spans="2:8" ht="15.6" x14ac:dyDescent="0.3">
      <c r="B39" s="92"/>
      <c r="C39" s="92"/>
      <c r="D39" s="92"/>
      <c r="E39" s="93"/>
      <c r="F39" s="93"/>
      <c r="G39" s="93"/>
      <c r="H39" s="124"/>
    </row>
    <row r="40" spans="2:8" ht="15" thickBot="1" x14ac:dyDescent="0.35"/>
    <row r="41" spans="2:8" ht="23.25" customHeight="1" x14ac:dyDescent="0.3">
      <c r="B41" s="125" t="s">
        <v>51</v>
      </c>
      <c r="C41" s="235" t="s">
        <v>52</v>
      </c>
      <c r="D41" s="230" t="s">
        <v>53</v>
      </c>
      <c r="E41" s="231"/>
      <c r="F41" s="231"/>
      <c r="G41" s="232"/>
      <c r="H41" s="237" t="s">
        <v>54</v>
      </c>
    </row>
    <row r="42" spans="2:8" ht="51" thickBot="1" x14ac:dyDescent="0.35">
      <c r="B42" s="126" t="str">
        <f>'COMMANDE GD-PUBLIC GSHC'!A17</f>
        <v>BEV 3</v>
      </c>
      <c r="C42" s="236"/>
      <c r="D42" s="127" t="s">
        <v>55</v>
      </c>
      <c r="E42" s="127" t="s">
        <v>23</v>
      </c>
      <c r="F42" s="127" t="s">
        <v>56</v>
      </c>
      <c r="G42" s="128" t="s">
        <v>57</v>
      </c>
      <c r="H42" s="238"/>
    </row>
    <row r="43" spans="2:8" ht="18" x14ac:dyDescent="0.3">
      <c r="B43" s="99" t="str">
        <f>IF('COMMANDE GD-PUBLIC GSHC'!D17="","",'COMMANDE GD-PUBLIC GSHC'!D17)</f>
        <v/>
      </c>
      <c r="C43" s="100" t="str">
        <f>IF('COMMANDE GD-PUBLIC GSHC'!C17="","",'COMMANDE GD-PUBLIC GSHC'!C17)</f>
        <v/>
      </c>
      <c r="D43" s="101">
        <f>IF('COMMANDE GD-PUBLIC GSHC'!I17="","",'COMMANDE GD-PUBLIC GSHC'!I17)</f>
        <v>0.72916666666666663</v>
      </c>
      <c r="E43" s="101"/>
      <c r="F43" s="102"/>
      <c r="G43" s="102"/>
      <c r="H43" s="186" t="b">
        <v>0</v>
      </c>
    </row>
    <row r="44" spans="2:8" ht="18" x14ac:dyDescent="0.3">
      <c r="B44" s="99" t="str">
        <f>IF('COMMANDE GD-PUBLIC GSHC'!D18="","",'COMMANDE GD-PUBLIC GSHC'!D18)</f>
        <v/>
      </c>
      <c r="C44" s="100" t="str">
        <f>IF('COMMANDE GD-PUBLIC GSHC'!C18="","",'COMMANDE GD-PUBLIC GSHC'!C18)</f>
        <v/>
      </c>
      <c r="D44" s="101">
        <f>IF('COMMANDE GD-PUBLIC GSHC'!I18="","",'COMMANDE GD-PUBLIC GSHC'!I18)</f>
        <v>0.75</v>
      </c>
      <c r="E44" s="101"/>
      <c r="F44" s="104"/>
      <c r="G44" s="104"/>
      <c r="H44" s="184" t="b">
        <v>0</v>
      </c>
    </row>
    <row r="45" spans="2:8" ht="18" x14ac:dyDescent="0.3">
      <c r="B45" s="99" t="str">
        <f>IF('COMMANDE GD-PUBLIC GSHC'!D19="","",'COMMANDE GD-PUBLIC GSHC'!D19)</f>
        <v/>
      </c>
      <c r="C45" s="100" t="str">
        <f>IF('COMMANDE GD-PUBLIC GSHC'!C19="","",'COMMANDE GD-PUBLIC GSHC'!C19)</f>
        <v/>
      </c>
      <c r="D45" s="101">
        <f>IF('COMMANDE GD-PUBLIC GSHC'!I19="","",'COMMANDE GD-PUBLIC GSHC'!I19)</f>
        <v>0.77083333333333337</v>
      </c>
      <c r="E45" s="101"/>
      <c r="F45" s="135"/>
      <c r="G45" s="104"/>
      <c r="H45" s="184" t="b">
        <v>0</v>
      </c>
    </row>
    <row r="46" spans="2:8" ht="18" x14ac:dyDescent="0.3">
      <c r="B46" s="99" t="str">
        <f>IF('COMMANDE GD-PUBLIC GSHC'!D20="","",'COMMANDE GD-PUBLIC GSHC'!D20)</f>
        <v/>
      </c>
      <c r="C46" s="100" t="str">
        <f>IF('COMMANDE GD-PUBLIC GSHC'!C20="","",'COMMANDE GD-PUBLIC GSHC'!C20)</f>
        <v/>
      </c>
      <c r="D46" s="101">
        <f>IF('COMMANDE GD-PUBLIC GSHC'!I20="","",'COMMANDE GD-PUBLIC GSHC'!I20)</f>
        <v>0.79166666666666663</v>
      </c>
      <c r="E46" s="101"/>
      <c r="F46" s="104"/>
      <c r="G46" s="104"/>
      <c r="H46" s="184" t="b">
        <v>0</v>
      </c>
    </row>
    <row r="47" spans="2:8" ht="18" x14ac:dyDescent="0.3">
      <c r="B47" s="99" t="str">
        <f>IF('COMMANDE GD-PUBLIC GSHC'!D21="","",'COMMANDE GD-PUBLIC GSHC'!D21)</f>
        <v/>
      </c>
      <c r="C47" s="100" t="str">
        <f>IF('COMMANDE GD-PUBLIC GSHC'!C21="","",'COMMANDE GD-PUBLIC GSHC'!C21)</f>
        <v/>
      </c>
      <c r="D47" s="101" t="str">
        <f>IF('COMMANDE GD-PUBLIC GSHC'!I21="","",'COMMANDE GD-PUBLIC GSHC'!I21)</f>
        <v/>
      </c>
      <c r="E47" s="101"/>
      <c r="F47" s="104"/>
      <c r="G47" s="104"/>
      <c r="H47" s="184" t="b">
        <v>0</v>
      </c>
    </row>
    <row r="48" spans="2:8" ht="18" x14ac:dyDescent="0.3">
      <c r="B48" s="99" t="str">
        <f>IF('COMMANDE GD-PUBLIC GSHC'!D22="","",'COMMANDE GD-PUBLIC GSHC'!D22)</f>
        <v/>
      </c>
      <c r="C48" s="100" t="str">
        <f>IF('COMMANDE GD-PUBLIC GSHC'!C22="","",'COMMANDE GD-PUBLIC GSHC'!C22)</f>
        <v/>
      </c>
      <c r="D48" s="101" t="str">
        <f>IF('COMMANDE GD-PUBLIC GSHC'!I22="","",'COMMANDE GD-PUBLIC GSHC'!I22)</f>
        <v/>
      </c>
      <c r="E48" s="101"/>
      <c r="F48" s="104"/>
      <c r="G48" s="104"/>
      <c r="H48" s="184" t="b">
        <v>0</v>
      </c>
    </row>
    <row r="49" spans="2:8" ht="15" thickBot="1" x14ac:dyDescent="0.35">
      <c r="B49" s="106"/>
      <c r="C49" s="107"/>
      <c r="D49" s="108"/>
      <c r="E49" s="108"/>
      <c r="F49" s="108"/>
      <c r="G49" s="108"/>
      <c r="H49" s="185" t="b">
        <v>0</v>
      </c>
    </row>
    <row r="53" spans="2:8" ht="15" x14ac:dyDescent="0.3">
      <c r="B53" s="82" t="str">
        <f>'COMMANDE GD-PUBLIC GSHC'!$A$2</f>
        <v>MATCH GSHC X</v>
      </c>
      <c r="C53" s="83" t="str">
        <f>'COMMANDE GD-PUBLIC GSHC'!$C$2</f>
        <v>SCL TIGERS</v>
      </c>
      <c r="D53" s="83"/>
      <c r="E53" s="82" t="s">
        <v>48</v>
      </c>
      <c r="F53" s="84">
        <f>'COMMANDE GD-PUBLIC GSHC'!$D$2</f>
        <v>45974</v>
      </c>
      <c r="G53" s="85"/>
      <c r="H53" s="85"/>
    </row>
    <row r="54" spans="2:8" ht="15.6" x14ac:dyDescent="0.3">
      <c r="B54" s="86"/>
      <c r="C54" s="87"/>
      <c r="D54" s="87"/>
      <c r="E54" s="86"/>
      <c r="F54" s="87"/>
      <c r="G54" s="87"/>
      <c r="H54" s="123"/>
    </row>
    <row r="55" spans="2:8" ht="18" x14ac:dyDescent="0.3">
      <c r="B55" s="82" t="s">
        <v>49</v>
      </c>
      <c r="C55" s="89">
        <f>'COMMANDE GD-PUBLIC GSHC'!$J$2</f>
        <v>0.82291666666666663</v>
      </c>
      <c r="D55" s="89"/>
      <c r="E55" s="82" t="s">
        <v>13</v>
      </c>
      <c r="F55" s="83" t="s">
        <v>50</v>
      </c>
      <c r="G55" s="90"/>
      <c r="H55" s="91"/>
    </row>
    <row r="56" spans="2:8" ht="15.6" x14ac:dyDescent="0.3">
      <c r="B56" s="92"/>
      <c r="C56" s="92"/>
      <c r="D56" s="92"/>
      <c r="E56" s="93"/>
      <c r="F56" s="93"/>
      <c r="G56" s="93"/>
      <c r="H56" s="124"/>
    </row>
    <row r="57" spans="2:8" ht="15" thickBot="1" x14ac:dyDescent="0.35"/>
    <row r="58" spans="2:8" ht="23.25" customHeight="1" x14ac:dyDescent="0.3">
      <c r="B58" s="125" t="s">
        <v>51</v>
      </c>
      <c r="C58" s="235" t="s">
        <v>52</v>
      </c>
      <c r="D58" s="230" t="s">
        <v>53</v>
      </c>
      <c r="E58" s="231"/>
      <c r="F58" s="231"/>
      <c r="G58" s="232"/>
      <c r="H58" s="237" t="s">
        <v>54</v>
      </c>
    </row>
    <row r="59" spans="2:8" ht="51" thickBot="1" x14ac:dyDescent="0.35">
      <c r="B59" s="129" t="str">
        <f>'COMMANDE GD-PUBLIC GSHC'!A23</f>
        <v>FOOD 1</v>
      </c>
      <c r="C59" s="236"/>
      <c r="D59" s="127" t="s">
        <v>55</v>
      </c>
      <c r="E59" s="127" t="s">
        <v>23</v>
      </c>
      <c r="F59" s="127" t="s">
        <v>56</v>
      </c>
      <c r="G59" s="128" t="s">
        <v>57</v>
      </c>
      <c r="H59" s="238"/>
    </row>
    <row r="60" spans="2:8" ht="18" x14ac:dyDescent="0.3">
      <c r="B60" s="99" t="str">
        <f>IF('COMMANDE GD-PUBLIC GSHC'!D23="","",'COMMANDE GD-PUBLIC GSHC'!D23)</f>
        <v/>
      </c>
      <c r="C60" s="100" t="str">
        <f>IF('COMMANDE GD-PUBLIC GSHC'!C23="","",'COMMANDE GD-PUBLIC GSHC'!C23)</f>
        <v/>
      </c>
      <c r="D60" s="101">
        <f>IF('COMMANDE GD-PUBLIC GSHC'!I23="","",'COMMANDE GD-PUBLIC GSHC'!I23)</f>
        <v>0.75</v>
      </c>
      <c r="E60" s="101"/>
      <c r="F60" s="102"/>
      <c r="G60" s="102"/>
      <c r="H60" s="186" t="b">
        <v>0</v>
      </c>
    </row>
    <row r="61" spans="2:8" ht="18" x14ac:dyDescent="0.3">
      <c r="B61" s="99" t="str">
        <f>IF('COMMANDE GD-PUBLIC GSHC'!D24="","",'COMMANDE GD-PUBLIC GSHC'!D24)</f>
        <v/>
      </c>
      <c r="C61" s="100" t="str">
        <f>IF('COMMANDE GD-PUBLIC GSHC'!C24="","",'COMMANDE GD-PUBLIC GSHC'!C24)</f>
        <v/>
      </c>
      <c r="D61" s="101" t="s">
        <v>58</v>
      </c>
      <c r="E61" s="101"/>
      <c r="F61" s="104"/>
      <c r="G61" s="104"/>
      <c r="H61" s="184" t="b">
        <v>0</v>
      </c>
    </row>
    <row r="62" spans="2:8" ht="18" x14ac:dyDescent="0.3">
      <c r="B62" s="99" t="str">
        <f>IF('COMMANDE GD-PUBLIC GSHC'!D25="","",'COMMANDE GD-PUBLIC GSHC'!D25)</f>
        <v/>
      </c>
      <c r="C62" s="100" t="str">
        <f>IF('COMMANDE GD-PUBLIC GSHC'!C25="","",'COMMANDE GD-PUBLIC GSHC'!C25)</f>
        <v/>
      </c>
      <c r="D62" s="101" t="str">
        <f>IF('COMMANDE GD-PUBLIC GSHC'!I25="","",'COMMANDE GD-PUBLIC GSHC'!I25)</f>
        <v/>
      </c>
      <c r="E62" s="101"/>
      <c r="F62" s="104"/>
      <c r="G62" s="104"/>
      <c r="H62" s="184" t="b">
        <v>0</v>
      </c>
    </row>
    <row r="63" spans="2:8" ht="18" x14ac:dyDescent="0.3">
      <c r="B63" s="99" t="str">
        <f>IF('COMMANDE GD-PUBLIC GSHC'!D26="","",'COMMANDE GD-PUBLIC GSHC'!D26)</f>
        <v/>
      </c>
      <c r="C63" s="100" t="str">
        <f>IF('COMMANDE GD-PUBLIC GSHC'!C26="","",'COMMANDE GD-PUBLIC GSHC'!C26)</f>
        <v/>
      </c>
      <c r="D63" s="101" t="str">
        <f>IF('COMMANDE GD-PUBLIC GSHC'!I26="","",'COMMANDE GD-PUBLIC GSHC'!I26)</f>
        <v/>
      </c>
      <c r="E63" s="101"/>
      <c r="F63" s="104"/>
      <c r="G63" s="104"/>
      <c r="H63" s="184" t="b">
        <v>0</v>
      </c>
    </row>
    <row r="64" spans="2:8" ht="15" thickBot="1" x14ac:dyDescent="0.35">
      <c r="B64" s="106"/>
      <c r="C64" s="107"/>
      <c r="D64" s="108"/>
      <c r="E64" s="108"/>
      <c r="F64" s="108"/>
      <c r="G64" s="108"/>
      <c r="H64" s="185" t="b">
        <v>0</v>
      </c>
    </row>
    <row r="68" spans="2:8" ht="15" x14ac:dyDescent="0.3">
      <c r="B68" s="82" t="str">
        <f>'COMMANDE GD-PUBLIC GSHC'!$A$2</f>
        <v>MATCH GSHC X</v>
      </c>
      <c r="C68" s="83" t="str">
        <f>'COMMANDE GD-PUBLIC GSHC'!$C$2</f>
        <v>SCL TIGERS</v>
      </c>
      <c r="D68" s="83"/>
      <c r="E68" s="82" t="s">
        <v>48</v>
      </c>
      <c r="F68" s="84">
        <f>'COMMANDE GD-PUBLIC GSHC'!$D$2</f>
        <v>45974</v>
      </c>
      <c r="G68" s="85"/>
      <c r="H68" s="85"/>
    </row>
    <row r="69" spans="2:8" ht="15.6" x14ac:dyDescent="0.3">
      <c r="B69" s="86"/>
      <c r="C69" s="87"/>
      <c r="D69" s="87"/>
      <c r="E69" s="86"/>
      <c r="F69" s="87"/>
      <c r="G69" s="87"/>
      <c r="H69" s="123"/>
    </row>
    <row r="70" spans="2:8" ht="18" x14ac:dyDescent="0.3">
      <c r="B70" s="82" t="s">
        <v>49</v>
      </c>
      <c r="C70" s="89">
        <f>'COMMANDE GD-PUBLIC GSHC'!$J$2</f>
        <v>0.82291666666666663</v>
      </c>
      <c r="D70" s="89"/>
      <c r="E70" s="82" t="s">
        <v>13</v>
      </c>
      <c r="F70" s="83" t="s">
        <v>50</v>
      </c>
      <c r="G70" s="90"/>
      <c r="H70" s="91"/>
    </row>
    <row r="71" spans="2:8" ht="15.6" x14ac:dyDescent="0.3">
      <c r="B71" s="92"/>
      <c r="C71" s="92"/>
      <c r="D71" s="92"/>
      <c r="E71" s="93"/>
      <c r="F71" s="93"/>
      <c r="G71" s="93"/>
      <c r="H71" s="124"/>
    </row>
    <row r="72" spans="2:8" ht="15" thickBot="1" x14ac:dyDescent="0.35"/>
    <row r="73" spans="2:8" ht="23.25" customHeight="1" x14ac:dyDescent="0.3">
      <c r="B73" s="125" t="s">
        <v>51</v>
      </c>
      <c r="C73" s="235" t="s">
        <v>52</v>
      </c>
      <c r="D73" s="230" t="s">
        <v>53</v>
      </c>
      <c r="E73" s="231"/>
      <c r="F73" s="231"/>
      <c r="G73" s="232"/>
      <c r="H73" s="237" t="s">
        <v>54</v>
      </c>
    </row>
    <row r="74" spans="2:8" ht="51" thickBot="1" x14ac:dyDescent="0.35">
      <c r="B74" s="129" t="str">
        <f>'COMMANDE GD-PUBLIC GSHC'!A27</f>
        <v>FOOD 2</v>
      </c>
      <c r="C74" s="236"/>
      <c r="D74" s="127" t="s">
        <v>55</v>
      </c>
      <c r="E74" s="127" t="s">
        <v>23</v>
      </c>
      <c r="F74" s="127" t="s">
        <v>56</v>
      </c>
      <c r="G74" s="128" t="s">
        <v>57</v>
      </c>
      <c r="H74" s="238"/>
    </row>
    <row r="75" spans="2:8" ht="18" x14ac:dyDescent="0.3">
      <c r="B75" s="99" t="str">
        <f>IF('COMMANDE GD-PUBLIC GSHC'!D27="","",'COMMANDE GD-PUBLIC GSHC'!D27)</f>
        <v/>
      </c>
      <c r="C75" s="100" t="str">
        <f>IF('COMMANDE GD-PUBLIC GSHC'!C27="","",'COMMANDE GD-PUBLIC GSHC'!C27)</f>
        <v/>
      </c>
      <c r="D75" s="101">
        <f>IF('COMMANDE GD-PUBLIC GSHC'!I27="","",'COMMANDE GD-PUBLIC GSHC'!I27)</f>
        <v>0.75</v>
      </c>
      <c r="E75" s="101"/>
      <c r="F75" s="134"/>
      <c r="G75" s="102"/>
      <c r="H75" s="186" t="b">
        <v>0</v>
      </c>
    </row>
    <row r="76" spans="2:8" ht="18" x14ac:dyDescent="0.3">
      <c r="B76" s="99" t="str">
        <f>IF('COMMANDE GD-PUBLIC GSHC'!D28="","",'COMMANDE GD-PUBLIC GSHC'!D28)</f>
        <v/>
      </c>
      <c r="C76" s="100" t="str">
        <f>IF('COMMANDE GD-PUBLIC GSHC'!C28="","",'COMMANDE GD-PUBLIC GSHC'!C28)</f>
        <v/>
      </c>
      <c r="D76" s="101">
        <f>IF('COMMANDE GD-PUBLIC GSHC'!I28="","",'COMMANDE GD-PUBLIC GSHC'!I28)</f>
        <v>0.79166666666666663</v>
      </c>
      <c r="E76" s="101"/>
      <c r="F76" s="135"/>
      <c r="G76" s="104"/>
      <c r="H76" s="184" t="b">
        <v>0</v>
      </c>
    </row>
    <row r="77" spans="2:8" ht="18" x14ac:dyDescent="0.3">
      <c r="B77" s="99" t="str">
        <f>IF('COMMANDE GD-PUBLIC GSHC'!D29="","",'COMMANDE GD-PUBLIC GSHC'!D29)</f>
        <v/>
      </c>
      <c r="C77" s="100" t="str">
        <f>IF('COMMANDE GD-PUBLIC GSHC'!C29="","",'COMMANDE GD-PUBLIC GSHC'!C29)</f>
        <v/>
      </c>
      <c r="D77" s="101" t="str">
        <f>IF('COMMANDE GD-PUBLIC GSHC'!I29="","",'COMMANDE GD-PUBLIC GSHC'!I29)</f>
        <v/>
      </c>
      <c r="E77" s="101"/>
      <c r="F77" s="104"/>
      <c r="G77" s="104"/>
      <c r="H77" s="184" t="b">
        <v>0</v>
      </c>
    </row>
    <row r="78" spans="2:8" ht="18" x14ac:dyDescent="0.3">
      <c r="B78" s="99" t="str">
        <f>IF('COMMANDE GD-PUBLIC GSHC'!D30="","",'COMMANDE GD-PUBLIC GSHC'!D30)</f>
        <v/>
      </c>
      <c r="C78" s="100" t="str">
        <f>IF('COMMANDE GD-PUBLIC GSHC'!C30="","",'COMMANDE GD-PUBLIC GSHC'!C30)</f>
        <v/>
      </c>
      <c r="D78" s="101" t="str">
        <f>IF('COMMANDE GD-PUBLIC GSHC'!I30="","",'COMMANDE GD-PUBLIC GSHC'!I30)</f>
        <v/>
      </c>
      <c r="E78" s="101"/>
      <c r="F78" s="104"/>
      <c r="G78" s="104"/>
      <c r="H78" s="184" t="b">
        <v>0</v>
      </c>
    </row>
    <row r="79" spans="2:8" ht="15" thickBot="1" x14ac:dyDescent="0.35">
      <c r="B79" s="106"/>
      <c r="C79" s="107"/>
      <c r="D79" s="108"/>
      <c r="E79" s="108"/>
      <c r="F79" s="108"/>
      <c r="G79" s="108"/>
      <c r="H79" s="185" t="b">
        <v>0</v>
      </c>
    </row>
    <row r="84" spans="2:8" ht="15" x14ac:dyDescent="0.3">
      <c r="B84" s="82" t="str">
        <f>'COMMANDE GD-PUBLIC GSHC'!$A$2</f>
        <v>MATCH GSHC X</v>
      </c>
      <c r="C84" s="83" t="str">
        <f>'COMMANDE GD-PUBLIC GSHC'!$C$2</f>
        <v>SCL TIGERS</v>
      </c>
      <c r="D84" s="83"/>
      <c r="E84" s="82" t="s">
        <v>48</v>
      </c>
      <c r="F84" s="84">
        <f>'COMMANDE GD-PUBLIC GSHC'!$D$2</f>
        <v>45974</v>
      </c>
      <c r="G84" s="85"/>
      <c r="H84" s="85"/>
    </row>
    <row r="85" spans="2:8" ht="15.6" x14ac:dyDescent="0.3">
      <c r="B85" s="86"/>
      <c r="C85" s="87"/>
      <c r="D85" s="87"/>
      <c r="E85" s="86"/>
      <c r="F85" s="87"/>
      <c r="G85" s="87"/>
      <c r="H85" s="123"/>
    </row>
    <row r="86" spans="2:8" ht="18" x14ac:dyDescent="0.3">
      <c r="B86" s="82" t="s">
        <v>49</v>
      </c>
      <c r="C86" s="89">
        <f>'COMMANDE GD-PUBLIC GSHC'!$J$2</f>
        <v>0.82291666666666663</v>
      </c>
      <c r="D86" s="89"/>
      <c r="E86" s="82" t="s">
        <v>13</v>
      </c>
      <c r="F86" s="83" t="s">
        <v>50</v>
      </c>
      <c r="G86" s="90"/>
      <c r="H86" s="91"/>
    </row>
    <row r="87" spans="2:8" ht="15.6" x14ac:dyDescent="0.3">
      <c r="B87" s="92"/>
      <c r="C87" s="92"/>
      <c r="D87" s="92"/>
      <c r="E87" s="93"/>
      <c r="F87" s="93"/>
      <c r="G87" s="93"/>
      <c r="H87" s="124"/>
    </row>
    <row r="88" spans="2:8" ht="15" thickBot="1" x14ac:dyDescent="0.35"/>
    <row r="89" spans="2:8" ht="23.25" customHeight="1" x14ac:dyDescent="0.3">
      <c r="B89" s="125" t="s">
        <v>51</v>
      </c>
      <c r="C89" s="235" t="s">
        <v>52</v>
      </c>
      <c r="D89" s="230" t="s">
        <v>53</v>
      </c>
      <c r="E89" s="231"/>
      <c r="F89" s="231"/>
      <c r="G89" s="232"/>
      <c r="H89" s="237" t="s">
        <v>54</v>
      </c>
    </row>
    <row r="90" spans="2:8" ht="51" thickBot="1" x14ac:dyDescent="0.35">
      <c r="B90" s="130" t="str">
        <f>'COMMANDE GD-PUBLIC GSHC'!A31</f>
        <v>CHALET 1</v>
      </c>
      <c r="C90" s="236"/>
      <c r="D90" s="127" t="s">
        <v>55</v>
      </c>
      <c r="E90" s="127" t="s">
        <v>23</v>
      </c>
      <c r="F90" s="127" t="s">
        <v>56</v>
      </c>
      <c r="G90" s="128" t="s">
        <v>57</v>
      </c>
      <c r="H90" s="238"/>
    </row>
    <row r="91" spans="2:8" ht="18" x14ac:dyDescent="0.3">
      <c r="B91" s="99" t="str">
        <f>IF('COMMANDE GD-PUBLIC GSHC'!D31="","",'COMMANDE GD-PUBLIC GSHC'!D31)</f>
        <v/>
      </c>
      <c r="C91" s="100" t="str">
        <f>IF('COMMANDE GD-PUBLIC GSHC'!C31="","",'COMMANDE GD-PUBLIC GSHC'!C31)</f>
        <v/>
      </c>
      <c r="D91" s="101">
        <f>IF('COMMANDE GD-PUBLIC GSHC'!I31="","",'COMMANDE GD-PUBLIC GSHC'!I31)</f>
        <v>0.72916666666666663</v>
      </c>
      <c r="E91" s="101"/>
      <c r="F91" s="102"/>
      <c r="G91" s="102"/>
      <c r="H91" s="186" t="b">
        <v>0</v>
      </c>
    </row>
    <row r="92" spans="2:8" ht="18" x14ac:dyDescent="0.3">
      <c r="B92" s="99" t="s">
        <v>59</v>
      </c>
      <c r="C92" s="100" t="str">
        <f>IF('COMMANDE GD-PUBLIC GSHC'!C32="","",'COMMANDE GD-PUBLIC GSHC'!C32)</f>
        <v/>
      </c>
      <c r="D92" s="101">
        <f>IF('COMMANDE GD-PUBLIC GSHC'!I32="","",'COMMANDE GD-PUBLIC GSHC'!I32)</f>
        <v>0.75</v>
      </c>
      <c r="E92" s="101"/>
      <c r="F92" s="135"/>
      <c r="G92" s="104"/>
      <c r="H92" s="184" t="b">
        <v>0</v>
      </c>
    </row>
    <row r="93" spans="2:8" ht="18" x14ac:dyDescent="0.3">
      <c r="B93" s="99" t="str">
        <f>IF('COMMANDE GD-PUBLIC GSHC'!D33="","",'COMMANDE GD-PUBLIC GSHC'!D33)</f>
        <v/>
      </c>
      <c r="C93" s="100" t="str">
        <f>IF('COMMANDE GD-PUBLIC GSHC'!C33="","",'COMMANDE GD-PUBLIC GSHC'!C33)</f>
        <v/>
      </c>
      <c r="D93" s="101">
        <f>IF('COMMANDE GD-PUBLIC GSHC'!I33="","",'COMMANDE GD-PUBLIC GSHC'!I33)</f>
        <v>0.72916666666666663</v>
      </c>
      <c r="E93" s="101"/>
      <c r="F93" s="104"/>
      <c r="G93" s="104"/>
      <c r="H93" s="184" t="b">
        <v>0</v>
      </c>
    </row>
    <row r="94" spans="2:8" ht="18" x14ac:dyDescent="0.3">
      <c r="B94" s="99" t="str">
        <f>IF('COMMANDE GD-PUBLIC GSHC'!D34="","",'COMMANDE GD-PUBLIC GSHC'!D34)</f>
        <v/>
      </c>
      <c r="C94" s="100" t="str">
        <f>IF('COMMANDE GD-PUBLIC GSHC'!C34="","",'COMMANDE GD-PUBLIC GSHC'!C34)</f>
        <v/>
      </c>
      <c r="D94" s="101" t="str">
        <f>IF('COMMANDE GD-PUBLIC GSHC'!I34="","",'COMMANDE GD-PUBLIC GSHC'!I34)</f>
        <v/>
      </c>
      <c r="E94" s="101"/>
      <c r="F94" s="104"/>
      <c r="G94" s="104"/>
      <c r="H94" s="184" t="b">
        <v>0</v>
      </c>
    </row>
    <row r="95" spans="2:8" ht="15" thickBot="1" x14ac:dyDescent="0.35">
      <c r="B95" s="106"/>
      <c r="C95" s="107"/>
      <c r="D95" s="108"/>
      <c r="E95" s="108"/>
      <c r="F95" s="108"/>
      <c r="G95" s="108"/>
      <c r="H95" s="185" t="b">
        <v>0</v>
      </c>
    </row>
    <row r="99" spans="2:8" ht="15" x14ac:dyDescent="0.3">
      <c r="B99" s="82" t="str">
        <f>'COMMANDE GD-PUBLIC GSHC'!$A$2</f>
        <v>MATCH GSHC X</v>
      </c>
      <c r="C99" s="83" t="str">
        <f>'COMMANDE GD-PUBLIC GSHC'!$C$2</f>
        <v>SCL TIGERS</v>
      </c>
      <c r="D99" s="83"/>
      <c r="E99" s="82" t="s">
        <v>48</v>
      </c>
      <c r="F99" s="84">
        <f>'COMMANDE GD-PUBLIC GSHC'!$D$2</f>
        <v>45974</v>
      </c>
      <c r="G99" s="85"/>
      <c r="H99" s="85"/>
    </row>
    <row r="100" spans="2:8" ht="15.6" x14ac:dyDescent="0.3">
      <c r="B100" s="86"/>
      <c r="C100" s="87"/>
      <c r="D100" s="87"/>
      <c r="E100" s="86"/>
      <c r="F100" s="87"/>
      <c r="G100" s="87"/>
      <c r="H100" s="123"/>
    </row>
    <row r="101" spans="2:8" ht="18" x14ac:dyDescent="0.3">
      <c r="B101" s="82" t="s">
        <v>49</v>
      </c>
      <c r="C101" s="89">
        <f>'COMMANDE GD-PUBLIC GSHC'!$J$2</f>
        <v>0.82291666666666663</v>
      </c>
      <c r="D101" s="89"/>
      <c r="E101" s="82" t="s">
        <v>13</v>
      </c>
      <c r="F101" s="83" t="s">
        <v>50</v>
      </c>
      <c r="G101" s="90"/>
      <c r="H101" s="91"/>
    </row>
    <row r="102" spans="2:8" ht="15.6" x14ac:dyDescent="0.3">
      <c r="B102" s="92"/>
      <c r="C102" s="92"/>
      <c r="D102" s="92"/>
      <c r="E102" s="93"/>
      <c r="F102" s="93"/>
      <c r="G102" s="93"/>
      <c r="H102" s="124"/>
    </row>
    <row r="103" spans="2:8" ht="15" thickBot="1" x14ac:dyDescent="0.35"/>
    <row r="104" spans="2:8" ht="23.25" customHeight="1" x14ac:dyDescent="0.3">
      <c r="B104" s="125" t="s">
        <v>51</v>
      </c>
      <c r="C104" s="228" t="s">
        <v>52</v>
      </c>
      <c r="D104" s="230" t="s">
        <v>53</v>
      </c>
      <c r="E104" s="231"/>
      <c r="F104" s="231"/>
      <c r="G104" s="232"/>
      <c r="H104" s="233" t="s">
        <v>54</v>
      </c>
    </row>
    <row r="105" spans="2:8" ht="51" thickBot="1" x14ac:dyDescent="0.35">
      <c r="B105" s="130" t="str">
        <f>'COMMANDE GD-PUBLIC GSHC'!A35</f>
        <v>CHALET 2</v>
      </c>
      <c r="C105" s="229"/>
      <c r="D105" s="127" t="s">
        <v>55</v>
      </c>
      <c r="E105" s="127" t="s">
        <v>23</v>
      </c>
      <c r="F105" s="127" t="s">
        <v>56</v>
      </c>
      <c r="G105" s="128" t="s">
        <v>57</v>
      </c>
      <c r="H105" s="234"/>
    </row>
    <row r="106" spans="2:8" ht="18" x14ac:dyDescent="0.3">
      <c r="B106" s="99" t="str">
        <f>IF('COMMANDE GD-PUBLIC GSHC'!D35="","",'COMMANDE GD-PUBLIC GSHC'!D35)</f>
        <v/>
      </c>
      <c r="C106" s="100" t="str">
        <f>IF('COMMANDE GD-PUBLIC GSHC'!C35="","",'COMMANDE GD-PUBLIC GSHC'!C35)</f>
        <v/>
      </c>
      <c r="D106" s="101">
        <f>IF('COMMANDE GD-PUBLIC GSHC'!I35="","",'COMMANDE GD-PUBLIC GSHC'!I35)</f>
        <v>0.72916666666666663</v>
      </c>
      <c r="E106" s="101"/>
      <c r="F106" s="134"/>
      <c r="G106" s="102"/>
      <c r="H106" s="186" t="b">
        <v>0</v>
      </c>
    </row>
    <row r="107" spans="2:8" ht="18" x14ac:dyDescent="0.3">
      <c r="B107" s="99" t="str">
        <f>IF('COMMANDE GD-PUBLIC GSHC'!D36="","",'COMMANDE GD-PUBLIC GSHC'!D36)</f>
        <v/>
      </c>
      <c r="C107" s="100" t="str">
        <f>IF('COMMANDE GD-PUBLIC GSHC'!C36="","",'COMMANDE GD-PUBLIC GSHC'!C36)</f>
        <v/>
      </c>
      <c r="D107" s="101">
        <f>IF('COMMANDE GD-PUBLIC GSHC'!I36="","",'COMMANDE GD-PUBLIC GSHC'!I36)</f>
        <v>0.72916666666666663</v>
      </c>
      <c r="E107" s="101"/>
      <c r="F107" s="135"/>
      <c r="G107" s="104"/>
      <c r="H107" s="184" t="b">
        <v>0</v>
      </c>
    </row>
    <row r="108" spans="2:8" ht="18" x14ac:dyDescent="0.3">
      <c r="B108" s="99" t="str">
        <f>IF('COMMANDE GD-PUBLIC GSHC'!D37="","",'COMMANDE GD-PUBLIC GSHC'!D37)</f>
        <v/>
      </c>
      <c r="C108" s="100" t="str">
        <f>IF('COMMANDE GD-PUBLIC GSHC'!C37="","",'COMMANDE GD-PUBLIC GSHC'!C37)</f>
        <v/>
      </c>
      <c r="D108" s="101" t="str">
        <f>IF('COMMANDE GD-PUBLIC GSHC'!I37="","",'COMMANDE GD-PUBLIC GSHC'!I37)</f>
        <v/>
      </c>
      <c r="E108" s="101"/>
      <c r="F108" s="104"/>
      <c r="G108" s="104"/>
      <c r="H108" s="184" t="b">
        <v>0</v>
      </c>
    </row>
    <row r="109" spans="2:8" ht="18" x14ac:dyDescent="0.3">
      <c r="B109" s="99" t="str">
        <f>IF('COMMANDE GD-PUBLIC GSHC'!D38="","",'COMMANDE GD-PUBLIC GSHC'!D38)</f>
        <v/>
      </c>
      <c r="C109" s="100" t="str">
        <f>IF('COMMANDE GD-PUBLIC GSHC'!C38="","",'COMMANDE GD-PUBLIC GSHC'!C38)</f>
        <v/>
      </c>
      <c r="D109" s="101" t="str">
        <f>IF('COMMANDE GD-PUBLIC GSHC'!I38="","",'COMMANDE GD-PUBLIC GSHC'!I38)</f>
        <v/>
      </c>
      <c r="E109" s="101"/>
      <c r="F109" s="104"/>
      <c r="G109" s="104"/>
      <c r="H109" s="184" t="b">
        <v>0</v>
      </c>
    </row>
    <row r="110" spans="2:8" ht="15" thickBot="1" x14ac:dyDescent="0.35">
      <c r="B110" s="106"/>
      <c r="C110" s="107"/>
      <c r="D110" s="108"/>
      <c r="E110" s="108"/>
      <c r="F110" s="108"/>
      <c r="G110" s="108"/>
      <c r="H110" s="185" t="b">
        <v>0</v>
      </c>
    </row>
    <row r="114" spans="2:8" ht="15" x14ac:dyDescent="0.3">
      <c r="B114" s="82" t="str">
        <f>'COMMANDE GD-PUBLIC GSHC'!$A$2</f>
        <v>MATCH GSHC X</v>
      </c>
      <c r="C114" s="83" t="str">
        <f>'COMMANDE GD-PUBLIC GSHC'!$C$2</f>
        <v>SCL TIGERS</v>
      </c>
      <c r="D114" s="83"/>
      <c r="E114" s="82" t="s">
        <v>48</v>
      </c>
      <c r="F114" s="84">
        <f>'COMMANDE GD-PUBLIC GSHC'!$D$2</f>
        <v>45974</v>
      </c>
      <c r="G114" s="85"/>
      <c r="H114" s="85"/>
    </row>
    <row r="115" spans="2:8" ht="15.6" x14ac:dyDescent="0.3">
      <c r="B115" s="86"/>
      <c r="C115" s="87"/>
      <c r="D115" s="87"/>
      <c r="E115" s="86"/>
      <c r="F115" s="87"/>
      <c r="G115" s="87"/>
      <c r="H115" s="123"/>
    </row>
    <row r="116" spans="2:8" ht="18" x14ac:dyDescent="0.3">
      <c r="B116" s="82" t="s">
        <v>49</v>
      </c>
      <c r="C116" s="89">
        <f>'COMMANDE GD-PUBLIC GSHC'!$J$2</f>
        <v>0.82291666666666663</v>
      </c>
      <c r="D116" s="89"/>
      <c r="E116" s="82" t="s">
        <v>13</v>
      </c>
      <c r="F116" s="83" t="s">
        <v>50</v>
      </c>
      <c r="G116" s="90"/>
      <c r="H116" s="91"/>
    </row>
    <row r="117" spans="2:8" ht="15.6" x14ac:dyDescent="0.3">
      <c r="B117" s="92"/>
      <c r="C117" s="92"/>
      <c r="D117" s="92"/>
      <c r="E117" s="93"/>
      <c r="F117" s="93"/>
      <c r="G117" s="93"/>
      <c r="H117" s="124"/>
    </row>
    <row r="118" spans="2:8" ht="15" thickBot="1" x14ac:dyDescent="0.35"/>
    <row r="119" spans="2:8" ht="23.25" customHeight="1" x14ac:dyDescent="0.3">
      <c r="B119" s="125" t="s">
        <v>51</v>
      </c>
      <c r="C119" s="228" t="s">
        <v>52</v>
      </c>
      <c r="D119" s="230" t="s">
        <v>53</v>
      </c>
      <c r="E119" s="231"/>
      <c r="F119" s="231"/>
      <c r="G119" s="232"/>
      <c r="H119" s="233" t="s">
        <v>54</v>
      </c>
    </row>
    <row r="120" spans="2:8" ht="51" thickBot="1" x14ac:dyDescent="0.35">
      <c r="B120" s="130" t="str">
        <f>'COMMANDE GD-PUBLIC GSHC'!A39</f>
        <v>CHALET 3</v>
      </c>
      <c r="C120" s="229"/>
      <c r="D120" s="127" t="s">
        <v>55</v>
      </c>
      <c r="E120" s="127" t="s">
        <v>23</v>
      </c>
      <c r="F120" s="127" t="s">
        <v>56</v>
      </c>
      <c r="G120" s="128" t="s">
        <v>57</v>
      </c>
      <c r="H120" s="234"/>
    </row>
    <row r="121" spans="2:8" ht="18" x14ac:dyDescent="0.3">
      <c r="B121" s="99" t="str">
        <f>IF('COMMANDE GD-PUBLIC GSHC'!D39="","",'COMMANDE GD-PUBLIC GSHC'!D39)</f>
        <v/>
      </c>
      <c r="C121" s="100" t="str">
        <f>IF('COMMANDE GD-PUBLIC GSHC'!C39="","",'COMMANDE GD-PUBLIC GSHC'!C39)</f>
        <v/>
      </c>
      <c r="D121" s="101">
        <f>IF('COMMANDE GD-PUBLIC GSHC'!I39="","",'COMMANDE GD-PUBLIC GSHC'!I39)</f>
        <v>0.72916666666666663</v>
      </c>
      <c r="E121" s="101"/>
      <c r="F121" s="134"/>
      <c r="G121" s="102"/>
      <c r="H121" s="186" t="b">
        <v>0</v>
      </c>
    </row>
    <row r="122" spans="2:8" ht="18" x14ac:dyDescent="0.3">
      <c r="B122" s="99" t="s">
        <v>82</v>
      </c>
      <c r="C122" s="100" t="str">
        <f>IF('COMMANDE GD-PUBLIC GSHC'!C40="","",'COMMANDE GD-PUBLIC GSHC'!C40)</f>
        <v/>
      </c>
      <c r="D122" s="101">
        <f>IF('COMMANDE GD-PUBLIC GSHC'!I40="","",'COMMANDE GD-PUBLIC GSHC'!I40)</f>
        <v>0.75</v>
      </c>
      <c r="E122" s="101"/>
      <c r="F122" s="135"/>
      <c r="G122" s="104"/>
      <c r="H122" s="184" t="b">
        <v>0</v>
      </c>
    </row>
    <row r="123" spans="2:8" ht="18" x14ac:dyDescent="0.3">
      <c r="B123" s="99" t="s">
        <v>83</v>
      </c>
      <c r="C123" s="100" t="str">
        <f>IF('COMMANDE GD-PUBLIC GSHC'!C41="","",'COMMANDE GD-PUBLIC GSHC'!C41)</f>
        <v/>
      </c>
      <c r="D123" s="101">
        <v>0.72916666666666663</v>
      </c>
      <c r="E123" s="101"/>
      <c r="F123" s="135"/>
      <c r="G123" s="104"/>
      <c r="H123" s="184" t="b">
        <v>0</v>
      </c>
    </row>
    <row r="124" spans="2:8" ht="18" x14ac:dyDescent="0.3">
      <c r="B124" s="99" t="str">
        <f>IF('COMMANDE GD-PUBLIC GSHC'!D42="","",'COMMANDE GD-PUBLIC GSHC'!D42)</f>
        <v/>
      </c>
      <c r="C124" s="100" t="str">
        <f>IF('COMMANDE GD-PUBLIC GSHC'!C42="","",'COMMANDE GD-PUBLIC GSHC'!C42)</f>
        <v/>
      </c>
      <c r="D124" s="101" t="str">
        <f>IF('COMMANDE GD-PUBLIC GSHC'!I42="","",'COMMANDE GD-PUBLIC GSHC'!I42)</f>
        <v/>
      </c>
      <c r="E124" s="101"/>
      <c r="F124" s="104"/>
      <c r="G124" s="104"/>
      <c r="H124" s="184" t="b">
        <v>0</v>
      </c>
    </row>
    <row r="125" spans="2:8" ht="15" thickBot="1" x14ac:dyDescent="0.35">
      <c r="B125" s="106"/>
      <c r="C125" s="107"/>
      <c r="D125" s="108"/>
      <c r="E125" s="108"/>
      <c r="F125" s="108"/>
      <c r="G125" s="108"/>
      <c r="H125" s="185" t="b">
        <v>0</v>
      </c>
    </row>
    <row r="129" spans="2:8" ht="15" x14ac:dyDescent="0.3">
      <c r="B129" s="82" t="str">
        <f>'COMMANDE GD-PUBLIC GSHC'!$A$2</f>
        <v>MATCH GSHC X</v>
      </c>
      <c r="C129" s="83" t="str">
        <f>'COMMANDE GD-PUBLIC GSHC'!$C$2</f>
        <v>SCL TIGERS</v>
      </c>
      <c r="D129" s="83"/>
      <c r="E129" s="82" t="s">
        <v>48</v>
      </c>
      <c r="F129" s="84">
        <f>'COMMANDE GD-PUBLIC GSHC'!$D$2</f>
        <v>45974</v>
      </c>
      <c r="G129" s="85"/>
      <c r="H129" s="85"/>
    </row>
    <row r="130" spans="2:8" ht="15.6" x14ac:dyDescent="0.3">
      <c r="B130" s="86"/>
      <c r="C130" s="87"/>
      <c r="D130" s="87"/>
      <c r="E130" s="86"/>
      <c r="F130" s="87"/>
      <c r="G130" s="87"/>
      <c r="H130" s="123"/>
    </row>
    <row r="131" spans="2:8" ht="18" x14ac:dyDescent="0.3">
      <c r="B131" s="82" t="s">
        <v>49</v>
      </c>
      <c r="C131" s="89">
        <f>'COMMANDE GD-PUBLIC GSHC'!$J$2</f>
        <v>0.82291666666666663</v>
      </c>
      <c r="D131" s="89"/>
      <c r="E131" s="82" t="s">
        <v>13</v>
      </c>
      <c r="F131" s="83" t="s">
        <v>50</v>
      </c>
      <c r="G131" s="90"/>
      <c r="H131" s="91"/>
    </row>
    <row r="132" spans="2:8" ht="15.6" x14ac:dyDescent="0.3">
      <c r="B132" s="92"/>
      <c r="C132" s="92"/>
      <c r="D132" s="92"/>
      <c r="E132" s="93"/>
      <c r="F132" s="93"/>
      <c r="G132" s="93"/>
      <c r="H132" s="124"/>
    </row>
    <row r="133" spans="2:8" ht="15" thickBot="1" x14ac:dyDescent="0.35"/>
    <row r="134" spans="2:8" ht="23.25" customHeight="1" x14ac:dyDescent="0.3">
      <c r="B134" s="125" t="s">
        <v>51</v>
      </c>
      <c r="C134" s="228" t="s">
        <v>52</v>
      </c>
      <c r="D134" s="230" t="s">
        <v>53</v>
      </c>
      <c r="E134" s="231"/>
      <c r="F134" s="231"/>
      <c r="G134" s="232"/>
      <c r="H134" s="233" t="s">
        <v>54</v>
      </c>
    </row>
    <row r="135" spans="2:8" ht="51" thickBot="1" x14ac:dyDescent="0.35">
      <c r="B135" s="130" t="str">
        <f>'COMMANDE GD-PUBLIC GSHC'!A43</f>
        <v>PUB EXTÉRIEUR</v>
      </c>
      <c r="C135" s="229"/>
      <c r="D135" s="127" t="s">
        <v>55</v>
      </c>
      <c r="E135" s="127" t="s">
        <v>23</v>
      </c>
      <c r="F135" s="127" t="s">
        <v>56</v>
      </c>
      <c r="G135" s="128" t="s">
        <v>57</v>
      </c>
      <c r="H135" s="234"/>
    </row>
    <row r="136" spans="2:8" ht="18" x14ac:dyDescent="0.3">
      <c r="B136" s="99" t="str">
        <f>IF('COMMANDE GD-PUBLIC GSHC'!D43="","",'COMMANDE GD-PUBLIC GSHC'!D43)</f>
        <v/>
      </c>
      <c r="C136" s="100" t="str">
        <f>IF('COMMANDE GD-PUBLIC GSHC'!C43="","",'COMMANDE GD-PUBLIC GSHC'!C43)</f>
        <v/>
      </c>
      <c r="D136" s="101">
        <f>IF('COMMANDE GD-PUBLIC GSHC'!I43="","",'COMMANDE GD-PUBLIC GSHC'!I43)</f>
        <v>0.75</v>
      </c>
      <c r="E136" s="101"/>
      <c r="F136" s="102"/>
      <c r="G136" s="102"/>
      <c r="H136" s="186" t="b">
        <v>0</v>
      </c>
    </row>
    <row r="137" spans="2:8" ht="18" x14ac:dyDescent="0.3">
      <c r="B137" s="99" t="str">
        <f>IF('COMMANDE GD-PUBLIC GSHC'!D44="","",'COMMANDE GD-PUBLIC GSHC'!D44)</f>
        <v/>
      </c>
      <c r="C137" s="100" t="str">
        <f>IF('COMMANDE GD-PUBLIC GSHC'!C44="","",'COMMANDE GD-PUBLIC GSHC'!C44)</f>
        <v/>
      </c>
      <c r="D137" s="101" t="str">
        <f>IF('COMMANDE GD-PUBLIC GSHC'!I44="","",'COMMANDE GD-PUBLIC GSHC'!I44)</f>
        <v/>
      </c>
      <c r="E137" s="101"/>
      <c r="F137" s="104"/>
      <c r="G137" s="104"/>
      <c r="H137" s="184" t="b">
        <v>0</v>
      </c>
    </row>
    <row r="138" spans="2:8" ht="18" x14ac:dyDescent="0.3">
      <c r="B138" s="99" t="str">
        <f>IF('COMMANDE GD-PUBLIC GSHC'!D45="","",'COMMANDE GD-PUBLIC GSHC'!D45)</f>
        <v/>
      </c>
      <c r="C138" s="100" t="str">
        <f>IF('COMMANDE GD-PUBLIC GSHC'!C45="","",'COMMANDE GD-PUBLIC GSHC'!C45)</f>
        <v/>
      </c>
      <c r="D138" s="101" t="str">
        <f>IF('COMMANDE GD-PUBLIC GSHC'!I45="","",'COMMANDE GD-PUBLIC GSHC'!I45)</f>
        <v/>
      </c>
      <c r="E138" s="101"/>
      <c r="F138" s="104"/>
      <c r="G138" s="104"/>
      <c r="H138" s="184" t="b">
        <v>0</v>
      </c>
    </row>
    <row r="139" spans="2:8" ht="15" thickBot="1" x14ac:dyDescent="0.35">
      <c r="B139" s="106"/>
      <c r="C139" s="107"/>
      <c r="D139" s="108"/>
      <c r="E139" s="108"/>
      <c r="F139" s="108"/>
      <c r="G139" s="108"/>
      <c r="H139" s="185" t="b">
        <v>0</v>
      </c>
    </row>
    <row r="143" spans="2:8" ht="15" x14ac:dyDescent="0.3">
      <c r="B143" s="82" t="str">
        <f>'COMMANDE GD-PUBLIC GSHC'!$A$2</f>
        <v>MATCH GSHC X</v>
      </c>
      <c r="C143" s="83" t="str">
        <f>'COMMANDE GD-PUBLIC GSHC'!$C$2</f>
        <v>SCL TIGERS</v>
      </c>
      <c r="D143" s="83"/>
      <c r="E143" s="82" t="s">
        <v>48</v>
      </c>
      <c r="F143" s="84">
        <f>'COMMANDE GD-PUBLIC GSHC'!$D$2</f>
        <v>45974</v>
      </c>
      <c r="G143" s="85"/>
      <c r="H143" s="85"/>
    </row>
    <row r="144" spans="2:8" ht="15.6" x14ac:dyDescent="0.3">
      <c r="B144" s="86"/>
      <c r="C144" s="87"/>
      <c r="D144" s="87"/>
      <c r="E144" s="86"/>
      <c r="F144" s="87"/>
      <c r="G144" s="87"/>
      <c r="H144" s="123"/>
    </row>
    <row r="145" spans="2:8" ht="18" x14ac:dyDescent="0.3">
      <c r="B145" s="82" t="s">
        <v>49</v>
      </c>
      <c r="C145" s="89">
        <f>'COMMANDE GD-PUBLIC GSHC'!$J$2</f>
        <v>0.82291666666666663</v>
      </c>
      <c r="D145" s="89"/>
      <c r="E145" s="82" t="s">
        <v>13</v>
      </c>
      <c r="F145" s="83" t="s">
        <v>50</v>
      </c>
      <c r="G145" s="90"/>
      <c r="H145" s="91"/>
    </row>
    <row r="146" spans="2:8" ht="15.6" x14ac:dyDescent="0.3">
      <c r="B146" s="92"/>
      <c r="C146" s="92"/>
      <c r="D146" s="92"/>
      <c r="E146" s="93"/>
      <c r="F146" s="93"/>
      <c r="G146" s="93"/>
      <c r="H146" s="124"/>
    </row>
    <row r="147" spans="2:8" ht="15" thickBot="1" x14ac:dyDescent="0.35"/>
    <row r="148" spans="2:8" ht="23.25" customHeight="1" x14ac:dyDescent="0.3">
      <c r="B148" s="125" t="s">
        <v>51</v>
      </c>
      <c r="C148" s="228" t="s">
        <v>52</v>
      </c>
      <c r="D148" s="230" t="s">
        <v>53</v>
      </c>
      <c r="E148" s="231"/>
      <c r="F148" s="231"/>
      <c r="G148" s="232"/>
      <c r="H148" s="233" t="s">
        <v>54</v>
      </c>
    </row>
    <row r="149" spans="2:8" ht="51" thickBot="1" x14ac:dyDescent="0.35">
      <c r="B149" s="131" t="str">
        <f>'COMMANDE GD-PUBLIC GSHC'!A46</f>
        <v>BAR 2023</v>
      </c>
      <c r="C149" s="229"/>
      <c r="D149" s="127" t="s">
        <v>55</v>
      </c>
      <c r="E149" s="127" t="s">
        <v>23</v>
      </c>
      <c r="F149" s="127" t="s">
        <v>56</v>
      </c>
      <c r="G149" s="128" t="s">
        <v>57</v>
      </c>
      <c r="H149" s="234"/>
    </row>
    <row r="150" spans="2:8" ht="18" x14ac:dyDescent="0.3">
      <c r="B150" s="99" t="str">
        <f>IF('COMMANDE GD-PUBLIC GSHC'!D46="","",'COMMANDE GD-PUBLIC GSHC'!D46)</f>
        <v/>
      </c>
      <c r="C150" s="100" t="str">
        <f>IF('COMMANDE GD-PUBLIC GSHC'!C46="","",'COMMANDE GD-PUBLIC GSHC'!C46)</f>
        <v/>
      </c>
      <c r="D150" s="101">
        <f>IF('COMMANDE GD-PUBLIC GSHC'!I46="","",'COMMANDE GD-PUBLIC GSHC'!I46)</f>
        <v>0.70833333333333337</v>
      </c>
      <c r="E150" s="101"/>
      <c r="F150" s="134"/>
      <c r="G150" s="102"/>
      <c r="H150" s="186" t="b">
        <v>0</v>
      </c>
    </row>
    <row r="151" spans="2:8" ht="18" x14ac:dyDescent="0.3">
      <c r="B151" s="99" t="str">
        <f>IF('COMMANDE GD-PUBLIC GSHC'!D47="","",'COMMANDE GD-PUBLIC GSHC'!D47)</f>
        <v/>
      </c>
      <c r="C151" s="100" t="str">
        <f>IF('COMMANDE GD-PUBLIC GSHC'!C47="","",'COMMANDE GD-PUBLIC GSHC'!C47)</f>
        <v/>
      </c>
      <c r="D151" s="101">
        <f>IF('COMMANDE GD-PUBLIC GSHC'!I47="","",'COMMANDE GD-PUBLIC GSHC'!I47)</f>
        <v>0.72916666666666663</v>
      </c>
      <c r="E151" s="101"/>
      <c r="F151" s="135"/>
      <c r="G151" s="104"/>
      <c r="H151" s="184" t="b">
        <v>0</v>
      </c>
    </row>
    <row r="152" spans="2:8" ht="18" x14ac:dyDescent="0.3">
      <c r="B152" s="99" t="str">
        <f>IF('COMMANDE GD-PUBLIC GSHC'!D48="","",'COMMANDE GD-PUBLIC GSHC'!D48)</f>
        <v/>
      </c>
      <c r="C152" s="100" t="str">
        <f>IF('COMMANDE GD-PUBLIC GSHC'!C48="","",'COMMANDE GD-PUBLIC GSHC'!C48)</f>
        <v/>
      </c>
      <c r="D152" s="101">
        <f>IF('COMMANDE GD-PUBLIC GSHC'!I48="","",'COMMANDE GD-PUBLIC GSHC'!I48)</f>
        <v>0.75</v>
      </c>
      <c r="E152" s="101"/>
      <c r="F152" s="135"/>
      <c r="G152" s="104"/>
      <c r="H152" s="184" t="b">
        <v>0</v>
      </c>
    </row>
    <row r="153" spans="2:8" ht="18" x14ac:dyDescent="0.3">
      <c r="B153" s="99" t="str">
        <f>IF('COMMANDE GD-PUBLIC GSHC'!D49="","",'COMMANDE GD-PUBLIC GSHC'!D49)</f>
        <v/>
      </c>
      <c r="C153" s="100" t="str">
        <f>IF('COMMANDE GD-PUBLIC GSHC'!C49="","",'COMMANDE GD-PUBLIC GSHC'!C49)</f>
        <v/>
      </c>
      <c r="D153" s="101">
        <f>IF('COMMANDE GD-PUBLIC GSHC'!I49="","",'COMMANDE GD-PUBLIC GSHC'!I49)</f>
        <v>0.72916666666666663</v>
      </c>
      <c r="E153" s="101"/>
      <c r="F153" s="135"/>
      <c r="G153" s="104"/>
      <c r="H153" s="184" t="b">
        <v>0</v>
      </c>
    </row>
    <row r="154" spans="2:8" ht="18" x14ac:dyDescent="0.3">
      <c r="B154" s="99" t="str">
        <f>IF('COMMANDE GD-PUBLIC GSHC'!D50="","",'COMMANDE GD-PUBLIC GSHC'!D50)</f>
        <v/>
      </c>
      <c r="C154" s="100" t="str">
        <f>IF('COMMANDE GD-PUBLIC GSHC'!C50="","",'COMMANDE GD-PUBLIC GSHC'!C50)</f>
        <v/>
      </c>
      <c r="D154" s="101">
        <f>IF('COMMANDE GD-PUBLIC GSHC'!I50="","",'COMMANDE GD-PUBLIC GSHC'!I50)</f>
        <v>0.72916666666666663</v>
      </c>
      <c r="E154" s="101"/>
      <c r="F154" s="135"/>
      <c r="G154" s="104"/>
      <c r="H154" s="184" t="b">
        <v>0</v>
      </c>
    </row>
    <row r="155" spans="2:8" ht="18" x14ac:dyDescent="0.3">
      <c r="B155" s="99" t="s">
        <v>60</v>
      </c>
      <c r="C155" s="100" t="str">
        <f>IF('COMMANDE GD-PUBLIC GSHC'!C51="","",'COMMANDE GD-PUBLIC GSHC'!C51)</f>
        <v/>
      </c>
      <c r="D155" s="101">
        <v>0.70833333333333337</v>
      </c>
      <c r="E155" s="101"/>
      <c r="F155" s="104"/>
      <c r="G155" s="104"/>
      <c r="H155" s="184" t="b">
        <v>0</v>
      </c>
    </row>
    <row r="156" spans="2:8" ht="15" thickBot="1" x14ac:dyDescent="0.35">
      <c r="B156" s="106"/>
      <c r="C156" s="107"/>
      <c r="D156" s="108"/>
      <c r="E156" s="108"/>
      <c r="F156" s="108"/>
      <c r="G156" s="108"/>
      <c r="H156" s="185" t="b">
        <v>0</v>
      </c>
    </row>
    <row r="160" spans="2:8" ht="15" x14ac:dyDescent="0.3">
      <c r="B160" s="82" t="str">
        <f>'COMMANDE GD-PUBLIC GSHC'!$A$2</f>
        <v>MATCH GSHC X</v>
      </c>
      <c r="C160" s="83" t="str">
        <f>'COMMANDE GD-PUBLIC GSHC'!$C$2</f>
        <v>SCL TIGERS</v>
      </c>
      <c r="D160" s="83"/>
      <c r="E160" s="82" t="s">
        <v>48</v>
      </c>
      <c r="F160" s="84">
        <f>'COMMANDE GD-PUBLIC GSHC'!$D$2</f>
        <v>45974</v>
      </c>
      <c r="G160" s="85"/>
      <c r="H160" s="85"/>
    </row>
    <row r="161" spans="2:8" ht="15.6" x14ac:dyDescent="0.3">
      <c r="B161" s="86"/>
      <c r="C161" s="87"/>
      <c r="D161" s="87"/>
      <c r="E161" s="86"/>
      <c r="F161" s="87"/>
      <c r="G161" s="87"/>
      <c r="H161" s="123"/>
    </row>
    <row r="162" spans="2:8" ht="18" x14ac:dyDescent="0.3">
      <c r="B162" s="82" t="s">
        <v>49</v>
      </c>
      <c r="C162" s="89">
        <f>'COMMANDE GD-PUBLIC GSHC'!$J$2</f>
        <v>0.82291666666666663</v>
      </c>
      <c r="D162" s="89"/>
      <c r="E162" s="82" t="s">
        <v>13</v>
      </c>
      <c r="F162" s="83" t="s">
        <v>50</v>
      </c>
      <c r="G162" s="90"/>
      <c r="H162" s="91"/>
    </row>
    <row r="163" spans="2:8" ht="15.6" x14ac:dyDescent="0.3">
      <c r="B163" s="92"/>
      <c r="C163" s="92"/>
      <c r="D163" s="92"/>
      <c r="E163" s="93"/>
      <c r="F163" s="93"/>
      <c r="G163" s="93"/>
      <c r="H163" s="124"/>
    </row>
    <row r="164" spans="2:8" ht="15" thickBot="1" x14ac:dyDescent="0.35"/>
    <row r="165" spans="2:8" ht="23.25" customHeight="1" x14ac:dyDescent="0.3">
      <c r="B165" s="125" t="s">
        <v>51</v>
      </c>
      <c r="C165" s="228" t="s">
        <v>52</v>
      </c>
      <c r="D165" s="230" t="s">
        <v>53</v>
      </c>
      <c r="E165" s="231"/>
      <c r="F165" s="231"/>
      <c r="G165" s="232"/>
      <c r="H165" s="233" t="s">
        <v>54</v>
      </c>
    </row>
    <row r="166" spans="2:8" ht="51" thickBot="1" x14ac:dyDescent="0.35">
      <c r="B166" s="131" t="str">
        <f>'COMMANDE GD-PUBLIC GSHC'!A52</f>
        <v>BAR COCKTAIL</v>
      </c>
      <c r="C166" s="229"/>
      <c r="D166" s="127" t="s">
        <v>55</v>
      </c>
      <c r="E166" s="127" t="s">
        <v>23</v>
      </c>
      <c r="F166" s="127" t="s">
        <v>56</v>
      </c>
      <c r="G166" s="128" t="s">
        <v>57</v>
      </c>
      <c r="H166" s="234"/>
    </row>
    <row r="167" spans="2:8" ht="18" x14ac:dyDescent="0.3">
      <c r="B167" s="99" t="str">
        <f>IF('COMMANDE GD-PUBLIC GSHC'!D52="","",'COMMANDE GD-PUBLIC GSHC'!D52)</f>
        <v/>
      </c>
      <c r="C167" s="100" t="str">
        <f>IF('COMMANDE GD-PUBLIC GSHC'!C52="","",'COMMANDE GD-PUBLIC GSHC'!C52)</f>
        <v/>
      </c>
      <c r="D167" s="101">
        <f>IF('COMMANDE GD-PUBLIC GSHC'!I52="","",'COMMANDE GD-PUBLIC GSHC'!I52)</f>
        <v>0.72916666666666663</v>
      </c>
      <c r="E167" s="101"/>
      <c r="F167" s="134"/>
      <c r="G167" s="102"/>
      <c r="H167" s="186" t="b">
        <v>0</v>
      </c>
    </row>
    <row r="168" spans="2:8" ht="18" x14ac:dyDescent="0.3">
      <c r="B168" s="99" t="str">
        <f>IF('COMMANDE GD-PUBLIC GSHC'!D53="","",'COMMANDE GD-PUBLIC GSHC'!D53)</f>
        <v/>
      </c>
      <c r="C168" s="100" t="str">
        <f>IF('COMMANDE GD-PUBLIC GSHC'!C53="","",'COMMANDE GD-PUBLIC GSHC'!C53)</f>
        <v/>
      </c>
      <c r="D168" s="101">
        <v>0.72916666666666663</v>
      </c>
      <c r="E168" s="101"/>
      <c r="F168" s="135"/>
      <c r="G168" s="104"/>
      <c r="H168" s="184" t="b">
        <v>0</v>
      </c>
    </row>
    <row r="169" spans="2:8" ht="18" x14ac:dyDescent="0.3">
      <c r="B169" s="99" t="str">
        <f>IF('COMMANDE GD-PUBLIC GSHC'!D54="","",'COMMANDE GD-PUBLIC GSHC'!D54)</f>
        <v/>
      </c>
      <c r="C169" s="100" t="str">
        <f>IF('COMMANDE GD-PUBLIC GSHC'!C54="","",'COMMANDE GD-PUBLIC GSHC'!C54)</f>
        <v/>
      </c>
      <c r="D169" s="101" t="str">
        <f>IF('COMMANDE GD-PUBLIC GSHC'!I54="","",'COMMANDE GD-PUBLIC GSHC'!I54)</f>
        <v/>
      </c>
      <c r="E169" s="101"/>
      <c r="F169" s="104"/>
      <c r="G169" s="104"/>
      <c r="H169" s="184" t="b">
        <v>0</v>
      </c>
    </row>
    <row r="170" spans="2:8" ht="18" x14ac:dyDescent="0.3">
      <c r="B170" s="99" t="str">
        <f>IF('COMMANDE GD-PUBLIC GSHC'!D55="","",'COMMANDE GD-PUBLIC GSHC'!D55)</f>
        <v/>
      </c>
      <c r="C170" s="100" t="str">
        <f>IF('COMMANDE GD-PUBLIC GSHC'!C55="","",'COMMANDE GD-PUBLIC GSHC'!C55)</f>
        <v/>
      </c>
      <c r="D170" s="101" t="str">
        <f>IF('COMMANDE GD-PUBLIC GSHC'!I55="","",'COMMANDE GD-PUBLIC GSHC'!I55)</f>
        <v/>
      </c>
      <c r="E170" s="101"/>
      <c r="F170" s="104"/>
      <c r="G170" s="104"/>
      <c r="H170" s="184" t="b">
        <v>0</v>
      </c>
    </row>
    <row r="171" spans="2:8" ht="15" thickBot="1" x14ac:dyDescent="0.35">
      <c r="B171" s="106"/>
      <c r="C171" s="107"/>
      <c r="D171" s="108"/>
      <c r="E171" s="108"/>
      <c r="F171" s="108"/>
      <c r="G171" s="108"/>
      <c r="H171" s="185" t="b">
        <v>0</v>
      </c>
    </row>
    <row r="176" spans="2:8" ht="15" x14ac:dyDescent="0.3">
      <c r="B176" s="82" t="str">
        <f>'COMMANDE GD-PUBLIC GSHC'!$A$2</f>
        <v>MATCH GSHC X</v>
      </c>
      <c r="C176" s="83" t="str">
        <f>'COMMANDE GD-PUBLIC GSHC'!$C$2</f>
        <v>SCL TIGERS</v>
      </c>
      <c r="D176" s="83"/>
      <c r="E176" s="82" t="s">
        <v>48</v>
      </c>
      <c r="F176" s="84">
        <f>'COMMANDE GD-PUBLIC GSHC'!$D$2</f>
        <v>45974</v>
      </c>
      <c r="G176" s="85"/>
      <c r="H176" s="85"/>
    </row>
    <row r="177" spans="2:8" ht="15.6" x14ac:dyDescent="0.3">
      <c r="B177" s="86"/>
      <c r="C177" s="87"/>
      <c r="D177" s="87"/>
      <c r="E177" s="86"/>
      <c r="F177" s="87"/>
      <c r="G177" s="87"/>
      <c r="H177" s="123"/>
    </row>
    <row r="178" spans="2:8" ht="18" x14ac:dyDescent="0.3">
      <c r="B178" s="82" t="s">
        <v>49</v>
      </c>
      <c r="C178" s="89">
        <f>'COMMANDE GD-PUBLIC GSHC'!$J$2</f>
        <v>0.82291666666666663</v>
      </c>
      <c r="D178" s="89"/>
      <c r="E178" s="82" t="s">
        <v>13</v>
      </c>
      <c r="F178" s="83" t="s">
        <v>50</v>
      </c>
      <c r="G178" s="90"/>
      <c r="H178" s="91"/>
    </row>
    <row r="179" spans="2:8" ht="15.6" x14ac:dyDescent="0.3">
      <c r="B179" s="92"/>
      <c r="C179" s="92"/>
      <c r="D179" s="92"/>
      <c r="E179" s="93"/>
      <c r="F179" s="93"/>
      <c r="G179" s="93"/>
      <c r="H179" s="124"/>
    </row>
    <row r="180" spans="2:8" ht="15" thickBot="1" x14ac:dyDescent="0.35"/>
    <row r="181" spans="2:8" ht="23.25" customHeight="1" x14ac:dyDescent="0.3">
      <c r="B181" s="125" t="s">
        <v>51</v>
      </c>
      <c r="C181" s="228" t="s">
        <v>52</v>
      </c>
      <c r="D181" s="230" t="s">
        <v>53</v>
      </c>
      <c r="E181" s="231"/>
      <c r="F181" s="231"/>
      <c r="G181" s="232"/>
      <c r="H181" s="233" t="s">
        <v>54</v>
      </c>
    </row>
    <row r="182" spans="2:8" ht="51" thickBot="1" x14ac:dyDescent="0.35">
      <c r="B182" s="131" t="str">
        <f>'COMMANDE GD-PUBLIC GSHC'!A57</f>
        <v>BAR SECRET</v>
      </c>
      <c r="C182" s="229"/>
      <c r="D182" s="127" t="s">
        <v>55</v>
      </c>
      <c r="E182" s="127" t="s">
        <v>23</v>
      </c>
      <c r="F182" s="127" t="s">
        <v>56</v>
      </c>
      <c r="G182" s="128" t="s">
        <v>57</v>
      </c>
      <c r="H182" s="234"/>
    </row>
    <row r="183" spans="2:8" ht="18" x14ac:dyDescent="0.3">
      <c r="B183" s="99" t="str">
        <f>IF('COMMANDE GD-PUBLIC GSHC'!D57="","",'COMMANDE GD-PUBLIC GSHC'!D57)</f>
        <v/>
      </c>
      <c r="C183" s="100" t="str">
        <f>IF('COMMANDE GD-PUBLIC GSHC'!C57="","",'COMMANDE GD-PUBLIC GSHC'!C57)</f>
        <v/>
      </c>
      <c r="D183" s="101">
        <f>IF('COMMANDE GD-PUBLIC GSHC'!I57="","",'COMMANDE GD-PUBLIC GSHC'!I57)</f>
        <v>0.72916666666666663</v>
      </c>
      <c r="E183" s="101"/>
      <c r="F183" s="102"/>
      <c r="G183" s="102"/>
      <c r="H183" s="186" t="b">
        <v>0</v>
      </c>
    </row>
    <row r="184" spans="2:8" ht="18" x14ac:dyDescent="0.3">
      <c r="B184" s="99" t="str">
        <f>IF('COMMANDE GD-PUBLIC GSHC'!D58="","",'COMMANDE GD-PUBLIC GSHC'!D58)</f>
        <v/>
      </c>
      <c r="C184" s="100" t="str">
        <f>IF('COMMANDE GD-PUBLIC GSHC'!C58="","",'COMMANDE GD-PUBLIC GSHC'!C58)</f>
        <v/>
      </c>
      <c r="D184" s="101" t="str">
        <f>IF('COMMANDE GD-PUBLIC GSHC'!I58="","",'COMMANDE GD-PUBLIC GSHC'!I58)</f>
        <v/>
      </c>
      <c r="E184" s="101"/>
      <c r="F184" s="104"/>
      <c r="G184" s="104"/>
      <c r="H184" s="184" t="b">
        <v>0</v>
      </c>
    </row>
    <row r="185" spans="2:8" ht="18" x14ac:dyDescent="0.3">
      <c r="B185" s="99" t="str">
        <f>IF('COMMANDE GD-PUBLIC GSHC'!D59="","",'COMMANDE GD-PUBLIC GSHC'!D59)</f>
        <v/>
      </c>
      <c r="C185" s="100" t="str">
        <f>IF('COMMANDE GD-PUBLIC GSHC'!C59="","",'COMMANDE GD-PUBLIC GSHC'!C59)</f>
        <v/>
      </c>
      <c r="D185" s="101" t="str">
        <f>IF('COMMANDE GD-PUBLIC GSHC'!I59="","",'COMMANDE GD-PUBLIC GSHC'!I59)</f>
        <v/>
      </c>
      <c r="E185" s="101"/>
      <c r="F185" s="104"/>
      <c r="G185" s="104"/>
      <c r="H185" s="184" t="b">
        <v>0</v>
      </c>
    </row>
    <row r="186" spans="2:8" ht="15" thickBot="1" x14ac:dyDescent="0.35">
      <c r="B186" s="106"/>
      <c r="C186" s="107"/>
      <c r="D186" s="108"/>
      <c r="E186" s="108"/>
      <c r="F186" s="108"/>
      <c r="G186" s="108"/>
      <c r="H186" s="185" t="b">
        <v>0</v>
      </c>
    </row>
    <row r="190" spans="2:8" ht="15" x14ac:dyDescent="0.3">
      <c r="B190" s="82" t="str">
        <f>'COMMANDE GD-PUBLIC GSHC'!$A$2</f>
        <v>MATCH GSHC X</v>
      </c>
      <c r="C190" s="83" t="str">
        <f>'COMMANDE GD-PUBLIC GSHC'!$C$2</f>
        <v>SCL TIGERS</v>
      </c>
      <c r="D190" s="83"/>
      <c r="E190" s="82" t="s">
        <v>48</v>
      </c>
      <c r="F190" s="84">
        <f>'COMMANDE GD-PUBLIC GSHC'!$D$2</f>
        <v>45974</v>
      </c>
      <c r="G190" s="85"/>
      <c r="H190" s="85"/>
    </row>
    <row r="191" spans="2:8" ht="15.6" x14ac:dyDescent="0.3">
      <c r="B191" s="86"/>
      <c r="C191" s="87"/>
      <c r="D191" s="87"/>
      <c r="E191" s="86"/>
      <c r="F191" s="87"/>
      <c r="G191" s="87"/>
      <c r="H191" s="123"/>
    </row>
    <row r="192" spans="2:8" ht="18" x14ac:dyDescent="0.3">
      <c r="B192" s="82" t="s">
        <v>49</v>
      </c>
      <c r="C192" s="89">
        <f>'COMMANDE GD-PUBLIC GSHC'!$J$2</f>
        <v>0.82291666666666663</v>
      </c>
      <c r="D192" s="89"/>
      <c r="E192" s="82" t="s">
        <v>13</v>
      </c>
      <c r="F192" s="83" t="s">
        <v>50</v>
      </c>
      <c r="G192" s="90"/>
      <c r="H192" s="91"/>
    </row>
    <row r="193" spans="2:8" ht="15.6" x14ac:dyDescent="0.3">
      <c r="B193" s="92"/>
      <c r="C193" s="92"/>
      <c r="D193" s="92"/>
      <c r="E193" s="93"/>
      <c r="F193" s="93"/>
      <c r="G193" s="93"/>
      <c r="H193" s="124"/>
    </row>
    <row r="194" spans="2:8" ht="15" thickBot="1" x14ac:dyDescent="0.35"/>
    <row r="195" spans="2:8" ht="23.25" customHeight="1" x14ac:dyDescent="0.3">
      <c r="B195" s="125" t="s">
        <v>51</v>
      </c>
      <c r="C195" s="228" t="s">
        <v>52</v>
      </c>
      <c r="D195" s="230" t="s">
        <v>53</v>
      </c>
      <c r="E195" s="231"/>
      <c r="F195" s="231"/>
      <c r="G195" s="232"/>
      <c r="H195" s="233" t="s">
        <v>54</v>
      </c>
    </row>
    <row r="196" spans="2:8" ht="51" thickBot="1" x14ac:dyDescent="0.35">
      <c r="B196" s="132" t="str">
        <f>'COMMANDE GD-PUBLIC GSHC'!A60</f>
        <v>HOME CORNER</v>
      </c>
      <c r="C196" s="229"/>
      <c r="D196" s="127" t="s">
        <v>55</v>
      </c>
      <c r="E196" s="127" t="s">
        <v>23</v>
      </c>
      <c r="F196" s="127" t="s">
        <v>56</v>
      </c>
      <c r="G196" s="128" t="s">
        <v>57</v>
      </c>
      <c r="H196" s="234"/>
    </row>
    <row r="197" spans="2:8" ht="18" x14ac:dyDescent="0.3">
      <c r="B197" s="99" t="str">
        <f>IF('COMMANDE GD-PUBLIC GSHC'!D60="","",'COMMANDE GD-PUBLIC GSHC'!D60)</f>
        <v/>
      </c>
      <c r="C197" s="100" t="str">
        <f>IF('COMMANDE GD-PUBLIC GSHC'!C60="","",'COMMANDE GD-PUBLIC GSHC'!C60)</f>
        <v/>
      </c>
      <c r="D197" s="101">
        <f>IF('COMMANDE GD-PUBLIC GSHC'!I60="","",'COMMANDE GD-PUBLIC GSHC'!I60)</f>
        <v>0.72916666666666663</v>
      </c>
      <c r="E197" s="101"/>
      <c r="F197" s="102"/>
      <c r="G197" s="102"/>
      <c r="H197" s="186" t="b">
        <v>0</v>
      </c>
    </row>
    <row r="198" spans="2:8" ht="18" x14ac:dyDescent="0.3">
      <c r="B198" s="99" t="str">
        <f>IF('COMMANDE GD-PUBLIC GSHC'!D61="","",'COMMANDE GD-PUBLIC GSHC'!D61)</f>
        <v/>
      </c>
      <c r="C198" s="100" t="str">
        <f>IF('COMMANDE GD-PUBLIC GSHC'!C61="","",'COMMANDE GD-PUBLIC GSHC'!C61)</f>
        <v/>
      </c>
      <c r="D198" s="101">
        <f>IF('COMMANDE GD-PUBLIC GSHC'!I61="","",'COMMANDE GD-PUBLIC GSHC'!I61)</f>
        <v>0.77083333333333337</v>
      </c>
      <c r="E198" s="101"/>
      <c r="F198" s="104"/>
      <c r="G198" s="104"/>
      <c r="H198" s="184" t="b">
        <v>0</v>
      </c>
    </row>
    <row r="199" spans="2:8" ht="18" x14ac:dyDescent="0.3">
      <c r="B199" s="99" t="s">
        <v>84</v>
      </c>
      <c r="C199" s="100" t="str">
        <f>IF('COMMANDE GD-PUBLIC GSHC'!C62="","",'COMMANDE GD-PUBLIC GSHC'!C62)</f>
        <v/>
      </c>
      <c r="D199" s="101">
        <f>IF('COMMANDE GD-PUBLIC GSHC'!I62="","",'COMMANDE GD-PUBLIC GSHC'!I62)</f>
        <v>0.79166666666666663</v>
      </c>
      <c r="E199" s="101"/>
      <c r="F199" s="104"/>
      <c r="G199" s="104"/>
      <c r="H199" s="184" t="b">
        <v>0</v>
      </c>
    </row>
    <row r="200" spans="2:8" ht="18" x14ac:dyDescent="0.3">
      <c r="B200" s="99" t="str">
        <f>IF('COMMANDE GD-PUBLIC GSHC'!D63="","",'COMMANDE GD-PUBLIC GSHC'!D63)</f>
        <v/>
      </c>
      <c r="C200" s="100" t="str">
        <f>IF('COMMANDE GD-PUBLIC GSHC'!C63="","",'COMMANDE GD-PUBLIC GSHC'!C63)</f>
        <v/>
      </c>
      <c r="D200" s="101" t="str">
        <f>IF('COMMANDE GD-PUBLIC GSHC'!I63="","",'COMMANDE GD-PUBLIC GSHC'!I63)</f>
        <v/>
      </c>
      <c r="E200" s="101"/>
      <c r="F200" s="104"/>
      <c r="G200" s="104"/>
      <c r="H200" s="184" t="b">
        <v>0</v>
      </c>
    </row>
    <row r="201" spans="2:8" ht="18" x14ac:dyDescent="0.3">
      <c r="B201" s="99" t="str">
        <f>IF('COMMANDE GD-PUBLIC GSHC'!D64="","",'COMMANDE GD-PUBLIC GSHC'!D64)</f>
        <v/>
      </c>
      <c r="C201" s="100" t="str">
        <f>IF('COMMANDE GD-PUBLIC GSHC'!C64="","",'COMMANDE GD-PUBLIC GSHC'!C64)</f>
        <v/>
      </c>
      <c r="D201" s="101" t="str">
        <f>IF('COMMANDE GD-PUBLIC GSHC'!I64="","",'COMMANDE GD-PUBLIC GSHC'!I64)</f>
        <v/>
      </c>
      <c r="E201" s="101"/>
      <c r="F201" s="104"/>
      <c r="G201" s="104"/>
      <c r="H201" s="184" t="b">
        <v>0</v>
      </c>
    </row>
    <row r="202" spans="2:8" ht="15" thickBot="1" x14ac:dyDescent="0.35">
      <c r="B202" s="106"/>
      <c r="C202" s="107"/>
      <c r="D202" s="108"/>
      <c r="E202" s="108"/>
      <c r="F202" s="108"/>
      <c r="G202" s="108"/>
      <c r="H202" s="185" t="b">
        <v>0</v>
      </c>
    </row>
    <row r="206" spans="2:8" ht="15" x14ac:dyDescent="0.3">
      <c r="B206" s="82" t="str">
        <f>'COMMANDE GD-PUBLIC GSHC'!$A$2</f>
        <v>MATCH GSHC X</v>
      </c>
      <c r="C206" s="83" t="str">
        <f>'COMMANDE GD-PUBLIC GSHC'!$C$2</f>
        <v>SCL TIGERS</v>
      </c>
      <c r="D206" s="83"/>
      <c r="E206" s="82" t="s">
        <v>48</v>
      </c>
      <c r="F206" s="84">
        <f>'COMMANDE GD-PUBLIC GSHC'!$D$2</f>
        <v>45974</v>
      </c>
      <c r="G206" s="85"/>
      <c r="H206" s="85"/>
    </row>
    <row r="207" spans="2:8" ht="15.6" x14ac:dyDescent="0.3">
      <c r="B207" s="86"/>
      <c r="C207" s="87"/>
      <c r="D207" s="87"/>
      <c r="E207" s="86"/>
      <c r="F207" s="87"/>
      <c r="G207" s="87"/>
      <c r="H207" s="123"/>
    </row>
    <row r="208" spans="2:8" ht="18" x14ac:dyDescent="0.3">
      <c r="B208" s="82" t="s">
        <v>49</v>
      </c>
      <c r="C208" s="89">
        <f>'COMMANDE GD-PUBLIC GSHC'!$J$2</f>
        <v>0.82291666666666663</v>
      </c>
      <c r="D208" s="89"/>
      <c r="E208" s="82" t="s">
        <v>13</v>
      </c>
      <c r="F208" s="83" t="s">
        <v>50</v>
      </c>
      <c r="G208" s="90"/>
      <c r="H208" s="91"/>
    </row>
    <row r="209" spans="2:8" ht="15.6" x14ac:dyDescent="0.3">
      <c r="B209" s="92"/>
      <c r="C209" s="92"/>
      <c r="D209" s="92"/>
      <c r="E209" s="93"/>
      <c r="F209" s="93"/>
      <c r="G209" s="93"/>
      <c r="H209" s="124"/>
    </row>
    <row r="210" spans="2:8" ht="15" thickBot="1" x14ac:dyDescent="0.35"/>
    <row r="211" spans="2:8" ht="23.25" customHeight="1" x14ac:dyDescent="0.3">
      <c r="B211" s="125" t="s">
        <v>51</v>
      </c>
      <c r="C211" s="228" t="s">
        <v>52</v>
      </c>
      <c r="D211" s="230" t="s">
        <v>53</v>
      </c>
      <c r="E211" s="231"/>
      <c r="F211" s="231"/>
      <c r="G211" s="232"/>
      <c r="H211" s="233" t="s">
        <v>54</v>
      </c>
    </row>
    <row r="212" spans="2:8" ht="51" thickBot="1" x14ac:dyDescent="0.35">
      <c r="B212" s="133" t="str">
        <f>'COMMANDE GD-PUBLIC GSHC'!A65</f>
        <v>VISITEURS</v>
      </c>
      <c r="C212" s="229"/>
      <c r="D212" s="127" t="s">
        <v>55</v>
      </c>
      <c r="E212" s="127" t="s">
        <v>23</v>
      </c>
      <c r="F212" s="127" t="s">
        <v>56</v>
      </c>
      <c r="G212" s="128" t="s">
        <v>57</v>
      </c>
      <c r="H212" s="234"/>
    </row>
    <row r="213" spans="2:8" ht="18" x14ac:dyDescent="0.3">
      <c r="B213" s="99" t="str">
        <f>IF('COMMANDE GD-PUBLIC GSHC'!D65="","",'COMMANDE GD-PUBLIC GSHC'!D65)</f>
        <v/>
      </c>
      <c r="C213" s="100" t="str">
        <f>IF('COMMANDE GD-PUBLIC GSHC'!C65="","",'COMMANDE GD-PUBLIC GSHC'!C65)</f>
        <v/>
      </c>
      <c r="D213" s="101">
        <f>IF('COMMANDE GD-PUBLIC GSHC'!I65="","",'COMMANDE GD-PUBLIC GSHC'!I65)</f>
        <v>0.75</v>
      </c>
      <c r="E213" s="101"/>
      <c r="F213" s="134"/>
      <c r="G213" s="102"/>
      <c r="H213" s="186" t="b">
        <v>0</v>
      </c>
    </row>
    <row r="214" spans="2:8" ht="18" x14ac:dyDescent="0.3">
      <c r="B214" s="99" t="s">
        <v>85</v>
      </c>
      <c r="C214" s="100" t="str">
        <f>IF('COMMANDE GD-PUBLIC GSHC'!C66="","",'COMMANDE GD-PUBLIC GSHC'!C66)</f>
        <v/>
      </c>
      <c r="D214" s="101">
        <v>0.79166666666666663</v>
      </c>
      <c r="E214" s="101"/>
      <c r="F214" s="135"/>
      <c r="G214" s="104"/>
      <c r="H214" s="184" t="b">
        <v>0</v>
      </c>
    </row>
    <row r="215" spans="2:8" ht="18" x14ac:dyDescent="0.3">
      <c r="B215" s="99" t="str">
        <f>IF('COMMANDE GD-PUBLIC GSHC'!D67="","",'COMMANDE GD-PUBLIC GSHC'!D67)</f>
        <v/>
      </c>
      <c r="C215" s="100" t="str">
        <f>IF('COMMANDE GD-PUBLIC GSHC'!C67="","",'COMMANDE GD-PUBLIC GSHC'!C67)</f>
        <v/>
      </c>
      <c r="D215" s="101" t="str">
        <f>IF('COMMANDE GD-PUBLIC GSHC'!I67="","",'COMMANDE GD-PUBLIC GSHC'!I67)</f>
        <v/>
      </c>
      <c r="E215" s="101"/>
      <c r="F215" s="104"/>
      <c r="G215" s="104"/>
      <c r="H215" s="184" t="b">
        <v>0</v>
      </c>
    </row>
    <row r="216" spans="2:8" ht="18" x14ac:dyDescent="0.3">
      <c r="B216" s="99" t="str">
        <f>IF('COMMANDE GD-PUBLIC GSHC'!D68="","",'COMMANDE GD-PUBLIC GSHC'!D68)</f>
        <v/>
      </c>
      <c r="C216" s="100" t="str">
        <f>IF('COMMANDE GD-PUBLIC GSHC'!C68="","",'COMMANDE GD-PUBLIC GSHC'!C68)</f>
        <v/>
      </c>
      <c r="D216" s="101" t="str">
        <f>IF('COMMANDE GD-PUBLIC GSHC'!I68="","",'COMMANDE GD-PUBLIC GSHC'!I68)</f>
        <v/>
      </c>
      <c r="E216" s="101"/>
      <c r="F216" s="104"/>
      <c r="G216" s="104"/>
      <c r="H216" s="184" t="b">
        <v>0</v>
      </c>
    </row>
    <row r="217" spans="2:8" ht="18" x14ac:dyDescent="0.3">
      <c r="B217" s="99" t="str">
        <f>IF('COMMANDE GD-PUBLIC GSHC'!D69="","",'COMMANDE GD-PUBLIC GSHC'!D69)</f>
        <v/>
      </c>
      <c r="C217" s="100" t="str">
        <f>IF('COMMANDE GD-PUBLIC GSHC'!C69="","",'COMMANDE GD-PUBLIC GSHC'!C69)</f>
        <v/>
      </c>
      <c r="D217" s="101" t="str">
        <f>IF('COMMANDE GD-PUBLIC GSHC'!I69="","",'COMMANDE GD-PUBLIC GSHC'!I69)</f>
        <v/>
      </c>
      <c r="E217" s="101"/>
      <c r="F217" s="104"/>
      <c r="G217" s="104"/>
      <c r="H217" s="184" t="b">
        <v>0</v>
      </c>
    </row>
    <row r="218" spans="2:8" ht="15" thickBot="1" x14ac:dyDescent="0.35">
      <c r="B218" s="106"/>
      <c r="C218" s="107"/>
      <c r="D218" s="108"/>
      <c r="E218" s="108"/>
      <c r="F218" s="108"/>
      <c r="G218" s="108"/>
      <c r="H218" s="185" t="b">
        <v>0</v>
      </c>
    </row>
  </sheetData>
  <mergeCells count="42">
    <mergeCell ref="C7:C8"/>
    <mergeCell ref="D7:G7"/>
    <mergeCell ref="H7:H8"/>
    <mergeCell ref="C24:C25"/>
    <mergeCell ref="D24:G24"/>
    <mergeCell ref="H24:H25"/>
    <mergeCell ref="C41:C42"/>
    <mergeCell ref="D41:G41"/>
    <mergeCell ref="H41:H42"/>
    <mergeCell ref="C58:C59"/>
    <mergeCell ref="D58:G58"/>
    <mergeCell ref="H58:H59"/>
    <mergeCell ref="C73:C74"/>
    <mergeCell ref="D73:G73"/>
    <mergeCell ref="H73:H74"/>
    <mergeCell ref="C89:C90"/>
    <mergeCell ref="D89:G89"/>
    <mergeCell ref="H89:H90"/>
    <mergeCell ref="C104:C105"/>
    <mergeCell ref="D104:G104"/>
    <mergeCell ref="H104:H105"/>
    <mergeCell ref="C119:C120"/>
    <mergeCell ref="D119:G119"/>
    <mergeCell ref="H119:H120"/>
    <mergeCell ref="C134:C135"/>
    <mergeCell ref="D134:G134"/>
    <mergeCell ref="H134:H135"/>
    <mergeCell ref="C148:C149"/>
    <mergeCell ref="D148:G148"/>
    <mergeCell ref="H148:H149"/>
    <mergeCell ref="C165:C166"/>
    <mergeCell ref="D165:G165"/>
    <mergeCell ref="H165:H166"/>
    <mergeCell ref="C181:C182"/>
    <mergeCell ref="D181:G181"/>
    <mergeCell ref="H181:H182"/>
    <mergeCell ref="C195:C196"/>
    <mergeCell ref="D195:G195"/>
    <mergeCell ref="H195:H196"/>
    <mergeCell ref="C211:C212"/>
    <mergeCell ref="D211:G211"/>
    <mergeCell ref="H211:H212"/>
  </mergeCells>
  <pageMargins left="0.7" right="0.7" top="0.75" bottom="0.75" header="0.3" footer="0.3"/>
  <pageSetup paperSize="9" orientation="portrait" verticalDpi="0" r:id="rId1"/>
  <drawing r:id="rId2"/>
  <legacyDrawing r:id="rId3"/>
  <mc:AlternateContent xmlns:mc="http://schemas.openxmlformats.org/markup-compatibility/2006">
    <mc:Choice Requires="x14">
      <oleObjects>
        <mc:AlternateContent xmlns:mc="http://schemas.openxmlformats.org/markup-compatibility/2006">
          <mc:Choice Requires="x14">
            <oleObject shapeId="1026">
              <objectPr defaultSize="0" autoPict="0" r:id="rId4">
                <anchor moveWithCells="1" sizeWithCells="1">
                  <from>
                    <xdr:col>10</xdr:col>
                    <xdr:colOff>22860</xdr:colOff>
                    <xdr:row>3</xdr:row>
                    <xdr:rowOff>0</xdr:rowOff>
                  </from>
                  <to>
                    <xdr:col>20</xdr:col>
                    <xdr:colOff>472440</xdr:colOff>
                    <xdr:row>41</xdr:row>
                    <xdr:rowOff>464820</xdr:rowOff>
                  </to>
                </anchor>
              </objectPr>
            </oleObject>
          </mc:Choice>
        </mc:AlternateContent>
      </oleObject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8448C-F660-4CCC-8D33-FFB6C3C37836}">
  <sheetPr>
    <tabColor rgb="FF00B050"/>
  </sheetPr>
  <dimension ref="A1:AE162"/>
  <sheetViews>
    <sheetView topLeftCell="A113" zoomScale="40" zoomScaleNormal="40" zoomScaleSheetLayoutView="25" workbookViewId="0">
      <selection activeCell="B5" sqref="B5:D136"/>
    </sheetView>
  </sheetViews>
  <sheetFormatPr baseColWidth="10" defaultColWidth="11.44140625" defaultRowHeight="14.4" x14ac:dyDescent="0.3"/>
  <cols>
    <col min="1" max="1" width="29.33203125" style="4" customWidth="1"/>
    <col min="2" max="2" width="11.44140625" style="14" customWidth="1"/>
    <col min="3" max="3" width="45.33203125" style="139" customWidth="1"/>
    <col min="4" max="4" width="67.77734375" style="14" customWidth="1"/>
    <col min="5" max="5" width="33.6640625" style="14" customWidth="1"/>
    <col min="6" max="6" width="35.88671875" style="14" customWidth="1"/>
    <col min="7" max="7" width="24.88671875" style="14" customWidth="1"/>
    <col min="8" max="8" width="25" style="18" customWidth="1"/>
    <col min="9" max="10" width="17.21875" style="14" customWidth="1"/>
    <col min="11" max="11" width="21.21875" style="20" hidden="1" customWidth="1"/>
    <col min="12" max="12" width="15.88671875" style="14" customWidth="1"/>
    <col min="13" max="13" width="19.5546875" style="21" hidden="1" customWidth="1"/>
    <col min="14" max="14" width="21.77734375" style="21" hidden="1" customWidth="1"/>
    <col min="15" max="16" width="19.5546875" style="21" customWidth="1"/>
    <col min="17" max="17" width="21.77734375" style="21" customWidth="1"/>
    <col min="18" max="18" width="11.44140625" customWidth="1"/>
    <col min="19" max="25" width="11.44140625" style="1" hidden="1" customWidth="1"/>
    <col min="26" max="26" width="11.44140625" customWidth="1"/>
    <col min="27" max="27" width="11.6640625" customWidth="1"/>
    <col min="28" max="29" width="11.44140625" customWidth="1"/>
  </cols>
  <sheetData>
    <row r="1" spans="1:31" ht="28.8" x14ac:dyDescent="0.3">
      <c r="I1" s="58" t="s">
        <v>0</v>
      </c>
      <c r="J1" s="59" t="s">
        <v>1</v>
      </c>
      <c r="L1" s="21"/>
      <c r="S1"/>
      <c r="T1"/>
      <c r="U1"/>
      <c r="V1"/>
      <c r="W1"/>
      <c r="X1"/>
      <c r="Y1"/>
      <c r="Z1" s="4"/>
      <c r="AA1" s="4"/>
      <c r="AB1" s="4"/>
      <c r="AC1" s="4"/>
      <c r="AD1" s="4"/>
      <c r="AE1" s="4"/>
    </row>
    <row r="2" spans="1:31" ht="37.200000000000003" thickBot="1" x14ac:dyDescent="0.35">
      <c r="A2" s="60" t="s">
        <v>61</v>
      </c>
      <c r="B2" s="58"/>
      <c r="C2" s="165" t="s">
        <v>62</v>
      </c>
      <c r="D2" s="164">
        <v>45969</v>
      </c>
      <c r="G2" s="17"/>
      <c r="H2" s="61"/>
      <c r="I2" s="39">
        <v>0.79166666666666663</v>
      </c>
      <c r="J2" s="39">
        <v>0.85416666666666663</v>
      </c>
      <c r="L2" s="40"/>
      <c r="M2" s="40"/>
      <c r="N2" s="40"/>
      <c r="O2" s="40"/>
      <c r="P2" s="40"/>
      <c r="Q2" s="40"/>
      <c r="S2" s="211" t="s">
        <v>4</v>
      </c>
      <c r="T2" s="212"/>
      <c r="U2" s="212"/>
      <c r="V2" s="212"/>
      <c r="W2" s="212"/>
      <c r="X2" s="212"/>
      <c r="Y2" s="213"/>
      <c r="Z2" s="4"/>
      <c r="AA2" s="4"/>
      <c r="AB2" s="4"/>
      <c r="AC2" s="4"/>
      <c r="AD2" s="4"/>
      <c r="AE2" s="4"/>
    </row>
    <row r="3" spans="1:31" ht="26.4" thickBot="1" x14ac:dyDescent="0.35">
      <c r="A3" s="208" t="s">
        <v>5</v>
      </c>
      <c r="B3" s="209"/>
      <c r="C3" s="210"/>
      <c r="D3" s="205" t="s">
        <v>6</v>
      </c>
      <c r="E3" s="206"/>
      <c r="F3" s="206"/>
      <c r="G3" s="206"/>
      <c r="H3" s="207"/>
      <c r="I3" s="202" t="s">
        <v>7</v>
      </c>
      <c r="J3" s="203"/>
      <c r="K3" s="203"/>
      <c r="L3" s="203"/>
      <c r="M3" s="203"/>
      <c r="N3" s="203"/>
      <c r="O3" s="203"/>
      <c r="P3" s="203"/>
      <c r="Q3" s="204"/>
      <c r="S3" s="41"/>
      <c r="T3" s="42"/>
      <c r="U3" s="20" t="s">
        <v>8</v>
      </c>
      <c r="V3" s="20" t="s">
        <v>9</v>
      </c>
      <c r="W3" s="20" t="s">
        <v>10</v>
      </c>
      <c r="X3" s="20" t="s">
        <v>11</v>
      </c>
      <c r="Y3" s="43" t="s">
        <v>12</v>
      </c>
      <c r="Z3" s="4"/>
      <c r="AA3" s="4"/>
      <c r="AB3" s="4"/>
      <c r="AC3" s="4"/>
      <c r="AD3" s="4"/>
      <c r="AE3" s="4"/>
    </row>
    <row r="4" spans="1:31" ht="105" customHeight="1" thickBot="1" x14ac:dyDescent="0.35">
      <c r="A4" s="37" t="s">
        <v>13</v>
      </c>
      <c r="B4" s="37" t="s">
        <v>14</v>
      </c>
      <c r="C4" s="163" t="s">
        <v>15</v>
      </c>
      <c r="D4" s="37" t="s">
        <v>16</v>
      </c>
      <c r="E4" s="37" t="s">
        <v>17</v>
      </c>
      <c r="F4" s="37" t="s">
        <v>18</v>
      </c>
      <c r="G4" s="37" t="s">
        <v>19</v>
      </c>
      <c r="H4" s="37" t="s">
        <v>20</v>
      </c>
      <c r="I4" s="38" t="s">
        <v>21</v>
      </c>
      <c r="J4" s="38" t="s">
        <v>22</v>
      </c>
      <c r="K4" s="44" t="s">
        <v>4</v>
      </c>
      <c r="L4" s="38" t="s">
        <v>23</v>
      </c>
      <c r="M4" s="45" t="s">
        <v>24</v>
      </c>
      <c r="N4" s="45" t="s">
        <v>25</v>
      </c>
      <c r="O4" s="67" t="s">
        <v>26</v>
      </c>
      <c r="P4" s="67" t="s">
        <v>27</v>
      </c>
      <c r="Q4" s="68" t="s">
        <v>28</v>
      </c>
      <c r="S4" s="46">
        <v>0.25</v>
      </c>
      <c r="T4" s="46">
        <v>0.95833333333333337</v>
      </c>
      <c r="U4" s="47">
        <v>-0.95833333333333404</v>
      </c>
      <c r="V4" s="47">
        <v>-0.70833333333333404</v>
      </c>
      <c r="W4" s="47">
        <v>6.9444444444366482E-4</v>
      </c>
      <c r="X4" s="47">
        <v>4.0972222222221522E-2</v>
      </c>
      <c r="Y4" s="48">
        <v>8600</v>
      </c>
      <c r="Z4" s="4"/>
      <c r="AA4" s="4"/>
      <c r="AB4" s="4"/>
      <c r="AC4" s="4"/>
      <c r="AD4" s="4"/>
      <c r="AE4" s="4"/>
    </row>
    <row r="5" spans="1:31" ht="31.5" customHeight="1" x14ac:dyDescent="0.3">
      <c r="A5" s="214" t="s">
        <v>63</v>
      </c>
      <c r="B5" s="161"/>
      <c r="C5" s="162"/>
      <c r="D5" s="161"/>
      <c r="E5" s="76"/>
      <c r="F5" s="77"/>
      <c r="G5" s="76"/>
      <c r="H5" s="25"/>
      <c r="I5" s="26">
        <v>0.75</v>
      </c>
      <c r="J5" s="26">
        <v>0.9375</v>
      </c>
      <c r="K5" s="49">
        <f t="shared" ref="K5:K36" si="0">J5+$Y$4</f>
        <v>8600.9375</v>
      </c>
      <c r="L5" s="33">
        <v>0</v>
      </c>
      <c r="M5" s="50">
        <f t="shared" ref="M5:M36" si="1">IF($I5="","",IF($J5&lt;$I5,($J5+86400)-$I5-$L5,$J5-$I5-$L5))</f>
        <v>0.1875</v>
      </c>
      <c r="N5" s="50">
        <f t="shared" ref="N5:N36" si="2">IF(J5="","",IF(AND($U$4&lt;=(J5-$T$4),(J5-$T$4)&lt;=$V$4),(K5-$T$4),"00:00")+IF(AND($W$4&lt;=(J5-$T$4),(J5-$T$4)&lt;=$X$4),(J5-$T$4),"00:00")+IF(($S$4-I5)&lt;0,"00:00",($S$4-I5)))</f>
        <v>0</v>
      </c>
      <c r="O5" s="69" t="str">
        <f t="shared" ref="O5:O36" si="3">IF($C5="","",(HOUR($M5)*60+MINUTE($M5))/60)</f>
        <v/>
      </c>
      <c r="P5" s="69" t="str">
        <f t="shared" ref="P5:P36" si="4">IF(O5="","",O5-Q5)</f>
        <v/>
      </c>
      <c r="Q5" s="70" t="str">
        <f t="shared" ref="Q5:Q36" si="5">IF($C5="","",(HOUR($N5)*60+MINUTE($N5))/60)</f>
        <v/>
      </c>
      <c r="S5"/>
      <c r="T5"/>
      <c r="U5"/>
      <c r="V5"/>
      <c r="W5"/>
      <c r="X5"/>
      <c r="Y5"/>
      <c r="Z5" s="4"/>
      <c r="AA5" s="4"/>
      <c r="AB5" s="4"/>
      <c r="AC5" s="4"/>
      <c r="AD5" s="4"/>
      <c r="AE5" s="4"/>
    </row>
    <row r="6" spans="1:31" ht="31.5" customHeight="1" x14ac:dyDescent="0.3">
      <c r="A6" s="215"/>
      <c r="B6" s="27"/>
      <c r="C6" s="143"/>
      <c r="D6" s="27"/>
      <c r="E6" s="78"/>
      <c r="F6" s="79"/>
      <c r="G6" s="78"/>
      <c r="H6" s="28"/>
      <c r="I6" s="29">
        <v>0.75</v>
      </c>
      <c r="J6" s="29">
        <v>0.89583333333333337</v>
      </c>
      <c r="K6" s="51">
        <f t="shared" si="0"/>
        <v>8600.8958333333339</v>
      </c>
      <c r="L6" s="34">
        <v>0</v>
      </c>
      <c r="M6" s="52">
        <f t="shared" si="1"/>
        <v>0.14583333333333337</v>
      </c>
      <c r="N6" s="52">
        <f t="shared" si="2"/>
        <v>0</v>
      </c>
      <c r="O6" s="71" t="str">
        <f t="shared" si="3"/>
        <v/>
      </c>
      <c r="P6" s="71" t="str">
        <f t="shared" si="4"/>
        <v/>
      </c>
      <c r="Q6" s="72" t="str">
        <f t="shared" si="5"/>
        <v/>
      </c>
      <c r="S6"/>
      <c r="T6"/>
      <c r="U6"/>
      <c r="V6"/>
      <c r="W6"/>
      <c r="X6"/>
      <c r="Y6"/>
      <c r="Z6" s="4"/>
      <c r="AA6" s="4"/>
      <c r="AB6" s="4"/>
      <c r="AC6" s="4"/>
      <c r="AD6" s="4"/>
      <c r="AE6" s="4"/>
    </row>
    <row r="7" spans="1:31" ht="31.5" customHeight="1" x14ac:dyDescent="0.3">
      <c r="A7" s="215"/>
      <c r="B7" s="27"/>
      <c r="C7" s="143"/>
      <c r="D7" s="27"/>
      <c r="E7" s="78"/>
      <c r="F7" s="79"/>
      <c r="G7" s="78"/>
      <c r="H7" s="28"/>
      <c r="I7" s="29">
        <v>0.77083333333333337</v>
      </c>
      <c r="J7" s="29">
        <v>0.89583333333333337</v>
      </c>
      <c r="K7" s="51">
        <f t="shared" si="0"/>
        <v>8600.8958333333339</v>
      </c>
      <c r="L7" s="34">
        <v>0</v>
      </c>
      <c r="M7" s="52">
        <f t="shared" si="1"/>
        <v>0.125</v>
      </c>
      <c r="N7" s="52">
        <f t="shared" si="2"/>
        <v>0</v>
      </c>
      <c r="O7" s="71" t="str">
        <f t="shared" si="3"/>
        <v/>
      </c>
      <c r="P7" s="71" t="str">
        <f t="shared" si="4"/>
        <v/>
      </c>
      <c r="Q7" s="72" t="str">
        <f t="shared" si="5"/>
        <v/>
      </c>
      <c r="S7"/>
      <c r="T7"/>
      <c r="U7"/>
      <c r="V7"/>
      <c r="W7"/>
      <c r="X7"/>
      <c r="Y7"/>
      <c r="Z7" s="4"/>
      <c r="AA7" s="4"/>
      <c r="AB7" s="4"/>
      <c r="AC7" s="4"/>
      <c r="AD7" s="4"/>
      <c r="AE7" s="4"/>
    </row>
    <row r="8" spans="1:31" ht="31.5" customHeight="1" x14ac:dyDescent="0.3">
      <c r="A8" s="215"/>
      <c r="B8" s="27"/>
      <c r="C8" s="143"/>
      <c r="D8" s="27"/>
      <c r="E8" s="78"/>
      <c r="F8" s="79"/>
      <c r="G8" s="78"/>
      <c r="H8" s="28"/>
      <c r="I8" s="29">
        <v>0.77083333333333337</v>
      </c>
      <c r="J8" s="29">
        <v>0.9375</v>
      </c>
      <c r="K8" s="51">
        <f t="shared" si="0"/>
        <v>8600.9375</v>
      </c>
      <c r="L8" s="34">
        <v>0</v>
      </c>
      <c r="M8" s="52">
        <f t="shared" si="1"/>
        <v>0.16666666666666663</v>
      </c>
      <c r="N8" s="52">
        <f t="shared" si="2"/>
        <v>0</v>
      </c>
      <c r="O8" s="71" t="str">
        <f t="shared" si="3"/>
        <v/>
      </c>
      <c r="P8" s="71" t="str">
        <f t="shared" si="4"/>
        <v/>
      </c>
      <c r="Q8" s="72" t="str">
        <f t="shared" si="5"/>
        <v/>
      </c>
      <c r="S8"/>
      <c r="T8"/>
      <c r="U8"/>
      <c r="V8"/>
      <c r="W8"/>
      <c r="X8"/>
      <c r="Y8"/>
      <c r="Z8" s="4"/>
      <c r="AA8" s="4"/>
      <c r="AB8" s="4"/>
      <c r="AC8" s="4"/>
      <c r="AD8" s="4"/>
      <c r="AE8" s="4"/>
    </row>
    <row r="9" spans="1:31" ht="31.5" customHeight="1" x14ac:dyDescent="0.3">
      <c r="A9" s="215"/>
      <c r="B9" s="27"/>
      <c r="C9" s="143"/>
      <c r="D9" s="27"/>
      <c r="E9" s="78"/>
      <c r="F9" s="79"/>
      <c r="G9" s="78"/>
      <c r="H9" s="28"/>
      <c r="I9" s="29">
        <v>0.79166666666666663</v>
      </c>
      <c r="J9" s="29">
        <v>0.91666666666666663</v>
      </c>
      <c r="K9" s="51">
        <f t="shared" si="0"/>
        <v>8600.9166666666661</v>
      </c>
      <c r="L9" s="34">
        <v>0</v>
      </c>
      <c r="M9" s="52">
        <f t="shared" si="1"/>
        <v>0.125</v>
      </c>
      <c r="N9" s="52">
        <f t="shared" si="2"/>
        <v>0</v>
      </c>
      <c r="O9" s="71" t="str">
        <f t="shared" si="3"/>
        <v/>
      </c>
      <c r="P9" s="71" t="str">
        <f t="shared" si="4"/>
        <v/>
      </c>
      <c r="Q9" s="72" t="str">
        <f t="shared" si="5"/>
        <v/>
      </c>
      <c r="S9"/>
      <c r="T9" s="53"/>
      <c r="U9" s="53"/>
      <c r="V9" s="53"/>
      <c r="W9" s="53"/>
      <c r="X9" s="53"/>
      <c r="Y9" s="53"/>
      <c r="Z9" s="5"/>
      <c r="AA9" s="5"/>
      <c r="AB9" s="5"/>
      <c r="AC9" s="5"/>
      <c r="AD9" s="5"/>
      <c r="AE9" s="5"/>
    </row>
    <row r="10" spans="1:31" ht="31.5" customHeight="1" x14ac:dyDescent="0.3">
      <c r="A10" s="215"/>
      <c r="B10" s="27"/>
      <c r="C10" s="143"/>
      <c r="D10" s="27"/>
      <c r="E10" s="78"/>
      <c r="F10" s="79"/>
      <c r="G10" s="78"/>
      <c r="H10" s="28"/>
      <c r="I10" s="29">
        <v>0.79166666666666663</v>
      </c>
      <c r="J10" s="29">
        <v>0.91666666666666663</v>
      </c>
      <c r="K10" s="51">
        <f t="shared" si="0"/>
        <v>8600.9166666666661</v>
      </c>
      <c r="L10" s="34">
        <v>0</v>
      </c>
      <c r="M10" s="52">
        <f t="shared" si="1"/>
        <v>0.125</v>
      </c>
      <c r="N10" s="52">
        <f t="shared" si="2"/>
        <v>0</v>
      </c>
      <c r="O10" s="71" t="str">
        <f t="shared" si="3"/>
        <v/>
      </c>
      <c r="P10" s="71" t="str">
        <f t="shared" si="4"/>
        <v/>
      </c>
      <c r="Q10" s="72" t="str">
        <f t="shared" si="5"/>
        <v/>
      </c>
      <c r="S10"/>
      <c r="T10" s="53"/>
      <c r="U10" s="53"/>
      <c r="V10" s="53"/>
      <c r="W10" s="53"/>
      <c r="X10" s="53"/>
      <c r="Y10" s="53"/>
      <c r="Z10" s="5"/>
      <c r="AA10" s="5"/>
      <c r="AB10" s="5"/>
      <c r="AC10" s="5"/>
      <c r="AD10" s="5"/>
      <c r="AE10" s="5"/>
    </row>
    <row r="11" spans="1:31" ht="31.5" customHeight="1" x14ac:dyDescent="0.3">
      <c r="A11" s="215"/>
      <c r="B11" s="27"/>
      <c r="C11" s="143"/>
      <c r="D11" s="27"/>
      <c r="E11" s="78"/>
      <c r="F11" s="79"/>
      <c r="G11" s="78"/>
      <c r="H11" s="28"/>
      <c r="I11" s="29">
        <v>0.79166666666666663</v>
      </c>
      <c r="J11" s="29">
        <v>0.91666666666666663</v>
      </c>
      <c r="K11" s="51">
        <f t="shared" si="0"/>
        <v>8600.9166666666661</v>
      </c>
      <c r="L11" s="34">
        <v>0</v>
      </c>
      <c r="M11" s="52">
        <f t="shared" si="1"/>
        <v>0.125</v>
      </c>
      <c r="N11" s="52">
        <f t="shared" si="2"/>
        <v>0</v>
      </c>
      <c r="O11" s="71" t="str">
        <f t="shared" si="3"/>
        <v/>
      </c>
      <c r="P11" s="71" t="str">
        <f t="shared" si="4"/>
        <v/>
      </c>
      <c r="Q11" s="72" t="str">
        <f t="shared" si="5"/>
        <v/>
      </c>
      <c r="S11"/>
      <c r="T11" s="53"/>
      <c r="U11" s="53"/>
      <c r="V11" s="53"/>
      <c r="W11" s="53"/>
      <c r="X11" s="53"/>
      <c r="Y11" s="53"/>
      <c r="Z11" s="5"/>
      <c r="AA11" s="5"/>
      <c r="AB11" s="5"/>
      <c r="AC11" s="5"/>
      <c r="AD11" s="5"/>
      <c r="AE11" s="5"/>
    </row>
    <row r="12" spans="1:31" ht="31.2" customHeight="1" x14ac:dyDescent="0.3">
      <c r="A12" s="215"/>
      <c r="B12" s="27"/>
      <c r="C12" s="143"/>
      <c r="D12" s="27"/>
      <c r="E12" s="78"/>
      <c r="F12" s="79"/>
      <c r="G12" s="78"/>
      <c r="H12" s="28"/>
      <c r="I12" s="29">
        <v>0.8125</v>
      </c>
      <c r="J12" s="29">
        <v>0.9375</v>
      </c>
      <c r="K12" s="51">
        <f t="shared" si="0"/>
        <v>8600.9375</v>
      </c>
      <c r="L12" s="34">
        <v>0</v>
      </c>
      <c r="M12" s="52">
        <f t="shared" si="1"/>
        <v>0.125</v>
      </c>
      <c r="N12" s="52">
        <f t="shared" si="2"/>
        <v>0</v>
      </c>
      <c r="O12" s="71" t="str">
        <f t="shared" si="3"/>
        <v/>
      </c>
      <c r="P12" s="71" t="str">
        <f t="shared" si="4"/>
        <v/>
      </c>
      <c r="Q12" s="72" t="str">
        <f t="shared" si="5"/>
        <v/>
      </c>
      <c r="S12"/>
      <c r="T12" s="53"/>
      <c r="U12" s="53"/>
      <c r="V12" s="53"/>
      <c r="W12" s="53"/>
      <c r="X12" s="53"/>
      <c r="Y12" s="53"/>
      <c r="Z12" s="5"/>
      <c r="AA12" s="5"/>
      <c r="AB12" s="5"/>
      <c r="AC12" s="5"/>
      <c r="AD12" s="5"/>
      <c r="AE12" s="5"/>
    </row>
    <row r="13" spans="1:31" ht="31.5" customHeight="1" x14ac:dyDescent="0.3">
      <c r="A13" s="215"/>
      <c r="B13" s="27"/>
      <c r="C13" s="143"/>
      <c r="D13" s="27"/>
      <c r="E13" s="78"/>
      <c r="F13" s="79"/>
      <c r="G13" s="78"/>
      <c r="H13" s="28"/>
      <c r="I13" s="29">
        <v>0.8125</v>
      </c>
      <c r="J13" s="29">
        <v>0.9375</v>
      </c>
      <c r="K13" s="51">
        <f t="shared" si="0"/>
        <v>8600.9375</v>
      </c>
      <c r="L13" s="34">
        <v>0</v>
      </c>
      <c r="M13" s="52">
        <f t="shared" si="1"/>
        <v>0.125</v>
      </c>
      <c r="N13" s="52">
        <f t="shared" si="2"/>
        <v>0</v>
      </c>
      <c r="O13" s="71" t="str">
        <f t="shared" si="3"/>
        <v/>
      </c>
      <c r="P13" s="71" t="str">
        <f t="shared" si="4"/>
        <v/>
      </c>
      <c r="Q13" s="72" t="str">
        <f t="shared" si="5"/>
        <v/>
      </c>
      <c r="S13"/>
      <c r="T13" s="53"/>
      <c r="U13" s="53"/>
      <c r="V13" s="53"/>
      <c r="W13" s="53"/>
      <c r="X13" s="53"/>
      <c r="Y13" s="53"/>
      <c r="Z13" s="5"/>
      <c r="AA13" s="5"/>
      <c r="AB13" s="5"/>
      <c r="AC13" s="5"/>
      <c r="AD13" s="5"/>
      <c r="AE13" s="5"/>
    </row>
    <row r="14" spans="1:31" ht="31.5" customHeight="1" x14ac:dyDescent="0.3">
      <c r="A14" s="215"/>
      <c r="B14" s="27"/>
      <c r="C14" s="143"/>
      <c r="D14" s="27"/>
      <c r="E14" s="78"/>
      <c r="F14" s="79"/>
      <c r="G14" s="78"/>
      <c r="H14" s="28"/>
      <c r="I14" s="29">
        <v>0.75</v>
      </c>
      <c r="J14" s="29">
        <v>0.91666666666666663</v>
      </c>
      <c r="K14" s="51">
        <f t="shared" si="0"/>
        <v>8600.9166666666661</v>
      </c>
      <c r="L14" s="34">
        <v>0</v>
      </c>
      <c r="M14" s="52">
        <f t="shared" si="1"/>
        <v>0.16666666666666663</v>
      </c>
      <c r="N14" s="52">
        <f t="shared" si="2"/>
        <v>0</v>
      </c>
      <c r="O14" s="71" t="str">
        <f t="shared" si="3"/>
        <v/>
      </c>
      <c r="P14" s="71" t="str">
        <f t="shared" si="4"/>
        <v/>
      </c>
      <c r="Q14" s="72" t="str">
        <f t="shared" si="5"/>
        <v/>
      </c>
      <c r="S14"/>
      <c r="T14" s="53"/>
      <c r="U14" s="53"/>
      <c r="V14" s="53"/>
      <c r="W14" s="53"/>
      <c r="X14" s="53"/>
      <c r="Y14" s="53"/>
      <c r="Z14" s="5"/>
      <c r="AA14" s="5"/>
      <c r="AB14" s="5"/>
      <c r="AC14" s="5"/>
      <c r="AD14" s="5"/>
      <c r="AE14" s="5"/>
    </row>
    <row r="15" spans="1:31" ht="31.5" customHeight="1" x14ac:dyDescent="0.3">
      <c r="A15" s="215"/>
      <c r="B15" s="27"/>
      <c r="C15" s="143"/>
      <c r="D15" s="27"/>
      <c r="E15" s="78"/>
      <c r="F15" s="79"/>
      <c r="G15" s="78"/>
      <c r="H15" s="28"/>
      <c r="I15" s="29">
        <v>0.75</v>
      </c>
      <c r="J15" s="29">
        <v>0.91666666666666663</v>
      </c>
      <c r="K15" s="51">
        <f t="shared" si="0"/>
        <v>8600.9166666666661</v>
      </c>
      <c r="L15" s="34">
        <v>0</v>
      </c>
      <c r="M15" s="52">
        <f t="shared" si="1"/>
        <v>0.16666666666666663</v>
      </c>
      <c r="N15" s="52">
        <f t="shared" si="2"/>
        <v>0</v>
      </c>
      <c r="O15" s="71" t="str">
        <f t="shared" si="3"/>
        <v/>
      </c>
      <c r="P15" s="71" t="str">
        <f t="shared" si="4"/>
        <v/>
      </c>
      <c r="Q15" s="72" t="str">
        <f t="shared" si="5"/>
        <v/>
      </c>
      <c r="S15"/>
      <c r="T15" s="53"/>
      <c r="U15" s="53"/>
      <c r="V15" s="53"/>
      <c r="W15" s="53"/>
      <c r="X15" s="53"/>
      <c r="Y15" s="53"/>
      <c r="Z15" s="5"/>
      <c r="AA15" s="5"/>
      <c r="AB15" s="5"/>
      <c r="AC15" s="5"/>
      <c r="AD15" s="5"/>
      <c r="AE15" s="5"/>
    </row>
    <row r="16" spans="1:31" ht="31.5" customHeight="1" x14ac:dyDescent="0.3">
      <c r="A16" s="215"/>
      <c r="B16" s="27"/>
      <c r="C16" s="143"/>
      <c r="D16" s="27"/>
      <c r="E16" s="78"/>
      <c r="F16" s="79"/>
      <c r="G16" s="78"/>
      <c r="H16" s="28"/>
      <c r="I16" s="29">
        <v>0.75</v>
      </c>
      <c r="J16" s="29">
        <v>0.91666666666666663</v>
      </c>
      <c r="K16" s="51">
        <f t="shared" si="0"/>
        <v>8600.9166666666661</v>
      </c>
      <c r="L16" s="34">
        <v>0</v>
      </c>
      <c r="M16" s="52">
        <f t="shared" si="1"/>
        <v>0.16666666666666663</v>
      </c>
      <c r="N16" s="52">
        <f t="shared" si="2"/>
        <v>0</v>
      </c>
      <c r="O16" s="71" t="str">
        <f t="shared" si="3"/>
        <v/>
      </c>
      <c r="P16" s="71" t="str">
        <f t="shared" si="4"/>
        <v/>
      </c>
      <c r="Q16" s="72" t="str">
        <f t="shared" si="5"/>
        <v/>
      </c>
      <c r="S16"/>
      <c r="T16" s="53"/>
      <c r="U16" s="53"/>
      <c r="V16" s="53"/>
      <c r="W16" s="53"/>
      <c r="X16" s="53"/>
      <c r="Y16" s="53"/>
      <c r="Z16" s="5"/>
      <c r="AA16" s="5"/>
      <c r="AB16" s="5"/>
      <c r="AC16" s="5"/>
      <c r="AD16" s="5"/>
      <c r="AE16" s="5"/>
    </row>
    <row r="17" spans="1:31" ht="33" customHeight="1" thickBot="1" x14ac:dyDescent="0.35">
      <c r="A17" s="216"/>
      <c r="B17" s="30"/>
      <c r="C17" s="142"/>
      <c r="D17" s="30"/>
      <c r="E17" s="80"/>
      <c r="F17" s="81"/>
      <c r="G17" s="80"/>
      <c r="H17" s="31"/>
      <c r="I17" s="32"/>
      <c r="J17" s="32"/>
      <c r="K17" s="159">
        <f t="shared" si="0"/>
        <v>8600</v>
      </c>
      <c r="L17" s="158">
        <v>0</v>
      </c>
      <c r="M17" s="157" t="str">
        <f t="shared" si="1"/>
        <v/>
      </c>
      <c r="N17" s="157" t="str">
        <f t="shared" si="2"/>
        <v/>
      </c>
      <c r="O17" s="156" t="str">
        <f t="shared" si="3"/>
        <v/>
      </c>
      <c r="P17" s="156" t="str">
        <f t="shared" si="4"/>
        <v/>
      </c>
      <c r="Q17" s="155" t="str">
        <f t="shared" si="5"/>
        <v/>
      </c>
      <c r="S17"/>
      <c r="T17" s="53"/>
      <c r="U17" s="53"/>
      <c r="V17" s="53"/>
      <c r="W17" s="53"/>
      <c r="X17" s="53"/>
      <c r="Y17" s="53"/>
      <c r="Z17" s="5"/>
      <c r="AA17" s="5"/>
      <c r="AB17" s="5"/>
      <c r="AC17" s="5"/>
      <c r="AD17" s="5"/>
      <c r="AE17" s="5"/>
    </row>
    <row r="18" spans="1:31" ht="31.5" customHeight="1" x14ac:dyDescent="0.3">
      <c r="A18" s="214" t="s">
        <v>64</v>
      </c>
      <c r="B18" s="161"/>
      <c r="C18" s="162"/>
      <c r="D18" s="161"/>
      <c r="E18" s="76"/>
      <c r="F18" s="77"/>
      <c r="G18" s="76"/>
      <c r="H18" s="25"/>
      <c r="I18" s="26">
        <v>0.75</v>
      </c>
      <c r="J18" s="26">
        <v>0.9375</v>
      </c>
      <c r="K18" s="49">
        <f t="shared" si="0"/>
        <v>8600.9375</v>
      </c>
      <c r="L18" s="33">
        <v>0</v>
      </c>
      <c r="M18" s="50">
        <f t="shared" si="1"/>
        <v>0.1875</v>
      </c>
      <c r="N18" s="50">
        <f t="shared" si="2"/>
        <v>0</v>
      </c>
      <c r="O18" s="69" t="str">
        <f t="shared" si="3"/>
        <v/>
      </c>
      <c r="P18" s="69" t="str">
        <f t="shared" si="4"/>
        <v/>
      </c>
      <c r="Q18" s="70" t="str">
        <f t="shared" si="5"/>
        <v/>
      </c>
      <c r="S18"/>
      <c r="T18"/>
      <c r="U18"/>
      <c r="V18"/>
      <c r="W18"/>
      <c r="X18"/>
      <c r="Y18"/>
      <c r="Z18" s="4"/>
      <c r="AA18" s="4"/>
      <c r="AB18" s="4"/>
      <c r="AC18" s="4"/>
      <c r="AD18" s="4"/>
      <c r="AE18" s="4"/>
    </row>
    <row r="19" spans="1:31" ht="31.5" customHeight="1" x14ac:dyDescent="0.3">
      <c r="A19" s="215"/>
      <c r="B19" s="27"/>
      <c r="C19" s="143"/>
      <c r="D19" s="27"/>
      <c r="E19" s="78"/>
      <c r="F19" s="79"/>
      <c r="G19" s="78"/>
      <c r="H19" s="28"/>
      <c r="I19" s="29">
        <v>0.75</v>
      </c>
      <c r="J19" s="29">
        <v>0.89583333333333337</v>
      </c>
      <c r="K19" s="51">
        <f t="shared" si="0"/>
        <v>8600.8958333333339</v>
      </c>
      <c r="L19" s="34">
        <v>0</v>
      </c>
      <c r="M19" s="52">
        <f t="shared" si="1"/>
        <v>0.14583333333333337</v>
      </c>
      <c r="N19" s="52">
        <f t="shared" si="2"/>
        <v>0</v>
      </c>
      <c r="O19" s="71" t="str">
        <f t="shared" si="3"/>
        <v/>
      </c>
      <c r="P19" s="71" t="str">
        <f t="shared" si="4"/>
        <v/>
      </c>
      <c r="Q19" s="72" t="str">
        <f t="shared" si="5"/>
        <v/>
      </c>
      <c r="S19"/>
      <c r="T19"/>
      <c r="U19" s="53"/>
      <c r="V19" s="53"/>
      <c r="W19" s="53"/>
      <c r="X19" s="53"/>
      <c r="Y19" s="53"/>
      <c r="Z19" s="5"/>
      <c r="AA19" s="5"/>
      <c r="AB19" s="5"/>
      <c r="AC19" s="5"/>
      <c r="AD19" s="4"/>
      <c r="AE19" s="4"/>
    </row>
    <row r="20" spans="1:31" ht="31.5" customHeight="1" x14ac:dyDescent="0.3">
      <c r="A20" s="215"/>
      <c r="B20" s="27"/>
      <c r="C20" s="143"/>
      <c r="D20" s="27"/>
      <c r="E20" s="78"/>
      <c r="F20" s="79"/>
      <c r="G20" s="78"/>
      <c r="H20" s="28"/>
      <c r="I20" s="29">
        <v>0.77083333333333337</v>
      </c>
      <c r="J20" s="29">
        <v>0.89583333333333337</v>
      </c>
      <c r="K20" s="51">
        <f t="shared" si="0"/>
        <v>8600.8958333333339</v>
      </c>
      <c r="L20" s="34">
        <v>0</v>
      </c>
      <c r="M20" s="52">
        <f t="shared" si="1"/>
        <v>0.125</v>
      </c>
      <c r="N20" s="52">
        <f t="shared" si="2"/>
        <v>0</v>
      </c>
      <c r="O20" s="71" t="str">
        <f t="shared" si="3"/>
        <v/>
      </c>
      <c r="P20" s="71" t="str">
        <f t="shared" si="4"/>
        <v/>
      </c>
      <c r="Q20" s="72" t="str">
        <f t="shared" si="5"/>
        <v/>
      </c>
      <c r="S20"/>
      <c r="T20"/>
      <c r="U20" s="53"/>
      <c r="V20" s="53"/>
      <c r="W20" s="53"/>
      <c r="X20" s="53"/>
      <c r="Y20" s="53"/>
      <c r="Z20" s="5"/>
      <c r="AA20" s="5"/>
      <c r="AB20" s="5"/>
      <c r="AC20" s="5"/>
      <c r="AD20" s="4"/>
      <c r="AE20" s="4"/>
    </row>
    <row r="21" spans="1:31" ht="31.5" customHeight="1" x14ac:dyDescent="0.3">
      <c r="A21" s="215"/>
      <c r="B21" s="27"/>
      <c r="C21" s="143"/>
      <c r="D21" s="27"/>
      <c r="E21" s="78"/>
      <c r="F21" s="79"/>
      <c r="G21" s="78"/>
      <c r="H21" s="28"/>
      <c r="I21" s="29">
        <v>0.77083333333333337</v>
      </c>
      <c r="J21" s="29">
        <v>0.9375</v>
      </c>
      <c r="K21" s="51">
        <f t="shared" si="0"/>
        <v>8600.9375</v>
      </c>
      <c r="L21" s="34">
        <v>0</v>
      </c>
      <c r="M21" s="52">
        <f t="shared" si="1"/>
        <v>0.16666666666666663</v>
      </c>
      <c r="N21" s="52">
        <f t="shared" si="2"/>
        <v>0</v>
      </c>
      <c r="O21" s="71" t="str">
        <f t="shared" si="3"/>
        <v/>
      </c>
      <c r="P21" s="71" t="str">
        <f t="shared" si="4"/>
        <v/>
      </c>
      <c r="Q21" s="72" t="str">
        <f t="shared" si="5"/>
        <v/>
      </c>
      <c r="S21"/>
      <c r="T21"/>
      <c r="U21"/>
      <c r="V21"/>
      <c r="W21"/>
      <c r="X21"/>
      <c r="Y21"/>
      <c r="Z21" s="4"/>
      <c r="AA21" s="4"/>
      <c r="AB21" s="4"/>
      <c r="AC21" s="4"/>
      <c r="AD21" s="4"/>
      <c r="AE21" s="4"/>
    </row>
    <row r="22" spans="1:31" ht="31.5" customHeight="1" x14ac:dyDescent="0.3">
      <c r="A22" s="215"/>
      <c r="B22" s="27"/>
      <c r="C22" s="143"/>
      <c r="D22" s="27"/>
      <c r="E22" s="78"/>
      <c r="F22" s="79"/>
      <c r="G22" s="78"/>
      <c r="H22" s="28"/>
      <c r="I22" s="29">
        <v>0.79166666666666663</v>
      </c>
      <c r="J22" s="29">
        <v>0.91666666666666663</v>
      </c>
      <c r="K22" s="51">
        <f t="shared" si="0"/>
        <v>8600.9166666666661</v>
      </c>
      <c r="L22" s="34">
        <v>0</v>
      </c>
      <c r="M22" s="52">
        <f t="shared" si="1"/>
        <v>0.125</v>
      </c>
      <c r="N22" s="52">
        <f t="shared" si="2"/>
        <v>0</v>
      </c>
      <c r="O22" s="71" t="str">
        <f t="shared" si="3"/>
        <v/>
      </c>
      <c r="P22" s="71" t="str">
        <f t="shared" si="4"/>
        <v/>
      </c>
      <c r="Q22" s="72" t="str">
        <f t="shared" si="5"/>
        <v/>
      </c>
      <c r="S22"/>
      <c r="T22"/>
      <c r="U22"/>
      <c r="V22"/>
      <c r="W22"/>
      <c r="X22"/>
      <c r="Y22"/>
      <c r="Z22" s="4"/>
      <c r="AA22" s="4"/>
      <c r="AB22" s="4"/>
      <c r="AC22" s="4"/>
      <c r="AD22" s="4"/>
      <c r="AE22" s="4"/>
    </row>
    <row r="23" spans="1:31" ht="31.5" customHeight="1" x14ac:dyDescent="0.3">
      <c r="A23" s="215"/>
      <c r="B23" s="27"/>
      <c r="C23" s="143"/>
      <c r="D23" s="27"/>
      <c r="E23" s="78"/>
      <c r="F23" s="79"/>
      <c r="G23" s="78"/>
      <c r="H23" s="28"/>
      <c r="I23" s="29">
        <v>0.79166666666666663</v>
      </c>
      <c r="J23" s="29">
        <v>0.91666666666666663</v>
      </c>
      <c r="K23" s="51">
        <f t="shared" si="0"/>
        <v>8600.9166666666661</v>
      </c>
      <c r="L23" s="34">
        <v>0</v>
      </c>
      <c r="M23" s="52">
        <f t="shared" si="1"/>
        <v>0.125</v>
      </c>
      <c r="N23" s="52">
        <f t="shared" si="2"/>
        <v>0</v>
      </c>
      <c r="O23" s="71" t="str">
        <f t="shared" si="3"/>
        <v/>
      </c>
      <c r="P23" s="71" t="str">
        <f t="shared" si="4"/>
        <v/>
      </c>
      <c r="Q23" s="72" t="str">
        <f t="shared" si="5"/>
        <v/>
      </c>
      <c r="S23"/>
      <c r="T23"/>
      <c r="U23"/>
      <c r="V23"/>
      <c r="W23"/>
      <c r="X23"/>
      <c r="Y23"/>
      <c r="Z23" s="4"/>
      <c r="AA23" s="4"/>
      <c r="AB23" s="4"/>
      <c r="AC23" s="4"/>
      <c r="AD23" s="4"/>
      <c r="AE23" s="4"/>
    </row>
    <row r="24" spans="1:31" ht="31.5" customHeight="1" x14ac:dyDescent="0.3">
      <c r="A24" s="215"/>
      <c r="B24" s="27"/>
      <c r="C24" s="143"/>
      <c r="D24" s="27"/>
      <c r="E24" s="78"/>
      <c r="F24" s="79"/>
      <c r="G24" s="78"/>
      <c r="H24" s="28"/>
      <c r="I24" s="29">
        <v>0.79166666666666663</v>
      </c>
      <c r="J24" s="29">
        <v>0.91666666666666663</v>
      </c>
      <c r="K24" s="51">
        <f t="shared" si="0"/>
        <v>8600.9166666666661</v>
      </c>
      <c r="L24" s="34">
        <v>0</v>
      </c>
      <c r="M24" s="52">
        <f t="shared" si="1"/>
        <v>0.125</v>
      </c>
      <c r="N24" s="52">
        <f t="shared" si="2"/>
        <v>0</v>
      </c>
      <c r="O24" s="71" t="str">
        <f t="shared" si="3"/>
        <v/>
      </c>
      <c r="P24" s="71" t="str">
        <f t="shared" si="4"/>
        <v/>
      </c>
      <c r="Q24" s="72" t="str">
        <f t="shared" si="5"/>
        <v/>
      </c>
      <c r="S24"/>
      <c r="T24"/>
      <c r="U24"/>
      <c r="V24"/>
      <c r="W24"/>
      <c r="X24"/>
      <c r="Y24"/>
      <c r="Z24" s="4"/>
      <c r="AA24" s="4"/>
      <c r="AB24" s="4"/>
      <c r="AC24" s="4"/>
      <c r="AD24" s="4"/>
      <c r="AE24" s="4"/>
    </row>
    <row r="25" spans="1:31" ht="31.5" customHeight="1" x14ac:dyDescent="0.3">
      <c r="A25" s="215"/>
      <c r="B25" s="27"/>
      <c r="C25" s="143"/>
      <c r="D25" s="27"/>
      <c r="E25" s="78"/>
      <c r="F25" s="79"/>
      <c r="G25" s="78"/>
      <c r="H25" s="28"/>
      <c r="I25" s="29">
        <v>0.8125</v>
      </c>
      <c r="J25" s="29">
        <v>0.9375</v>
      </c>
      <c r="K25" s="51">
        <f t="shared" si="0"/>
        <v>8600.9375</v>
      </c>
      <c r="L25" s="34">
        <v>0</v>
      </c>
      <c r="M25" s="52">
        <f t="shared" si="1"/>
        <v>0.125</v>
      </c>
      <c r="N25" s="52">
        <f t="shared" si="2"/>
        <v>0</v>
      </c>
      <c r="O25" s="71" t="str">
        <f t="shared" si="3"/>
        <v/>
      </c>
      <c r="P25" s="71" t="str">
        <f t="shared" si="4"/>
        <v/>
      </c>
      <c r="Q25" s="72" t="str">
        <f t="shared" si="5"/>
        <v/>
      </c>
      <c r="S25"/>
      <c r="T25"/>
      <c r="U25"/>
      <c r="V25"/>
      <c r="W25"/>
      <c r="X25"/>
      <c r="Y25"/>
      <c r="Z25" s="4"/>
      <c r="AA25" s="4"/>
      <c r="AB25" s="4"/>
      <c r="AC25" s="4"/>
      <c r="AD25" s="4"/>
      <c r="AE25" s="4"/>
    </row>
    <row r="26" spans="1:31" ht="31.5" customHeight="1" x14ac:dyDescent="0.3">
      <c r="A26" s="215"/>
      <c r="B26" s="27"/>
      <c r="C26" s="143"/>
      <c r="D26" s="27"/>
      <c r="E26" s="78"/>
      <c r="F26" s="79"/>
      <c r="G26" s="78"/>
      <c r="H26" s="28"/>
      <c r="I26" s="29">
        <v>0.8125</v>
      </c>
      <c r="J26" s="29">
        <v>0.9375</v>
      </c>
      <c r="K26" s="51">
        <f t="shared" si="0"/>
        <v>8600.9375</v>
      </c>
      <c r="L26" s="34">
        <v>0</v>
      </c>
      <c r="M26" s="52">
        <f t="shared" si="1"/>
        <v>0.125</v>
      </c>
      <c r="N26" s="52">
        <f t="shared" si="2"/>
        <v>0</v>
      </c>
      <c r="O26" s="71" t="str">
        <f t="shared" si="3"/>
        <v/>
      </c>
      <c r="P26" s="71" t="str">
        <f t="shared" si="4"/>
        <v/>
      </c>
      <c r="Q26" s="72" t="str">
        <f t="shared" si="5"/>
        <v/>
      </c>
      <c r="S26"/>
      <c r="T26"/>
      <c r="U26"/>
      <c r="V26"/>
      <c r="W26"/>
      <c r="X26"/>
      <c r="Y26"/>
      <c r="Z26" s="4"/>
      <c r="AA26" s="4"/>
      <c r="AB26" s="4"/>
      <c r="AC26" s="4"/>
      <c r="AD26" s="4"/>
      <c r="AE26" s="4"/>
    </row>
    <row r="27" spans="1:31" ht="31.5" customHeight="1" x14ac:dyDescent="0.3">
      <c r="A27" s="215"/>
      <c r="B27" s="27"/>
      <c r="C27" s="143"/>
      <c r="D27" s="27"/>
      <c r="E27" s="78"/>
      <c r="F27" s="79"/>
      <c r="G27" s="78"/>
      <c r="H27" s="28"/>
      <c r="I27" s="29">
        <v>0.75</v>
      </c>
      <c r="J27" s="29">
        <v>0.91666666666666663</v>
      </c>
      <c r="K27" s="51">
        <f t="shared" si="0"/>
        <v>8600.9166666666661</v>
      </c>
      <c r="L27" s="34">
        <v>0</v>
      </c>
      <c r="M27" s="52">
        <f t="shared" si="1"/>
        <v>0.16666666666666663</v>
      </c>
      <c r="N27" s="52">
        <f t="shared" si="2"/>
        <v>0</v>
      </c>
      <c r="O27" s="71" t="str">
        <f t="shared" si="3"/>
        <v/>
      </c>
      <c r="P27" s="71" t="str">
        <f t="shared" si="4"/>
        <v/>
      </c>
      <c r="Q27" s="72" t="str">
        <f t="shared" si="5"/>
        <v/>
      </c>
      <c r="S27"/>
      <c r="T27"/>
      <c r="U27"/>
      <c r="V27"/>
      <c r="W27"/>
      <c r="X27"/>
      <c r="Y27"/>
      <c r="Z27" s="4"/>
      <c r="AA27" s="4"/>
      <c r="AB27" s="4"/>
      <c r="AC27" s="4"/>
      <c r="AD27" s="4"/>
      <c r="AE27" s="4"/>
    </row>
    <row r="28" spans="1:31" ht="31.5" customHeight="1" x14ac:dyDescent="0.3">
      <c r="A28" s="215"/>
      <c r="B28" s="27"/>
      <c r="C28" s="143"/>
      <c r="D28" s="27"/>
      <c r="E28" s="78"/>
      <c r="F28" s="79"/>
      <c r="G28" s="78"/>
      <c r="H28" s="28"/>
      <c r="I28" s="29">
        <v>0.75</v>
      </c>
      <c r="J28" s="29">
        <v>0.91666666666666663</v>
      </c>
      <c r="K28" s="51">
        <f t="shared" si="0"/>
        <v>8600.9166666666661</v>
      </c>
      <c r="L28" s="34">
        <v>0</v>
      </c>
      <c r="M28" s="52">
        <f t="shared" si="1"/>
        <v>0.16666666666666663</v>
      </c>
      <c r="N28" s="52">
        <f t="shared" si="2"/>
        <v>0</v>
      </c>
      <c r="O28" s="71" t="str">
        <f t="shared" si="3"/>
        <v/>
      </c>
      <c r="P28" s="71" t="str">
        <f t="shared" si="4"/>
        <v/>
      </c>
      <c r="Q28" s="72" t="str">
        <f t="shared" si="5"/>
        <v/>
      </c>
      <c r="S28"/>
      <c r="T28"/>
      <c r="U28"/>
      <c r="V28"/>
      <c r="W28"/>
      <c r="X28"/>
      <c r="Y28"/>
      <c r="Z28" s="4"/>
      <c r="AA28" s="4"/>
      <c r="AB28" s="4"/>
      <c r="AC28" s="4"/>
      <c r="AD28" s="4"/>
      <c r="AE28" s="4"/>
    </row>
    <row r="29" spans="1:31" ht="31.5" customHeight="1" x14ac:dyDescent="0.3">
      <c r="A29" s="215"/>
      <c r="B29" s="27"/>
      <c r="C29" s="143"/>
      <c r="D29" s="27"/>
      <c r="E29" s="78"/>
      <c r="F29" s="79"/>
      <c r="G29" s="78"/>
      <c r="H29" s="28"/>
      <c r="I29" s="29">
        <v>0.75</v>
      </c>
      <c r="J29" s="29">
        <v>0.91666666666666663</v>
      </c>
      <c r="K29" s="51">
        <f t="shared" si="0"/>
        <v>8600.9166666666661</v>
      </c>
      <c r="L29" s="34">
        <v>0</v>
      </c>
      <c r="M29" s="52">
        <f t="shared" si="1"/>
        <v>0.16666666666666663</v>
      </c>
      <c r="N29" s="52">
        <f t="shared" si="2"/>
        <v>0</v>
      </c>
      <c r="O29" s="71" t="str">
        <f t="shared" si="3"/>
        <v/>
      </c>
      <c r="P29" s="71" t="str">
        <f t="shared" si="4"/>
        <v/>
      </c>
      <c r="Q29" s="72" t="str">
        <f t="shared" si="5"/>
        <v/>
      </c>
      <c r="S29"/>
      <c r="T29"/>
      <c r="U29" s="53"/>
      <c r="V29" s="53"/>
      <c r="W29" s="53"/>
      <c r="X29" s="53"/>
      <c r="Y29" s="53"/>
      <c r="Z29" s="5"/>
      <c r="AA29" s="5"/>
      <c r="AB29" s="5"/>
      <c r="AC29" s="5"/>
      <c r="AD29" s="4"/>
      <c r="AE29" s="4"/>
    </row>
    <row r="30" spans="1:31" ht="31.5" customHeight="1" thickBot="1" x14ac:dyDescent="0.35">
      <c r="A30" s="216"/>
      <c r="B30" s="30"/>
      <c r="C30" s="142"/>
      <c r="D30" s="30"/>
      <c r="E30" s="80"/>
      <c r="F30" s="81"/>
      <c r="G30" s="80"/>
      <c r="H30" s="31"/>
      <c r="I30" s="32"/>
      <c r="J30" s="32"/>
      <c r="K30" s="159">
        <f t="shared" si="0"/>
        <v>8600</v>
      </c>
      <c r="L30" s="158">
        <v>0</v>
      </c>
      <c r="M30" s="157" t="str">
        <f t="shared" si="1"/>
        <v/>
      </c>
      <c r="N30" s="157" t="str">
        <f t="shared" si="2"/>
        <v/>
      </c>
      <c r="O30" s="156" t="str">
        <f t="shared" si="3"/>
        <v/>
      </c>
      <c r="P30" s="156" t="str">
        <f t="shared" si="4"/>
        <v/>
      </c>
      <c r="Q30" s="155" t="str">
        <f t="shared" si="5"/>
        <v/>
      </c>
      <c r="S30"/>
      <c r="T30"/>
      <c r="U30" s="53"/>
      <c r="V30" s="53"/>
      <c r="W30" s="53"/>
      <c r="X30" s="53"/>
      <c r="Y30" s="53"/>
      <c r="Z30" s="5"/>
      <c r="AA30" s="5"/>
      <c r="AB30" s="5"/>
      <c r="AC30" s="5"/>
      <c r="AD30" s="4"/>
      <c r="AE30" s="4"/>
    </row>
    <row r="31" spans="1:31" ht="31.5" customHeight="1" x14ac:dyDescent="0.3">
      <c r="A31" s="214" t="s">
        <v>65</v>
      </c>
      <c r="B31" s="161"/>
      <c r="C31" s="162"/>
      <c r="D31" s="161"/>
      <c r="E31" s="76"/>
      <c r="F31" s="77"/>
      <c r="G31" s="76"/>
      <c r="H31" s="25"/>
      <c r="I31" s="26">
        <v>0.75</v>
      </c>
      <c r="J31" s="26">
        <v>0.9375</v>
      </c>
      <c r="K31" s="49">
        <f t="shared" si="0"/>
        <v>8600.9375</v>
      </c>
      <c r="L31" s="33">
        <v>0</v>
      </c>
      <c r="M31" s="50">
        <f t="shared" si="1"/>
        <v>0.1875</v>
      </c>
      <c r="N31" s="50">
        <f t="shared" si="2"/>
        <v>0</v>
      </c>
      <c r="O31" s="69" t="str">
        <f t="shared" si="3"/>
        <v/>
      </c>
      <c r="P31" s="69" t="str">
        <f t="shared" si="4"/>
        <v/>
      </c>
      <c r="Q31" s="70" t="str">
        <f t="shared" si="5"/>
        <v/>
      </c>
      <c r="S31"/>
      <c r="T31"/>
      <c r="U31"/>
      <c r="V31"/>
      <c r="W31"/>
      <c r="X31"/>
      <c r="Y31"/>
      <c r="Z31" s="4"/>
      <c r="AA31" s="4"/>
      <c r="AB31" s="4"/>
      <c r="AC31" s="4"/>
      <c r="AD31" s="4"/>
      <c r="AE31" s="4"/>
    </row>
    <row r="32" spans="1:31" ht="31.5" customHeight="1" x14ac:dyDescent="0.3">
      <c r="A32" s="215"/>
      <c r="B32" s="27"/>
      <c r="C32" s="143"/>
      <c r="D32" s="27"/>
      <c r="E32" s="78"/>
      <c r="F32" s="79"/>
      <c r="G32" s="78"/>
      <c r="H32" s="28"/>
      <c r="I32" s="29">
        <v>0.75</v>
      </c>
      <c r="J32" s="29">
        <v>0.89583333333333337</v>
      </c>
      <c r="K32" s="51">
        <f t="shared" si="0"/>
        <v>8600.8958333333339</v>
      </c>
      <c r="L32" s="34">
        <v>0</v>
      </c>
      <c r="M32" s="52">
        <f t="shared" si="1"/>
        <v>0.14583333333333337</v>
      </c>
      <c r="N32" s="52">
        <f t="shared" si="2"/>
        <v>0</v>
      </c>
      <c r="O32" s="71" t="str">
        <f t="shared" si="3"/>
        <v/>
      </c>
      <c r="P32" s="71" t="str">
        <f t="shared" si="4"/>
        <v/>
      </c>
      <c r="Q32" s="72" t="str">
        <f t="shared" si="5"/>
        <v/>
      </c>
      <c r="S32"/>
      <c r="T32"/>
      <c r="U32" s="53"/>
      <c r="V32" s="53"/>
      <c r="W32" s="53"/>
      <c r="X32" s="53"/>
      <c r="Y32" s="53"/>
      <c r="Z32" s="5"/>
      <c r="AA32" s="5"/>
      <c r="AB32" s="5"/>
      <c r="AC32" s="5"/>
      <c r="AD32" s="4"/>
      <c r="AE32" s="4"/>
    </row>
    <row r="33" spans="1:31" ht="31.5" customHeight="1" x14ac:dyDescent="0.3">
      <c r="A33" s="215"/>
      <c r="B33" s="27"/>
      <c r="C33" s="143"/>
      <c r="D33" s="27"/>
      <c r="E33" s="78"/>
      <c r="F33" s="79"/>
      <c r="G33" s="78"/>
      <c r="H33" s="28"/>
      <c r="I33" s="29">
        <v>0.77083333333333337</v>
      </c>
      <c r="J33" s="29">
        <v>0.89583333333333337</v>
      </c>
      <c r="K33" s="51">
        <f t="shared" si="0"/>
        <v>8600.8958333333339</v>
      </c>
      <c r="L33" s="34">
        <v>0</v>
      </c>
      <c r="M33" s="52">
        <f t="shared" si="1"/>
        <v>0.125</v>
      </c>
      <c r="N33" s="52">
        <f t="shared" si="2"/>
        <v>0</v>
      </c>
      <c r="O33" s="71" t="str">
        <f t="shared" si="3"/>
        <v/>
      </c>
      <c r="P33" s="71" t="str">
        <f t="shared" si="4"/>
        <v/>
      </c>
      <c r="Q33" s="72" t="str">
        <f t="shared" si="5"/>
        <v/>
      </c>
      <c r="S33"/>
      <c r="T33"/>
      <c r="U33" s="53"/>
      <c r="V33" s="53"/>
      <c r="W33" s="53"/>
      <c r="X33" s="53"/>
      <c r="Y33" s="53"/>
      <c r="Z33" s="5"/>
      <c r="AA33" s="5"/>
      <c r="AB33" s="5"/>
      <c r="AC33" s="5"/>
      <c r="AD33" s="4"/>
      <c r="AE33" s="4"/>
    </row>
    <row r="34" spans="1:31" ht="31.5" customHeight="1" x14ac:dyDescent="0.3">
      <c r="A34" s="215"/>
      <c r="B34" s="27"/>
      <c r="C34" s="143"/>
      <c r="D34" s="27"/>
      <c r="E34" s="78"/>
      <c r="F34" s="79"/>
      <c r="G34" s="78"/>
      <c r="H34" s="28"/>
      <c r="I34" s="29">
        <v>0.77083333333333337</v>
      </c>
      <c r="J34" s="29">
        <v>0.89583333333333337</v>
      </c>
      <c r="K34" s="51">
        <f t="shared" si="0"/>
        <v>8600.8958333333339</v>
      </c>
      <c r="L34" s="34">
        <v>0</v>
      </c>
      <c r="M34" s="52">
        <f t="shared" si="1"/>
        <v>0.125</v>
      </c>
      <c r="N34" s="52">
        <f t="shared" si="2"/>
        <v>0</v>
      </c>
      <c r="O34" s="71" t="str">
        <f t="shared" si="3"/>
        <v/>
      </c>
      <c r="P34" s="71" t="str">
        <f t="shared" si="4"/>
        <v/>
      </c>
      <c r="Q34" s="72" t="str">
        <f t="shared" si="5"/>
        <v/>
      </c>
      <c r="S34"/>
      <c r="T34"/>
      <c r="U34"/>
      <c r="V34"/>
      <c r="W34"/>
      <c r="X34"/>
      <c r="Y34"/>
      <c r="Z34" s="4"/>
      <c r="AA34" s="4"/>
      <c r="AB34" s="4"/>
      <c r="AC34" s="4"/>
      <c r="AD34" s="4"/>
      <c r="AE34" s="4"/>
    </row>
    <row r="35" spans="1:31" ht="31.5" customHeight="1" x14ac:dyDescent="0.3">
      <c r="A35" s="215"/>
      <c r="B35" s="27"/>
      <c r="C35" s="143"/>
      <c r="D35" s="27"/>
      <c r="E35" s="78"/>
      <c r="F35" s="79"/>
      <c r="G35" s="78"/>
      <c r="H35" s="28"/>
      <c r="I35" s="29">
        <v>0.8125</v>
      </c>
      <c r="J35" s="29">
        <v>0.9375</v>
      </c>
      <c r="K35" s="51">
        <f t="shared" si="0"/>
        <v>8600.9375</v>
      </c>
      <c r="L35" s="34">
        <v>0</v>
      </c>
      <c r="M35" s="52">
        <f t="shared" si="1"/>
        <v>0.125</v>
      </c>
      <c r="N35" s="52">
        <f t="shared" si="2"/>
        <v>0</v>
      </c>
      <c r="O35" s="71" t="str">
        <f t="shared" si="3"/>
        <v/>
      </c>
      <c r="P35" s="71" t="str">
        <f t="shared" si="4"/>
        <v/>
      </c>
      <c r="Q35" s="72" t="str">
        <f t="shared" si="5"/>
        <v/>
      </c>
      <c r="S35"/>
      <c r="T35"/>
      <c r="U35"/>
      <c r="V35"/>
      <c r="W35"/>
      <c r="X35"/>
      <c r="Y35"/>
      <c r="Z35" s="4"/>
      <c r="AA35" s="4"/>
      <c r="AB35" s="4"/>
      <c r="AC35" s="4"/>
      <c r="AD35" s="4"/>
      <c r="AE35" s="4"/>
    </row>
    <row r="36" spans="1:31" ht="31.5" customHeight="1" x14ac:dyDescent="0.3">
      <c r="A36" s="215"/>
      <c r="B36" s="27"/>
      <c r="C36" s="143"/>
      <c r="D36" s="27"/>
      <c r="E36" s="78"/>
      <c r="F36" s="79"/>
      <c r="G36" s="78"/>
      <c r="H36" s="28"/>
      <c r="I36" s="29">
        <v>0.8125</v>
      </c>
      <c r="J36" s="29">
        <v>0.9375</v>
      </c>
      <c r="K36" s="51">
        <f t="shared" si="0"/>
        <v>8600.9375</v>
      </c>
      <c r="L36" s="34">
        <v>0</v>
      </c>
      <c r="M36" s="52">
        <f t="shared" si="1"/>
        <v>0.125</v>
      </c>
      <c r="N36" s="52">
        <f t="shared" si="2"/>
        <v>0</v>
      </c>
      <c r="O36" s="71" t="str">
        <f t="shared" si="3"/>
        <v/>
      </c>
      <c r="P36" s="71" t="str">
        <f t="shared" si="4"/>
        <v/>
      </c>
      <c r="Q36" s="72" t="str">
        <f t="shared" si="5"/>
        <v/>
      </c>
      <c r="S36"/>
      <c r="T36"/>
      <c r="U36"/>
      <c r="V36"/>
      <c r="W36"/>
      <c r="X36"/>
      <c r="Y36"/>
      <c r="Z36" s="4"/>
      <c r="AA36" s="4"/>
      <c r="AB36" s="4"/>
      <c r="AC36" s="4"/>
      <c r="AD36" s="4"/>
      <c r="AE36" s="4"/>
    </row>
    <row r="37" spans="1:31" ht="31.5" customHeight="1" x14ac:dyDescent="0.3">
      <c r="A37" s="215"/>
      <c r="B37" s="27"/>
      <c r="C37" s="143"/>
      <c r="D37" s="27"/>
      <c r="E37" s="78"/>
      <c r="F37" s="79"/>
      <c r="G37" s="78"/>
      <c r="H37" s="28"/>
      <c r="I37" s="29">
        <v>0.8125</v>
      </c>
      <c r="J37" s="29">
        <v>0.9375</v>
      </c>
      <c r="K37" s="51">
        <f t="shared" ref="K37:K68" si="6">J37+$Y$4</f>
        <v>8600.9375</v>
      </c>
      <c r="L37" s="34">
        <v>0</v>
      </c>
      <c r="M37" s="52">
        <f t="shared" ref="M37:M68" si="7">IF($I37="","",IF($J37&lt;$I37,($J37+86400)-$I37-$L37,$J37-$I37-$L37))</f>
        <v>0.125</v>
      </c>
      <c r="N37" s="52">
        <f t="shared" ref="N37:N68" si="8">IF(J37="","",IF(AND($U$4&lt;=(J37-$T$4),(J37-$T$4)&lt;=$V$4),(K37-$T$4),"00:00")+IF(AND($W$4&lt;=(J37-$T$4),(J37-$T$4)&lt;=$X$4),(J37-$T$4),"00:00")+IF(($S$4-I37)&lt;0,"00:00",($S$4-I37)))</f>
        <v>0</v>
      </c>
      <c r="O37" s="71" t="str">
        <f t="shared" ref="O37:O68" si="9">IF($C37="","",(HOUR($M37)*60+MINUTE($M37))/60)</f>
        <v/>
      </c>
      <c r="P37" s="71" t="str">
        <f t="shared" ref="P37:P68" si="10">IF(O37="","",O37-Q37)</f>
        <v/>
      </c>
      <c r="Q37" s="72" t="str">
        <f t="shared" ref="Q37:Q68" si="11">IF($C37="","",(HOUR($N37)*60+MINUTE($N37))/60)</f>
        <v/>
      </c>
      <c r="S37"/>
      <c r="T37"/>
      <c r="U37"/>
      <c r="V37"/>
      <c r="W37"/>
      <c r="X37"/>
      <c r="Y37"/>
      <c r="Z37" s="4"/>
      <c r="AA37" s="4"/>
      <c r="AB37" s="4"/>
      <c r="AC37" s="4"/>
      <c r="AD37" s="4"/>
      <c r="AE37" s="4"/>
    </row>
    <row r="38" spans="1:31" ht="31.5" customHeight="1" x14ac:dyDescent="0.3">
      <c r="A38" s="215"/>
      <c r="B38" s="27"/>
      <c r="C38" s="143"/>
      <c r="D38" s="27"/>
      <c r="E38" s="78"/>
      <c r="F38" s="79"/>
      <c r="G38" s="78"/>
      <c r="H38" s="28"/>
      <c r="I38" s="29"/>
      <c r="J38" s="29"/>
      <c r="K38" s="51">
        <f t="shared" si="6"/>
        <v>8600</v>
      </c>
      <c r="L38" s="34">
        <v>0</v>
      </c>
      <c r="M38" s="52" t="str">
        <f t="shared" si="7"/>
        <v/>
      </c>
      <c r="N38" s="52" t="str">
        <f t="shared" si="8"/>
        <v/>
      </c>
      <c r="O38" s="71" t="str">
        <f t="shared" si="9"/>
        <v/>
      </c>
      <c r="P38" s="71" t="str">
        <f t="shared" si="10"/>
        <v/>
      </c>
      <c r="Q38" s="72" t="str">
        <f t="shared" si="11"/>
        <v/>
      </c>
      <c r="S38"/>
      <c r="T38"/>
      <c r="U38" s="53"/>
      <c r="V38" s="53"/>
      <c r="W38" s="53"/>
      <c r="X38" s="53"/>
      <c r="Y38" s="53"/>
      <c r="Z38" s="5"/>
      <c r="AA38" s="5"/>
      <c r="AB38" s="5"/>
      <c r="AC38" s="5"/>
      <c r="AD38" s="4"/>
      <c r="AE38" s="4"/>
    </row>
    <row r="39" spans="1:31" ht="31.5" customHeight="1" thickBot="1" x14ac:dyDescent="0.35">
      <c r="A39" s="216"/>
      <c r="B39" s="30"/>
      <c r="C39" s="142"/>
      <c r="D39" s="30"/>
      <c r="E39" s="80"/>
      <c r="F39" s="81"/>
      <c r="G39" s="80"/>
      <c r="H39" s="31"/>
      <c r="I39" s="32"/>
      <c r="J39" s="32"/>
      <c r="K39" s="159">
        <f t="shared" si="6"/>
        <v>8600</v>
      </c>
      <c r="L39" s="158">
        <v>0</v>
      </c>
      <c r="M39" s="157" t="str">
        <f t="shared" si="7"/>
        <v/>
      </c>
      <c r="N39" s="157" t="str">
        <f t="shared" si="8"/>
        <v/>
      </c>
      <c r="O39" s="156" t="str">
        <f t="shared" si="9"/>
        <v/>
      </c>
      <c r="P39" s="156" t="str">
        <f t="shared" si="10"/>
        <v/>
      </c>
      <c r="Q39" s="155" t="str">
        <f t="shared" si="11"/>
        <v/>
      </c>
      <c r="S39"/>
      <c r="T39"/>
      <c r="U39" s="53"/>
      <c r="V39" s="53"/>
      <c r="W39" s="53"/>
      <c r="X39" s="53"/>
      <c r="Y39" s="53"/>
      <c r="Z39" s="5"/>
      <c r="AA39" s="5"/>
      <c r="AB39" s="5"/>
      <c r="AC39" s="5"/>
      <c r="AD39" s="4"/>
      <c r="AE39" s="4"/>
    </row>
    <row r="40" spans="1:31" ht="31.5" customHeight="1" x14ac:dyDescent="0.3">
      <c r="A40" s="214" t="s">
        <v>66</v>
      </c>
      <c r="B40" s="161"/>
      <c r="C40" s="162"/>
      <c r="D40" s="161"/>
      <c r="E40" s="76"/>
      <c r="F40" s="77"/>
      <c r="G40" s="76"/>
      <c r="H40" s="25"/>
      <c r="I40" s="26">
        <v>0.75</v>
      </c>
      <c r="J40" s="26">
        <v>0.9375</v>
      </c>
      <c r="K40" s="49">
        <f t="shared" si="6"/>
        <v>8600.9375</v>
      </c>
      <c r="L40" s="33">
        <v>0</v>
      </c>
      <c r="M40" s="50">
        <f t="shared" si="7"/>
        <v>0.1875</v>
      </c>
      <c r="N40" s="50">
        <f t="shared" si="8"/>
        <v>0</v>
      </c>
      <c r="O40" s="69" t="str">
        <f t="shared" si="9"/>
        <v/>
      </c>
      <c r="P40" s="69" t="str">
        <f t="shared" si="10"/>
        <v/>
      </c>
      <c r="Q40" s="70" t="str">
        <f t="shared" si="11"/>
        <v/>
      </c>
      <c r="S40"/>
      <c r="T40"/>
      <c r="U40"/>
      <c r="V40"/>
      <c r="W40"/>
      <c r="X40"/>
      <c r="Y40"/>
      <c r="Z40" s="4"/>
      <c r="AA40" s="4"/>
      <c r="AB40" s="4"/>
      <c r="AC40" s="4"/>
      <c r="AD40" s="4"/>
      <c r="AE40" s="4"/>
    </row>
    <row r="41" spans="1:31" ht="31.5" customHeight="1" x14ac:dyDescent="0.3">
      <c r="A41" s="215"/>
      <c r="B41" s="27"/>
      <c r="C41" s="143"/>
      <c r="D41" s="27"/>
      <c r="E41" s="78"/>
      <c r="F41" s="79"/>
      <c r="G41" s="78"/>
      <c r="H41" s="28"/>
      <c r="I41" s="29">
        <v>0.75</v>
      </c>
      <c r="J41" s="29">
        <v>0.89583333333333337</v>
      </c>
      <c r="K41" s="51">
        <f t="shared" si="6"/>
        <v>8600.8958333333339</v>
      </c>
      <c r="L41" s="34">
        <v>0</v>
      </c>
      <c r="M41" s="52">
        <f t="shared" si="7"/>
        <v>0.14583333333333337</v>
      </c>
      <c r="N41" s="52">
        <f t="shared" si="8"/>
        <v>0</v>
      </c>
      <c r="O41" s="71" t="str">
        <f t="shared" si="9"/>
        <v/>
      </c>
      <c r="P41" s="71" t="str">
        <f t="shared" si="10"/>
        <v/>
      </c>
      <c r="Q41" s="72" t="str">
        <f t="shared" si="11"/>
        <v/>
      </c>
      <c r="S41"/>
      <c r="T41"/>
      <c r="U41" s="53"/>
      <c r="V41" s="53"/>
      <c r="W41" s="53"/>
      <c r="X41" s="53"/>
      <c r="Y41" s="53"/>
      <c r="Z41" s="5"/>
      <c r="AA41" s="5"/>
      <c r="AB41" s="5"/>
      <c r="AC41" s="5"/>
      <c r="AD41" s="4"/>
      <c r="AE41" s="4"/>
    </row>
    <row r="42" spans="1:31" ht="31.5" customHeight="1" x14ac:dyDescent="0.3">
      <c r="A42" s="215"/>
      <c r="B42" s="27"/>
      <c r="C42" s="143"/>
      <c r="D42" s="27"/>
      <c r="E42" s="78"/>
      <c r="F42" s="79"/>
      <c r="G42" s="78"/>
      <c r="H42" s="28"/>
      <c r="I42" s="29">
        <v>0.77083333333333337</v>
      </c>
      <c r="J42" s="29">
        <v>0.89583333333333337</v>
      </c>
      <c r="K42" s="51">
        <f t="shared" si="6"/>
        <v>8600.8958333333339</v>
      </c>
      <c r="L42" s="34">
        <v>0</v>
      </c>
      <c r="M42" s="52">
        <f t="shared" si="7"/>
        <v>0.125</v>
      </c>
      <c r="N42" s="52">
        <f t="shared" si="8"/>
        <v>0</v>
      </c>
      <c r="O42" s="71" t="str">
        <f t="shared" si="9"/>
        <v/>
      </c>
      <c r="P42" s="71" t="str">
        <f t="shared" si="10"/>
        <v/>
      </c>
      <c r="Q42" s="72" t="str">
        <f t="shared" si="11"/>
        <v/>
      </c>
      <c r="S42"/>
      <c r="T42"/>
      <c r="U42" s="53"/>
      <c r="V42" s="53"/>
      <c r="W42" s="53"/>
      <c r="X42" s="53"/>
      <c r="Y42" s="53"/>
      <c r="Z42" s="5"/>
      <c r="AA42" s="5"/>
      <c r="AB42" s="5"/>
      <c r="AC42" s="5"/>
      <c r="AD42" s="4"/>
      <c r="AE42" s="4"/>
    </row>
    <row r="43" spans="1:31" ht="31.5" customHeight="1" x14ac:dyDescent="0.3">
      <c r="A43" s="215"/>
      <c r="B43" s="27"/>
      <c r="C43" s="143"/>
      <c r="D43" s="27"/>
      <c r="E43" s="78"/>
      <c r="F43" s="79"/>
      <c r="G43" s="78"/>
      <c r="H43" s="28"/>
      <c r="I43" s="29">
        <v>0.77083333333333337</v>
      </c>
      <c r="J43" s="29">
        <v>0.89583333333333337</v>
      </c>
      <c r="K43" s="51">
        <f t="shared" si="6"/>
        <v>8600.8958333333339</v>
      </c>
      <c r="L43" s="34">
        <v>0</v>
      </c>
      <c r="M43" s="52">
        <f t="shared" si="7"/>
        <v>0.125</v>
      </c>
      <c r="N43" s="52">
        <f t="shared" si="8"/>
        <v>0</v>
      </c>
      <c r="O43" s="71" t="str">
        <f t="shared" si="9"/>
        <v/>
      </c>
      <c r="P43" s="71" t="str">
        <f t="shared" si="10"/>
        <v/>
      </c>
      <c r="Q43" s="72" t="str">
        <f t="shared" si="11"/>
        <v/>
      </c>
      <c r="S43"/>
      <c r="T43"/>
      <c r="U43"/>
      <c r="V43"/>
      <c r="W43"/>
      <c r="X43"/>
      <c r="Y43"/>
      <c r="Z43" s="4"/>
      <c r="AA43" s="4"/>
      <c r="AB43" s="4"/>
      <c r="AC43" s="4"/>
      <c r="AD43" s="4"/>
      <c r="AE43" s="4"/>
    </row>
    <row r="44" spans="1:31" ht="31.5" customHeight="1" x14ac:dyDescent="0.3">
      <c r="A44" s="215"/>
      <c r="B44" s="27"/>
      <c r="C44" s="143"/>
      <c r="D44" s="27"/>
      <c r="E44" s="78"/>
      <c r="F44" s="79"/>
      <c r="G44" s="78"/>
      <c r="H44" s="28"/>
      <c r="I44" s="29">
        <v>0.8125</v>
      </c>
      <c r="J44" s="29">
        <v>0.9375</v>
      </c>
      <c r="K44" s="51">
        <f t="shared" si="6"/>
        <v>8600.9375</v>
      </c>
      <c r="L44" s="34">
        <v>0</v>
      </c>
      <c r="M44" s="52">
        <f t="shared" si="7"/>
        <v>0.125</v>
      </c>
      <c r="N44" s="52">
        <f t="shared" si="8"/>
        <v>0</v>
      </c>
      <c r="O44" s="71" t="str">
        <f t="shared" si="9"/>
        <v/>
      </c>
      <c r="P44" s="71" t="str">
        <f t="shared" si="10"/>
        <v/>
      </c>
      <c r="Q44" s="72" t="str">
        <f t="shared" si="11"/>
        <v/>
      </c>
      <c r="S44"/>
      <c r="T44"/>
      <c r="U44"/>
      <c r="V44"/>
      <c r="W44"/>
      <c r="X44"/>
      <c r="Y44"/>
      <c r="Z44" s="4"/>
      <c r="AA44" s="4"/>
      <c r="AB44" s="4"/>
      <c r="AC44" s="4"/>
      <c r="AD44" s="4"/>
      <c r="AE44" s="4"/>
    </row>
    <row r="45" spans="1:31" ht="31.5" customHeight="1" x14ac:dyDescent="0.3">
      <c r="A45" s="215"/>
      <c r="B45" s="27"/>
      <c r="C45" s="143"/>
      <c r="D45" s="27"/>
      <c r="E45" s="78"/>
      <c r="F45" s="79"/>
      <c r="G45" s="78"/>
      <c r="H45" s="28"/>
      <c r="I45" s="29">
        <v>0.8125</v>
      </c>
      <c r="J45" s="29">
        <v>0.9375</v>
      </c>
      <c r="K45" s="51">
        <f t="shared" si="6"/>
        <v>8600.9375</v>
      </c>
      <c r="L45" s="34">
        <v>0</v>
      </c>
      <c r="M45" s="52">
        <f t="shared" si="7"/>
        <v>0.125</v>
      </c>
      <c r="N45" s="52">
        <f t="shared" si="8"/>
        <v>0</v>
      </c>
      <c r="O45" s="71" t="str">
        <f t="shared" si="9"/>
        <v/>
      </c>
      <c r="P45" s="71" t="str">
        <f t="shared" si="10"/>
        <v/>
      </c>
      <c r="Q45" s="72" t="str">
        <f t="shared" si="11"/>
        <v/>
      </c>
      <c r="S45"/>
      <c r="T45"/>
      <c r="U45"/>
      <c r="V45"/>
      <c r="W45"/>
      <c r="X45"/>
      <c r="Y45"/>
      <c r="Z45" s="4"/>
      <c r="AA45" s="4"/>
      <c r="AB45" s="4"/>
      <c r="AC45" s="4"/>
      <c r="AD45" s="4"/>
      <c r="AE45" s="4"/>
    </row>
    <row r="46" spans="1:31" ht="31.5" customHeight="1" x14ac:dyDescent="0.3">
      <c r="A46" s="215"/>
      <c r="B46" s="27"/>
      <c r="C46" s="143"/>
      <c r="D46" s="27"/>
      <c r="E46" s="78"/>
      <c r="F46" s="79"/>
      <c r="G46" s="78"/>
      <c r="H46" s="28"/>
      <c r="I46" s="29">
        <v>0.8125</v>
      </c>
      <c r="J46" s="29">
        <v>0.9375</v>
      </c>
      <c r="K46" s="51">
        <f t="shared" si="6"/>
        <v>8600.9375</v>
      </c>
      <c r="L46" s="34">
        <v>0</v>
      </c>
      <c r="M46" s="52">
        <f t="shared" si="7"/>
        <v>0.125</v>
      </c>
      <c r="N46" s="52">
        <f t="shared" si="8"/>
        <v>0</v>
      </c>
      <c r="O46" s="71" t="str">
        <f t="shared" si="9"/>
        <v/>
      </c>
      <c r="P46" s="71" t="str">
        <f t="shared" si="10"/>
        <v/>
      </c>
      <c r="Q46" s="72" t="str">
        <f t="shared" si="11"/>
        <v/>
      </c>
      <c r="S46"/>
      <c r="T46"/>
      <c r="U46"/>
      <c r="V46"/>
      <c r="W46"/>
      <c r="X46"/>
      <c r="Y46"/>
      <c r="Z46" s="4"/>
      <c r="AA46" s="4"/>
      <c r="AB46" s="4"/>
      <c r="AC46" s="4"/>
      <c r="AD46" s="4"/>
      <c r="AE46" s="4"/>
    </row>
    <row r="47" spans="1:31" ht="31.5" customHeight="1" x14ac:dyDescent="0.3">
      <c r="A47" s="215"/>
      <c r="B47" s="27"/>
      <c r="C47" s="143"/>
      <c r="D47" s="27"/>
      <c r="E47" s="78"/>
      <c r="F47" s="79"/>
      <c r="G47" s="78"/>
      <c r="H47" s="28"/>
      <c r="I47" s="29"/>
      <c r="J47" s="29"/>
      <c r="K47" s="51">
        <f t="shared" si="6"/>
        <v>8600</v>
      </c>
      <c r="L47" s="34">
        <v>0</v>
      </c>
      <c r="M47" s="52" t="str">
        <f t="shared" si="7"/>
        <v/>
      </c>
      <c r="N47" s="52" t="str">
        <f t="shared" si="8"/>
        <v/>
      </c>
      <c r="O47" s="71" t="str">
        <f t="shared" si="9"/>
        <v/>
      </c>
      <c r="P47" s="71" t="str">
        <f t="shared" si="10"/>
        <v/>
      </c>
      <c r="Q47" s="72" t="str">
        <f t="shared" si="11"/>
        <v/>
      </c>
      <c r="S47"/>
      <c r="T47"/>
      <c r="U47" s="53"/>
      <c r="V47" s="53"/>
      <c r="W47" s="53"/>
      <c r="X47" s="53"/>
      <c r="Y47" s="53"/>
      <c r="Z47" s="5"/>
      <c r="AA47" s="5"/>
      <c r="AB47" s="5"/>
      <c r="AC47" s="5"/>
      <c r="AD47" s="4"/>
      <c r="AE47" s="4"/>
    </row>
    <row r="48" spans="1:31" ht="31.5" customHeight="1" thickBot="1" x14ac:dyDescent="0.35">
      <c r="A48" s="216"/>
      <c r="B48" s="30"/>
      <c r="C48" s="142"/>
      <c r="D48" s="30"/>
      <c r="E48" s="80"/>
      <c r="F48" s="81"/>
      <c r="G48" s="80"/>
      <c r="H48" s="31"/>
      <c r="I48" s="32"/>
      <c r="J48" s="32"/>
      <c r="K48" s="159">
        <f t="shared" si="6"/>
        <v>8600</v>
      </c>
      <c r="L48" s="158">
        <v>0</v>
      </c>
      <c r="M48" s="157" t="str">
        <f t="shared" si="7"/>
        <v/>
      </c>
      <c r="N48" s="157" t="str">
        <f t="shared" si="8"/>
        <v/>
      </c>
      <c r="O48" s="156" t="str">
        <f t="shared" si="9"/>
        <v/>
      </c>
      <c r="P48" s="156" t="str">
        <f t="shared" si="10"/>
        <v/>
      </c>
      <c r="Q48" s="155" t="str">
        <f t="shared" si="11"/>
        <v/>
      </c>
      <c r="S48"/>
      <c r="T48"/>
      <c r="U48" s="53"/>
      <c r="V48" s="53"/>
      <c r="W48" s="53"/>
      <c r="X48" s="53"/>
      <c r="Y48" s="53"/>
      <c r="Z48" s="5"/>
      <c r="AA48" s="5"/>
      <c r="AB48" s="5"/>
      <c r="AC48" s="5"/>
      <c r="AD48" s="4"/>
      <c r="AE48" s="4"/>
    </row>
    <row r="49" spans="1:31" ht="31.5" customHeight="1" x14ac:dyDescent="0.3">
      <c r="A49" s="251" t="s">
        <v>67</v>
      </c>
      <c r="B49" s="161"/>
      <c r="C49" s="162"/>
      <c r="D49" s="161"/>
      <c r="E49" s="76"/>
      <c r="F49" s="77"/>
      <c r="G49" s="76"/>
      <c r="H49" s="25"/>
      <c r="I49" s="26">
        <v>0.75</v>
      </c>
      <c r="J49" s="26">
        <v>0.9375</v>
      </c>
      <c r="K49" s="49">
        <f t="shared" si="6"/>
        <v>8600.9375</v>
      </c>
      <c r="L49" s="33">
        <v>0</v>
      </c>
      <c r="M49" s="50">
        <f t="shared" si="7"/>
        <v>0.1875</v>
      </c>
      <c r="N49" s="50">
        <f t="shared" si="8"/>
        <v>0</v>
      </c>
      <c r="O49" s="69" t="str">
        <f t="shared" si="9"/>
        <v/>
      </c>
      <c r="P49" s="69" t="str">
        <f t="shared" si="10"/>
        <v/>
      </c>
      <c r="Q49" s="70" t="str">
        <f t="shared" si="11"/>
        <v/>
      </c>
      <c r="S49"/>
      <c r="T49"/>
      <c r="U49"/>
      <c r="V49"/>
      <c r="W49"/>
      <c r="X49"/>
      <c r="Y49"/>
      <c r="Z49" s="4"/>
      <c r="AA49" s="4"/>
      <c r="AB49" s="4"/>
      <c r="AC49" s="4"/>
      <c r="AD49" s="4"/>
      <c r="AE49" s="4"/>
    </row>
    <row r="50" spans="1:31" ht="31.5" customHeight="1" x14ac:dyDescent="0.3">
      <c r="A50" s="252"/>
      <c r="B50" s="27"/>
      <c r="C50" s="143"/>
      <c r="D50" s="27"/>
      <c r="E50" s="78"/>
      <c r="F50" s="79"/>
      <c r="G50" s="78"/>
      <c r="H50" s="28"/>
      <c r="I50" s="29">
        <v>0.75</v>
      </c>
      <c r="J50" s="29">
        <v>0.9375</v>
      </c>
      <c r="K50" s="51">
        <f t="shared" si="6"/>
        <v>8600.9375</v>
      </c>
      <c r="L50" s="34">
        <v>0</v>
      </c>
      <c r="M50" s="52">
        <f t="shared" si="7"/>
        <v>0.1875</v>
      </c>
      <c r="N50" s="52">
        <f t="shared" si="8"/>
        <v>0</v>
      </c>
      <c r="O50" s="71" t="str">
        <f t="shared" si="9"/>
        <v/>
      </c>
      <c r="P50" s="71" t="str">
        <f t="shared" si="10"/>
        <v/>
      </c>
      <c r="Q50" s="72" t="str">
        <f t="shared" si="11"/>
        <v/>
      </c>
      <c r="S50"/>
      <c r="T50"/>
      <c r="U50" s="53"/>
      <c r="V50" s="53"/>
      <c r="W50" s="53"/>
      <c r="X50" s="53"/>
      <c r="Y50" s="53"/>
      <c r="Z50" s="5"/>
      <c r="AA50" s="5"/>
      <c r="AB50" s="5"/>
      <c r="AC50" s="5"/>
      <c r="AD50" s="4"/>
      <c r="AE50" s="4"/>
    </row>
    <row r="51" spans="1:31" ht="31.5" customHeight="1" x14ac:dyDescent="0.3">
      <c r="A51" s="252"/>
      <c r="B51" s="27"/>
      <c r="C51" s="143"/>
      <c r="D51" s="27"/>
      <c r="E51" s="78"/>
      <c r="F51" s="79"/>
      <c r="G51" s="78"/>
      <c r="H51" s="28"/>
      <c r="I51" s="29">
        <v>0.77083333333333337</v>
      </c>
      <c r="J51" s="29">
        <v>0.9375</v>
      </c>
      <c r="K51" s="51">
        <f t="shared" si="6"/>
        <v>8600.9375</v>
      </c>
      <c r="L51" s="34">
        <v>0</v>
      </c>
      <c r="M51" s="52">
        <f t="shared" si="7"/>
        <v>0.16666666666666663</v>
      </c>
      <c r="N51" s="52">
        <f t="shared" si="8"/>
        <v>0</v>
      </c>
      <c r="O51" s="71" t="str">
        <f t="shared" si="9"/>
        <v/>
      </c>
      <c r="P51" s="71" t="str">
        <f t="shared" si="10"/>
        <v/>
      </c>
      <c r="Q51" s="72" t="str">
        <f t="shared" si="11"/>
        <v/>
      </c>
      <c r="S51"/>
      <c r="T51"/>
      <c r="U51" s="53"/>
      <c r="V51" s="53"/>
      <c r="W51" s="53"/>
      <c r="X51" s="53"/>
      <c r="Y51" s="53"/>
      <c r="Z51" s="5"/>
      <c r="AA51" s="5"/>
      <c r="AB51" s="5"/>
      <c r="AC51" s="5"/>
      <c r="AD51" s="4"/>
      <c r="AE51" s="4"/>
    </row>
    <row r="52" spans="1:31" ht="31.5" customHeight="1" x14ac:dyDescent="0.3">
      <c r="A52" s="252"/>
      <c r="B52" s="27"/>
      <c r="C52" s="143"/>
      <c r="D52" s="27"/>
      <c r="E52" s="78"/>
      <c r="F52" s="79"/>
      <c r="G52" s="78"/>
      <c r="H52" s="28"/>
      <c r="I52" s="29">
        <v>0.77083333333333337</v>
      </c>
      <c r="J52" s="29">
        <v>0.9375</v>
      </c>
      <c r="K52" s="51">
        <f t="shared" si="6"/>
        <v>8600.9375</v>
      </c>
      <c r="L52" s="34">
        <v>0</v>
      </c>
      <c r="M52" s="52">
        <f t="shared" si="7"/>
        <v>0.16666666666666663</v>
      </c>
      <c r="N52" s="52">
        <f t="shared" si="8"/>
        <v>0</v>
      </c>
      <c r="O52" s="71" t="str">
        <f t="shared" si="9"/>
        <v/>
      </c>
      <c r="P52" s="71" t="str">
        <f t="shared" si="10"/>
        <v/>
      </c>
      <c r="Q52" s="72" t="str">
        <f t="shared" si="11"/>
        <v/>
      </c>
      <c r="S52"/>
      <c r="T52"/>
      <c r="U52"/>
      <c r="V52"/>
      <c r="W52"/>
      <c r="X52"/>
      <c r="Y52"/>
      <c r="Z52" s="4"/>
      <c r="AA52" s="4"/>
      <c r="AB52" s="4"/>
      <c r="AC52" s="4"/>
      <c r="AD52" s="4"/>
      <c r="AE52" s="4"/>
    </row>
    <row r="53" spans="1:31" ht="31.5" customHeight="1" x14ac:dyDescent="0.3">
      <c r="A53" s="252"/>
      <c r="B53" s="27"/>
      <c r="C53" s="143"/>
      <c r="D53" s="27"/>
      <c r="E53" s="78"/>
      <c r="F53" s="79"/>
      <c r="G53" s="78"/>
      <c r="H53" s="28"/>
      <c r="I53" s="29">
        <v>0.77083333333333337</v>
      </c>
      <c r="J53" s="29">
        <v>0.9375</v>
      </c>
      <c r="K53" s="51">
        <f t="shared" si="6"/>
        <v>8600.9375</v>
      </c>
      <c r="L53" s="34">
        <v>0</v>
      </c>
      <c r="M53" s="52">
        <f t="shared" si="7"/>
        <v>0.16666666666666663</v>
      </c>
      <c r="N53" s="52">
        <f t="shared" si="8"/>
        <v>0</v>
      </c>
      <c r="O53" s="71" t="str">
        <f t="shared" si="9"/>
        <v/>
      </c>
      <c r="P53" s="71" t="str">
        <f t="shared" si="10"/>
        <v/>
      </c>
      <c r="Q53" s="72" t="str">
        <f t="shared" si="11"/>
        <v/>
      </c>
      <c r="S53"/>
      <c r="T53"/>
      <c r="U53"/>
      <c r="V53"/>
      <c r="W53"/>
      <c r="X53"/>
      <c r="Y53"/>
      <c r="Z53" s="4"/>
      <c r="AA53" s="4"/>
      <c r="AB53" s="4"/>
      <c r="AC53" s="4"/>
      <c r="AD53" s="4"/>
      <c r="AE53" s="4"/>
    </row>
    <row r="54" spans="1:31" ht="31.5" customHeight="1" x14ac:dyDescent="0.3">
      <c r="A54" s="252"/>
      <c r="B54" s="27"/>
      <c r="C54" s="143"/>
      <c r="D54" s="27"/>
      <c r="E54" s="78"/>
      <c r="F54" s="79"/>
      <c r="G54" s="78"/>
      <c r="H54" s="28"/>
      <c r="I54" s="29">
        <v>0.79166666666666663</v>
      </c>
      <c r="J54" s="29">
        <v>0.9375</v>
      </c>
      <c r="K54" s="51">
        <f t="shared" si="6"/>
        <v>8600.9375</v>
      </c>
      <c r="L54" s="34">
        <v>0</v>
      </c>
      <c r="M54" s="52">
        <f t="shared" si="7"/>
        <v>0.14583333333333337</v>
      </c>
      <c r="N54" s="52">
        <f t="shared" si="8"/>
        <v>0</v>
      </c>
      <c r="O54" s="71" t="str">
        <f t="shared" si="9"/>
        <v/>
      </c>
      <c r="P54" s="71" t="str">
        <f t="shared" si="10"/>
        <v/>
      </c>
      <c r="Q54" s="72" t="str">
        <f t="shared" si="11"/>
        <v/>
      </c>
      <c r="S54"/>
      <c r="T54"/>
      <c r="U54"/>
      <c r="V54"/>
      <c r="W54"/>
      <c r="X54"/>
      <c r="Y54"/>
      <c r="Z54" s="4"/>
      <c r="AA54" s="4"/>
      <c r="AB54" s="4"/>
      <c r="AC54" s="4"/>
      <c r="AD54" s="4"/>
      <c r="AE54" s="4"/>
    </row>
    <row r="55" spans="1:31" ht="31.5" customHeight="1" x14ac:dyDescent="0.3">
      <c r="A55" s="252"/>
      <c r="B55" s="27"/>
      <c r="C55" s="143"/>
      <c r="D55" s="27"/>
      <c r="E55" s="78"/>
      <c r="F55" s="79"/>
      <c r="G55" s="78"/>
      <c r="H55" s="28"/>
      <c r="I55" s="29">
        <v>0.79166666666666663</v>
      </c>
      <c r="J55" s="29">
        <v>0.9375</v>
      </c>
      <c r="K55" s="51">
        <f t="shared" si="6"/>
        <v>8600.9375</v>
      </c>
      <c r="L55" s="34">
        <v>0</v>
      </c>
      <c r="M55" s="52">
        <f t="shared" si="7"/>
        <v>0.14583333333333337</v>
      </c>
      <c r="N55" s="52">
        <f t="shared" si="8"/>
        <v>0</v>
      </c>
      <c r="O55" s="71" t="str">
        <f t="shared" si="9"/>
        <v/>
      </c>
      <c r="P55" s="71" t="str">
        <f t="shared" si="10"/>
        <v/>
      </c>
      <c r="Q55" s="72" t="str">
        <f t="shared" si="11"/>
        <v/>
      </c>
      <c r="S55"/>
      <c r="T55"/>
      <c r="U55"/>
      <c r="V55"/>
      <c r="W55"/>
      <c r="X55"/>
      <c r="Y55"/>
      <c r="Z55" s="4"/>
      <c r="AA55" s="4"/>
      <c r="AB55" s="4"/>
      <c r="AC55" s="4"/>
      <c r="AD55" s="4"/>
      <c r="AE55" s="4"/>
    </row>
    <row r="56" spans="1:31" ht="31.5" customHeight="1" x14ac:dyDescent="0.3">
      <c r="A56" s="252"/>
      <c r="B56" s="27"/>
      <c r="C56" s="143"/>
      <c r="D56" s="27"/>
      <c r="E56" s="78"/>
      <c r="F56" s="79"/>
      <c r="G56" s="78"/>
      <c r="H56" s="28"/>
      <c r="I56" s="29"/>
      <c r="J56" s="29"/>
      <c r="K56" s="51">
        <f t="shared" si="6"/>
        <v>8600</v>
      </c>
      <c r="L56" s="34">
        <v>0</v>
      </c>
      <c r="M56" s="52" t="str">
        <f t="shared" si="7"/>
        <v/>
      </c>
      <c r="N56" s="52" t="str">
        <f t="shared" si="8"/>
        <v/>
      </c>
      <c r="O56" s="71" t="str">
        <f t="shared" si="9"/>
        <v/>
      </c>
      <c r="P56" s="71" t="str">
        <f t="shared" si="10"/>
        <v/>
      </c>
      <c r="Q56" s="72" t="str">
        <f t="shared" si="11"/>
        <v/>
      </c>
      <c r="S56"/>
      <c r="T56"/>
      <c r="U56" s="53"/>
      <c r="V56" s="53"/>
      <c r="W56" s="53"/>
      <c r="X56" s="53"/>
      <c r="Y56" s="53"/>
      <c r="Z56" s="5"/>
      <c r="AA56" s="5"/>
      <c r="AB56" s="5"/>
      <c r="AC56" s="5"/>
      <c r="AD56" s="4"/>
      <c r="AE56" s="4"/>
    </row>
    <row r="57" spans="1:31" ht="31.5" customHeight="1" thickBot="1" x14ac:dyDescent="0.35">
      <c r="A57" s="253"/>
      <c r="B57" s="30"/>
      <c r="C57" s="142"/>
      <c r="D57" s="30"/>
      <c r="E57" s="80"/>
      <c r="F57" s="81"/>
      <c r="G57" s="80"/>
      <c r="H57" s="31"/>
      <c r="I57" s="32"/>
      <c r="J57" s="32"/>
      <c r="K57" s="159">
        <f t="shared" si="6"/>
        <v>8600</v>
      </c>
      <c r="L57" s="158">
        <v>0</v>
      </c>
      <c r="M57" s="157" t="str">
        <f t="shared" si="7"/>
        <v/>
      </c>
      <c r="N57" s="157" t="str">
        <f t="shared" si="8"/>
        <v/>
      </c>
      <c r="O57" s="156" t="str">
        <f t="shared" si="9"/>
        <v/>
      </c>
      <c r="P57" s="156" t="str">
        <f t="shared" si="10"/>
        <v/>
      </c>
      <c r="Q57" s="155" t="str">
        <f t="shared" si="11"/>
        <v/>
      </c>
      <c r="S57"/>
      <c r="T57"/>
      <c r="U57" s="53"/>
      <c r="V57" s="53"/>
      <c r="W57" s="53"/>
      <c r="X57" s="53"/>
      <c r="Y57" s="53"/>
      <c r="Z57" s="5"/>
      <c r="AA57" s="5"/>
      <c r="AB57" s="5"/>
      <c r="AC57" s="5"/>
      <c r="AD57" s="4"/>
      <c r="AE57" s="4"/>
    </row>
    <row r="58" spans="1:31" ht="31.2" x14ac:dyDescent="0.3">
      <c r="A58" s="199" t="s">
        <v>68</v>
      </c>
      <c r="B58" s="161"/>
      <c r="C58" s="162"/>
      <c r="D58" s="161"/>
      <c r="E58" s="76"/>
      <c r="F58" s="77"/>
      <c r="G58" s="76"/>
      <c r="H58" s="25"/>
      <c r="I58" s="26">
        <v>0.77083333333333337</v>
      </c>
      <c r="J58" s="26">
        <v>0.9375</v>
      </c>
      <c r="K58" s="49">
        <f t="shared" si="6"/>
        <v>8600.9375</v>
      </c>
      <c r="L58" s="33">
        <v>0</v>
      </c>
      <c r="M58" s="50">
        <f t="shared" si="7"/>
        <v>0.16666666666666663</v>
      </c>
      <c r="N58" s="50">
        <f t="shared" si="8"/>
        <v>0</v>
      </c>
      <c r="O58" s="69" t="str">
        <f t="shared" si="9"/>
        <v/>
      </c>
      <c r="P58" s="69" t="str">
        <f t="shared" si="10"/>
        <v/>
      </c>
      <c r="Q58" s="70" t="str">
        <f t="shared" si="11"/>
        <v/>
      </c>
      <c r="S58"/>
      <c r="T58"/>
      <c r="U58"/>
      <c r="V58"/>
      <c r="W58"/>
      <c r="X58"/>
      <c r="Y58"/>
      <c r="Z58" s="4"/>
      <c r="AA58" s="4"/>
      <c r="AB58" s="4"/>
      <c r="AC58" s="4"/>
      <c r="AD58" s="4"/>
      <c r="AE58" s="4"/>
    </row>
    <row r="59" spans="1:31" ht="31.2" x14ac:dyDescent="0.3">
      <c r="A59" s="200"/>
      <c r="B59" s="27"/>
      <c r="C59" s="143"/>
      <c r="D59" s="27"/>
      <c r="E59" s="78"/>
      <c r="F59" s="79"/>
      <c r="G59" s="78"/>
      <c r="H59" s="28"/>
      <c r="I59" s="29">
        <v>0.79166666666666663</v>
      </c>
      <c r="J59" s="29">
        <v>0.9375</v>
      </c>
      <c r="K59" s="51">
        <f t="shared" si="6"/>
        <v>8600.9375</v>
      </c>
      <c r="L59" s="34">
        <v>0</v>
      </c>
      <c r="M59" s="52">
        <f t="shared" si="7"/>
        <v>0.14583333333333337</v>
      </c>
      <c r="N59" s="52">
        <f t="shared" si="8"/>
        <v>0</v>
      </c>
      <c r="O59" s="71" t="str">
        <f t="shared" si="9"/>
        <v/>
      </c>
      <c r="P59" s="71" t="str">
        <f t="shared" si="10"/>
        <v/>
      </c>
      <c r="Q59" s="72" t="str">
        <f t="shared" si="11"/>
        <v/>
      </c>
      <c r="S59"/>
      <c r="T59"/>
      <c r="U59"/>
      <c r="V59"/>
      <c r="W59"/>
      <c r="X59"/>
      <c r="Y59"/>
      <c r="Z59" s="4"/>
      <c r="AA59" s="4"/>
      <c r="AB59" s="4"/>
      <c r="AC59" s="4"/>
      <c r="AD59" s="4"/>
      <c r="AE59" s="4"/>
    </row>
    <row r="60" spans="1:31" ht="31.2" x14ac:dyDescent="0.3">
      <c r="A60" s="200"/>
      <c r="B60" s="27"/>
      <c r="C60" s="143"/>
      <c r="D60" s="27"/>
      <c r="E60" s="78"/>
      <c r="F60" s="79"/>
      <c r="G60" s="78"/>
      <c r="H60" s="28"/>
      <c r="I60" s="29">
        <v>0.8125</v>
      </c>
      <c r="J60" s="29">
        <v>0.9375</v>
      </c>
      <c r="K60" s="51">
        <f t="shared" si="6"/>
        <v>8600.9375</v>
      </c>
      <c r="L60" s="34">
        <v>0</v>
      </c>
      <c r="M60" s="52">
        <f t="shared" si="7"/>
        <v>0.125</v>
      </c>
      <c r="N60" s="52">
        <f t="shared" si="8"/>
        <v>0</v>
      </c>
      <c r="O60" s="71" t="str">
        <f t="shared" si="9"/>
        <v/>
      </c>
      <c r="P60" s="71" t="str">
        <f t="shared" si="10"/>
        <v/>
      </c>
      <c r="Q60" s="72" t="str">
        <f t="shared" si="11"/>
        <v/>
      </c>
      <c r="S60"/>
      <c r="T60"/>
      <c r="U60"/>
      <c r="V60"/>
      <c r="W60"/>
      <c r="X60"/>
      <c r="Y60"/>
      <c r="Z60" s="4"/>
      <c r="AA60" s="4"/>
      <c r="AB60" s="4"/>
      <c r="AC60" s="4"/>
      <c r="AD60" s="4"/>
      <c r="AE60" s="4"/>
    </row>
    <row r="61" spans="1:31" ht="31.8" thickBot="1" x14ac:dyDescent="0.35">
      <c r="A61" s="201"/>
      <c r="B61" s="30"/>
      <c r="C61" s="142"/>
      <c r="D61" s="30"/>
      <c r="E61" s="80"/>
      <c r="F61" s="81"/>
      <c r="G61" s="80"/>
      <c r="H61" s="31"/>
      <c r="I61" s="32"/>
      <c r="J61" s="32"/>
      <c r="K61" s="159">
        <f t="shared" si="6"/>
        <v>8600</v>
      </c>
      <c r="L61" s="158">
        <v>0</v>
      </c>
      <c r="M61" s="157" t="str">
        <f t="shared" si="7"/>
        <v/>
      </c>
      <c r="N61" s="157" t="str">
        <f t="shared" si="8"/>
        <v/>
      </c>
      <c r="O61" s="156" t="str">
        <f t="shared" si="9"/>
        <v/>
      </c>
      <c r="P61" s="156" t="str">
        <f t="shared" si="10"/>
        <v/>
      </c>
      <c r="Q61" s="155" t="str">
        <f t="shared" si="11"/>
        <v/>
      </c>
      <c r="S61"/>
      <c r="T61"/>
      <c r="U61"/>
      <c r="V61"/>
      <c r="W61"/>
      <c r="X61"/>
      <c r="Y61"/>
      <c r="Z61" s="4"/>
      <c r="AA61" s="4"/>
      <c r="AB61" s="4"/>
      <c r="AC61" s="4"/>
      <c r="AD61" s="4"/>
      <c r="AE61" s="4"/>
    </row>
    <row r="62" spans="1:31" ht="31.5" customHeight="1" x14ac:dyDescent="0.3">
      <c r="A62" s="248" t="s">
        <v>69</v>
      </c>
      <c r="B62" s="161"/>
      <c r="C62" s="162"/>
      <c r="D62" s="161"/>
      <c r="E62" s="76"/>
      <c r="F62" s="77"/>
      <c r="G62" s="76"/>
      <c r="H62" s="25"/>
      <c r="I62" s="26">
        <v>0.75</v>
      </c>
      <c r="J62" s="26">
        <v>0.9375</v>
      </c>
      <c r="K62" s="49">
        <f t="shared" si="6"/>
        <v>8600.9375</v>
      </c>
      <c r="L62" s="33">
        <v>0</v>
      </c>
      <c r="M62" s="50">
        <f t="shared" si="7"/>
        <v>0.1875</v>
      </c>
      <c r="N62" s="50">
        <f t="shared" si="8"/>
        <v>0</v>
      </c>
      <c r="O62" s="69" t="str">
        <f t="shared" si="9"/>
        <v/>
      </c>
      <c r="P62" s="69" t="str">
        <f t="shared" si="10"/>
        <v/>
      </c>
      <c r="Q62" s="70" t="str">
        <f t="shared" si="11"/>
        <v/>
      </c>
      <c r="S62"/>
      <c r="T62"/>
      <c r="U62"/>
      <c r="V62"/>
      <c r="W62"/>
      <c r="X62"/>
      <c r="Y62"/>
      <c r="Z62" s="4"/>
      <c r="AA62" s="4"/>
      <c r="AB62" s="4"/>
      <c r="AC62" s="4"/>
      <c r="AD62" s="4"/>
      <c r="AE62" s="4"/>
    </row>
    <row r="63" spans="1:31" ht="31.5" customHeight="1" x14ac:dyDescent="0.3">
      <c r="A63" s="249"/>
      <c r="B63" s="27"/>
      <c r="C63" s="143"/>
      <c r="D63" s="27"/>
      <c r="E63" s="78"/>
      <c r="F63" s="79"/>
      <c r="G63" s="78"/>
      <c r="H63" s="28"/>
      <c r="I63" s="29">
        <v>0.75</v>
      </c>
      <c r="J63" s="29">
        <v>0.89583333333333337</v>
      </c>
      <c r="K63" s="51">
        <f t="shared" si="6"/>
        <v>8600.8958333333339</v>
      </c>
      <c r="L63" s="34">
        <v>0</v>
      </c>
      <c r="M63" s="52">
        <f t="shared" si="7"/>
        <v>0.14583333333333337</v>
      </c>
      <c r="N63" s="52">
        <f t="shared" si="8"/>
        <v>0</v>
      </c>
      <c r="O63" s="71" t="str">
        <f t="shared" si="9"/>
        <v/>
      </c>
      <c r="P63" s="71" t="str">
        <f t="shared" si="10"/>
        <v/>
      </c>
      <c r="Q63" s="72" t="str">
        <f t="shared" si="11"/>
        <v/>
      </c>
      <c r="S63"/>
      <c r="T63"/>
      <c r="U63"/>
      <c r="V63"/>
      <c r="W63"/>
      <c r="X63"/>
      <c r="Y63"/>
      <c r="Z63" s="4"/>
      <c r="AA63" s="4"/>
      <c r="AB63" s="4"/>
      <c r="AC63" s="4"/>
      <c r="AD63" s="4"/>
      <c r="AE63" s="4"/>
    </row>
    <row r="64" spans="1:31" ht="31.5" customHeight="1" x14ac:dyDescent="0.3">
      <c r="A64" s="249"/>
      <c r="B64" s="27"/>
      <c r="C64" s="143"/>
      <c r="D64" s="27"/>
      <c r="E64" s="78"/>
      <c r="F64" s="79"/>
      <c r="G64" s="78"/>
      <c r="H64" s="28"/>
      <c r="I64" s="29">
        <v>0.77083333333333337</v>
      </c>
      <c r="J64" s="29">
        <v>0.89583333333333337</v>
      </c>
      <c r="K64" s="51">
        <f t="shared" si="6"/>
        <v>8600.8958333333339</v>
      </c>
      <c r="L64" s="34">
        <v>0</v>
      </c>
      <c r="M64" s="52">
        <f t="shared" si="7"/>
        <v>0.125</v>
      </c>
      <c r="N64" s="52">
        <f t="shared" si="8"/>
        <v>0</v>
      </c>
      <c r="O64" s="71" t="str">
        <f t="shared" si="9"/>
        <v/>
      </c>
      <c r="P64" s="71" t="str">
        <f t="shared" si="10"/>
        <v/>
      </c>
      <c r="Q64" s="72" t="str">
        <f t="shared" si="11"/>
        <v/>
      </c>
      <c r="S64"/>
      <c r="T64"/>
      <c r="U64"/>
      <c r="V64"/>
      <c r="W64"/>
      <c r="X64"/>
      <c r="Y64"/>
      <c r="Z64" s="4"/>
      <c r="AA64" s="4"/>
      <c r="AB64" s="4"/>
      <c r="AC64" s="4"/>
      <c r="AD64" s="4"/>
      <c r="AE64" s="4"/>
    </row>
    <row r="65" spans="1:31" ht="31.5" customHeight="1" x14ac:dyDescent="0.3">
      <c r="A65" s="249"/>
      <c r="B65" s="27"/>
      <c r="C65" s="143"/>
      <c r="D65" s="27"/>
      <c r="E65" s="78"/>
      <c r="F65" s="79"/>
      <c r="G65" s="78"/>
      <c r="H65" s="28"/>
      <c r="I65" s="29">
        <v>0.77083333333333337</v>
      </c>
      <c r="J65" s="29">
        <v>0.9375</v>
      </c>
      <c r="K65" s="51">
        <f t="shared" si="6"/>
        <v>8600.9375</v>
      </c>
      <c r="L65" s="34">
        <v>0</v>
      </c>
      <c r="M65" s="52">
        <f t="shared" si="7"/>
        <v>0.16666666666666663</v>
      </c>
      <c r="N65" s="52">
        <f t="shared" si="8"/>
        <v>0</v>
      </c>
      <c r="O65" s="71" t="str">
        <f t="shared" si="9"/>
        <v/>
      </c>
      <c r="P65" s="71" t="str">
        <f t="shared" si="10"/>
        <v/>
      </c>
      <c r="Q65" s="72" t="str">
        <f t="shared" si="11"/>
        <v/>
      </c>
      <c r="S65"/>
      <c r="T65"/>
      <c r="U65"/>
      <c r="V65"/>
      <c r="W65"/>
      <c r="X65"/>
      <c r="Y65"/>
      <c r="Z65" s="4"/>
      <c r="AA65" s="4"/>
      <c r="AB65" s="4"/>
      <c r="AC65" s="4"/>
      <c r="AD65" s="4"/>
      <c r="AE65" s="4"/>
    </row>
    <row r="66" spans="1:31" ht="31.5" customHeight="1" x14ac:dyDescent="0.3">
      <c r="A66" s="249"/>
      <c r="B66" s="27"/>
      <c r="C66" s="143"/>
      <c r="D66" s="27"/>
      <c r="E66" s="78"/>
      <c r="F66" s="79"/>
      <c r="G66" s="78"/>
      <c r="H66" s="28"/>
      <c r="I66" s="29">
        <v>0.79166666666666663</v>
      </c>
      <c r="J66" s="29">
        <v>0.91666666666666663</v>
      </c>
      <c r="K66" s="51">
        <f t="shared" si="6"/>
        <v>8600.9166666666661</v>
      </c>
      <c r="L66" s="34">
        <v>0</v>
      </c>
      <c r="M66" s="52">
        <f t="shared" si="7"/>
        <v>0.125</v>
      </c>
      <c r="N66" s="52">
        <f t="shared" si="8"/>
        <v>0</v>
      </c>
      <c r="O66" s="71" t="str">
        <f t="shared" si="9"/>
        <v/>
      </c>
      <c r="P66" s="71" t="str">
        <f t="shared" si="10"/>
        <v/>
      </c>
      <c r="Q66" s="72" t="str">
        <f t="shared" si="11"/>
        <v/>
      </c>
      <c r="S66"/>
      <c r="T66" s="53"/>
      <c r="U66" s="53"/>
      <c r="V66" s="53"/>
      <c r="W66" s="53"/>
      <c r="X66" s="53"/>
      <c r="Y66" s="53"/>
      <c r="Z66" s="5"/>
      <c r="AA66" s="5"/>
      <c r="AB66" s="5"/>
      <c r="AC66" s="5"/>
      <c r="AD66" s="5"/>
      <c r="AE66" s="5"/>
    </row>
    <row r="67" spans="1:31" ht="31.5" customHeight="1" x14ac:dyDescent="0.3">
      <c r="A67" s="249"/>
      <c r="B67" s="27"/>
      <c r="C67" s="143"/>
      <c r="D67" s="27"/>
      <c r="E67" s="78"/>
      <c r="F67" s="79"/>
      <c r="G67" s="78"/>
      <c r="H67" s="28"/>
      <c r="I67" s="29">
        <v>0.79166666666666663</v>
      </c>
      <c r="J67" s="29">
        <v>0.91666666666666663</v>
      </c>
      <c r="K67" s="51">
        <f t="shared" si="6"/>
        <v>8600.9166666666661</v>
      </c>
      <c r="L67" s="34">
        <v>0</v>
      </c>
      <c r="M67" s="52">
        <f t="shared" si="7"/>
        <v>0.125</v>
      </c>
      <c r="N67" s="52">
        <f t="shared" si="8"/>
        <v>0</v>
      </c>
      <c r="O67" s="71" t="str">
        <f t="shared" si="9"/>
        <v/>
      </c>
      <c r="P67" s="71" t="str">
        <f t="shared" si="10"/>
        <v/>
      </c>
      <c r="Q67" s="72" t="str">
        <f t="shared" si="11"/>
        <v/>
      </c>
      <c r="S67"/>
      <c r="T67" s="53"/>
      <c r="U67" s="53"/>
      <c r="V67" s="53"/>
      <c r="W67" s="53"/>
      <c r="X67" s="53"/>
      <c r="Y67" s="53"/>
      <c r="Z67" s="5"/>
      <c r="AA67" s="5"/>
      <c r="AB67" s="5"/>
      <c r="AC67" s="5"/>
      <c r="AD67" s="5"/>
      <c r="AE67" s="5"/>
    </row>
    <row r="68" spans="1:31" ht="31.5" customHeight="1" x14ac:dyDescent="0.3">
      <c r="A68" s="249"/>
      <c r="B68" s="27"/>
      <c r="C68" s="143"/>
      <c r="D68" s="27"/>
      <c r="E68" s="78"/>
      <c r="F68" s="79"/>
      <c r="G68" s="78"/>
      <c r="H68" s="28"/>
      <c r="I68" s="29">
        <v>0.79166666666666663</v>
      </c>
      <c r="J68" s="29">
        <v>0.91666666666666663</v>
      </c>
      <c r="K68" s="51">
        <f t="shared" si="6"/>
        <v>8600.9166666666661</v>
      </c>
      <c r="L68" s="34">
        <v>0</v>
      </c>
      <c r="M68" s="52">
        <f t="shared" si="7"/>
        <v>0.125</v>
      </c>
      <c r="N68" s="52">
        <f t="shared" si="8"/>
        <v>0</v>
      </c>
      <c r="O68" s="71" t="str">
        <f t="shared" si="9"/>
        <v/>
      </c>
      <c r="P68" s="71" t="str">
        <f t="shared" si="10"/>
        <v/>
      </c>
      <c r="Q68" s="72" t="str">
        <f t="shared" si="11"/>
        <v/>
      </c>
      <c r="S68"/>
      <c r="T68" s="53"/>
      <c r="U68" s="53"/>
      <c r="V68" s="53"/>
      <c r="W68" s="53"/>
      <c r="X68" s="53"/>
      <c r="Y68" s="53"/>
      <c r="Z68" s="5"/>
      <c r="AA68" s="5"/>
      <c r="AB68" s="5"/>
      <c r="AC68" s="5"/>
      <c r="AD68" s="5"/>
      <c r="AE68" s="5"/>
    </row>
    <row r="69" spans="1:31" ht="31.5" customHeight="1" x14ac:dyDescent="0.3">
      <c r="A69" s="249"/>
      <c r="B69" s="27"/>
      <c r="C69" s="143"/>
      <c r="D69" s="27"/>
      <c r="E69" s="78"/>
      <c r="F69" s="79"/>
      <c r="G69" s="78"/>
      <c r="H69" s="28"/>
      <c r="I69" s="29">
        <v>0.8125</v>
      </c>
      <c r="J69" s="29">
        <v>0.9375</v>
      </c>
      <c r="K69" s="51">
        <f t="shared" ref="K69:K100" si="12">J69+$Y$4</f>
        <v>8600.9375</v>
      </c>
      <c r="L69" s="34">
        <v>0</v>
      </c>
      <c r="M69" s="52">
        <f t="shared" ref="M69:M100" si="13">IF($I69="","",IF($J69&lt;$I69,($J69+86400)-$I69-$L69,$J69-$I69-$L69))</f>
        <v>0.125</v>
      </c>
      <c r="N69" s="52">
        <f t="shared" ref="N69:N100" si="14">IF(J69="","",IF(AND($U$4&lt;=(J69-$T$4),(J69-$T$4)&lt;=$V$4),(K69-$T$4),"00:00")+IF(AND($W$4&lt;=(J69-$T$4),(J69-$T$4)&lt;=$X$4),(J69-$T$4),"00:00")+IF(($S$4-I69)&lt;0,"00:00",($S$4-I69)))</f>
        <v>0</v>
      </c>
      <c r="O69" s="71" t="str">
        <f t="shared" ref="O69:O100" si="15">IF($C69="","",(HOUR($M69)*60+MINUTE($M69))/60)</f>
        <v/>
      </c>
      <c r="P69" s="71" t="str">
        <f t="shared" ref="P69:P100" si="16">IF(O69="","",O69-Q69)</f>
        <v/>
      </c>
      <c r="Q69" s="72" t="str">
        <f t="shared" ref="Q69:Q100" si="17">IF($C69="","",(HOUR($N69)*60+MINUTE($N69))/60)</f>
        <v/>
      </c>
      <c r="S69"/>
      <c r="T69" s="53"/>
      <c r="U69" s="53"/>
      <c r="V69" s="53"/>
      <c r="W69" s="53"/>
      <c r="X69" s="53"/>
      <c r="Y69" s="53"/>
      <c r="Z69" s="5"/>
      <c r="AA69" s="5"/>
      <c r="AB69" s="5"/>
      <c r="AC69" s="5"/>
      <c r="AD69" s="5"/>
      <c r="AE69" s="5"/>
    </row>
    <row r="70" spans="1:31" ht="31.5" customHeight="1" x14ac:dyDescent="0.3">
      <c r="A70" s="249"/>
      <c r="B70" s="27"/>
      <c r="C70" s="143"/>
      <c r="D70" s="27"/>
      <c r="E70" s="78"/>
      <c r="F70" s="79"/>
      <c r="G70" s="78"/>
      <c r="H70" s="28"/>
      <c r="I70" s="29">
        <v>0.8125</v>
      </c>
      <c r="J70" s="29">
        <v>0.9375</v>
      </c>
      <c r="K70" s="51">
        <f t="shared" si="12"/>
        <v>8600.9375</v>
      </c>
      <c r="L70" s="34">
        <v>0</v>
      </c>
      <c r="M70" s="52">
        <f t="shared" si="13"/>
        <v>0.125</v>
      </c>
      <c r="N70" s="52">
        <f t="shared" si="14"/>
        <v>0</v>
      </c>
      <c r="O70" s="71" t="str">
        <f t="shared" si="15"/>
        <v/>
      </c>
      <c r="P70" s="71" t="str">
        <f t="shared" si="16"/>
        <v/>
      </c>
      <c r="Q70" s="72" t="str">
        <f t="shared" si="17"/>
        <v/>
      </c>
      <c r="S70"/>
      <c r="T70" s="53"/>
      <c r="U70" s="53"/>
      <c r="V70" s="53"/>
      <c r="W70" s="53"/>
      <c r="X70" s="53"/>
      <c r="Y70" s="53"/>
      <c r="Z70" s="5"/>
      <c r="AA70" s="5"/>
      <c r="AB70" s="5"/>
      <c r="AC70" s="5"/>
      <c r="AD70" s="5"/>
      <c r="AE70" s="5"/>
    </row>
    <row r="71" spans="1:31" ht="31.5" customHeight="1" x14ac:dyDescent="0.3">
      <c r="A71" s="249"/>
      <c r="B71" s="27"/>
      <c r="C71" s="143"/>
      <c r="D71" s="27"/>
      <c r="E71" s="78"/>
      <c r="F71" s="79"/>
      <c r="G71" s="78"/>
      <c r="H71" s="28"/>
      <c r="I71" s="29">
        <v>0.75</v>
      </c>
      <c r="J71" s="29">
        <v>0.91666666666666663</v>
      </c>
      <c r="K71" s="51">
        <f t="shared" si="12"/>
        <v>8600.9166666666661</v>
      </c>
      <c r="L71" s="34">
        <v>0</v>
      </c>
      <c r="M71" s="52">
        <f t="shared" si="13"/>
        <v>0.16666666666666663</v>
      </c>
      <c r="N71" s="52">
        <f t="shared" si="14"/>
        <v>0</v>
      </c>
      <c r="O71" s="71" t="str">
        <f t="shared" si="15"/>
        <v/>
      </c>
      <c r="P71" s="71" t="str">
        <f t="shared" si="16"/>
        <v/>
      </c>
      <c r="Q71" s="72" t="str">
        <f t="shared" si="17"/>
        <v/>
      </c>
      <c r="S71"/>
      <c r="T71" s="53"/>
      <c r="U71" s="53"/>
      <c r="V71" s="53"/>
      <c r="W71" s="53"/>
      <c r="X71" s="53"/>
      <c r="Y71" s="53"/>
      <c r="Z71" s="5"/>
      <c r="AA71" s="5"/>
      <c r="AB71" s="5"/>
      <c r="AC71" s="5"/>
      <c r="AD71" s="5"/>
      <c r="AE71" s="5"/>
    </row>
    <row r="72" spans="1:31" ht="31.5" customHeight="1" x14ac:dyDescent="0.3">
      <c r="A72" s="249"/>
      <c r="B72" s="27"/>
      <c r="C72" s="143"/>
      <c r="D72" s="27"/>
      <c r="E72" s="78"/>
      <c r="F72" s="79"/>
      <c r="G72" s="78"/>
      <c r="H72" s="28"/>
      <c r="I72" s="29">
        <v>0.75</v>
      </c>
      <c r="J72" s="29">
        <v>0.91666666666666663</v>
      </c>
      <c r="K72" s="51">
        <f t="shared" si="12"/>
        <v>8600.9166666666661</v>
      </c>
      <c r="L72" s="34">
        <v>0</v>
      </c>
      <c r="M72" s="52">
        <f t="shared" si="13"/>
        <v>0.16666666666666663</v>
      </c>
      <c r="N72" s="52">
        <f t="shared" si="14"/>
        <v>0</v>
      </c>
      <c r="O72" s="71" t="str">
        <f t="shared" si="15"/>
        <v/>
      </c>
      <c r="P72" s="71" t="str">
        <f t="shared" si="16"/>
        <v/>
      </c>
      <c r="Q72" s="72" t="str">
        <f t="shared" si="17"/>
        <v/>
      </c>
      <c r="S72"/>
      <c r="T72" s="53"/>
      <c r="U72" s="53"/>
      <c r="V72" s="53"/>
      <c r="W72" s="53"/>
      <c r="X72" s="53"/>
      <c r="Y72" s="53"/>
      <c r="Z72" s="5"/>
      <c r="AA72" s="5"/>
      <c r="AB72" s="5"/>
      <c r="AC72" s="5"/>
      <c r="AD72" s="5"/>
      <c r="AE72" s="5"/>
    </row>
    <row r="73" spans="1:31" ht="31.5" customHeight="1" x14ac:dyDescent="0.3">
      <c r="A73" s="249"/>
      <c r="B73" s="27"/>
      <c r="C73" s="143"/>
      <c r="D73" s="27"/>
      <c r="E73" s="78"/>
      <c r="F73" s="79"/>
      <c r="G73" s="78"/>
      <c r="H73" s="28"/>
      <c r="I73" s="29">
        <v>0.75</v>
      </c>
      <c r="J73" s="29">
        <v>0.91666666666666663</v>
      </c>
      <c r="K73" s="51">
        <f t="shared" si="12"/>
        <v>8600.9166666666661</v>
      </c>
      <c r="L73" s="34">
        <v>0</v>
      </c>
      <c r="M73" s="52">
        <f t="shared" si="13"/>
        <v>0.16666666666666663</v>
      </c>
      <c r="N73" s="52">
        <f t="shared" si="14"/>
        <v>0</v>
      </c>
      <c r="O73" s="71" t="str">
        <f t="shared" si="15"/>
        <v/>
      </c>
      <c r="P73" s="71" t="str">
        <f t="shared" si="16"/>
        <v/>
      </c>
      <c r="Q73" s="72" t="str">
        <f t="shared" si="17"/>
        <v/>
      </c>
      <c r="S73"/>
      <c r="T73" s="53"/>
      <c r="U73" s="53"/>
      <c r="V73" s="53"/>
      <c r="W73" s="53"/>
      <c r="X73" s="53"/>
      <c r="Y73" s="53"/>
      <c r="Z73" s="5"/>
      <c r="AA73" s="5"/>
      <c r="AB73" s="5"/>
      <c r="AC73" s="5"/>
      <c r="AD73" s="5"/>
      <c r="AE73" s="5"/>
    </row>
    <row r="74" spans="1:31" ht="33" customHeight="1" thickBot="1" x14ac:dyDescent="0.35">
      <c r="A74" s="250"/>
      <c r="B74" s="30"/>
      <c r="C74" s="142"/>
      <c r="D74" s="30"/>
      <c r="E74" s="80"/>
      <c r="F74" s="81"/>
      <c r="G74" s="80"/>
      <c r="H74" s="31"/>
      <c r="I74" s="32"/>
      <c r="J74" s="32"/>
      <c r="K74" s="159">
        <f t="shared" si="12"/>
        <v>8600</v>
      </c>
      <c r="L74" s="158">
        <v>0</v>
      </c>
      <c r="M74" s="157" t="str">
        <f t="shared" si="13"/>
        <v/>
      </c>
      <c r="N74" s="157" t="str">
        <f t="shared" si="14"/>
        <v/>
      </c>
      <c r="O74" s="156" t="str">
        <f t="shared" si="15"/>
        <v/>
      </c>
      <c r="P74" s="156" t="str">
        <f t="shared" si="16"/>
        <v/>
      </c>
      <c r="Q74" s="155" t="str">
        <f t="shared" si="17"/>
        <v/>
      </c>
      <c r="S74"/>
      <c r="T74" s="53"/>
      <c r="U74" s="53"/>
      <c r="V74" s="53"/>
      <c r="W74" s="53"/>
      <c r="X74" s="53"/>
      <c r="Y74" s="53"/>
      <c r="Z74" s="5"/>
      <c r="AA74" s="5"/>
      <c r="AB74" s="5"/>
      <c r="AC74" s="5"/>
      <c r="AD74" s="5"/>
      <c r="AE74" s="5"/>
    </row>
    <row r="75" spans="1:31" ht="31.5" customHeight="1" x14ac:dyDescent="0.3">
      <c r="A75" s="248" t="s">
        <v>70</v>
      </c>
      <c r="B75" s="161"/>
      <c r="C75" s="162"/>
      <c r="D75" s="161"/>
      <c r="E75" s="76"/>
      <c r="F75" s="77"/>
      <c r="G75" s="76"/>
      <c r="H75" s="25"/>
      <c r="I75" s="26">
        <v>0.75</v>
      </c>
      <c r="J75" s="26">
        <v>0.9375</v>
      </c>
      <c r="K75" s="49">
        <f t="shared" si="12"/>
        <v>8600.9375</v>
      </c>
      <c r="L75" s="33">
        <v>0</v>
      </c>
      <c r="M75" s="50">
        <f t="shared" si="13"/>
        <v>0.1875</v>
      </c>
      <c r="N75" s="50">
        <f t="shared" si="14"/>
        <v>0</v>
      </c>
      <c r="O75" s="69" t="str">
        <f t="shared" si="15"/>
        <v/>
      </c>
      <c r="P75" s="69" t="str">
        <f t="shared" si="16"/>
        <v/>
      </c>
      <c r="Q75" s="70" t="str">
        <f t="shared" si="17"/>
        <v/>
      </c>
      <c r="S75"/>
      <c r="T75"/>
      <c r="U75"/>
      <c r="V75"/>
      <c r="W75"/>
      <c r="X75"/>
      <c r="Y75"/>
      <c r="Z75" s="4"/>
      <c r="AA75" s="4"/>
      <c r="AB75" s="4"/>
      <c r="AC75" s="4"/>
      <c r="AD75" s="4"/>
      <c r="AE75" s="4"/>
    </row>
    <row r="76" spans="1:31" ht="31.5" customHeight="1" x14ac:dyDescent="0.3">
      <c r="A76" s="249"/>
      <c r="B76" s="27"/>
      <c r="C76" s="143"/>
      <c r="D76" s="27"/>
      <c r="E76" s="78"/>
      <c r="F76" s="79"/>
      <c r="G76" s="78"/>
      <c r="H76" s="28"/>
      <c r="I76" s="29">
        <v>0.75</v>
      </c>
      <c r="J76" s="29">
        <v>0.89583333333333337</v>
      </c>
      <c r="K76" s="51">
        <f t="shared" si="12"/>
        <v>8600.8958333333339</v>
      </c>
      <c r="L76" s="34">
        <v>0</v>
      </c>
      <c r="M76" s="52">
        <f t="shared" si="13"/>
        <v>0.14583333333333337</v>
      </c>
      <c r="N76" s="52">
        <f t="shared" si="14"/>
        <v>0</v>
      </c>
      <c r="O76" s="71" t="str">
        <f t="shared" si="15"/>
        <v/>
      </c>
      <c r="P76" s="71" t="str">
        <f t="shared" si="16"/>
        <v/>
      </c>
      <c r="Q76" s="72" t="str">
        <f t="shared" si="17"/>
        <v/>
      </c>
      <c r="S76"/>
      <c r="T76"/>
      <c r="U76" s="53"/>
      <c r="V76" s="53"/>
      <c r="W76" s="53"/>
      <c r="X76" s="53"/>
      <c r="Y76" s="53"/>
      <c r="Z76" s="5"/>
      <c r="AA76" s="5"/>
      <c r="AB76" s="5"/>
      <c r="AC76" s="5"/>
      <c r="AD76" s="4"/>
      <c r="AE76" s="4"/>
    </row>
    <row r="77" spans="1:31" ht="31.5" customHeight="1" x14ac:dyDescent="0.3">
      <c r="A77" s="249"/>
      <c r="B77" s="27"/>
      <c r="C77" s="143"/>
      <c r="D77" s="27"/>
      <c r="E77" s="78"/>
      <c r="F77" s="79"/>
      <c r="G77" s="78"/>
      <c r="H77" s="28"/>
      <c r="I77" s="29">
        <v>0.77083333333333337</v>
      </c>
      <c r="J77" s="29">
        <v>0.89583333333333337</v>
      </c>
      <c r="K77" s="51">
        <f t="shared" si="12"/>
        <v>8600.8958333333339</v>
      </c>
      <c r="L77" s="34">
        <v>0</v>
      </c>
      <c r="M77" s="52">
        <f t="shared" si="13"/>
        <v>0.125</v>
      </c>
      <c r="N77" s="52">
        <f t="shared" si="14"/>
        <v>0</v>
      </c>
      <c r="O77" s="71" t="str">
        <f t="shared" si="15"/>
        <v/>
      </c>
      <c r="P77" s="71" t="str">
        <f t="shared" si="16"/>
        <v/>
      </c>
      <c r="Q77" s="72" t="str">
        <f t="shared" si="17"/>
        <v/>
      </c>
      <c r="S77"/>
      <c r="T77"/>
      <c r="U77" s="53"/>
      <c r="V77" s="53"/>
      <c r="W77" s="53"/>
      <c r="X77" s="53"/>
      <c r="Y77" s="53"/>
      <c r="Z77" s="5"/>
      <c r="AA77" s="5"/>
      <c r="AB77" s="5"/>
      <c r="AC77" s="5"/>
      <c r="AD77" s="4"/>
      <c r="AE77" s="4"/>
    </row>
    <row r="78" spans="1:31" ht="31.5" customHeight="1" x14ac:dyDescent="0.3">
      <c r="A78" s="249"/>
      <c r="B78" s="27"/>
      <c r="C78" s="143"/>
      <c r="D78" s="27"/>
      <c r="E78" s="78"/>
      <c r="F78" s="79"/>
      <c r="G78" s="78"/>
      <c r="H78" s="28"/>
      <c r="I78" s="29">
        <v>0.77083333333333337</v>
      </c>
      <c r="J78" s="29">
        <v>0.9375</v>
      </c>
      <c r="K78" s="51">
        <f t="shared" si="12"/>
        <v>8600.9375</v>
      </c>
      <c r="L78" s="34">
        <v>0</v>
      </c>
      <c r="M78" s="52">
        <f t="shared" si="13"/>
        <v>0.16666666666666663</v>
      </c>
      <c r="N78" s="52">
        <f t="shared" si="14"/>
        <v>0</v>
      </c>
      <c r="O78" s="71" t="str">
        <f t="shared" si="15"/>
        <v/>
      </c>
      <c r="P78" s="71" t="str">
        <f t="shared" si="16"/>
        <v/>
      </c>
      <c r="Q78" s="72" t="str">
        <f t="shared" si="17"/>
        <v/>
      </c>
      <c r="S78"/>
      <c r="T78"/>
      <c r="U78"/>
      <c r="V78"/>
      <c r="W78"/>
      <c r="X78"/>
      <c r="Y78"/>
      <c r="Z78" s="4"/>
      <c r="AA78" s="4"/>
      <c r="AB78" s="4"/>
      <c r="AC78" s="4"/>
      <c r="AD78" s="4"/>
      <c r="AE78" s="4"/>
    </row>
    <row r="79" spans="1:31" ht="31.5" customHeight="1" x14ac:dyDescent="0.3">
      <c r="A79" s="249"/>
      <c r="B79" s="27"/>
      <c r="C79" s="143"/>
      <c r="D79" s="27"/>
      <c r="E79" s="78"/>
      <c r="F79" s="79"/>
      <c r="G79" s="78"/>
      <c r="H79" s="28"/>
      <c r="I79" s="29">
        <v>0.79166666666666663</v>
      </c>
      <c r="J79" s="29">
        <v>0.91666666666666663</v>
      </c>
      <c r="K79" s="51">
        <f t="shared" si="12"/>
        <v>8600.9166666666661</v>
      </c>
      <c r="L79" s="34">
        <v>0</v>
      </c>
      <c r="M79" s="52">
        <f t="shared" si="13"/>
        <v>0.125</v>
      </c>
      <c r="N79" s="52">
        <f t="shared" si="14"/>
        <v>0</v>
      </c>
      <c r="O79" s="71" t="str">
        <f t="shared" si="15"/>
        <v/>
      </c>
      <c r="P79" s="71" t="str">
        <f t="shared" si="16"/>
        <v/>
      </c>
      <c r="Q79" s="72" t="str">
        <f t="shared" si="17"/>
        <v/>
      </c>
      <c r="S79"/>
      <c r="T79"/>
      <c r="U79"/>
      <c r="V79"/>
      <c r="W79"/>
      <c r="X79"/>
      <c r="Y79"/>
      <c r="Z79" s="4"/>
      <c r="AA79" s="4"/>
      <c r="AB79" s="4"/>
      <c r="AC79" s="4"/>
      <c r="AD79" s="4"/>
      <c r="AE79" s="4"/>
    </row>
    <row r="80" spans="1:31" ht="31.5" customHeight="1" x14ac:dyDescent="0.3">
      <c r="A80" s="249"/>
      <c r="B80" s="27"/>
      <c r="C80" s="143"/>
      <c r="D80" s="27"/>
      <c r="E80" s="78"/>
      <c r="F80" s="79"/>
      <c r="G80" s="78"/>
      <c r="H80" s="28"/>
      <c r="I80" s="29">
        <v>0.79166666666666663</v>
      </c>
      <c r="J80" s="29">
        <v>0.91666666666666663</v>
      </c>
      <c r="K80" s="51">
        <f t="shared" si="12"/>
        <v>8600.9166666666661</v>
      </c>
      <c r="L80" s="34">
        <v>0</v>
      </c>
      <c r="M80" s="52">
        <f t="shared" si="13"/>
        <v>0.125</v>
      </c>
      <c r="N80" s="52">
        <f t="shared" si="14"/>
        <v>0</v>
      </c>
      <c r="O80" s="71" t="str">
        <f t="shared" si="15"/>
        <v/>
      </c>
      <c r="P80" s="71" t="str">
        <f t="shared" si="16"/>
        <v/>
      </c>
      <c r="Q80" s="72" t="str">
        <f t="shared" si="17"/>
        <v/>
      </c>
      <c r="S80"/>
      <c r="T80"/>
      <c r="U80"/>
      <c r="V80"/>
      <c r="W80"/>
      <c r="X80"/>
      <c r="Y80"/>
      <c r="Z80" s="4"/>
      <c r="AA80" s="4"/>
      <c r="AB80" s="4"/>
      <c r="AC80" s="4"/>
      <c r="AD80" s="4"/>
      <c r="AE80" s="4"/>
    </row>
    <row r="81" spans="1:31" ht="31.5" customHeight="1" x14ac:dyDescent="0.3">
      <c r="A81" s="249"/>
      <c r="B81" s="27"/>
      <c r="C81" s="143"/>
      <c r="D81" s="27"/>
      <c r="E81" s="78"/>
      <c r="F81" s="79"/>
      <c r="G81" s="78"/>
      <c r="H81" s="28"/>
      <c r="I81" s="29">
        <v>0.79166666666666663</v>
      </c>
      <c r="J81" s="29">
        <v>0.91666666666666663</v>
      </c>
      <c r="K81" s="51">
        <f t="shared" si="12"/>
        <v>8600.9166666666661</v>
      </c>
      <c r="L81" s="34">
        <v>0</v>
      </c>
      <c r="M81" s="52">
        <f t="shared" si="13"/>
        <v>0.125</v>
      </c>
      <c r="N81" s="52">
        <f t="shared" si="14"/>
        <v>0</v>
      </c>
      <c r="O81" s="71" t="str">
        <f t="shared" si="15"/>
        <v/>
      </c>
      <c r="P81" s="71" t="str">
        <f t="shared" si="16"/>
        <v/>
      </c>
      <c r="Q81" s="72" t="str">
        <f t="shared" si="17"/>
        <v/>
      </c>
      <c r="S81"/>
      <c r="T81"/>
      <c r="U81"/>
      <c r="V81"/>
      <c r="W81"/>
      <c r="X81"/>
      <c r="Y81"/>
      <c r="Z81" s="4"/>
      <c r="AA81" s="4"/>
      <c r="AB81" s="4"/>
      <c r="AC81" s="4"/>
      <c r="AD81" s="4"/>
      <c r="AE81" s="4"/>
    </row>
    <row r="82" spans="1:31" ht="31.5" customHeight="1" x14ac:dyDescent="0.3">
      <c r="A82" s="249"/>
      <c r="B82" s="27"/>
      <c r="C82" s="143"/>
      <c r="D82" s="27"/>
      <c r="E82" s="78"/>
      <c r="F82" s="79"/>
      <c r="G82" s="78"/>
      <c r="H82" s="28"/>
      <c r="I82" s="29">
        <v>0.8125</v>
      </c>
      <c r="J82" s="29">
        <v>0.9375</v>
      </c>
      <c r="K82" s="51">
        <f t="shared" si="12"/>
        <v>8600.9375</v>
      </c>
      <c r="L82" s="34">
        <v>0</v>
      </c>
      <c r="M82" s="52">
        <f t="shared" si="13"/>
        <v>0.125</v>
      </c>
      <c r="N82" s="52">
        <f t="shared" si="14"/>
        <v>0</v>
      </c>
      <c r="O82" s="71" t="str">
        <f t="shared" si="15"/>
        <v/>
      </c>
      <c r="P82" s="71" t="str">
        <f t="shared" si="16"/>
        <v/>
      </c>
      <c r="Q82" s="72" t="str">
        <f t="shared" si="17"/>
        <v/>
      </c>
      <c r="S82"/>
      <c r="T82"/>
      <c r="U82"/>
      <c r="V82"/>
      <c r="W82"/>
      <c r="X82"/>
      <c r="Y82"/>
      <c r="Z82" s="4"/>
      <c r="AA82" s="4"/>
      <c r="AB82" s="4"/>
      <c r="AC82" s="4"/>
      <c r="AD82" s="4"/>
      <c r="AE82" s="4"/>
    </row>
    <row r="83" spans="1:31" ht="31.5" customHeight="1" x14ac:dyDescent="0.3">
      <c r="A83" s="249"/>
      <c r="B83" s="27"/>
      <c r="C83" s="143"/>
      <c r="D83" s="27"/>
      <c r="E83" s="78"/>
      <c r="F83" s="79"/>
      <c r="G83" s="78"/>
      <c r="H83" s="28"/>
      <c r="I83" s="29">
        <v>0.8125</v>
      </c>
      <c r="J83" s="29">
        <v>0.9375</v>
      </c>
      <c r="K83" s="51">
        <f t="shared" si="12"/>
        <v>8600.9375</v>
      </c>
      <c r="L83" s="34">
        <v>0</v>
      </c>
      <c r="M83" s="52">
        <f t="shared" si="13"/>
        <v>0.125</v>
      </c>
      <c r="N83" s="52">
        <f t="shared" si="14"/>
        <v>0</v>
      </c>
      <c r="O83" s="71" t="str">
        <f t="shared" si="15"/>
        <v/>
      </c>
      <c r="P83" s="71" t="str">
        <f t="shared" si="16"/>
        <v/>
      </c>
      <c r="Q83" s="72" t="str">
        <f t="shared" si="17"/>
        <v/>
      </c>
      <c r="S83"/>
      <c r="T83"/>
      <c r="U83"/>
      <c r="V83"/>
      <c r="W83"/>
      <c r="X83"/>
      <c r="Y83"/>
      <c r="Z83" s="4"/>
      <c r="AA83" s="4"/>
      <c r="AB83" s="4"/>
      <c r="AC83" s="4"/>
      <c r="AD83" s="4"/>
      <c r="AE83" s="4"/>
    </row>
    <row r="84" spans="1:31" ht="31.5" customHeight="1" x14ac:dyDescent="0.3">
      <c r="A84" s="249"/>
      <c r="B84" s="27"/>
      <c r="C84" s="143"/>
      <c r="D84" s="27"/>
      <c r="E84" s="78"/>
      <c r="F84" s="79"/>
      <c r="G84" s="78"/>
      <c r="H84" s="28"/>
      <c r="I84" s="29">
        <v>0.75</v>
      </c>
      <c r="J84" s="29">
        <v>0.91666666666666663</v>
      </c>
      <c r="K84" s="51">
        <f t="shared" si="12"/>
        <v>8600.9166666666661</v>
      </c>
      <c r="L84" s="34">
        <v>0</v>
      </c>
      <c r="M84" s="52">
        <f t="shared" si="13"/>
        <v>0.16666666666666663</v>
      </c>
      <c r="N84" s="52">
        <f t="shared" si="14"/>
        <v>0</v>
      </c>
      <c r="O84" s="71" t="str">
        <f t="shared" si="15"/>
        <v/>
      </c>
      <c r="P84" s="71" t="str">
        <f t="shared" si="16"/>
        <v/>
      </c>
      <c r="Q84" s="72" t="str">
        <f t="shared" si="17"/>
        <v/>
      </c>
      <c r="S84"/>
      <c r="T84"/>
      <c r="U84"/>
      <c r="V84"/>
      <c r="W84"/>
      <c r="X84"/>
      <c r="Y84"/>
      <c r="Z84" s="4"/>
      <c r="AA84" s="4"/>
      <c r="AB84" s="4"/>
      <c r="AC84" s="4"/>
      <c r="AD84" s="4"/>
      <c r="AE84" s="4"/>
    </row>
    <row r="85" spans="1:31" ht="31.5" customHeight="1" x14ac:dyDescent="0.3">
      <c r="A85" s="249"/>
      <c r="B85" s="27"/>
      <c r="C85" s="143"/>
      <c r="D85" s="27"/>
      <c r="E85" s="78"/>
      <c r="F85" s="79"/>
      <c r="G85" s="78"/>
      <c r="H85" s="28"/>
      <c r="I85" s="29">
        <v>0.75</v>
      </c>
      <c r="J85" s="29">
        <v>0.91666666666666663</v>
      </c>
      <c r="K85" s="51">
        <f t="shared" si="12"/>
        <v>8600.9166666666661</v>
      </c>
      <c r="L85" s="34">
        <v>0</v>
      </c>
      <c r="M85" s="52">
        <f t="shared" si="13"/>
        <v>0.16666666666666663</v>
      </c>
      <c r="N85" s="52">
        <f t="shared" si="14"/>
        <v>0</v>
      </c>
      <c r="O85" s="71" t="str">
        <f t="shared" si="15"/>
        <v/>
      </c>
      <c r="P85" s="71" t="str">
        <f t="shared" si="16"/>
        <v/>
      </c>
      <c r="Q85" s="72" t="str">
        <f t="shared" si="17"/>
        <v/>
      </c>
      <c r="S85"/>
      <c r="T85"/>
      <c r="U85"/>
      <c r="V85"/>
      <c r="W85"/>
      <c r="X85"/>
      <c r="Y85"/>
      <c r="Z85" s="4"/>
      <c r="AA85" s="4"/>
      <c r="AB85" s="4"/>
      <c r="AC85" s="4"/>
      <c r="AD85" s="4"/>
      <c r="AE85" s="4"/>
    </row>
    <row r="86" spans="1:31" ht="31.5" customHeight="1" x14ac:dyDescent="0.3">
      <c r="A86" s="249"/>
      <c r="B86" s="27"/>
      <c r="C86" s="143"/>
      <c r="D86" s="27"/>
      <c r="E86" s="78"/>
      <c r="F86" s="79"/>
      <c r="G86" s="78"/>
      <c r="H86" s="28"/>
      <c r="I86" s="29">
        <v>0.75</v>
      </c>
      <c r="J86" s="29">
        <v>0.91666666666666663</v>
      </c>
      <c r="K86" s="51">
        <f t="shared" si="12"/>
        <v>8600.9166666666661</v>
      </c>
      <c r="L86" s="34">
        <v>0</v>
      </c>
      <c r="M86" s="52">
        <f t="shared" si="13"/>
        <v>0.16666666666666663</v>
      </c>
      <c r="N86" s="52">
        <f t="shared" si="14"/>
        <v>0</v>
      </c>
      <c r="O86" s="71" t="str">
        <f t="shared" si="15"/>
        <v/>
      </c>
      <c r="P86" s="71" t="str">
        <f t="shared" si="16"/>
        <v/>
      </c>
      <c r="Q86" s="72" t="str">
        <f t="shared" si="17"/>
        <v/>
      </c>
      <c r="S86"/>
      <c r="T86"/>
      <c r="U86" s="53"/>
      <c r="V86" s="53"/>
      <c r="W86" s="53"/>
      <c r="X86" s="53"/>
      <c r="Y86" s="53"/>
      <c r="Z86" s="5"/>
      <c r="AA86" s="5"/>
      <c r="AB86" s="5"/>
      <c r="AC86" s="5"/>
      <c r="AD86" s="4"/>
      <c r="AE86" s="4"/>
    </row>
    <row r="87" spans="1:31" ht="31.5" customHeight="1" thickBot="1" x14ac:dyDescent="0.35">
      <c r="A87" s="250"/>
      <c r="B87" s="30"/>
      <c r="C87" s="142"/>
      <c r="D87" s="30"/>
      <c r="E87" s="80"/>
      <c r="F87" s="81"/>
      <c r="G87" s="80"/>
      <c r="H87" s="31"/>
      <c r="I87" s="32"/>
      <c r="J87" s="32"/>
      <c r="K87" s="159">
        <f t="shared" si="12"/>
        <v>8600</v>
      </c>
      <c r="L87" s="158">
        <v>0</v>
      </c>
      <c r="M87" s="157" t="str">
        <f t="shared" si="13"/>
        <v/>
      </c>
      <c r="N87" s="157" t="str">
        <f t="shared" si="14"/>
        <v/>
      </c>
      <c r="O87" s="156" t="str">
        <f t="shared" si="15"/>
        <v/>
      </c>
      <c r="P87" s="156" t="str">
        <f t="shared" si="16"/>
        <v/>
      </c>
      <c r="Q87" s="155" t="str">
        <f t="shared" si="17"/>
        <v/>
      </c>
      <c r="S87"/>
      <c r="T87"/>
      <c r="U87" s="53"/>
      <c r="V87" s="53"/>
      <c r="W87" s="53"/>
      <c r="X87" s="53"/>
      <c r="Y87" s="53"/>
      <c r="Z87" s="5"/>
      <c r="AA87" s="5"/>
      <c r="AB87" s="5"/>
      <c r="AC87" s="5"/>
      <c r="AD87" s="4"/>
      <c r="AE87" s="4"/>
    </row>
    <row r="88" spans="1:31" ht="31.5" customHeight="1" x14ac:dyDescent="0.3">
      <c r="A88" s="248" t="s">
        <v>71</v>
      </c>
      <c r="B88" s="161"/>
      <c r="C88" s="162"/>
      <c r="D88" s="161"/>
      <c r="E88" s="76"/>
      <c r="F88" s="77"/>
      <c r="G88" s="76"/>
      <c r="H88" s="25"/>
      <c r="I88" s="26">
        <v>0.77083333333333337</v>
      </c>
      <c r="J88" s="26">
        <v>0.9375</v>
      </c>
      <c r="K88" s="49">
        <f t="shared" si="12"/>
        <v>8600.9375</v>
      </c>
      <c r="L88" s="33">
        <v>0</v>
      </c>
      <c r="M88" s="50">
        <f t="shared" si="13"/>
        <v>0.16666666666666663</v>
      </c>
      <c r="N88" s="50">
        <f t="shared" si="14"/>
        <v>0</v>
      </c>
      <c r="O88" s="69" t="str">
        <f t="shared" si="15"/>
        <v/>
      </c>
      <c r="P88" s="69" t="str">
        <f t="shared" si="16"/>
        <v/>
      </c>
      <c r="Q88" s="70" t="str">
        <f t="shared" si="17"/>
        <v/>
      </c>
      <c r="S88"/>
      <c r="T88"/>
      <c r="U88"/>
      <c r="V88"/>
      <c r="W88"/>
      <c r="X88"/>
      <c r="Y88"/>
      <c r="Z88" s="4"/>
      <c r="AA88" s="4"/>
      <c r="AB88" s="4"/>
      <c r="AC88" s="4"/>
      <c r="AD88" s="4"/>
      <c r="AE88" s="4"/>
    </row>
    <row r="89" spans="1:31" ht="31.5" customHeight="1" x14ac:dyDescent="0.3">
      <c r="A89" s="249"/>
      <c r="B89" s="27"/>
      <c r="C89" s="143"/>
      <c r="D89" s="27"/>
      <c r="E89" s="78"/>
      <c r="F89" s="79"/>
      <c r="G89" s="78"/>
      <c r="H89" s="28"/>
      <c r="I89" s="29">
        <v>0.77083333333333337</v>
      </c>
      <c r="J89" s="29">
        <v>0.89583333333333337</v>
      </c>
      <c r="K89" s="51">
        <f t="shared" si="12"/>
        <v>8600.8958333333339</v>
      </c>
      <c r="L89" s="34">
        <v>0</v>
      </c>
      <c r="M89" s="52">
        <f t="shared" si="13"/>
        <v>0.125</v>
      </c>
      <c r="N89" s="52">
        <f t="shared" si="14"/>
        <v>0</v>
      </c>
      <c r="O89" s="71" t="str">
        <f t="shared" si="15"/>
        <v/>
      </c>
      <c r="P89" s="71" t="str">
        <f t="shared" si="16"/>
        <v/>
      </c>
      <c r="Q89" s="72" t="str">
        <f t="shared" si="17"/>
        <v/>
      </c>
      <c r="S89"/>
      <c r="T89"/>
      <c r="U89" s="53"/>
      <c r="V89" s="53"/>
      <c r="W89" s="53"/>
      <c r="X89" s="53"/>
      <c r="Y89" s="53"/>
      <c r="Z89" s="5"/>
      <c r="AA89" s="5"/>
      <c r="AB89" s="5"/>
      <c r="AC89" s="5"/>
      <c r="AD89" s="4"/>
      <c r="AE89" s="4"/>
    </row>
    <row r="90" spans="1:31" ht="31.5" customHeight="1" x14ac:dyDescent="0.3">
      <c r="A90" s="249"/>
      <c r="B90" s="27"/>
      <c r="C90" s="143"/>
      <c r="D90" s="27"/>
      <c r="E90" s="78"/>
      <c r="F90" s="79"/>
      <c r="G90" s="78"/>
      <c r="H90" s="28"/>
      <c r="I90" s="29">
        <v>0.8125</v>
      </c>
      <c r="J90" s="29">
        <v>0.9375</v>
      </c>
      <c r="K90" s="51">
        <f t="shared" si="12"/>
        <v>8600.9375</v>
      </c>
      <c r="L90" s="34">
        <v>0</v>
      </c>
      <c r="M90" s="52">
        <f t="shared" si="13"/>
        <v>0.125</v>
      </c>
      <c r="N90" s="52">
        <f t="shared" si="14"/>
        <v>0</v>
      </c>
      <c r="O90" s="71" t="str">
        <f t="shared" si="15"/>
        <v/>
      </c>
      <c r="P90" s="71" t="str">
        <f t="shared" si="16"/>
        <v/>
      </c>
      <c r="Q90" s="72" t="str">
        <f t="shared" si="17"/>
        <v/>
      </c>
      <c r="S90"/>
      <c r="T90"/>
      <c r="U90" s="53"/>
      <c r="V90" s="53"/>
      <c r="W90" s="53"/>
      <c r="X90" s="53"/>
      <c r="Y90" s="53"/>
      <c r="Z90" s="5"/>
      <c r="AA90" s="5"/>
      <c r="AB90" s="5"/>
      <c r="AC90" s="5"/>
      <c r="AD90" s="4"/>
      <c r="AE90" s="4"/>
    </row>
    <row r="91" spans="1:31" ht="31.5" customHeight="1" x14ac:dyDescent="0.3">
      <c r="A91" s="249"/>
      <c r="B91" s="27"/>
      <c r="C91" s="143"/>
      <c r="D91" s="27"/>
      <c r="E91" s="78"/>
      <c r="F91" s="79"/>
      <c r="G91" s="78"/>
      <c r="H91" s="28"/>
      <c r="I91" s="29"/>
      <c r="J91" s="29"/>
      <c r="K91" s="51">
        <f t="shared" si="12"/>
        <v>8600</v>
      </c>
      <c r="L91" s="34">
        <v>0</v>
      </c>
      <c r="M91" s="52" t="str">
        <f t="shared" si="13"/>
        <v/>
      </c>
      <c r="N91" s="52" t="str">
        <f t="shared" si="14"/>
        <v/>
      </c>
      <c r="O91" s="71" t="str">
        <f t="shared" si="15"/>
        <v/>
      </c>
      <c r="P91" s="71" t="str">
        <f t="shared" si="16"/>
        <v/>
      </c>
      <c r="Q91" s="72" t="str">
        <f t="shared" si="17"/>
        <v/>
      </c>
      <c r="S91"/>
      <c r="T91"/>
      <c r="U91"/>
      <c r="V91"/>
      <c r="W91"/>
      <c r="X91"/>
      <c r="Y91"/>
      <c r="Z91" s="4"/>
      <c r="AA91" s="4"/>
      <c r="AB91" s="4"/>
      <c r="AC91" s="4"/>
      <c r="AD91" s="4"/>
      <c r="AE91" s="4"/>
    </row>
    <row r="92" spans="1:31" ht="31.5" customHeight="1" thickBot="1" x14ac:dyDescent="0.35">
      <c r="A92" s="250"/>
      <c r="B92" s="30"/>
      <c r="C92" s="142"/>
      <c r="D92" s="30"/>
      <c r="E92" s="80"/>
      <c r="F92" s="81"/>
      <c r="G92" s="80"/>
      <c r="H92" s="31"/>
      <c r="I92" s="32"/>
      <c r="J92" s="32"/>
      <c r="K92" s="159">
        <f t="shared" si="12"/>
        <v>8600</v>
      </c>
      <c r="L92" s="158">
        <v>0</v>
      </c>
      <c r="M92" s="157" t="str">
        <f t="shared" si="13"/>
        <v/>
      </c>
      <c r="N92" s="157" t="str">
        <f t="shared" si="14"/>
        <v/>
      </c>
      <c r="O92" s="156" t="str">
        <f t="shared" si="15"/>
        <v/>
      </c>
      <c r="P92" s="156" t="str">
        <f t="shared" si="16"/>
        <v/>
      </c>
      <c r="Q92" s="155" t="str">
        <f t="shared" si="17"/>
        <v/>
      </c>
      <c r="S92"/>
      <c r="T92"/>
      <c r="U92"/>
      <c r="V92"/>
      <c r="W92"/>
      <c r="X92"/>
      <c r="Y92"/>
      <c r="Z92" s="4"/>
      <c r="AA92" s="4"/>
      <c r="AB92" s="4"/>
      <c r="AC92" s="4"/>
      <c r="AD92" s="4"/>
      <c r="AE92" s="4"/>
    </row>
    <row r="93" spans="1:31" ht="31.5" customHeight="1" x14ac:dyDescent="0.3">
      <c r="A93" s="248" t="s">
        <v>72</v>
      </c>
      <c r="B93" s="161"/>
      <c r="C93" s="162"/>
      <c r="D93" s="161"/>
      <c r="E93" s="76"/>
      <c r="F93" s="77"/>
      <c r="G93" s="76"/>
      <c r="H93" s="25"/>
      <c r="I93" s="26">
        <v>0.77083333333333337</v>
      </c>
      <c r="J93" s="26">
        <v>0.9375</v>
      </c>
      <c r="K93" s="49">
        <f t="shared" si="12"/>
        <v>8600.9375</v>
      </c>
      <c r="L93" s="33">
        <v>0</v>
      </c>
      <c r="M93" s="50">
        <f t="shared" si="13"/>
        <v>0.16666666666666663</v>
      </c>
      <c r="N93" s="50">
        <f t="shared" si="14"/>
        <v>0</v>
      </c>
      <c r="O93" s="69" t="str">
        <f t="shared" si="15"/>
        <v/>
      </c>
      <c r="P93" s="69" t="str">
        <f t="shared" si="16"/>
        <v/>
      </c>
      <c r="Q93" s="70" t="str">
        <f t="shared" si="17"/>
        <v/>
      </c>
      <c r="S93"/>
      <c r="T93"/>
      <c r="U93"/>
      <c r="V93"/>
      <c r="W93"/>
      <c r="X93"/>
      <c r="Y93"/>
      <c r="Z93" s="4"/>
      <c r="AA93" s="4"/>
      <c r="AB93" s="4"/>
      <c r="AC93" s="4"/>
      <c r="AD93" s="4"/>
      <c r="AE93" s="4"/>
    </row>
    <row r="94" spans="1:31" ht="31.5" customHeight="1" x14ac:dyDescent="0.3">
      <c r="A94" s="249"/>
      <c r="B94" s="27"/>
      <c r="C94" s="143"/>
      <c r="D94" s="27"/>
      <c r="E94" s="78"/>
      <c r="F94" s="79"/>
      <c r="G94" s="78"/>
      <c r="H94" s="28"/>
      <c r="I94" s="29">
        <v>0.77083333333333337</v>
      </c>
      <c r="J94" s="29">
        <v>0.89583333333333337</v>
      </c>
      <c r="K94" s="51">
        <f t="shared" si="12"/>
        <v>8600.8958333333339</v>
      </c>
      <c r="L94" s="34">
        <v>0</v>
      </c>
      <c r="M94" s="52">
        <f t="shared" si="13"/>
        <v>0.125</v>
      </c>
      <c r="N94" s="52">
        <f t="shared" si="14"/>
        <v>0</v>
      </c>
      <c r="O94" s="71" t="str">
        <f t="shared" si="15"/>
        <v/>
      </c>
      <c r="P94" s="71" t="str">
        <f t="shared" si="16"/>
        <v/>
      </c>
      <c r="Q94" s="72" t="str">
        <f t="shared" si="17"/>
        <v/>
      </c>
      <c r="S94"/>
      <c r="T94"/>
      <c r="U94"/>
      <c r="V94"/>
      <c r="W94"/>
      <c r="X94"/>
      <c r="Y94"/>
      <c r="Z94" s="4"/>
      <c r="AA94" s="4"/>
      <c r="AB94" s="4"/>
      <c r="AC94" s="4"/>
      <c r="AD94" s="4"/>
      <c r="AE94" s="4"/>
    </row>
    <row r="95" spans="1:31" ht="31.5" customHeight="1" x14ac:dyDescent="0.3">
      <c r="A95" s="249"/>
      <c r="B95" s="27"/>
      <c r="C95" s="143"/>
      <c r="D95" s="27"/>
      <c r="E95" s="78"/>
      <c r="F95" s="79"/>
      <c r="G95" s="78"/>
      <c r="H95" s="28"/>
      <c r="I95" s="29">
        <v>0.8125</v>
      </c>
      <c r="J95" s="29">
        <v>0.9375</v>
      </c>
      <c r="K95" s="51">
        <f t="shared" si="12"/>
        <v>8600.9375</v>
      </c>
      <c r="L95" s="34">
        <v>0</v>
      </c>
      <c r="M95" s="52">
        <f t="shared" si="13"/>
        <v>0.125</v>
      </c>
      <c r="N95" s="52">
        <f t="shared" si="14"/>
        <v>0</v>
      </c>
      <c r="O95" s="71" t="str">
        <f t="shared" si="15"/>
        <v/>
      </c>
      <c r="P95" s="71" t="str">
        <f t="shared" si="16"/>
        <v/>
      </c>
      <c r="Q95" s="72" t="str">
        <f t="shared" si="17"/>
        <v/>
      </c>
      <c r="S95"/>
      <c r="T95"/>
      <c r="U95"/>
      <c r="V95"/>
      <c r="W95"/>
      <c r="X95"/>
      <c r="Y95"/>
      <c r="Z95" s="4"/>
      <c r="AA95" s="4"/>
      <c r="AB95" s="4"/>
      <c r="AC95" s="4"/>
      <c r="AD95" s="4"/>
      <c r="AE95" s="4"/>
    </row>
    <row r="96" spans="1:31" ht="31.5" customHeight="1" x14ac:dyDescent="0.3">
      <c r="A96" s="249"/>
      <c r="B96" s="27"/>
      <c r="C96" s="143"/>
      <c r="D96" s="27"/>
      <c r="E96" s="78"/>
      <c r="F96" s="79"/>
      <c r="G96" s="78"/>
      <c r="H96" s="28"/>
      <c r="I96" s="29"/>
      <c r="J96" s="29"/>
      <c r="K96" s="51">
        <f t="shared" si="12"/>
        <v>8600</v>
      </c>
      <c r="L96" s="34">
        <v>0</v>
      </c>
      <c r="M96" s="52" t="str">
        <f t="shared" si="13"/>
        <v/>
      </c>
      <c r="N96" s="52" t="str">
        <f t="shared" si="14"/>
        <v/>
      </c>
      <c r="O96" s="71" t="str">
        <f t="shared" si="15"/>
        <v/>
      </c>
      <c r="P96" s="71" t="str">
        <f t="shared" si="16"/>
        <v/>
      </c>
      <c r="Q96" s="72" t="str">
        <f t="shared" si="17"/>
        <v/>
      </c>
      <c r="S96"/>
      <c r="T96"/>
      <c r="U96" s="53"/>
      <c r="V96" s="53"/>
      <c r="W96" s="53"/>
      <c r="X96" s="53"/>
      <c r="Y96" s="53"/>
      <c r="Z96" s="5"/>
      <c r="AA96" s="5"/>
      <c r="AB96" s="5"/>
      <c r="AC96" s="5"/>
      <c r="AD96" s="4"/>
      <c r="AE96" s="4"/>
    </row>
    <row r="97" spans="1:31" ht="31.5" customHeight="1" thickBot="1" x14ac:dyDescent="0.35">
      <c r="A97" s="250"/>
      <c r="B97" s="30"/>
      <c r="C97" s="142"/>
      <c r="D97" s="30"/>
      <c r="E97" s="80"/>
      <c r="F97" s="81"/>
      <c r="G97" s="80"/>
      <c r="H97" s="31"/>
      <c r="I97" s="32"/>
      <c r="J97" s="32"/>
      <c r="K97" s="159">
        <f t="shared" si="12"/>
        <v>8600</v>
      </c>
      <c r="L97" s="158">
        <v>0</v>
      </c>
      <c r="M97" s="157" t="str">
        <f t="shared" si="13"/>
        <v/>
      </c>
      <c r="N97" s="157" t="str">
        <f t="shared" si="14"/>
        <v/>
      </c>
      <c r="O97" s="156" t="str">
        <f t="shared" si="15"/>
        <v/>
      </c>
      <c r="P97" s="156" t="str">
        <f t="shared" si="16"/>
        <v/>
      </c>
      <c r="Q97" s="155" t="str">
        <f t="shared" si="17"/>
        <v/>
      </c>
      <c r="S97"/>
      <c r="T97"/>
      <c r="U97" s="53"/>
      <c r="V97" s="53"/>
      <c r="W97" s="53"/>
      <c r="X97" s="53"/>
      <c r="Y97" s="53"/>
      <c r="Z97" s="5"/>
      <c r="AA97" s="5"/>
      <c r="AB97" s="5"/>
      <c r="AC97" s="5"/>
      <c r="AD97" s="4"/>
      <c r="AE97" s="4"/>
    </row>
    <row r="98" spans="1:31" ht="31.5" customHeight="1" x14ac:dyDescent="0.3">
      <c r="A98" s="248" t="s">
        <v>73</v>
      </c>
      <c r="B98" s="161"/>
      <c r="C98" s="162"/>
      <c r="D98" s="161"/>
      <c r="E98" s="76"/>
      <c r="F98" s="77"/>
      <c r="G98" s="76"/>
      <c r="H98" s="25"/>
      <c r="I98" s="26">
        <v>0.77083333333333337</v>
      </c>
      <c r="J98" s="26">
        <v>0.9375</v>
      </c>
      <c r="K98" s="49">
        <f t="shared" si="12"/>
        <v>8600.9375</v>
      </c>
      <c r="L98" s="33">
        <v>0</v>
      </c>
      <c r="M98" s="50">
        <f t="shared" si="13"/>
        <v>0.16666666666666663</v>
      </c>
      <c r="N98" s="50">
        <f t="shared" si="14"/>
        <v>0</v>
      </c>
      <c r="O98" s="69" t="str">
        <f t="shared" si="15"/>
        <v/>
      </c>
      <c r="P98" s="69" t="str">
        <f t="shared" si="16"/>
        <v/>
      </c>
      <c r="Q98" s="70" t="str">
        <f t="shared" si="17"/>
        <v/>
      </c>
      <c r="S98"/>
      <c r="T98"/>
      <c r="U98"/>
      <c r="V98"/>
      <c r="W98"/>
      <c r="X98"/>
      <c r="Y98"/>
      <c r="Z98" s="4"/>
      <c r="AA98" s="4"/>
      <c r="AB98" s="4"/>
      <c r="AC98" s="4"/>
      <c r="AD98" s="4"/>
      <c r="AE98" s="4"/>
    </row>
    <row r="99" spans="1:31" ht="31.5" customHeight="1" x14ac:dyDescent="0.3">
      <c r="A99" s="249"/>
      <c r="B99" s="27"/>
      <c r="C99" s="143"/>
      <c r="D99" s="27"/>
      <c r="E99" s="78"/>
      <c r="F99" s="79"/>
      <c r="G99" s="78"/>
      <c r="H99" s="28"/>
      <c r="I99" s="29">
        <v>0.77083333333333337</v>
      </c>
      <c r="J99" s="29">
        <v>0.89583333333333337</v>
      </c>
      <c r="K99" s="51">
        <f t="shared" si="12"/>
        <v>8600.8958333333339</v>
      </c>
      <c r="L99" s="34">
        <v>0</v>
      </c>
      <c r="M99" s="52">
        <f t="shared" si="13"/>
        <v>0.125</v>
      </c>
      <c r="N99" s="52">
        <f t="shared" si="14"/>
        <v>0</v>
      </c>
      <c r="O99" s="71" t="str">
        <f t="shared" si="15"/>
        <v/>
      </c>
      <c r="P99" s="71" t="str">
        <f t="shared" si="16"/>
        <v/>
      </c>
      <c r="Q99" s="72" t="str">
        <f t="shared" si="17"/>
        <v/>
      </c>
      <c r="S99"/>
      <c r="T99"/>
      <c r="U99" s="53"/>
      <c r="V99" s="53"/>
      <c r="W99" s="53"/>
      <c r="X99" s="53"/>
      <c r="Y99" s="53"/>
      <c r="Z99" s="5"/>
      <c r="AA99" s="5"/>
      <c r="AB99" s="5"/>
      <c r="AC99" s="5"/>
      <c r="AD99" s="4"/>
      <c r="AE99" s="4"/>
    </row>
    <row r="100" spans="1:31" ht="31.5" customHeight="1" x14ac:dyDescent="0.3">
      <c r="A100" s="249"/>
      <c r="B100" s="27"/>
      <c r="C100" s="143"/>
      <c r="D100" s="27"/>
      <c r="E100" s="78"/>
      <c r="F100" s="79"/>
      <c r="G100" s="78"/>
      <c r="H100" s="28"/>
      <c r="I100" s="29">
        <v>0.8125</v>
      </c>
      <c r="J100" s="29">
        <v>0.9375</v>
      </c>
      <c r="K100" s="51">
        <f t="shared" si="12"/>
        <v>8600.9375</v>
      </c>
      <c r="L100" s="34">
        <v>0</v>
      </c>
      <c r="M100" s="52">
        <f t="shared" si="13"/>
        <v>0.125</v>
      </c>
      <c r="N100" s="52">
        <f t="shared" si="14"/>
        <v>0</v>
      </c>
      <c r="O100" s="71" t="str">
        <f t="shared" si="15"/>
        <v/>
      </c>
      <c r="P100" s="71" t="str">
        <f t="shared" si="16"/>
        <v/>
      </c>
      <c r="Q100" s="72" t="str">
        <f t="shared" si="17"/>
        <v/>
      </c>
      <c r="S100"/>
      <c r="T100"/>
      <c r="U100" s="53"/>
      <c r="V100" s="53"/>
      <c r="W100" s="53"/>
      <c r="X100" s="53"/>
      <c r="Y100" s="53"/>
      <c r="Z100" s="5"/>
      <c r="AA100" s="5"/>
      <c r="AB100" s="5"/>
      <c r="AC100" s="5"/>
      <c r="AD100" s="4"/>
      <c r="AE100" s="4"/>
    </row>
    <row r="101" spans="1:31" ht="31.5" customHeight="1" x14ac:dyDescent="0.3">
      <c r="A101" s="249"/>
      <c r="B101" s="27"/>
      <c r="C101" s="143"/>
      <c r="D101" s="27"/>
      <c r="E101" s="78"/>
      <c r="F101" s="79"/>
      <c r="G101" s="78"/>
      <c r="H101" s="28"/>
      <c r="I101" s="29"/>
      <c r="J101" s="29"/>
      <c r="K101" s="51">
        <f t="shared" ref="K101:K132" si="18">J101+$Y$4</f>
        <v>8600</v>
      </c>
      <c r="L101" s="34">
        <v>0</v>
      </c>
      <c r="M101" s="52" t="str">
        <f t="shared" ref="M101:M132" si="19">IF($I101="","",IF($J101&lt;$I101,($J101+86400)-$I101-$L101,$J101-$I101-$L101))</f>
        <v/>
      </c>
      <c r="N101" s="52" t="str">
        <f t="shared" ref="N101:N132" si="20">IF(J101="","",IF(AND($U$4&lt;=(J101-$T$4),(J101-$T$4)&lt;=$V$4),(K101-$T$4),"00:00")+IF(AND($W$4&lt;=(J101-$T$4),(J101-$T$4)&lt;=$X$4),(J101-$T$4),"00:00")+IF(($S$4-I101)&lt;0,"00:00",($S$4-I101)))</f>
        <v/>
      </c>
      <c r="O101" s="71" t="str">
        <f t="shared" ref="O101:O132" si="21">IF($C101="","",(HOUR($M101)*60+MINUTE($M101))/60)</f>
        <v/>
      </c>
      <c r="P101" s="71" t="str">
        <f t="shared" ref="P101:P132" si="22">IF(O101="","",O101-Q101)</f>
        <v/>
      </c>
      <c r="Q101" s="72" t="str">
        <f t="shared" ref="Q101:Q132" si="23">IF($C101="","",(HOUR($N101)*60+MINUTE($N101))/60)</f>
        <v/>
      </c>
      <c r="S101"/>
      <c r="T101"/>
      <c r="U101"/>
      <c r="V101"/>
      <c r="W101"/>
      <c r="X101"/>
      <c r="Y101"/>
      <c r="Z101" s="4"/>
      <c r="AA101" s="4"/>
      <c r="AB101" s="4"/>
      <c r="AC101" s="4"/>
      <c r="AD101" s="4"/>
      <c r="AE101" s="4"/>
    </row>
    <row r="102" spans="1:31" ht="31.5" customHeight="1" thickBot="1" x14ac:dyDescent="0.35">
      <c r="A102" s="250"/>
      <c r="B102" s="30"/>
      <c r="C102" s="142"/>
      <c r="D102" s="30"/>
      <c r="E102" s="80"/>
      <c r="F102" s="81"/>
      <c r="G102" s="80"/>
      <c r="H102" s="31"/>
      <c r="I102" s="32"/>
      <c r="J102" s="32"/>
      <c r="K102" s="159">
        <f t="shared" si="18"/>
        <v>8600</v>
      </c>
      <c r="L102" s="158">
        <v>0</v>
      </c>
      <c r="M102" s="157" t="str">
        <f t="shared" si="19"/>
        <v/>
      </c>
      <c r="N102" s="157" t="str">
        <f t="shared" si="20"/>
        <v/>
      </c>
      <c r="O102" s="156" t="str">
        <f t="shared" si="21"/>
        <v/>
      </c>
      <c r="P102" s="156" t="str">
        <f t="shared" si="22"/>
        <v/>
      </c>
      <c r="Q102" s="155" t="str">
        <f t="shared" si="23"/>
        <v/>
      </c>
      <c r="S102"/>
      <c r="T102"/>
      <c r="U102"/>
      <c r="V102"/>
      <c r="W102"/>
      <c r="X102"/>
      <c r="Y102"/>
      <c r="Z102" s="4"/>
      <c r="AA102" s="4"/>
      <c r="AB102" s="4"/>
      <c r="AC102" s="4"/>
      <c r="AD102" s="4"/>
      <c r="AE102" s="4"/>
    </row>
    <row r="103" spans="1:31" ht="31.5" customHeight="1" x14ac:dyDescent="0.3">
      <c r="A103" s="248" t="s">
        <v>74</v>
      </c>
      <c r="B103" s="161"/>
      <c r="C103" s="162"/>
      <c r="D103" s="161"/>
      <c r="E103" s="76"/>
      <c r="F103" s="77"/>
      <c r="G103" s="76"/>
      <c r="H103" s="25"/>
      <c r="I103" s="26">
        <v>0.77083333333333337</v>
      </c>
      <c r="J103" s="26">
        <v>0.9375</v>
      </c>
      <c r="K103" s="49">
        <f t="shared" si="18"/>
        <v>8600.9375</v>
      </c>
      <c r="L103" s="33">
        <v>0</v>
      </c>
      <c r="M103" s="50">
        <f t="shared" si="19"/>
        <v>0.16666666666666663</v>
      </c>
      <c r="N103" s="50">
        <f t="shared" si="20"/>
        <v>0</v>
      </c>
      <c r="O103" s="69" t="str">
        <f t="shared" si="21"/>
        <v/>
      </c>
      <c r="P103" s="69" t="str">
        <f t="shared" si="22"/>
        <v/>
      </c>
      <c r="Q103" s="70" t="str">
        <f t="shared" si="23"/>
        <v/>
      </c>
      <c r="S103"/>
      <c r="T103"/>
      <c r="U103"/>
      <c r="V103"/>
      <c r="W103"/>
      <c r="X103"/>
      <c r="Y103"/>
      <c r="Z103" s="4"/>
      <c r="AA103" s="4"/>
      <c r="AB103" s="4"/>
      <c r="AC103" s="4"/>
      <c r="AD103" s="4"/>
      <c r="AE103" s="4"/>
    </row>
    <row r="104" spans="1:31" ht="31.5" customHeight="1" x14ac:dyDescent="0.3">
      <c r="A104" s="249"/>
      <c r="B104" s="27"/>
      <c r="C104" s="143"/>
      <c r="D104" s="27"/>
      <c r="E104" s="78"/>
      <c r="F104" s="79"/>
      <c r="G104" s="78"/>
      <c r="H104" s="28"/>
      <c r="I104" s="29">
        <v>0.77083333333333337</v>
      </c>
      <c r="J104" s="29">
        <v>0.89583333333333337</v>
      </c>
      <c r="K104" s="51">
        <f t="shared" si="18"/>
        <v>8600.8958333333339</v>
      </c>
      <c r="L104" s="34">
        <v>0</v>
      </c>
      <c r="M104" s="52">
        <f t="shared" si="19"/>
        <v>0.125</v>
      </c>
      <c r="N104" s="52">
        <f t="shared" si="20"/>
        <v>0</v>
      </c>
      <c r="O104" s="71" t="str">
        <f t="shared" si="21"/>
        <v/>
      </c>
      <c r="P104" s="71" t="str">
        <f t="shared" si="22"/>
        <v/>
      </c>
      <c r="Q104" s="72" t="str">
        <f t="shared" si="23"/>
        <v/>
      </c>
      <c r="S104"/>
      <c r="T104"/>
      <c r="U104"/>
      <c r="V104"/>
      <c r="W104"/>
      <c r="X104"/>
      <c r="Y104"/>
      <c r="Z104" s="4"/>
      <c r="AA104" s="4"/>
      <c r="AB104" s="4"/>
      <c r="AC104" s="4"/>
      <c r="AD104" s="4"/>
      <c r="AE104" s="4"/>
    </row>
    <row r="105" spans="1:31" ht="31.5" customHeight="1" x14ac:dyDescent="0.3">
      <c r="A105" s="249"/>
      <c r="B105" s="27"/>
      <c r="C105" s="143"/>
      <c r="D105" s="27"/>
      <c r="E105" s="78"/>
      <c r="F105" s="79"/>
      <c r="G105" s="78"/>
      <c r="H105" s="28"/>
      <c r="I105" s="29">
        <v>0.8125</v>
      </c>
      <c r="J105" s="29">
        <v>0.9375</v>
      </c>
      <c r="K105" s="51">
        <f t="shared" si="18"/>
        <v>8600.9375</v>
      </c>
      <c r="L105" s="34">
        <v>0</v>
      </c>
      <c r="M105" s="52">
        <f t="shared" si="19"/>
        <v>0.125</v>
      </c>
      <c r="N105" s="52">
        <f t="shared" si="20"/>
        <v>0</v>
      </c>
      <c r="O105" s="71" t="str">
        <f t="shared" si="21"/>
        <v/>
      </c>
      <c r="P105" s="71" t="str">
        <f t="shared" si="22"/>
        <v/>
      </c>
      <c r="Q105" s="72" t="str">
        <f t="shared" si="23"/>
        <v/>
      </c>
      <c r="S105"/>
      <c r="T105"/>
      <c r="U105" s="53"/>
      <c r="V105" s="53"/>
      <c r="W105" s="53"/>
      <c r="X105" s="53"/>
      <c r="Y105" s="53"/>
      <c r="Z105" s="5"/>
      <c r="AA105" s="5"/>
      <c r="AB105" s="5"/>
      <c r="AC105" s="5"/>
      <c r="AD105" s="4"/>
      <c r="AE105" s="4"/>
    </row>
    <row r="106" spans="1:31" ht="31.5" customHeight="1" x14ac:dyDescent="0.3">
      <c r="A106" s="249"/>
      <c r="B106" s="27"/>
      <c r="C106" s="143"/>
      <c r="D106" s="27"/>
      <c r="E106" s="78"/>
      <c r="F106" s="79"/>
      <c r="G106" s="78"/>
      <c r="H106" s="28"/>
      <c r="I106" s="29"/>
      <c r="J106" s="29"/>
      <c r="K106" s="51">
        <f t="shared" si="18"/>
        <v>8600</v>
      </c>
      <c r="L106" s="34">
        <v>0</v>
      </c>
      <c r="M106" s="52" t="str">
        <f t="shared" si="19"/>
        <v/>
      </c>
      <c r="N106" s="52" t="str">
        <f t="shared" si="20"/>
        <v/>
      </c>
      <c r="O106" s="71" t="str">
        <f t="shared" si="21"/>
        <v/>
      </c>
      <c r="P106" s="71" t="str">
        <f t="shared" si="22"/>
        <v/>
      </c>
      <c r="Q106" s="72" t="str">
        <f t="shared" si="23"/>
        <v/>
      </c>
      <c r="S106"/>
      <c r="T106"/>
      <c r="U106" s="53"/>
      <c r="V106" s="53"/>
      <c r="W106" s="53"/>
      <c r="X106" s="53"/>
      <c r="Y106" s="53"/>
      <c r="Z106" s="5"/>
      <c r="AA106" s="5"/>
      <c r="AB106" s="5"/>
      <c r="AC106" s="5"/>
      <c r="AD106" s="4"/>
      <c r="AE106" s="4"/>
    </row>
    <row r="107" spans="1:31" ht="31.5" customHeight="1" thickBot="1" x14ac:dyDescent="0.35">
      <c r="A107" s="250"/>
      <c r="B107" s="30"/>
      <c r="C107" s="142"/>
      <c r="D107" s="30"/>
      <c r="E107" s="80"/>
      <c r="F107" s="81"/>
      <c r="G107" s="80"/>
      <c r="H107" s="31"/>
      <c r="I107" s="32"/>
      <c r="J107" s="32"/>
      <c r="K107" s="159">
        <f t="shared" si="18"/>
        <v>8600</v>
      </c>
      <c r="L107" s="158">
        <v>0</v>
      </c>
      <c r="M107" s="157" t="str">
        <f t="shared" si="19"/>
        <v/>
      </c>
      <c r="N107" s="157" t="str">
        <f t="shared" si="20"/>
        <v/>
      </c>
      <c r="O107" s="156" t="str">
        <f t="shared" si="21"/>
        <v/>
      </c>
      <c r="P107" s="156" t="str">
        <f t="shared" si="22"/>
        <v/>
      </c>
      <c r="Q107" s="155" t="str">
        <f t="shared" si="23"/>
        <v/>
      </c>
      <c r="S107"/>
      <c r="T107"/>
      <c r="U107" s="53"/>
      <c r="V107" s="53"/>
      <c r="W107" s="53"/>
      <c r="X107" s="53"/>
      <c r="Y107" s="53"/>
      <c r="Z107" s="5"/>
      <c r="AA107" s="5"/>
      <c r="AB107" s="5"/>
      <c r="AC107" s="5"/>
      <c r="AD107" s="4"/>
      <c r="AE107" s="4"/>
    </row>
    <row r="108" spans="1:31" ht="31.5" customHeight="1" x14ac:dyDescent="0.3">
      <c r="A108" s="242" t="s">
        <v>75</v>
      </c>
      <c r="B108" s="161"/>
      <c r="C108" s="162"/>
      <c r="D108" s="161"/>
      <c r="E108" s="76"/>
      <c r="F108" s="77"/>
      <c r="G108" s="76"/>
      <c r="H108" s="25"/>
      <c r="I108" s="26">
        <v>0.75</v>
      </c>
      <c r="J108" s="26">
        <v>0.9375</v>
      </c>
      <c r="K108" s="49">
        <f t="shared" si="18"/>
        <v>8600.9375</v>
      </c>
      <c r="L108" s="33">
        <v>0</v>
      </c>
      <c r="M108" s="50">
        <f t="shared" si="19"/>
        <v>0.1875</v>
      </c>
      <c r="N108" s="50">
        <f t="shared" si="20"/>
        <v>0</v>
      </c>
      <c r="O108" s="69" t="str">
        <f t="shared" si="21"/>
        <v/>
      </c>
      <c r="P108" s="69" t="str">
        <f t="shared" si="22"/>
        <v/>
      </c>
      <c r="Q108" s="70" t="str">
        <f t="shared" si="23"/>
        <v/>
      </c>
      <c r="S108"/>
      <c r="T108"/>
      <c r="U108"/>
      <c r="V108"/>
      <c r="W108"/>
      <c r="X108"/>
      <c r="Y108"/>
      <c r="Z108" s="4"/>
      <c r="AA108" s="4"/>
      <c r="AB108" s="4"/>
      <c r="AC108" s="4"/>
      <c r="AD108" s="4"/>
      <c r="AE108" s="4"/>
    </row>
    <row r="109" spans="1:31" ht="31.5" customHeight="1" x14ac:dyDescent="0.3">
      <c r="A109" s="243"/>
      <c r="B109" s="27"/>
      <c r="C109" s="143"/>
      <c r="D109" s="27"/>
      <c r="E109" s="78"/>
      <c r="F109" s="79"/>
      <c r="G109" s="78"/>
      <c r="H109" s="28"/>
      <c r="I109" s="29">
        <v>0.75</v>
      </c>
      <c r="J109" s="29">
        <v>0.89583333333333337</v>
      </c>
      <c r="K109" s="51">
        <f t="shared" si="18"/>
        <v>8600.8958333333339</v>
      </c>
      <c r="L109" s="34">
        <v>0</v>
      </c>
      <c r="M109" s="52">
        <f t="shared" si="19"/>
        <v>0.14583333333333337</v>
      </c>
      <c r="N109" s="52">
        <f t="shared" si="20"/>
        <v>0</v>
      </c>
      <c r="O109" s="71" t="str">
        <f t="shared" si="21"/>
        <v/>
      </c>
      <c r="P109" s="71" t="str">
        <f t="shared" si="22"/>
        <v/>
      </c>
      <c r="Q109" s="72" t="str">
        <f t="shared" si="23"/>
        <v/>
      </c>
      <c r="S109"/>
      <c r="T109"/>
      <c r="U109"/>
      <c r="V109"/>
      <c r="W109"/>
      <c r="X109"/>
      <c r="Y109"/>
      <c r="Z109" s="4"/>
      <c r="AA109" s="4"/>
      <c r="AB109" s="4"/>
      <c r="AC109" s="4"/>
      <c r="AD109" s="4"/>
      <c r="AE109" s="4"/>
    </row>
    <row r="110" spans="1:31" ht="31.5" customHeight="1" x14ac:dyDescent="0.3">
      <c r="A110" s="243"/>
      <c r="B110" s="27"/>
      <c r="C110" s="143"/>
      <c r="D110" s="27"/>
      <c r="E110" s="78"/>
      <c r="F110" s="79"/>
      <c r="G110" s="78"/>
      <c r="H110" s="28"/>
      <c r="I110" s="29">
        <v>0.77083333333333337</v>
      </c>
      <c r="J110" s="29">
        <v>0.89583333333333337</v>
      </c>
      <c r="K110" s="51">
        <f t="shared" si="18"/>
        <v>8600.8958333333339</v>
      </c>
      <c r="L110" s="34">
        <v>0</v>
      </c>
      <c r="M110" s="52">
        <f t="shared" si="19"/>
        <v>0.125</v>
      </c>
      <c r="N110" s="52">
        <f t="shared" si="20"/>
        <v>0</v>
      </c>
      <c r="O110" s="71" t="str">
        <f t="shared" si="21"/>
        <v/>
      </c>
      <c r="P110" s="71" t="str">
        <f t="shared" si="22"/>
        <v/>
      </c>
      <c r="Q110" s="72" t="str">
        <f t="shared" si="23"/>
        <v/>
      </c>
      <c r="S110"/>
      <c r="T110"/>
      <c r="U110"/>
      <c r="V110"/>
      <c r="W110"/>
      <c r="X110"/>
      <c r="Y110"/>
      <c r="Z110" s="4"/>
      <c r="AA110" s="4"/>
      <c r="AB110" s="4"/>
      <c r="AC110" s="4"/>
      <c r="AD110" s="4"/>
      <c r="AE110" s="4"/>
    </row>
    <row r="111" spans="1:31" ht="31.5" customHeight="1" x14ac:dyDescent="0.3">
      <c r="A111" s="243"/>
      <c r="B111" s="27"/>
      <c r="C111" s="143"/>
      <c r="D111" s="27"/>
      <c r="E111" s="78"/>
      <c r="F111" s="79"/>
      <c r="G111" s="78"/>
      <c r="H111" s="28"/>
      <c r="I111" s="29">
        <v>0.77083333333333337</v>
      </c>
      <c r="J111" s="29">
        <v>0.9375</v>
      </c>
      <c r="K111" s="51">
        <f t="shared" si="18"/>
        <v>8600.9375</v>
      </c>
      <c r="L111" s="34">
        <v>0</v>
      </c>
      <c r="M111" s="52">
        <f t="shared" si="19"/>
        <v>0.16666666666666663</v>
      </c>
      <c r="N111" s="52">
        <f t="shared" si="20"/>
        <v>0</v>
      </c>
      <c r="O111" s="71" t="str">
        <f t="shared" si="21"/>
        <v/>
      </c>
      <c r="P111" s="71" t="str">
        <f t="shared" si="22"/>
        <v/>
      </c>
      <c r="Q111" s="72" t="str">
        <f t="shared" si="23"/>
        <v/>
      </c>
      <c r="S111"/>
      <c r="T111"/>
      <c r="U111"/>
      <c r="V111"/>
      <c r="W111"/>
      <c r="X111"/>
      <c r="Y111"/>
      <c r="Z111" s="4"/>
      <c r="AA111" s="4"/>
      <c r="AB111" s="4"/>
      <c r="AC111" s="4"/>
      <c r="AD111" s="4"/>
      <c r="AE111" s="4"/>
    </row>
    <row r="112" spans="1:31" ht="31.5" customHeight="1" x14ac:dyDescent="0.3">
      <c r="A112" s="243"/>
      <c r="B112" s="27"/>
      <c r="C112" s="143"/>
      <c r="D112" s="27"/>
      <c r="E112" s="78"/>
      <c r="F112" s="79"/>
      <c r="G112" s="78"/>
      <c r="H112" s="28"/>
      <c r="I112" s="29">
        <v>0.79166666666666663</v>
      </c>
      <c r="J112" s="29">
        <v>0.91666666666666663</v>
      </c>
      <c r="K112" s="51">
        <f t="shared" si="18"/>
        <v>8600.9166666666661</v>
      </c>
      <c r="L112" s="34">
        <v>0</v>
      </c>
      <c r="M112" s="52">
        <f t="shared" si="19"/>
        <v>0.125</v>
      </c>
      <c r="N112" s="52">
        <f t="shared" si="20"/>
        <v>0</v>
      </c>
      <c r="O112" s="71" t="str">
        <f t="shared" si="21"/>
        <v/>
      </c>
      <c r="P112" s="71" t="str">
        <f t="shared" si="22"/>
        <v/>
      </c>
      <c r="Q112" s="72" t="str">
        <f t="shared" si="23"/>
        <v/>
      </c>
      <c r="S112"/>
      <c r="T112" s="53"/>
      <c r="U112" s="53"/>
      <c r="V112" s="53"/>
      <c r="W112" s="53"/>
      <c r="X112" s="53"/>
      <c r="Y112" s="53"/>
      <c r="Z112" s="5"/>
      <c r="AA112" s="5"/>
      <c r="AB112" s="5"/>
      <c r="AC112" s="5"/>
      <c r="AD112" s="5"/>
      <c r="AE112" s="5"/>
    </row>
    <row r="113" spans="1:31" ht="31.5" customHeight="1" x14ac:dyDescent="0.3">
      <c r="A113" s="243"/>
      <c r="B113" s="27"/>
      <c r="C113" s="143"/>
      <c r="D113" s="27"/>
      <c r="E113" s="78"/>
      <c r="F113" s="79"/>
      <c r="G113" s="78"/>
      <c r="H113" s="28"/>
      <c r="I113" s="29">
        <v>0.79166666666666663</v>
      </c>
      <c r="J113" s="29">
        <v>0.91666666666666663</v>
      </c>
      <c r="K113" s="51">
        <f t="shared" si="18"/>
        <v>8600.9166666666661</v>
      </c>
      <c r="L113" s="34">
        <v>0</v>
      </c>
      <c r="M113" s="52">
        <f t="shared" si="19"/>
        <v>0.125</v>
      </c>
      <c r="N113" s="52">
        <f t="shared" si="20"/>
        <v>0</v>
      </c>
      <c r="O113" s="71" t="str">
        <f t="shared" si="21"/>
        <v/>
      </c>
      <c r="P113" s="71" t="str">
        <f t="shared" si="22"/>
        <v/>
      </c>
      <c r="Q113" s="72" t="str">
        <f t="shared" si="23"/>
        <v/>
      </c>
      <c r="S113"/>
      <c r="T113" s="53"/>
      <c r="U113" s="53"/>
      <c r="V113" s="53"/>
      <c r="W113" s="53"/>
      <c r="X113" s="53"/>
      <c r="Y113" s="53"/>
      <c r="Z113" s="5"/>
      <c r="AA113" s="5"/>
      <c r="AB113" s="5"/>
      <c r="AC113" s="5"/>
      <c r="AD113" s="5"/>
      <c r="AE113" s="5"/>
    </row>
    <row r="114" spans="1:31" ht="31.5" customHeight="1" x14ac:dyDescent="0.3">
      <c r="A114" s="243"/>
      <c r="B114" s="27"/>
      <c r="C114" s="143"/>
      <c r="D114" s="27"/>
      <c r="E114" s="78"/>
      <c r="F114" s="79"/>
      <c r="G114" s="78"/>
      <c r="H114" s="28"/>
      <c r="I114" s="29">
        <v>0.79166666666666663</v>
      </c>
      <c r="J114" s="29">
        <v>0.91666666666666663</v>
      </c>
      <c r="K114" s="51">
        <f t="shared" si="18"/>
        <v>8600.9166666666661</v>
      </c>
      <c r="L114" s="34">
        <v>0</v>
      </c>
      <c r="M114" s="52">
        <f t="shared" si="19"/>
        <v>0.125</v>
      </c>
      <c r="N114" s="52">
        <f t="shared" si="20"/>
        <v>0</v>
      </c>
      <c r="O114" s="71" t="str">
        <f t="shared" si="21"/>
        <v/>
      </c>
      <c r="P114" s="71" t="str">
        <f t="shared" si="22"/>
        <v/>
      </c>
      <c r="Q114" s="72" t="str">
        <f t="shared" si="23"/>
        <v/>
      </c>
      <c r="S114"/>
      <c r="T114" s="53"/>
      <c r="U114" s="53"/>
      <c r="V114" s="53"/>
      <c r="W114" s="53"/>
      <c r="X114" s="53"/>
      <c r="Y114" s="53"/>
      <c r="Z114" s="5"/>
      <c r="AA114" s="5"/>
      <c r="AB114" s="5"/>
      <c r="AC114" s="5"/>
      <c r="AD114" s="5"/>
      <c r="AE114" s="5"/>
    </row>
    <row r="115" spans="1:31" ht="31.5" customHeight="1" x14ac:dyDescent="0.3">
      <c r="A115" s="243"/>
      <c r="B115" s="27"/>
      <c r="C115" s="143"/>
      <c r="D115" s="27"/>
      <c r="E115" s="78"/>
      <c r="F115" s="79"/>
      <c r="G115" s="78"/>
      <c r="H115" s="28"/>
      <c r="I115" s="29">
        <v>0.8125</v>
      </c>
      <c r="J115" s="29">
        <v>0.9375</v>
      </c>
      <c r="K115" s="51">
        <f t="shared" si="18"/>
        <v>8600.9375</v>
      </c>
      <c r="L115" s="34">
        <v>0</v>
      </c>
      <c r="M115" s="52">
        <f t="shared" si="19"/>
        <v>0.125</v>
      </c>
      <c r="N115" s="52">
        <f t="shared" si="20"/>
        <v>0</v>
      </c>
      <c r="O115" s="71" t="str">
        <f t="shared" si="21"/>
        <v/>
      </c>
      <c r="P115" s="71" t="str">
        <f t="shared" si="22"/>
        <v/>
      </c>
      <c r="Q115" s="72" t="str">
        <f t="shared" si="23"/>
        <v/>
      </c>
      <c r="S115"/>
      <c r="T115" s="53"/>
      <c r="U115" s="53"/>
      <c r="V115" s="53"/>
      <c r="W115" s="53"/>
      <c r="X115" s="53"/>
      <c r="Y115" s="53"/>
      <c r="Z115" s="5"/>
      <c r="AA115" s="5"/>
      <c r="AB115" s="5"/>
      <c r="AC115" s="5"/>
      <c r="AD115" s="5"/>
      <c r="AE115" s="5"/>
    </row>
    <row r="116" spans="1:31" ht="31.5" customHeight="1" x14ac:dyDescent="0.3">
      <c r="A116" s="243"/>
      <c r="B116" s="27"/>
      <c r="C116" s="143"/>
      <c r="D116" s="27"/>
      <c r="E116" s="78"/>
      <c r="F116" s="79"/>
      <c r="G116" s="78"/>
      <c r="H116" s="28"/>
      <c r="I116" s="29">
        <v>0.8125</v>
      </c>
      <c r="J116" s="29">
        <v>0.9375</v>
      </c>
      <c r="K116" s="51">
        <f t="shared" si="18"/>
        <v>8600.9375</v>
      </c>
      <c r="L116" s="34">
        <v>0</v>
      </c>
      <c r="M116" s="52">
        <f t="shared" si="19"/>
        <v>0.125</v>
      </c>
      <c r="N116" s="52">
        <f t="shared" si="20"/>
        <v>0</v>
      </c>
      <c r="O116" s="71" t="str">
        <f t="shared" si="21"/>
        <v/>
      </c>
      <c r="P116" s="71" t="str">
        <f t="shared" si="22"/>
        <v/>
      </c>
      <c r="Q116" s="72" t="str">
        <f t="shared" si="23"/>
        <v/>
      </c>
      <c r="S116"/>
      <c r="T116" s="53"/>
      <c r="U116" s="53"/>
      <c r="V116" s="53"/>
      <c r="W116" s="53"/>
      <c r="X116" s="53"/>
      <c r="Y116" s="53"/>
      <c r="Z116" s="5"/>
      <c r="AA116" s="5"/>
      <c r="AB116" s="5"/>
      <c r="AC116" s="5"/>
      <c r="AD116" s="5"/>
      <c r="AE116" s="5"/>
    </row>
    <row r="117" spans="1:31" ht="31.5" customHeight="1" x14ac:dyDescent="0.3">
      <c r="A117" s="243"/>
      <c r="B117" s="27"/>
      <c r="C117" s="143"/>
      <c r="D117" s="27"/>
      <c r="E117" s="78"/>
      <c r="F117" s="79"/>
      <c r="G117" s="78"/>
      <c r="H117" s="28"/>
      <c r="I117" s="29">
        <v>0.75</v>
      </c>
      <c r="J117" s="29">
        <v>0.91666666666666663</v>
      </c>
      <c r="K117" s="51">
        <f t="shared" si="18"/>
        <v>8600.9166666666661</v>
      </c>
      <c r="L117" s="34">
        <v>0</v>
      </c>
      <c r="M117" s="52">
        <f t="shared" si="19"/>
        <v>0.16666666666666663</v>
      </c>
      <c r="N117" s="52">
        <f t="shared" si="20"/>
        <v>0</v>
      </c>
      <c r="O117" s="71" t="str">
        <f t="shared" si="21"/>
        <v/>
      </c>
      <c r="P117" s="71" t="str">
        <f t="shared" si="22"/>
        <v/>
      </c>
      <c r="Q117" s="72" t="str">
        <f t="shared" si="23"/>
        <v/>
      </c>
      <c r="S117"/>
      <c r="T117" s="53"/>
      <c r="U117" s="53"/>
      <c r="V117" s="53"/>
      <c r="W117" s="53"/>
      <c r="X117" s="53"/>
      <c r="Y117" s="53"/>
      <c r="Z117" s="5"/>
      <c r="AA117" s="5"/>
      <c r="AB117" s="5"/>
      <c r="AC117" s="5"/>
      <c r="AD117" s="5"/>
      <c r="AE117" s="5"/>
    </row>
    <row r="118" spans="1:31" ht="31.5" customHeight="1" x14ac:dyDescent="0.3">
      <c r="A118" s="243"/>
      <c r="B118" s="27"/>
      <c r="C118" s="143"/>
      <c r="D118" s="27"/>
      <c r="E118" s="78"/>
      <c r="F118" s="79"/>
      <c r="G118" s="78"/>
      <c r="H118" s="28"/>
      <c r="I118" s="29">
        <v>0.75</v>
      </c>
      <c r="J118" s="29">
        <v>0.91666666666666663</v>
      </c>
      <c r="K118" s="51">
        <f t="shared" si="18"/>
        <v>8600.9166666666661</v>
      </c>
      <c r="L118" s="34">
        <v>0</v>
      </c>
      <c r="M118" s="52">
        <f t="shared" si="19"/>
        <v>0.16666666666666663</v>
      </c>
      <c r="N118" s="52">
        <f t="shared" si="20"/>
        <v>0</v>
      </c>
      <c r="O118" s="71" t="str">
        <f t="shared" si="21"/>
        <v/>
      </c>
      <c r="P118" s="71" t="str">
        <f t="shared" si="22"/>
        <v/>
      </c>
      <c r="Q118" s="72" t="str">
        <f t="shared" si="23"/>
        <v/>
      </c>
      <c r="S118"/>
      <c r="T118" s="53"/>
      <c r="U118" s="53"/>
      <c r="V118" s="53"/>
      <c r="W118" s="53"/>
      <c r="X118" s="53"/>
      <c r="Y118" s="53"/>
      <c r="Z118" s="5"/>
      <c r="AA118" s="5"/>
      <c r="AB118" s="5"/>
      <c r="AC118" s="5"/>
      <c r="AD118" s="5"/>
      <c r="AE118" s="5"/>
    </row>
    <row r="119" spans="1:31" ht="31.5" customHeight="1" x14ac:dyDescent="0.3">
      <c r="A119" s="243"/>
      <c r="B119" s="27"/>
      <c r="C119" s="143"/>
      <c r="D119" s="27"/>
      <c r="E119" s="78"/>
      <c r="F119" s="79"/>
      <c r="G119" s="78"/>
      <c r="H119" s="28"/>
      <c r="I119" s="29">
        <v>0.75</v>
      </c>
      <c r="J119" s="29">
        <v>0.91666666666666663</v>
      </c>
      <c r="K119" s="51">
        <f t="shared" si="18"/>
        <v>8600.9166666666661</v>
      </c>
      <c r="L119" s="34">
        <v>0</v>
      </c>
      <c r="M119" s="52">
        <f t="shared" si="19"/>
        <v>0.16666666666666663</v>
      </c>
      <c r="N119" s="52">
        <f t="shared" si="20"/>
        <v>0</v>
      </c>
      <c r="O119" s="71" t="str">
        <f t="shared" si="21"/>
        <v/>
      </c>
      <c r="P119" s="71" t="str">
        <f t="shared" si="22"/>
        <v/>
      </c>
      <c r="Q119" s="72" t="str">
        <f t="shared" si="23"/>
        <v/>
      </c>
      <c r="S119"/>
      <c r="T119" s="53"/>
      <c r="U119" s="53"/>
      <c r="V119" s="53"/>
      <c r="W119" s="53"/>
      <c r="X119" s="53"/>
      <c r="Y119" s="53"/>
      <c r="Z119" s="5"/>
      <c r="AA119" s="5"/>
      <c r="AB119" s="5"/>
      <c r="AC119" s="5"/>
      <c r="AD119" s="5"/>
      <c r="AE119" s="5"/>
    </row>
    <row r="120" spans="1:31" ht="33" customHeight="1" thickBot="1" x14ac:dyDescent="0.35">
      <c r="A120" s="244"/>
      <c r="B120" s="30"/>
      <c r="C120" s="142"/>
      <c r="D120" s="30"/>
      <c r="E120" s="80"/>
      <c r="F120" s="81"/>
      <c r="G120" s="80"/>
      <c r="H120" s="31"/>
      <c r="I120" s="32"/>
      <c r="J120" s="32"/>
      <c r="K120" s="159">
        <f t="shared" si="18"/>
        <v>8600</v>
      </c>
      <c r="L120" s="158">
        <v>0</v>
      </c>
      <c r="M120" s="157" t="str">
        <f t="shared" si="19"/>
        <v/>
      </c>
      <c r="N120" s="157" t="str">
        <f t="shared" si="20"/>
        <v/>
      </c>
      <c r="O120" s="156" t="str">
        <f t="shared" si="21"/>
        <v/>
      </c>
      <c r="P120" s="156" t="str">
        <f t="shared" si="22"/>
        <v/>
      </c>
      <c r="Q120" s="155" t="str">
        <f t="shared" si="23"/>
        <v/>
      </c>
      <c r="S120"/>
      <c r="T120" s="53"/>
      <c r="U120" s="53"/>
      <c r="V120" s="53"/>
      <c r="W120" s="53"/>
      <c r="X120" s="53"/>
      <c r="Y120" s="53"/>
      <c r="Z120" s="5"/>
      <c r="AA120" s="5"/>
      <c r="AB120" s="5"/>
      <c r="AC120" s="5"/>
      <c r="AD120" s="5"/>
      <c r="AE120" s="5"/>
    </row>
    <row r="121" spans="1:31" ht="31.5" customHeight="1" x14ac:dyDescent="0.3">
      <c r="A121" s="242" t="s">
        <v>76</v>
      </c>
      <c r="B121" s="161"/>
      <c r="C121" s="162"/>
      <c r="D121" s="161"/>
      <c r="E121" s="76"/>
      <c r="F121" s="77"/>
      <c r="G121" s="76"/>
      <c r="H121" s="25"/>
      <c r="I121" s="26">
        <v>0.75</v>
      </c>
      <c r="J121" s="26">
        <v>0.91666666666666663</v>
      </c>
      <c r="K121" s="49">
        <f t="shared" si="18"/>
        <v>8600.9166666666661</v>
      </c>
      <c r="L121" s="33">
        <v>0</v>
      </c>
      <c r="M121" s="50">
        <f t="shared" si="19"/>
        <v>0.16666666666666663</v>
      </c>
      <c r="N121" s="50">
        <f t="shared" si="20"/>
        <v>0</v>
      </c>
      <c r="O121" s="69" t="str">
        <f t="shared" si="21"/>
        <v/>
      </c>
      <c r="P121" s="69" t="str">
        <f t="shared" si="22"/>
        <v/>
      </c>
      <c r="Q121" s="70" t="str">
        <f t="shared" si="23"/>
        <v/>
      </c>
      <c r="S121"/>
      <c r="T121"/>
      <c r="U121"/>
      <c r="V121"/>
      <c r="W121"/>
      <c r="X121"/>
      <c r="Y121"/>
      <c r="Z121" s="4"/>
      <c r="AA121" s="4"/>
      <c r="AB121" s="4"/>
      <c r="AC121" s="4"/>
      <c r="AD121" s="4"/>
      <c r="AE121" s="4"/>
    </row>
    <row r="122" spans="1:31" ht="31.5" customHeight="1" x14ac:dyDescent="0.3">
      <c r="A122" s="243"/>
      <c r="B122" s="27"/>
      <c r="C122" s="143"/>
      <c r="D122" s="27"/>
      <c r="E122" s="78"/>
      <c r="F122" s="79"/>
      <c r="G122" s="78"/>
      <c r="H122" s="28"/>
      <c r="I122" s="29">
        <v>0.77083333333333337</v>
      </c>
      <c r="J122" s="29">
        <v>0.89583333333333337</v>
      </c>
      <c r="K122" s="51">
        <f t="shared" si="18"/>
        <v>8600.8958333333339</v>
      </c>
      <c r="L122" s="34">
        <v>0</v>
      </c>
      <c r="M122" s="52">
        <f t="shared" si="19"/>
        <v>0.125</v>
      </c>
      <c r="N122" s="52">
        <f t="shared" si="20"/>
        <v>0</v>
      </c>
      <c r="O122" s="71" t="str">
        <f t="shared" si="21"/>
        <v/>
      </c>
      <c r="P122" s="71" t="str">
        <f t="shared" si="22"/>
        <v/>
      </c>
      <c r="Q122" s="72" t="str">
        <f t="shared" si="23"/>
        <v/>
      </c>
      <c r="S122"/>
      <c r="T122"/>
      <c r="U122" s="53"/>
      <c r="V122" s="53"/>
      <c r="W122" s="53"/>
      <c r="X122" s="53"/>
      <c r="Y122" s="53"/>
      <c r="Z122" s="5"/>
      <c r="AA122" s="5"/>
      <c r="AB122" s="5"/>
      <c r="AC122" s="5"/>
      <c r="AD122" s="4"/>
      <c r="AE122" s="4"/>
    </row>
    <row r="123" spans="1:31" ht="31.5" customHeight="1" x14ac:dyDescent="0.3">
      <c r="A123" s="243"/>
      <c r="B123" s="27"/>
      <c r="C123" s="143"/>
      <c r="D123" s="27"/>
      <c r="E123" s="78"/>
      <c r="F123" s="79"/>
      <c r="G123" s="78"/>
      <c r="H123" s="28"/>
      <c r="I123" s="29">
        <v>0.77083333333333337</v>
      </c>
      <c r="J123" s="29">
        <v>0.89583333333333337</v>
      </c>
      <c r="K123" s="51">
        <f t="shared" si="18"/>
        <v>8600.8958333333339</v>
      </c>
      <c r="L123" s="34">
        <v>0</v>
      </c>
      <c r="M123" s="52">
        <f t="shared" si="19"/>
        <v>0.125</v>
      </c>
      <c r="N123" s="52">
        <f t="shared" si="20"/>
        <v>0</v>
      </c>
      <c r="O123" s="71" t="str">
        <f t="shared" si="21"/>
        <v/>
      </c>
      <c r="P123" s="71" t="str">
        <f t="shared" si="22"/>
        <v/>
      </c>
      <c r="Q123" s="72" t="str">
        <f t="shared" si="23"/>
        <v/>
      </c>
      <c r="S123"/>
      <c r="T123"/>
      <c r="U123" s="53"/>
      <c r="V123" s="53"/>
      <c r="W123" s="53"/>
      <c r="X123" s="53"/>
      <c r="Y123" s="53"/>
      <c r="Z123" s="5"/>
      <c r="AA123" s="5"/>
      <c r="AB123" s="5"/>
      <c r="AC123" s="5"/>
      <c r="AD123" s="4"/>
      <c r="AE123" s="4"/>
    </row>
    <row r="124" spans="1:31" ht="31.5" customHeight="1" x14ac:dyDescent="0.3">
      <c r="A124" s="243"/>
      <c r="B124" s="27"/>
      <c r="C124" s="143"/>
      <c r="D124" s="27"/>
      <c r="E124" s="78"/>
      <c r="F124" s="79"/>
      <c r="G124" s="78"/>
      <c r="H124" s="28"/>
      <c r="I124" s="29">
        <v>0.77083333333333337</v>
      </c>
      <c r="J124" s="29">
        <v>0.89583333333333337</v>
      </c>
      <c r="K124" s="51">
        <f t="shared" si="18"/>
        <v>8600.8958333333339</v>
      </c>
      <c r="L124" s="34">
        <v>0</v>
      </c>
      <c r="M124" s="52">
        <f t="shared" si="19"/>
        <v>0.125</v>
      </c>
      <c r="N124" s="52">
        <f t="shared" si="20"/>
        <v>0</v>
      </c>
      <c r="O124" s="71" t="str">
        <f t="shared" si="21"/>
        <v/>
      </c>
      <c r="P124" s="71" t="str">
        <f t="shared" si="22"/>
        <v/>
      </c>
      <c r="Q124" s="72" t="str">
        <f t="shared" si="23"/>
        <v/>
      </c>
      <c r="S124"/>
      <c r="T124"/>
      <c r="U124"/>
      <c r="V124"/>
      <c r="W124"/>
      <c r="X124"/>
      <c r="Y124"/>
      <c r="Z124" s="4"/>
      <c r="AA124" s="4"/>
      <c r="AB124" s="4"/>
      <c r="AC124" s="4"/>
      <c r="AD124" s="4"/>
      <c r="AE124" s="4"/>
    </row>
    <row r="125" spans="1:31" ht="31.5" customHeight="1" x14ac:dyDescent="0.3">
      <c r="A125" s="243"/>
      <c r="B125" s="27"/>
      <c r="C125" s="143"/>
      <c r="D125" s="27"/>
      <c r="E125" s="78"/>
      <c r="F125" s="79"/>
      <c r="G125" s="78"/>
      <c r="H125" s="28"/>
      <c r="I125" s="29">
        <v>0.79166666666666663</v>
      </c>
      <c r="J125" s="29">
        <v>0.91666666666666663</v>
      </c>
      <c r="K125" s="51">
        <f t="shared" si="18"/>
        <v>8600.9166666666661</v>
      </c>
      <c r="L125" s="34">
        <v>0</v>
      </c>
      <c r="M125" s="52">
        <f t="shared" si="19"/>
        <v>0.125</v>
      </c>
      <c r="N125" s="52">
        <f t="shared" si="20"/>
        <v>0</v>
      </c>
      <c r="O125" s="71" t="str">
        <f t="shared" si="21"/>
        <v/>
      </c>
      <c r="P125" s="71" t="str">
        <f t="shared" si="22"/>
        <v/>
      </c>
      <c r="Q125" s="72" t="str">
        <f t="shared" si="23"/>
        <v/>
      </c>
      <c r="S125"/>
      <c r="T125"/>
      <c r="U125" s="53"/>
      <c r="V125" s="53"/>
      <c r="W125" s="53"/>
      <c r="X125" s="53"/>
      <c r="Y125" s="53"/>
      <c r="Z125" s="5"/>
      <c r="AA125" s="5"/>
      <c r="AB125" s="5"/>
      <c r="AC125" s="5"/>
      <c r="AD125" s="4"/>
      <c r="AE125" s="4"/>
    </row>
    <row r="126" spans="1:31" ht="31.5" customHeight="1" thickBot="1" x14ac:dyDescent="0.35">
      <c r="A126" s="244"/>
      <c r="B126" s="30"/>
      <c r="C126" s="142"/>
      <c r="D126" s="30"/>
      <c r="E126" s="80"/>
      <c r="F126" s="81"/>
      <c r="G126" s="80"/>
      <c r="H126" s="31"/>
      <c r="I126" s="32"/>
      <c r="J126" s="32"/>
      <c r="K126" s="159">
        <f t="shared" si="18"/>
        <v>8600</v>
      </c>
      <c r="L126" s="158">
        <v>0</v>
      </c>
      <c r="M126" s="157" t="str">
        <f t="shared" si="19"/>
        <v/>
      </c>
      <c r="N126" s="157" t="str">
        <f t="shared" si="20"/>
        <v/>
      </c>
      <c r="O126" s="156" t="str">
        <f t="shared" si="21"/>
        <v/>
      </c>
      <c r="P126" s="156" t="str">
        <f t="shared" si="22"/>
        <v/>
      </c>
      <c r="Q126" s="155" t="str">
        <f t="shared" si="23"/>
        <v/>
      </c>
      <c r="S126"/>
      <c r="T126"/>
      <c r="U126" s="53"/>
      <c r="V126" s="53"/>
      <c r="W126" s="53"/>
      <c r="X126" s="53"/>
      <c r="Y126" s="53"/>
      <c r="Z126" s="5"/>
      <c r="AA126" s="5"/>
      <c r="AB126" s="5"/>
      <c r="AC126" s="5"/>
      <c r="AD126" s="4"/>
      <c r="AE126" s="4"/>
    </row>
    <row r="127" spans="1:31" ht="31.5" customHeight="1" x14ac:dyDescent="0.3">
      <c r="A127" s="245" t="s">
        <v>42</v>
      </c>
      <c r="B127" s="161"/>
      <c r="C127" s="162"/>
      <c r="D127" s="161"/>
      <c r="E127" s="76"/>
      <c r="F127" s="77"/>
      <c r="G127" s="76"/>
      <c r="H127" s="25"/>
      <c r="I127" s="26">
        <v>0.77083333333333337</v>
      </c>
      <c r="J127" s="26">
        <v>0.91666666666666663</v>
      </c>
      <c r="K127" s="49">
        <f t="shared" si="18"/>
        <v>8600.9166666666661</v>
      </c>
      <c r="L127" s="33">
        <v>0</v>
      </c>
      <c r="M127" s="50">
        <f t="shared" si="19"/>
        <v>0.14583333333333326</v>
      </c>
      <c r="N127" s="50">
        <f t="shared" si="20"/>
        <v>0</v>
      </c>
      <c r="O127" s="69" t="str">
        <f t="shared" si="21"/>
        <v/>
      </c>
      <c r="P127" s="69" t="str">
        <f t="shared" si="22"/>
        <v/>
      </c>
      <c r="Q127" s="70" t="str">
        <f t="shared" si="23"/>
        <v/>
      </c>
      <c r="S127"/>
      <c r="T127"/>
      <c r="U127"/>
      <c r="V127"/>
      <c r="W127"/>
      <c r="X127"/>
      <c r="Y127"/>
      <c r="Z127" s="4"/>
      <c r="AA127" s="4"/>
      <c r="AB127" s="4"/>
      <c r="AC127" s="4"/>
      <c r="AD127" s="4"/>
      <c r="AE127" s="4"/>
    </row>
    <row r="128" spans="1:31" ht="31.5" customHeight="1" x14ac:dyDescent="0.3">
      <c r="A128" s="246"/>
      <c r="B128" s="27"/>
      <c r="C128" s="143"/>
      <c r="D128" s="27"/>
      <c r="E128" s="78"/>
      <c r="F128" s="79"/>
      <c r="G128" s="78"/>
      <c r="H128" s="28"/>
      <c r="I128" s="29">
        <v>0.77083333333333337</v>
      </c>
      <c r="J128" s="29">
        <v>0.91666666666666663</v>
      </c>
      <c r="K128" s="51">
        <f t="shared" si="18"/>
        <v>8600.9166666666661</v>
      </c>
      <c r="L128" s="34">
        <v>0</v>
      </c>
      <c r="M128" s="52">
        <f t="shared" si="19"/>
        <v>0.14583333333333326</v>
      </c>
      <c r="N128" s="52">
        <f t="shared" si="20"/>
        <v>0</v>
      </c>
      <c r="O128" s="71" t="str">
        <f t="shared" si="21"/>
        <v/>
      </c>
      <c r="P128" s="71" t="str">
        <f t="shared" si="22"/>
        <v/>
      </c>
      <c r="Q128" s="72" t="str">
        <f t="shared" si="23"/>
        <v/>
      </c>
      <c r="S128"/>
      <c r="T128"/>
      <c r="U128" s="53"/>
      <c r="V128" s="53"/>
      <c r="W128" s="53"/>
      <c r="X128" s="53"/>
      <c r="Y128" s="53"/>
      <c r="Z128" s="5"/>
      <c r="AA128" s="5"/>
      <c r="AB128" s="5"/>
      <c r="AC128" s="5"/>
      <c r="AD128" s="4"/>
      <c r="AE128" s="4"/>
    </row>
    <row r="129" spans="1:31" ht="31.5" customHeight="1" x14ac:dyDescent="0.3">
      <c r="A129" s="246"/>
      <c r="B129" s="27"/>
      <c r="C129" s="143"/>
      <c r="D129" s="27"/>
      <c r="E129" s="78"/>
      <c r="F129" s="79"/>
      <c r="G129" s="78"/>
      <c r="H129" s="28"/>
      <c r="I129" s="29">
        <v>0.77083333333333337</v>
      </c>
      <c r="J129" s="29">
        <v>0.91666666666666663</v>
      </c>
      <c r="K129" s="51">
        <f t="shared" si="18"/>
        <v>8600.9166666666661</v>
      </c>
      <c r="L129" s="34">
        <v>0</v>
      </c>
      <c r="M129" s="52">
        <f t="shared" si="19"/>
        <v>0.14583333333333326</v>
      </c>
      <c r="N129" s="52">
        <f t="shared" si="20"/>
        <v>0</v>
      </c>
      <c r="O129" s="71" t="str">
        <f t="shared" si="21"/>
        <v/>
      </c>
      <c r="P129" s="71" t="str">
        <f t="shared" si="22"/>
        <v/>
      </c>
      <c r="Q129" s="72" t="str">
        <f t="shared" si="23"/>
        <v/>
      </c>
      <c r="S129"/>
      <c r="T129"/>
      <c r="U129" s="53"/>
      <c r="V129" s="53"/>
      <c r="W129" s="53"/>
      <c r="X129" s="53"/>
      <c r="Y129" s="53"/>
      <c r="Z129" s="5"/>
      <c r="AA129" s="5"/>
      <c r="AB129" s="5"/>
      <c r="AC129" s="5"/>
      <c r="AD129" s="4"/>
      <c r="AE129" s="4"/>
    </row>
    <row r="130" spans="1:31" ht="31.5" customHeight="1" x14ac:dyDescent="0.3">
      <c r="A130" s="246"/>
      <c r="B130" s="27"/>
      <c r="C130" s="143"/>
      <c r="D130" s="27"/>
      <c r="E130" s="78"/>
      <c r="F130" s="79"/>
      <c r="G130" s="78"/>
      <c r="H130" s="28"/>
      <c r="I130" s="29">
        <v>0.77083333333333337</v>
      </c>
      <c r="J130" s="29">
        <v>0.91666666666666663</v>
      </c>
      <c r="K130" s="51">
        <f t="shared" si="18"/>
        <v>8600.9166666666661</v>
      </c>
      <c r="L130" s="34">
        <v>0</v>
      </c>
      <c r="M130" s="52">
        <f t="shared" si="19"/>
        <v>0.14583333333333326</v>
      </c>
      <c r="N130" s="52">
        <f t="shared" si="20"/>
        <v>0</v>
      </c>
      <c r="O130" s="71" t="str">
        <f t="shared" si="21"/>
        <v/>
      </c>
      <c r="P130" s="71" t="str">
        <f t="shared" si="22"/>
        <v/>
      </c>
      <c r="Q130" s="72" t="str">
        <f t="shared" si="23"/>
        <v/>
      </c>
      <c r="S130"/>
      <c r="T130"/>
      <c r="U130"/>
      <c r="V130"/>
      <c r="W130"/>
      <c r="X130"/>
      <c r="Y130"/>
      <c r="Z130" s="4"/>
      <c r="AA130" s="4"/>
      <c r="AB130" s="4"/>
      <c r="AC130" s="4"/>
      <c r="AD130" s="4"/>
      <c r="AE130" s="4"/>
    </row>
    <row r="131" spans="1:31" ht="31.5" customHeight="1" x14ac:dyDescent="0.3">
      <c r="A131" s="246"/>
      <c r="B131" s="27"/>
      <c r="C131" s="143"/>
      <c r="D131" s="27"/>
      <c r="E131" s="78"/>
      <c r="F131" s="79"/>
      <c r="G131" s="78"/>
      <c r="H131" s="28"/>
      <c r="I131" s="29">
        <v>0.77083333333333337</v>
      </c>
      <c r="J131" s="29">
        <v>0.91666666666666663</v>
      </c>
      <c r="K131" s="51">
        <f t="shared" si="18"/>
        <v>8600.9166666666661</v>
      </c>
      <c r="L131" s="34">
        <v>0</v>
      </c>
      <c r="M131" s="52">
        <f t="shared" si="19"/>
        <v>0.14583333333333326</v>
      </c>
      <c r="N131" s="52">
        <f t="shared" si="20"/>
        <v>0</v>
      </c>
      <c r="O131" s="71" t="str">
        <f t="shared" si="21"/>
        <v/>
      </c>
      <c r="P131" s="71" t="str">
        <f t="shared" si="22"/>
        <v/>
      </c>
      <c r="Q131" s="72" t="str">
        <f t="shared" si="23"/>
        <v/>
      </c>
      <c r="S131"/>
      <c r="T131"/>
      <c r="U131"/>
      <c r="V131"/>
      <c r="W131"/>
      <c r="X131"/>
      <c r="Y131"/>
      <c r="Z131" s="4"/>
      <c r="AA131" s="4"/>
      <c r="AB131" s="4"/>
      <c r="AC131" s="4"/>
      <c r="AD131" s="4"/>
      <c r="AE131" s="4"/>
    </row>
    <row r="132" spans="1:31" ht="31.5" customHeight="1" x14ac:dyDescent="0.3">
      <c r="A132" s="246"/>
      <c r="B132" s="27"/>
      <c r="C132" s="143"/>
      <c r="D132" s="27"/>
      <c r="E132" s="78"/>
      <c r="F132" s="79"/>
      <c r="G132" s="78"/>
      <c r="H132" s="28"/>
      <c r="I132" s="29"/>
      <c r="J132" s="29"/>
      <c r="K132" s="51">
        <f t="shared" si="18"/>
        <v>8600</v>
      </c>
      <c r="L132" s="34">
        <v>0</v>
      </c>
      <c r="M132" s="52" t="str">
        <f t="shared" si="19"/>
        <v/>
      </c>
      <c r="N132" s="52" t="str">
        <f t="shared" si="20"/>
        <v/>
      </c>
      <c r="O132" s="71" t="str">
        <f t="shared" si="21"/>
        <v/>
      </c>
      <c r="P132" s="71" t="str">
        <f t="shared" si="22"/>
        <v/>
      </c>
      <c r="Q132" s="72" t="str">
        <f t="shared" si="23"/>
        <v/>
      </c>
      <c r="S132"/>
      <c r="T132"/>
      <c r="U132"/>
      <c r="V132"/>
      <c r="W132"/>
      <c r="X132"/>
      <c r="Y132"/>
      <c r="Z132" s="4"/>
      <c r="AA132" s="4"/>
      <c r="AB132" s="4"/>
      <c r="AC132" s="4"/>
      <c r="AD132" s="4"/>
      <c r="AE132" s="4"/>
    </row>
    <row r="133" spans="1:31" ht="31.5" customHeight="1" x14ac:dyDescent="0.3">
      <c r="A133" s="246"/>
      <c r="B133" s="27"/>
      <c r="C133" s="143"/>
      <c r="D133" s="27"/>
      <c r="E133" s="78"/>
      <c r="F133" s="79"/>
      <c r="G133" s="78"/>
      <c r="H133" s="28"/>
      <c r="I133" s="29"/>
      <c r="J133" s="29"/>
      <c r="K133" s="51">
        <f t="shared" ref="K133:K158" si="24">J133+$Y$4</f>
        <v>8600</v>
      </c>
      <c r="L133" s="34">
        <v>0</v>
      </c>
      <c r="M133" s="52" t="str">
        <f t="shared" ref="M133:M158" si="25">IF($I133="","",IF($J133&lt;$I133,($J133+86400)-$I133-$L133,$J133-$I133-$L133))</f>
        <v/>
      </c>
      <c r="N133" s="52" t="str">
        <f t="shared" ref="N133:N158" si="26">IF(J133="","",IF(AND($U$4&lt;=(J133-$T$4),(J133-$T$4)&lt;=$V$4),(K133-$T$4),"00:00")+IF(AND($W$4&lt;=(J133-$T$4),(J133-$T$4)&lt;=$X$4),(J133-$T$4),"00:00")+IF(($S$4-I133)&lt;0,"00:00",($S$4-I133)))</f>
        <v/>
      </c>
      <c r="O133" s="71" t="str">
        <f t="shared" ref="O133:O158" si="27">IF($C133="","",(HOUR($M133)*60+MINUTE($M133))/60)</f>
        <v/>
      </c>
      <c r="P133" s="71" t="str">
        <f t="shared" ref="P133:P158" si="28">IF(O133="","",O133-Q133)</f>
        <v/>
      </c>
      <c r="Q133" s="72" t="str">
        <f t="shared" ref="Q133:Q158" si="29">IF($C133="","",(HOUR($N133)*60+MINUTE($N133))/60)</f>
        <v/>
      </c>
      <c r="S133"/>
      <c r="T133"/>
      <c r="U133"/>
      <c r="V133"/>
      <c r="W133"/>
      <c r="X133"/>
      <c r="Y133"/>
      <c r="Z133" s="4"/>
      <c r="AA133" s="4"/>
      <c r="AB133" s="4"/>
      <c r="AC133" s="4"/>
      <c r="AD133" s="4"/>
      <c r="AE133" s="4"/>
    </row>
    <row r="134" spans="1:31" ht="31.5" customHeight="1" x14ac:dyDescent="0.3">
      <c r="A134" s="246"/>
      <c r="B134" s="27"/>
      <c r="C134" s="143"/>
      <c r="D134" s="27"/>
      <c r="E134" s="78"/>
      <c r="F134" s="79"/>
      <c r="G134" s="78"/>
      <c r="H134" s="28"/>
      <c r="I134" s="29"/>
      <c r="J134" s="29"/>
      <c r="K134" s="51">
        <f t="shared" si="24"/>
        <v>8600</v>
      </c>
      <c r="L134" s="34">
        <v>0</v>
      </c>
      <c r="M134" s="52" t="str">
        <f t="shared" si="25"/>
        <v/>
      </c>
      <c r="N134" s="52" t="str">
        <f t="shared" si="26"/>
        <v/>
      </c>
      <c r="O134" s="71" t="str">
        <f t="shared" si="27"/>
        <v/>
      </c>
      <c r="P134" s="71" t="str">
        <f t="shared" si="28"/>
        <v/>
      </c>
      <c r="Q134" s="72" t="str">
        <f t="shared" si="29"/>
        <v/>
      </c>
      <c r="S134"/>
      <c r="T134"/>
      <c r="U134" s="53"/>
      <c r="V134" s="53"/>
      <c r="W134" s="53"/>
      <c r="X134" s="53"/>
      <c r="Y134" s="53"/>
      <c r="Z134" s="5"/>
      <c r="AA134" s="5"/>
      <c r="AB134" s="5"/>
      <c r="AC134" s="5"/>
      <c r="AD134" s="4"/>
      <c r="AE134" s="4"/>
    </row>
    <row r="135" spans="1:31" ht="31.5" customHeight="1" thickBot="1" x14ac:dyDescent="0.35">
      <c r="A135" s="247"/>
      <c r="B135" s="30"/>
      <c r="C135" s="142"/>
      <c r="D135" s="30"/>
      <c r="E135" s="80"/>
      <c r="F135" s="81"/>
      <c r="G135" s="80"/>
      <c r="H135" s="31"/>
      <c r="I135" s="32"/>
      <c r="J135" s="32"/>
      <c r="K135" s="159">
        <f t="shared" si="24"/>
        <v>8600</v>
      </c>
      <c r="L135" s="158">
        <v>0</v>
      </c>
      <c r="M135" s="157" t="str">
        <f t="shared" si="25"/>
        <v/>
      </c>
      <c r="N135" s="157" t="str">
        <f t="shared" si="26"/>
        <v/>
      </c>
      <c r="O135" s="156" t="str">
        <f t="shared" si="27"/>
        <v/>
      </c>
      <c r="P135" s="156" t="str">
        <f t="shared" si="28"/>
        <v/>
      </c>
      <c r="Q135" s="155" t="str">
        <f t="shared" si="29"/>
        <v/>
      </c>
      <c r="S135"/>
      <c r="T135"/>
      <c r="U135" s="53"/>
      <c r="V135" s="53"/>
      <c r="W135" s="53"/>
      <c r="X135" s="53"/>
      <c r="Y135" s="53"/>
      <c r="Z135" s="5"/>
      <c r="AA135" s="5"/>
      <c r="AB135" s="5"/>
      <c r="AC135" s="5"/>
      <c r="AD135" s="4"/>
      <c r="AE135" s="4"/>
    </row>
    <row r="136" spans="1:31" ht="31.5" customHeight="1" x14ac:dyDescent="0.3">
      <c r="A136" s="239" t="s">
        <v>77</v>
      </c>
      <c r="B136" s="161"/>
      <c r="C136" s="162"/>
      <c r="D136" s="161"/>
      <c r="E136" s="76"/>
      <c r="F136" s="77"/>
      <c r="G136" s="76"/>
      <c r="H136" s="25"/>
      <c r="I136" s="26"/>
      <c r="J136" s="26"/>
      <c r="K136" s="49">
        <f t="shared" si="24"/>
        <v>8600</v>
      </c>
      <c r="L136" s="33">
        <v>0</v>
      </c>
      <c r="M136" s="50" t="str">
        <f t="shared" si="25"/>
        <v/>
      </c>
      <c r="N136" s="50" t="str">
        <f t="shared" si="26"/>
        <v/>
      </c>
      <c r="O136" s="69" t="str">
        <f t="shared" si="27"/>
        <v/>
      </c>
      <c r="P136" s="69" t="str">
        <f t="shared" si="28"/>
        <v/>
      </c>
      <c r="Q136" s="70" t="str">
        <f t="shared" si="29"/>
        <v/>
      </c>
      <c r="S136"/>
      <c r="T136"/>
      <c r="U136"/>
      <c r="V136"/>
      <c r="W136"/>
      <c r="X136"/>
      <c r="Y136"/>
      <c r="Z136" s="4"/>
      <c r="AA136" s="4"/>
      <c r="AB136" s="4"/>
      <c r="AC136" s="4"/>
      <c r="AD136" s="4"/>
      <c r="AE136" s="4"/>
    </row>
    <row r="137" spans="1:31" ht="31.5" customHeight="1" x14ac:dyDescent="0.3">
      <c r="A137" s="240"/>
      <c r="B137" s="27"/>
      <c r="C137" s="143"/>
      <c r="D137" s="27"/>
      <c r="E137" s="78"/>
      <c r="F137" s="79"/>
      <c r="G137" s="78"/>
      <c r="H137" s="28"/>
      <c r="I137" s="29"/>
      <c r="J137" s="29"/>
      <c r="K137" s="51">
        <f t="shared" si="24"/>
        <v>8600</v>
      </c>
      <c r="L137" s="34">
        <v>0</v>
      </c>
      <c r="M137" s="52" t="str">
        <f t="shared" si="25"/>
        <v/>
      </c>
      <c r="N137" s="52" t="str">
        <f t="shared" si="26"/>
        <v/>
      </c>
      <c r="O137" s="71" t="str">
        <f t="shared" si="27"/>
        <v/>
      </c>
      <c r="P137" s="71" t="str">
        <f t="shared" si="28"/>
        <v/>
      </c>
      <c r="Q137" s="72" t="str">
        <f t="shared" si="29"/>
        <v/>
      </c>
      <c r="S137"/>
      <c r="T137"/>
      <c r="U137" s="53"/>
      <c r="V137" s="53"/>
      <c r="W137" s="53"/>
      <c r="X137" s="53"/>
      <c r="Y137" s="53"/>
      <c r="Z137" s="5"/>
      <c r="AA137" s="5"/>
      <c r="AB137" s="5"/>
      <c r="AC137" s="5"/>
      <c r="AD137" s="4"/>
      <c r="AE137" s="4"/>
    </row>
    <row r="138" spans="1:31" ht="31.5" customHeight="1" x14ac:dyDescent="0.3">
      <c r="A138" s="240"/>
      <c r="B138" s="27"/>
      <c r="C138" s="143"/>
      <c r="D138" s="27"/>
      <c r="E138" s="78"/>
      <c r="F138" s="79"/>
      <c r="G138" s="78"/>
      <c r="H138" s="28"/>
      <c r="I138" s="29"/>
      <c r="J138" s="29"/>
      <c r="K138" s="51">
        <f t="shared" si="24"/>
        <v>8600</v>
      </c>
      <c r="L138" s="34">
        <v>0</v>
      </c>
      <c r="M138" s="52" t="str">
        <f t="shared" si="25"/>
        <v/>
      </c>
      <c r="N138" s="52" t="str">
        <f t="shared" si="26"/>
        <v/>
      </c>
      <c r="O138" s="71" t="str">
        <f t="shared" si="27"/>
        <v/>
      </c>
      <c r="P138" s="71" t="str">
        <f t="shared" si="28"/>
        <v/>
      </c>
      <c r="Q138" s="72" t="str">
        <f t="shared" si="29"/>
        <v/>
      </c>
      <c r="S138"/>
      <c r="T138"/>
      <c r="U138" s="53"/>
      <c r="V138" s="53"/>
      <c r="W138" s="53"/>
      <c r="X138" s="53"/>
      <c r="Y138" s="53"/>
      <c r="Z138" s="5"/>
      <c r="AA138" s="5"/>
      <c r="AB138" s="5"/>
      <c r="AC138" s="5"/>
      <c r="AD138" s="4"/>
      <c r="AE138" s="4"/>
    </row>
    <row r="139" spans="1:31" ht="31.5" customHeight="1" x14ac:dyDescent="0.3">
      <c r="A139" s="240"/>
      <c r="B139" s="27"/>
      <c r="C139" s="143"/>
      <c r="D139" s="27"/>
      <c r="E139" s="78"/>
      <c r="F139" s="79"/>
      <c r="G139" s="78"/>
      <c r="H139" s="28"/>
      <c r="I139" s="29"/>
      <c r="J139" s="29"/>
      <c r="K139" s="51">
        <f t="shared" si="24"/>
        <v>8600</v>
      </c>
      <c r="L139" s="34">
        <v>0</v>
      </c>
      <c r="M139" s="52" t="str">
        <f t="shared" si="25"/>
        <v/>
      </c>
      <c r="N139" s="52" t="str">
        <f t="shared" si="26"/>
        <v/>
      </c>
      <c r="O139" s="71" t="str">
        <f t="shared" si="27"/>
        <v/>
      </c>
      <c r="P139" s="71" t="str">
        <f t="shared" si="28"/>
        <v/>
      </c>
      <c r="Q139" s="72" t="str">
        <f t="shared" si="29"/>
        <v/>
      </c>
      <c r="S139"/>
      <c r="T139"/>
      <c r="U139"/>
      <c r="V139"/>
      <c r="W139"/>
      <c r="X139"/>
      <c r="Y139"/>
      <c r="Z139" s="4"/>
      <c r="AA139" s="4"/>
      <c r="AB139" s="4"/>
      <c r="AC139" s="4"/>
      <c r="AD139" s="4"/>
      <c r="AE139" s="4"/>
    </row>
    <row r="140" spans="1:31" ht="31.5" customHeight="1" x14ac:dyDescent="0.3">
      <c r="A140" s="240"/>
      <c r="B140" s="27"/>
      <c r="C140" s="143"/>
      <c r="D140" s="27"/>
      <c r="E140" s="78"/>
      <c r="F140" s="79"/>
      <c r="G140" s="78"/>
      <c r="H140" s="28"/>
      <c r="I140" s="29"/>
      <c r="J140" s="29"/>
      <c r="K140" s="51">
        <f t="shared" si="24"/>
        <v>8600</v>
      </c>
      <c r="L140" s="34">
        <v>0</v>
      </c>
      <c r="M140" s="52" t="str">
        <f t="shared" si="25"/>
        <v/>
      </c>
      <c r="N140" s="52" t="str">
        <f t="shared" si="26"/>
        <v/>
      </c>
      <c r="O140" s="71" t="str">
        <f t="shared" si="27"/>
        <v/>
      </c>
      <c r="P140" s="71" t="str">
        <f t="shared" si="28"/>
        <v/>
      </c>
      <c r="Q140" s="72" t="str">
        <f t="shared" si="29"/>
        <v/>
      </c>
      <c r="S140"/>
      <c r="T140"/>
      <c r="U140"/>
      <c r="V140"/>
      <c r="W140"/>
      <c r="X140"/>
      <c r="Y140"/>
      <c r="Z140" s="4"/>
      <c r="AA140" s="4"/>
      <c r="AB140" s="4"/>
      <c r="AC140" s="4"/>
      <c r="AD140" s="4"/>
      <c r="AE140" s="4"/>
    </row>
    <row r="141" spans="1:31" ht="31.5" customHeight="1" x14ac:dyDescent="0.3">
      <c r="A141" s="240"/>
      <c r="B141" s="27"/>
      <c r="C141" s="143"/>
      <c r="D141" s="27"/>
      <c r="E141" s="78"/>
      <c r="F141" s="79"/>
      <c r="G141" s="78"/>
      <c r="H141" s="28"/>
      <c r="I141" s="29"/>
      <c r="J141" s="29"/>
      <c r="K141" s="51">
        <f t="shared" si="24"/>
        <v>8600</v>
      </c>
      <c r="L141" s="34">
        <v>0</v>
      </c>
      <c r="M141" s="52" t="str">
        <f t="shared" si="25"/>
        <v/>
      </c>
      <c r="N141" s="52" t="str">
        <f t="shared" si="26"/>
        <v/>
      </c>
      <c r="O141" s="71" t="str">
        <f t="shared" si="27"/>
        <v/>
      </c>
      <c r="P141" s="71" t="str">
        <f t="shared" si="28"/>
        <v/>
      </c>
      <c r="Q141" s="72" t="str">
        <f t="shared" si="29"/>
        <v/>
      </c>
      <c r="S141"/>
      <c r="T141"/>
      <c r="U141"/>
      <c r="V141"/>
      <c r="W141"/>
      <c r="X141"/>
      <c r="Y141"/>
      <c r="Z141" s="4"/>
      <c r="AA141" s="4"/>
      <c r="AB141" s="4"/>
      <c r="AC141" s="4"/>
      <c r="AD141" s="4"/>
      <c r="AE141" s="4"/>
    </row>
    <row r="142" spans="1:31" ht="31.5" customHeight="1" x14ac:dyDescent="0.3">
      <c r="A142" s="240"/>
      <c r="B142" s="27"/>
      <c r="C142" s="143"/>
      <c r="D142" s="27"/>
      <c r="E142" s="78"/>
      <c r="F142" s="79"/>
      <c r="G142" s="78"/>
      <c r="H142" s="28"/>
      <c r="I142" s="29"/>
      <c r="J142" s="29"/>
      <c r="K142" s="51">
        <f t="shared" si="24"/>
        <v>8600</v>
      </c>
      <c r="L142" s="34">
        <v>0</v>
      </c>
      <c r="M142" s="52" t="str">
        <f t="shared" si="25"/>
        <v/>
      </c>
      <c r="N142" s="52" t="str">
        <f t="shared" si="26"/>
        <v/>
      </c>
      <c r="O142" s="71" t="str">
        <f t="shared" si="27"/>
        <v/>
      </c>
      <c r="P142" s="71" t="str">
        <f t="shared" si="28"/>
        <v/>
      </c>
      <c r="Q142" s="72" t="str">
        <f t="shared" si="29"/>
        <v/>
      </c>
      <c r="S142"/>
      <c r="T142"/>
      <c r="U142"/>
      <c r="V142"/>
      <c r="W142"/>
      <c r="X142"/>
      <c r="Y142"/>
      <c r="Z142" s="4"/>
      <c r="AA142" s="4"/>
      <c r="AB142" s="4"/>
      <c r="AC142" s="4"/>
      <c r="AD142" s="4"/>
      <c r="AE142" s="4"/>
    </row>
    <row r="143" spans="1:31" ht="31.5" customHeight="1" x14ac:dyDescent="0.3">
      <c r="A143" s="240"/>
      <c r="B143" s="27"/>
      <c r="C143" s="143"/>
      <c r="D143" s="27"/>
      <c r="E143" s="78"/>
      <c r="F143" s="79"/>
      <c r="G143" s="78"/>
      <c r="H143" s="28"/>
      <c r="I143" s="29"/>
      <c r="J143" s="29"/>
      <c r="K143" s="51">
        <f t="shared" si="24"/>
        <v>8600</v>
      </c>
      <c r="L143" s="34">
        <v>0</v>
      </c>
      <c r="M143" s="52" t="str">
        <f t="shared" si="25"/>
        <v/>
      </c>
      <c r="N143" s="52" t="str">
        <f t="shared" si="26"/>
        <v/>
      </c>
      <c r="O143" s="71" t="str">
        <f t="shared" si="27"/>
        <v/>
      </c>
      <c r="P143" s="71" t="str">
        <f t="shared" si="28"/>
        <v/>
      </c>
      <c r="Q143" s="72" t="str">
        <f t="shared" si="29"/>
        <v/>
      </c>
      <c r="S143"/>
      <c r="T143"/>
      <c r="U143"/>
      <c r="V143"/>
      <c r="W143"/>
      <c r="X143"/>
      <c r="Y143"/>
      <c r="Z143" s="4"/>
      <c r="AA143" s="4"/>
      <c r="AB143" s="4"/>
      <c r="AC143" s="4"/>
      <c r="AD143" s="4"/>
      <c r="AE143" s="4"/>
    </row>
    <row r="144" spans="1:31" ht="31.5" customHeight="1" x14ac:dyDescent="0.3">
      <c r="A144" s="240"/>
      <c r="B144" s="27"/>
      <c r="C144" s="143"/>
      <c r="D144" s="27"/>
      <c r="E144" s="78"/>
      <c r="F144" s="79"/>
      <c r="G144" s="78"/>
      <c r="H144" s="28"/>
      <c r="I144" s="29"/>
      <c r="J144" s="29"/>
      <c r="K144" s="51">
        <f t="shared" si="24"/>
        <v>8600</v>
      </c>
      <c r="L144" s="34">
        <v>0</v>
      </c>
      <c r="M144" s="52" t="str">
        <f t="shared" si="25"/>
        <v/>
      </c>
      <c r="N144" s="52" t="str">
        <f t="shared" si="26"/>
        <v/>
      </c>
      <c r="O144" s="71" t="str">
        <f t="shared" si="27"/>
        <v/>
      </c>
      <c r="P144" s="71" t="str">
        <f t="shared" si="28"/>
        <v/>
      </c>
      <c r="Q144" s="72" t="str">
        <f t="shared" si="29"/>
        <v/>
      </c>
      <c r="S144"/>
      <c r="T144"/>
      <c r="U144"/>
      <c r="V144"/>
      <c r="W144"/>
      <c r="X144"/>
      <c r="Y144"/>
      <c r="Z144" s="4"/>
      <c r="AA144" s="4"/>
      <c r="AB144" s="4"/>
      <c r="AC144" s="4"/>
      <c r="AD144" s="4"/>
      <c r="AE144" s="4"/>
    </row>
    <row r="145" spans="1:31" ht="31.5" customHeight="1" x14ac:dyDescent="0.3">
      <c r="A145" s="240"/>
      <c r="B145" s="27"/>
      <c r="C145" s="143"/>
      <c r="D145" s="27"/>
      <c r="E145" s="78"/>
      <c r="F145" s="79"/>
      <c r="G145" s="78"/>
      <c r="H145" s="28"/>
      <c r="I145" s="29"/>
      <c r="J145" s="29"/>
      <c r="K145" s="51">
        <f t="shared" si="24"/>
        <v>8600</v>
      </c>
      <c r="L145" s="34">
        <v>0</v>
      </c>
      <c r="M145" s="52" t="str">
        <f t="shared" si="25"/>
        <v/>
      </c>
      <c r="N145" s="52" t="str">
        <f t="shared" si="26"/>
        <v/>
      </c>
      <c r="O145" s="71" t="str">
        <f t="shared" si="27"/>
        <v/>
      </c>
      <c r="P145" s="71" t="str">
        <f t="shared" si="28"/>
        <v/>
      </c>
      <c r="Q145" s="72" t="str">
        <f t="shared" si="29"/>
        <v/>
      </c>
      <c r="S145"/>
      <c r="T145"/>
      <c r="U145"/>
      <c r="V145"/>
      <c r="W145"/>
      <c r="X145"/>
      <c r="Y145"/>
      <c r="Z145" s="4"/>
      <c r="AA145" s="4"/>
      <c r="AB145" s="4"/>
      <c r="AC145" s="4"/>
      <c r="AD145" s="4"/>
      <c r="AE145" s="4"/>
    </row>
    <row r="146" spans="1:31" ht="31.5" customHeight="1" x14ac:dyDescent="0.3">
      <c r="A146" s="240"/>
      <c r="B146" s="27"/>
      <c r="C146" s="143"/>
      <c r="D146" s="27"/>
      <c r="E146" s="78"/>
      <c r="F146" s="79"/>
      <c r="G146" s="78"/>
      <c r="H146" s="28"/>
      <c r="I146" s="29"/>
      <c r="J146" s="29"/>
      <c r="K146" s="51">
        <f t="shared" si="24"/>
        <v>8600</v>
      </c>
      <c r="L146" s="34">
        <v>0</v>
      </c>
      <c r="M146" s="52" t="str">
        <f t="shared" si="25"/>
        <v/>
      </c>
      <c r="N146" s="52" t="str">
        <f t="shared" si="26"/>
        <v/>
      </c>
      <c r="O146" s="71" t="str">
        <f t="shared" si="27"/>
        <v/>
      </c>
      <c r="P146" s="71" t="str">
        <f t="shared" si="28"/>
        <v/>
      </c>
      <c r="Q146" s="72" t="str">
        <f t="shared" si="29"/>
        <v/>
      </c>
      <c r="S146"/>
      <c r="T146"/>
      <c r="U146"/>
      <c r="V146"/>
      <c r="W146"/>
      <c r="X146"/>
      <c r="Y146"/>
      <c r="Z146" s="4"/>
      <c r="AA146" s="4"/>
      <c r="AB146" s="4"/>
      <c r="AC146" s="4"/>
      <c r="AD146" s="4"/>
      <c r="AE146" s="4"/>
    </row>
    <row r="147" spans="1:31" ht="31.5" customHeight="1" x14ac:dyDescent="0.3">
      <c r="A147" s="240"/>
      <c r="B147" s="27"/>
      <c r="C147" s="143"/>
      <c r="D147" s="27"/>
      <c r="E147" s="78"/>
      <c r="F147" s="79"/>
      <c r="G147" s="78"/>
      <c r="H147" s="28"/>
      <c r="I147" s="29"/>
      <c r="J147" s="29"/>
      <c r="K147" s="51">
        <f t="shared" si="24"/>
        <v>8600</v>
      </c>
      <c r="L147" s="34">
        <v>0</v>
      </c>
      <c r="M147" s="52" t="str">
        <f t="shared" si="25"/>
        <v/>
      </c>
      <c r="N147" s="52" t="str">
        <f t="shared" si="26"/>
        <v/>
      </c>
      <c r="O147" s="71" t="str">
        <f t="shared" si="27"/>
        <v/>
      </c>
      <c r="P147" s="71" t="str">
        <f t="shared" si="28"/>
        <v/>
      </c>
      <c r="Q147" s="72" t="str">
        <f t="shared" si="29"/>
        <v/>
      </c>
      <c r="S147"/>
      <c r="T147"/>
      <c r="U147" s="53"/>
      <c r="V147" s="53"/>
      <c r="W147" s="53"/>
      <c r="X147" s="53"/>
      <c r="Y147" s="53"/>
      <c r="Z147" s="5"/>
      <c r="AA147" s="5"/>
      <c r="AB147" s="5"/>
      <c r="AC147" s="5"/>
      <c r="AD147" s="4"/>
      <c r="AE147" s="4"/>
    </row>
    <row r="148" spans="1:31" ht="31.5" customHeight="1" thickBot="1" x14ac:dyDescent="0.35">
      <c r="A148" s="241"/>
      <c r="B148" s="30"/>
      <c r="C148" s="142"/>
      <c r="D148" s="30"/>
      <c r="E148" s="80"/>
      <c r="F148" s="81"/>
      <c r="G148" s="80"/>
      <c r="H148" s="31"/>
      <c r="I148" s="32"/>
      <c r="J148" s="32"/>
      <c r="K148" s="159">
        <f t="shared" si="24"/>
        <v>8600</v>
      </c>
      <c r="L148" s="158">
        <v>0</v>
      </c>
      <c r="M148" s="157" t="str">
        <f t="shared" si="25"/>
        <v/>
      </c>
      <c r="N148" s="157" t="str">
        <f t="shared" si="26"/>
        <v/>
      </c>
      <c r="O148" s="156" t="str">
        <f t="shared" si="27"/>
        <v/>
      </c>
      <c r="P148" s="156" t="str">
        <f t="shared" si="28"/>
        <v/>
      </c>
      <c r="Q148" s="155" t="str">
        <f t="shared" si="29"/>
        <v/>
      </c>
      <c r="S148"/>
      <c r="T148"/>
      <c r="U148" s="53"/>
      <c r="V148" s="53"/>
      <c r="W148" s="53"/>
      <c r="X148" s="53"/>
      <c r="Y148" s="53"/>
      <c r="Z148" s="5"/>
      <c r="AA148" s="5"/>
      <c r="AB148" s="5"/>
      <c r="AC148" s="5"/>
      <c r="AD148" s="4"/>
      <c r="AE148" s="4"/>
    </row>
    <row r="149" spans="1:31" ht="31.5" customHeight="1" x14ac:dyDescent="0.3">
      <c r="A149" s="239" t="s">
        <v>78</v>
      </c>
      <c r="B149" s="24"/>
      <c r="C149" s="160"/>
      <c r="D149" s="24"/>
      <c r="E149" s="76"/>
      <c r="F149" s="77"/>
      <c r="G149" s="76"/>
      <c r="H149" s="25"/>
      <c r="I149" s="26"/>
      <c r="J149" s="26"/>
      <c r="K149" s="49">
        <f t="shared" si="24"/>
        <v>8600</v>
      </c>
      <c r="L149" s="33">
        <v>0</v>
      </c>
      <c r="M149" s="50" t="str">
        <f t="shared" si="25"/>
        <v/>
      </c>
      <c r="N149" s="50" t="str">
        <f t="shared" si="26"/>
        <v/>
      </c>
      <c r="O149" s="69" t="str">
        <f t="shared" si="27"/>
        <v/>
      </c>
      <c r="P149" s="69" t="str">
        <f t="shared" si="28"/>
        <v/>
      </c>
      <c r="Q149" s="70" t="str">
        <f t="shared" si="29"/>
        <v/>
      </c>
      <c r="S149"/>
      <c r="T149"/>
      <c r="U149"/>
      <c r="V149"/>
      <c r="W149"/>
      <c r="X149"/>
      <c r="Y149"/>
      <c r="Z149" s="4"/>
      <c r="AA149" s="4"/>
      <c r="AB149" s="4"/>
      <c r="AC149" s="4"/>
      <c r="AD149" s="4"/>
      <c r="AE149" s="4"/>
    </row>
    <row r="150" spans="1:31" ht="31.5" customHeight="1" x14ac:dyDescent="0.3">
      <c r="A150" s="240"/>
      <c r="B150" s="27"/>
      <c r="C150" s="143"/>
      <c r="D150" s="27"/>
      <c r="E150" s="78"/>
      <c r="F150" s="79"/>
      <c r="G150" s="78"/>
      <c r="H150" s="28"/>
      <c r="I150" s="29"/>
      <c r="J150" s="29"/>
      <c r="K150" s="51">
        <f t="shared" si="24"/>
        <v>8600</v>
      </c>
      <c r="L150" s="34">
        <v>0</v>
      </c>
      <c r="M150" s="52" t="str">
        <f t="shared" si="25"/>
        <v/>
      </c>
      <c r="N150" s="52" t="str">
        <f t="shared" si="26"/>
        <v/>
      </c>
      <c r="O150" s="71" t="str">
        <f t="shared" si="27"/>
        <v/>
      </c>
      <c r="P150" s="71" t="str">
        <f t="shared" si="28"/>
        <v/>
      </c>
      <c r="Q150" s="72" t="str">
        <f t="shared" si="29"/>
        <v/>
      </c>
      <c r="S150"/>
      <c r="T150"/>
      <c r="U150" s="53"/>
      <c r="V150" s="53"/>
      <c r="W150" s="53"/>
      <c r="X150" s="53"/>
      <c r="Y150" s="53"/>
      <c r="Z150" s="5"/>
      <c r="AA150" s="5"/>
      <c r="AB150" s="5"/>
      <c r="AC150" s="5"/>
      <c r="AD150" s="4"/>
      <c r="AE150" s="4"/>
    </row>
    <row r="151" spans="1:31" ht="31.5" customHeight="1" x14ac:dyDescent="0.3">
      <c r="A151" s="240"/>
      <c r="B151" s="27"/>
      <c r="C151" s="143"/>
      <c r="D151" s="27"/>
      <c r="E151" s="78"/>
      <c r="F151" s="79"/>
      <c r="G151" s="78"/>
      <c r="H151" s="28"/>
      <c r="I151" s="29"/>
      <c r="J151" s="29"/>
      <c r="K151" s="51">
        <f t="shared" si="24"/>
        <v>8600</v>
      </c>
      <c r="L151" s="34">
        <v>0</v>
      </c>
      <c r="M151" s="52" t="str">
        <f t="shared" si="25"/>
        <v/>
      </c>
      <c r="N151" s="52" t="str">
        <f t="shared" si="26"/>
        <v/>
      </c>
      <c r="O151" s="71" t="str">
        <f t="shared" si="27"/>
        <v/>
      </c>
      <c r="P151" s="71" t="str">
        <f t="shared" si="28"/>
        <v/>
      </c>
      <c r="Q151" s="72" t="str">
        <f t="shared" si="29"/>
        <v/>
      </c>
      <c r="S151"/>
      <c r="T151"/>
      <c r="U151" s="53"/>
      <c r="V151" s="53"/>
      <c r="W151" s="53"/>
      <c r="X151" s="53"/>
      <c r="Y151" s="53"/>
      <c r="Z151" s="5"/>
      <c r="AA151" s="5"/>
      <c r="AB151" s="5"/>
      <c r="AC151" s="5"/>
      <c r="AD151" s="4"/>
      <c r="AE151" s="4"/>
    </row>
    <row r="152" spans="1:31" ht="31.5" customHeight="1" x14ac:dyDescent="0.3">
      <c r="A152" s="240"/>
      <c r="B152" s="27"/>
      <c r="C152" s="143"/>
      <c r="D152" s="27"/>
      <c r="E152" s="78"/>
      <c r="F152" s="79"/>
      <c r="G152" s="78"/>
      <c r="H152" s="28"/>
      <c r="I152" s="29"/>
      <c r="J152" s="29"/>
      <c r="K152" s="51">
        <f t="shared" si="24"/>
        <v>8600</v>
      </c>
      <c r="L152" s="34">
        <v>0</v>
      </c>
      <c r="M152" s="52" t="str">
        <f t="shared" si="25"/>
        <v/>
      </c>
      <c r="N152" s="52" t="str">
        <f t="shared" si="26"/>
        <v/>
      </c>
      <c r="O152" s="71" t="str">
        <f t="shared" si="27"/>
        <v/>
      </c>
      <c r="P152" s="71" t="str">
        <f t="shared" si="28"/>
        <v/>
      </c>
      <c r="Q152" s="72" t="str">
        <f t="shared" si="29"/>
        <v/>
      </c>
      <c r="S152"/>
      <c r="T152"/>
      <c r="U152"/>
      <c r="V152"/>
      <c r="W152"/>
      <c r="X152"/>
      <c r="Y152"/>
      <c r="Z152" s="4"/>
      <c r="AA152" s="4"/>
      <c r="AB152" s="4"/>
      <c r="AC152" s="4"/>
      <c r="AD152" s="4"/>
      <c r="AE152" s="4"/>
    </row>
    <row r="153" spans="1:31" ht="31.5" customHeight="1" thickBot="1" x14ac:dyDescent="0.35">
      <c r="A153" s="241"/>
      <c r="B153" s="30"/>
      <c r="C153" s="142"/>
      <c r="D153" s="30"/>
      <c r="E153" s="80"/>
      <c r="F153" s="81"/>
      <c r="G153" s="80"/>
      <c r="H153" s="31"/>
      <c r="I153" s="32"/>
      <c r="J153" s="32"/>
      <c r="K153" s="159">
        <f t="shared" si="24"/>
        <v>8600</v>
      </c>
      <c r="L153" s="158">
        <v>0</v>
      </c>
      <c r="M153" s="157" t="str">
        <f t="shared" si="25"/>
        <v/>
      </c>
      <c r="N153" s="157" t="str">
        <f t="shared" si="26"/>
        <v/>
      </c>
      <c r="O153" s="156" t="str">
        <f t="shared" si="27"/>
        <v/>
      </c>
      <c r="P153" s="156" t="str">
        <f t="shared" si="28"/>
        <v/>
      </c>
      <c r="Q153" s="155" t="str">
        <f t="shared" si="29"/>
        <v/>
      </c>
      <c r="S153"/>
      <c r="T153"/>
      <c r="U153"/>
      <c r="V153"/>
      <c r="W153"/>
      <c r="X153"/>
      <c r="Y153"/>
      <c r="Z153" s="4"/>
      <c r="AA153" s="4"/>
      <c r="AB153" s="4"/>
      <c r="AC153" s="4"/>
      <c r="AD153" s="4"/>
      <c r="AE153" s="4"/>
    </row>
    <row r="154" spans="1:31" ht="31.5" customHeight="1" x14ac:dyDescent="0.3">
      <c r="A154" s="240" t="s">
        <v>79</v>
      </c>
      <c r="B154" s="153"/>
      <c r="C154" s="154"/>
      <c r="D154" s="153"/>
      <c r="E154" s="151"/>
      <c r="F154" s="152"/>
      <c r="G154" s="151"/>
      <c r="H154" s="150"/>
      <c r="I154" s="149"/>
      <c r="J154" s="149"/>
      <c r="K154" s="148">
        <f t="shared" si="24"/>
        <v>8600</v>
      </c>
      <c r="L154" s="147">
        <v>0</v>
      </c>
      <c r="M154" s="146" t="str">
        <f t="shared" si="25"/>
        <v/>
      </c>
      <c r="N154" s="146" t="str">
        <f t="shared" si="26"/>
        <v/>
      </c>
      <c r="O154" s="145" t="str">
        <f t="shared" si="27"/>
        <v/>
      </c>
      <c r="P154" s="145" t="str">
        <f t="shared" si="28"/>
        <v/>
      </c>
      <c r="Q154" s="144" t="str">
        <f t="shared" si="29"/>
        <v/>
      </c>
      <c r="S154"/>
      <c r="T154"/>
      <c r="U154"/>
      <c r="V154"/>
      <c r="W154"/>
      <c r="X154"/>
      <c r="Y154"/>
      <c r="Z154" s="4"/>
      <c r="AA154" s="4"/>
      <c r="AB154" s="4"/>
      <c r="AC154" s="4"/>
      <c r="AD154" s="4"/>
      <c r="AE154" s="4"/>
    </row>
    <row r="155" spans="1:31" ht="31.5" customHeight="1" x14ac:dyDescent="0.3">
      <c r="A155" s="240"/>
      <c r="B155" s="27"/>
      <c r="C155" s="143"/>
      <c r="D155" s="27"/>
      <c r="E155" s="78"/>
      <c r="F155" s="79"/>
      <c r="G155" s="78"/>
      <c r="H155" s="28"/>
      <c r="I155" s="29"/>
      <c r="J155" s="29"/>
      <c r="K155" s="51">
        <f t="shared" si="24"/>
        <v>8600</v>
      </c>
      <c r="L155" s="34">
        <v>0</v>
      </c>
      <c r="M155" s="52" t="str">
        <f t="shared" si="25"/>
        <v/>
      </c>
      <c r="N155" s="52" t="str">
        <f t="shared" si="26"/>
        <v/>
      </c>
      <c r="O155" s="71" t="str">
        <f t="shared" si="27"/>
        <v/>
      </c>
      <c r="P155" s="71" t="str">
        <f t="shared" si="28"/>
        <v/>
      </c>
      <c r="Q155" s="72" t="str">
        <f t="shared" si="29"/>
        <v/>
      </c>
      <c r="S155"/>
      <c r="T155"/>
      <c r="U155"/>
      <c r="V155"/>
      <c r="W155"/>
      <c r="X155"/>
      <c r="Y155"/>
      <c r="Z155" s="4"/>
      <c r="AA155" s="4"/>
      <c r="AB155" s="4"/>
      <c r="AC155" s="4"/>
      <c r="AD155" s="4"/>
      <c r="AE155" s="4"/>
    </row>
    <row r="156" spans="1:31" ht="31.5" customHeight="1" x14ac:dyDescent="0.3">
      <c r="A156" s="240"/>
      <c r="B156" s="27"/>
      <c r="C156" s="143"/>
      <c r="D156" s="27"/>
      <c r="E156" s="78"/>
      <c r="F156" s="79"/>
      <c r="G156" s="78"/>
      <c r="H156" s="28"/>
      <c r="I156" s="29"/>
      <c r="J156" s="29"/>
      <c r="K156" s="51">
        <f t="shared" si="24"/>
        <v>8600</v>
      </c>
      <c r="L156" s="34">
        <v>0</v>
      </c>
      <c r="M156" s="52" t="str">
        <f t="shared" si="25"/>
        <v/>
      </c>
      <c r="N156" s="52" t="str">
        <f t="shared" si="26"/>
        <v/>
      </c>
      <c r="O156" s="71" t="str">
        <f t="shared" si="27"/>
        <v/>
      </c>
      <c r="P156" s="71" t="str">
        <f t="shared" si="28"/>
        <v/>
      </c>
      <c r="Q156" s="72" t="str">
        <f t="shared" si="29"/>
        <v/>
      </c>
      <c r="S156"/>
      <c r="T156"/>
      <c r="U156" s="53"/>
      <c r="V156" s="53"/>
      <c r="W156" s="53"/>
      <c r="X156" s="53"/>
      <c r="Y156" s="53"/>
      <c r="Z156" s="5"/>
      <c r="AA156" s="5"/>
      <c r="AB156" s="5"/>
      <c r="AC156" s="5"/>
      <c r="AD156" s="4"/>
      <c r="AE156" s="4"/>
    </row>
    <row r="157" spans="1:31" ht="31.5" customHeight="1" x14ac:dyDescent="0.3">
      <c r="A157" s="240"/>
      <c r="B157" s="27"/>
      <c r="C157" s="143"/>
      <c r="D157" s="27"/>
      <c r="E157" s="78"/>
      <c r="F157" s="79"/>
      <c r="G157" s="78"/>
      <c r="H157" s="28"/>
      <c r="I157" s="29"/>
      <c r="J157" s="29"/>
      <c r="K157" s="51">
        <f t="shared" si="24"/>
        <v>8600</v>
      </c>
      <c r="L157" s="34">
        <v>0</v>
      </c>
      <c r="M157" s="52" t="str">
        <f t="shared" si="25"/>
        <v/>
      </c>
      <c r="N157" s="52" t="str">
        <f t="shared" si="26"/>
        <v/>
      </c>
      <c r="O157" s="71" t="str">
        <f t="shared" si="27"/>
        <v/>
      </c>
      <c r="P157" s="71" t="str">
        <f t="shared" si="28"/>
        <v/>
      </c>
      <c r="Q157" s="72" t="str">
        <f t="shared" si="29"/>
        <v/>
      </c>
      <c r="S157"/>
      <c r="T157"/>
      <c r="U157" s="53"/>
      <c r="V157" s="53"/>
      <c r="W157" s="53"/>
      <c r="X157" s="53"/>
      <c r="Y157" s="53"/>
      <c r="Z157" s="5"/>
      <c r="AA157" s="5"/>
      <c r="AB157" s="5"/>
      <c r="AC157" s="5"/>
      <c r="AD157" s="4"/>
      <c r="AE157" s="4"/>
    </row>
    <row r="158" spans="1:31" ht="31.5" customHeight="1" thickBot="1" x14ac:dyDescent="0.35">
      <c r="A158" s="241"/>
      <c r="B158" s="30"/>
      <c r="C158" s="142"/>
      <c r="D158" s="30"/>
      <c r="E158" s="80"/>
      <c r="F158" s="81"/>
      <c r="G158" s="80"/>
      <c r="H158" s="31"/>
      <c r="I158" s="32"/>
      <c r="J158" s="32"/>
      <c r="K158" s="51">
        <f t="shared" si="24"/>
        <v>8600</v>
      </c>
      <c r="L158" s="34">
        <v>0</v>
      </c>
      <c r="M158" s="52" t="str">
        <f t="shared" si="25"/>
        <v/>
      </c>
      <c r="N158" s="52" t="str">
        <f t="shared" si="26"/>
        <v/>
      </c>
      <c r="O158" s="71" t="str">
        <f t="shared" si="27"/>
        <v/>
      </c>
      <c r="P158" s="71" t="str">
        <f t="shared" si="28"/>
        <v/>
      </c>
      <c r="Q158" s="72" t="str">
        <f t="shared" si="29"/>
        <v/>
      </c>
      <c r="S158"/>
      <c r="T158"/>
      <c r="U158" s="53"/>
      <c r="V158" s="53"/>
      <c r="W158" s="53"/>
      <c r="X158" s="53"/>
      <c r="Y158" s="53"/>
      <c r="Z158" s="5"/>
      <c r="AA158" s="5"/>
      <c r="AB158" s="5"/>
      <c r="AC158" s="5"/>
      <c r="AD158" s="4"/>
      <c r="AE158" s="4"/>
    </row>
    <row r="159" spans="1:31" ht="36" x14ac:dyDescent="0.3">
      <c r="A159" s="6"/>
      <c r="B159" s="7" t="s">
        <v>43</v>
      </c>
      <c r="C159" s="141"/>
      <c r="D159" s="136"/>
      <c r="E159" s="8"/>
      <c r="F159" s="9"/>
      <c r="G159" s="10"/>
      <c r="H159" s="11"/>
      <c r="I159" s="12"/>
      <c r="J159" s="12"/>
      <c r="K159" s="54"/>
      <c r="L159" s="12"/>
      <c r="M159" s="54"/>
      <c r="N159" s="55"/>
      <c r="O159" s="73" t="s">
        <v>44</v>
      </c>
      <c r="P159" s="73" t="s">
        <v>45</v>
      </c>
      <c r="Q159" s="74" t="s">
        <v>46</v>
      </c>
      <c r="S159"/>
      <c r="T159"/>
      <c r="U159"/>
      <c r="V159"/>
      <c r="W159"/>
      <c r="X159"/>
      <c r="Y159"/>
      <c r="Z159" s="4"/>
      <c r="AA159" s="4"/>
      <c r="AB159" s="4"/>
      <c r="AC159" s="4"/>
      <c r="AD159" s="4"/>
      <c r="AE159" s="4"/>
    </row>
    <row r="160" spans="1:31" s="23" customFormat="1" ht="33.6" x14ac:dyDescent="0.65">
      <c r="A160" s="62" t="s">
        <v>47</v>
      </c>
      <c r="B160" s="63">
        <f>SUM(B5:B158)</f>
        <v>0</v>
      </c>
      <c r="C160" s="140"/>
      <c r="D160" s="65"/>
      <c r="E160" s="63"/>
      <c r="F160" s="63"/>
      <c r="G160" s="63"/>
      <c r="H160" s="66"/>
      <c r="I160" s="63"/>
      <c r="J160" s="63"/>
      <c r="K160" s="56"/>
      <c r="L160" s="63"/>
      <c r="M160" s="57"/>
      <c r="N160" s="57"/>
      <c r="O160" s="75">
        <f>SUM(O5:O158)</f>
        <v>0</v>
      </c>
      <c r="P160" s="75">
        <f>SUM(P5:P158)</f>
        <v>0</v>
      </c>
      <c r="Q160" s="75">
        <f>SUM(Q5:Q158)</f>
        <v>0</v>
      </c>
      <c r="Z160" s="22"/>
      <c r="AA160" s="22"/>
      <c r="AB160" s="22"/>
      <c r="AC160" s="22"/>
      <c r="AD160" s="22"/>
      <c r="AE160" s="22"/>
    </row>
    <row r="161" spans="1:31" ht="25.8" x14ac:dyDescent="0.5">
      <c r="A161" s="13"/>
      <c r="D161" s="15"/>
      <c r="F161" s="16"/>
      <c r="G161" s="17"/>
      <c r="K161" s="3"/>
      <c r="M161" s="19"/>
      <c r="N161" s="19"/>
      <c r="O161" s="2"/>
      <c r="P161" s="2"/>
      <c r="Q161" s="2"/>
      <c r="R161" s="4"/>
      <c r="Z161" s="4"/>
      <c r="AA161" s="4"/>
      <c r="AB161" s="4"/>
      <c r="AC161" s="4"/>
      <c r="AD161" s="4"/>
      <c r="AE161" s="4"/>
    </row>
    <row r="162" spans="1:31" ht="25.8" x14ac:dyDescent="0.5">
      <c r="A162" s="13"/>
      <c r="D162" s="15"/>
      <c r="F162" s="16"/>
      <c r="G162" s="17"/>
      <c r="K162" s="3"/>
      <c r="M162" s="19"/>
      <c r="N162" s="19"/>
      <c r="O162" s="2"/>
      <c r="P162" s="2"/>
      <c r="Q162" s="2"/>
      <c r="R162" s="4"/>
      <c r="Z162" s="4"/>
      <c r="AA162" s="4"/>
      <c r="AB162" s="4"/>
      <c r="AC162" s="4"/>
      <c r="AD162" s="4"/>
      <c r="AE162" s="4"/>
    </row>
  </sheetData>
  <sheetProtection algorithmName="SHA-512" hashValue="BcA1gHgMnGulqKBy8GXzy/9u9XeR8+EmKOVKZtVaIKZn8V5viQfjGPZUAzqrUQzzrlWV1U8cuu+/OrJcWS28sw==" saltValue="ty63+CnIn1/l59mXEclpWw==" spinCount="100000" sheet="1" formatCells="0" formatColumns="0" formatRows="0" selectLockedCells="1" sort="0"/>
  <mergeCells count="22">
    <mergeCell ref="A75:A87"/>
    <mergeCell ref="A58:A61"/>
    <mergeCell ref="I3:Q3"/>
    <mergeCell ref="D3:H3"/>
    <mergeCell ref="A3:C3"/>
    <mergeCell ref="A49:A57"/>
    <mergeCell ref="A149:A153"/>
    <mergeCell ref="A154:A158"/>
    <mergeCell ref="A121:A126"/>
    <mergeCell ref="A127:A135"/>
    <mergeCell ref="S2:Y2"/>
    <mergeCell ref="A5:A17"/>
    <mergeCell ref="A18:A30"/>
    <mergeCell ref="A31:A39"/>
    <mergeCell ref="A40:A48"/>
    <mergeCell ref="A62:A74"/>
    <mergeCell ref="A88:A92"/>
    <mergeCell ref="A93:A97"/>
    <mergeCell ref="A98:A102"/>
    <mergeCell ref="A103:A107"/>
    <mergeCell ref="A108:A120"/>
    <mergeCell ref="A136:A148"/>
  </mergeCells>
  <pageMargins left="0.7" right="0.7" top="0.75" bottom="0.75" header="0.3" footer="0.3"/>
  <pageSetup paperSize="9" scale="24" orientation="landscape" r:id="rId1"/>
  <colBreaks count="1" manualBreakCount="1">
    <brk id="1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1FA67-DE32-4CEB-B0C6-A696035E8AA6}">
  <sheetPr>
    <tabColor rgb="FF00B050"/>
    <pageSetUpPr fitToPage="1"/>
  </sheetPr>
  <dimension ref="B2:H378"/>
  <sheetViews>
    <sheetView tabSelected="1" zoomScale="62" zoomScaleNormal="55" zoomScaleSheetLayoutView="25" workbookViewId="0">
      <selection activeCell="B18" sqref="B18"/>
    </sheetView>
  </sheetViews>
  <sheetFormatPr baseColWidth="10" defaultColWidth="11.44140625" defaultRowHeight="14.4" x14ac:dyDescent="0.3"/>
  <cols>
    <col min="2" max="2" width="37.21875" customWidth="1"/>
    <col min="3" max="3" width="25.109375" customWidth="1"/>
    <col min="4" max="4" width="11.88671875" customWidth="1"/>
    <col min="5" max="6" width="14.21875" customWidth="1"/>
    <col min="7" max="7" width="23.5546875" customWidth="1"/>
    <col min="8" max="8" width="30.109375" customWidth="1"/>
  </cols>
  <sheetData>
    <row r="2" spans="2:8" ht="15" x14ac:dyDescent="0.3">
      <c r="B2" s="82" t="str">
        <f>'COMMANDE GD-PUBLIC SFC'!$A$2</f>
        <v>MATCH SFC X</v>
      </c>
      <c r="C2" s="83" t="str">
        <f>'COMMANDE GD-PUBLIC SFC'!$C$2</f>
        <v>FC THOUNE</v>
      </c>
      <c r="D2" s="83"/>
      <c r="E2" s="82" t="s">
        <v>48</v>
      </c>
      <c r="F2" s="84">
        <f>'COMMANDE GD-PUBLIC SFC'!$D$2</f>
        <v>45969</v>
      </c>
      <c r="G2" s="85"/>
      <c r="H2" s="85"/>
    </row>
    <row r="3" spans="2:8" ht="15.6" x14ac:dyDescent="0.3">
      <c r="B3" s="86"/>
      <c r="C3" s="87"/>
      <c r="D3" s="87"/>
      <c r="E3" s="86"/>
      <c r="F3" s="87"/>
      <c r="G3" s="87"/>
      <c r="H3" s="88"/>
    </row>
    <row r="4" spans="2:8" ht="18" x14ac:dyDescent="0.3">
      <c r="B4" s="82" t="s">
        <v>49</v>
      </c>
      <c r="C4" s="89">
        <f>'COMMANDE GD-PUBLIC SFC'!$J$2</f>
        <v>0.85416666666666663</v>
      </c>
      <c r="D4" s="89"/>
      <c r="E4" s="82" t="s">
        <v>13</v>
      </c>
      <c r="F4" s="83" t="s">
        <v>80</v>
      </c>
      <c r="G4" s="90"/>
      <c r="H4" s="91"/>
    </row>
    <row r="5" spans="2:8" ht="16.2" thickBot="1" x14ac:dyDescent="0.35">
      <c r="B5" s="92"/>
      <c r="C5" s="92"/>
      <c r="D5" s="92"/>
      <c r="E5" s="93"/>
      <c r="F5" s="93"/>
      <c r="G5" s="93"/>
      <c r="H5" s="94"/>
    </row>
    <row r="6" spans="2:8" ht="27" customHeight="1" x14ac:dyDescent="0.3">
      <c r="B6" s="254" t="s">
        <v>81</v>
      </c>
      <c r="C6" s="255">
        <f>COUNTA('COMMANDE GD-PUBLIC SFC'!C5:C17)</f>
        <v>0</v>
      </c>
    </row>
    <row r="7" spans="2:8" ht="27" customHeight="1" thickBot="1" x14ac:dyDescent="0.35">
      <c r="B7" s="254"/>
      <c r="C7" s="256"/>
    </row>
    <row r="8" spans="2:8" ht="15" thickBot="1" x14ac:dyDescent="0.35"/>
    <row r="9" spans="2:8" ht="23.4" x14ac:dyDescent="0.3">
      <c r="B9" s="95" t="s">
        <v>51</v>
      </c>
      <c r="C9" s="224" t="s">
        <v>52</v>
      </c>
      <c r="D9" s="219" t="s">
        <v>53</v>
      </c>
      <c r="E9" s="220"/>
      <c r="F9" s="220"/>
      <c r="G9" s="221"/>
      <c r="H9" s="226" t="s">
        <v>54</v>
      </c>
    </row>
    <row r="10" spans="2:8" ht="38.4" thickBot="1" x14ac:dyDescent="0.35">
      <c r="B10" s="96" t="str">
        <f>'COMMANDE GD-PUBLIC SFC'!A5</f>
        <v>NORD 1</v>
      </c>
      <c r="C10" s="225"/>
      <c r="D10" s="97" t="s">
        <v>55</v>
      </c>
      <c r="E10" s="97" t="s">
        <v>23</v>
      </c>
      <c r="F10" s="97" t="s">
        <v>56</v>
      </c>
      <c r="G10" s="98" t="s">
        <v>57</v>
      </c>
      <c r="H10" s="227"/>
    </row>
    <row r="11" spans="2:8" ht="24.75" customHeight="1" x14ac:dyDescent="0.3">
      <c r="B11" s="99" t="str">
        <f>IF('COMMANDE GD-PUBLIC SFC'!D5="","",'COMMANDE GD-PUBLIC SFC'!D5)</f>
        <v/>
      </c>
      <c r="C11" s="100" t="str">
        <f>IF('COMMANDE GD-PUBLIC SFC'!C5="","",'COMMANDE GD-PUBLIC SFC'!C5)</f>
        <v/>
      </c>
      <c r="D11" s="101">
        <f>IF('COMMANDE GD-PUBLIC SFC'!I5="","",'COMMANDE GD-PUBLIC SFC'!I5)</f>
        <v>0.75</v>
      </c>
      <c r="E11" s="101"/>
      <c r="F11" s="102"/>
      <c r="G11" s="102"/>
      <c r="H11" s="103"/>
    </row>
    <row r="12" spans="2:8" ht="24.75" customHeight="1" x14ac:dyDescent="0.3">
      <c r="B12" s="99" t="str">
        <f>IF('COMMANDE GD-PUBLIC SFC'!D6="","",'COMMANDE GD-PUBLIC SFC'!D6)</f>
        <v/>
      </c>
      <c r="C12" s="100" t="str">
        <f>IF('COMMANDE GD-PUBLIC SFC'!C6="","",'COMMANDE GD-PUBLIC SFC'!C6)</f>
        <v/>
      </c>
      <c r="D12" s="101">
        <f>IF('COMMANDE GD-PUBLIC SFC'!I6="","",'COMMANDE GD-PUBLIC SFC'!I6)</f>
        <v>0.75</v>
      </c>
      <c r="E12" s="101"/>
      <c r="F12" s="104"/>
      <c r="G12" s="104"/>
      <c r="H12" s="105"/>
    </row>
    <row r="13" spans="2:8" ht="24.75" customHeight="1" x14ac:dyDescent="0.3">
      <c r="B13" s="99" t="str">
        <f>IF('COMMANDE GD-PUBLIC SFC'!D7="","",'COMMANDE GD-PUBLIC SFC'!D7)</f>
        <v/>
      </c>
      <c r="C13" s="100" t="str">
        <f>IF('COMMANDE GD-PUBLIC SFC'!C7="","",'COMMANDE GD-PUBLIC SFC'!C7)</f>
        <v/>
      </c>
      <c r="D13" s="101">
        <f>IF('COMMANDE GD-PUBLIC SFC'!I7="","",'COMMANDE GD-PUBLIC SFC'!I7)</f>
        <v>0.77083333333333337</v>
      </c>
      <c r="E13" s="101"/>
      <c r="F13" s="104"/>
      <c r="G13" s="104"/>
      <c r="H13" s="105"/>
    </row>
    <row r="14" spans="2:8" ht="24.75" customHeight="1" x14ac:dyDescent="0.3">
      <c r="B14" s="99" t="str">
        <f>IF('COMMANDE GD-PUBLIC SFC'!D8="","",'COMMANDE GD-PUBLIC SFC'!D8)</f>
        <v/>
      </c>
      <c r="C14" s="100" t="str">
        <f>IF('COMMANDE GD-PUBLIC SFC'!C8="","",'COMMANDE GD-PUBLIC SFC'!C8)</f>
        <v/>
      </c>
      <c r="D14" s="101">
        <f>IF('COMMANDE GD-PUBLIC SFC'!I8="","",'COMMANDE GD-PUBLIC SFC'!I8)</f>
        <v>0.77083333333333337</v>
      </c>
      <c r="E14" s="101"/>
      <c r="F14" s="104"/>
      <c r="G14" s="104"/>
      <c r="H14" s="105"/>
    </row>
    <row r="15" spans="2:8" ht="24.75" customHeight="1" x14ac:dyDescent="0.3">
      <c r="B15" s="99" t="str">
        <f>IF('COMMANDE GD-PUBLIC SFC'!D9="","",'COMMANDE GD-PUBLIC SFC'!D9)</f>
        <v/>
      </c>
      <c r="C15" s="100" t="str">
        <f>IF('COMMANDE GD-PUBLIC SFC'!C9="","",'COMMANDE GD-PUBLIC SFC'!C9)</f>
        <v/>
      </c>
      <c r="D15" s="101">
        <f>IF('COMMANDE GD-PUBLIC SFC'!I9="","",'COMMANDE GD-PUBLIC SFC'!I9)</f>
        <v>0.79166666666666663</v>
      </c>
      <c r="E15" s="101"/>
      <c r="F15" s="104"/>
      <c r="G15" s="104"/>
      <c r="H15" s="105"/>
    </row>
    <row r="16" spans="2:8" ht="24.75" customHeight="1" x14ac:dyDescent="0.3">
      <c r="B16" s="99" t="str">
        <f>IF('COMMANDE GD-PUBLIC SFC'!D10="","",'COMMANDE GD-PUBLIC SFC'!D10)</f>
        <v/>
      </c>
      <c r="C16" s="100" t="str">
        <f>IF('COMMANDE GD-PUBLIC SFC'!C10="","",'COMMANDE GD-PUBLIC SFC'!C10)</f>
        <v/>
      </c>
      <c r="D16" s="101">
        <f>IF('COMMANDE GD-PUBLIC SFC'!I10="","",'COMMANDE GD-PUBLIC SFC'!I10)</f>
        <v>0.79166666666666663</v>
      </c>
      <c r="E16" s="101"/>
      <c r="F16" s="104"/>
      <c r="G16" s="104"/>
      <c r="H16" s="105"/>
    </row>
    <row r="17" spans="2:8" ht="24.75" customHeight="1" x14ac:dyDescent="0.3">
      <c r="B17" s="99" t="str">
        <f>IF('COMMANDE GD-PUBLIC SFC'!D11="","",'COMMANDE GD-PUBLIC SFC'!D11)</f>
        <v/>
      </c>
      <c r="C17" s="100" t="str">
        <f>IF('COMMANDE GD-PUBLIC SFC'!C11="","",'COMMANDE GD-PUBLIC SFC'!C11)</f>
        <v/>
      </c>
      <c r="D17" s="101">
        <f>IF('COMMANDE GD-PUBLIC SFC'!I11="","",'COMMANDE GD-PUBLIC SFC'!I11)</f>
        <v>0.79166666666666663</v>
      </c>
      <c r="E17" s="101"/>
      <c r="F17" s="104"/>
      <c r="G17" s="104"/>
      <c r="H17" s="105"/>
    </row>
    <row r="18" spans="2:8" ht="24.75" customHeight="1" x14ac:dyDescent="0.3">
      <c r="B18" s="99" t="str">
        <f>IF('COMMANDE GD-PUBLIC SFC'!D12="","",'COMMANDE GD-PUBLIC SFC'!D12)</f>
        <v/>
      </c>
      <c r="C18" s="100" t="str">
        <f>IF('COMMANDE GD-PUBLIC SFC'!C12="","",'COMMANDE GD-PUBLIC SFC'!C12)</f>
        <v/>
      </c>
      <c r="D18" s="101">
        <f>IF('COMMANDE GD-PUBLIC SFC'!I12="","",'COMMANDE GD-PUBLIC SFC'!I12)</f>
        <v>0.8125</v>
      </c>
      <c r="E18" s="101"/>
      <c r="F18" s="104"/>
      <c r="G18" s="104"/>
      <c r="H18" s="105"/>
    </row>
    <row r="19" spans="2:8" ht="24.75" customHeight="1" x14ac:dyDescent="0.3">
      <c r="B19" s="99" t="str">
        <f>IF('COMMANDE GD-PUBLIC SFC'!D13="","",'COMMANDE GD-PUBLIC SFC'!D13)</f>
        <v/>
      </c>
      <c r="C19" s="100" t="str">
        <f>IF('COMMANDE GD-PUBLIC SFC'!C13="","",'COMMANDE GD-PUBLIC SFC'!C13)</f>
        <v/>
      </c>
      <c r="D19" s="101">
        <f>IF('COMMANDE GD-PUBLIC SFC'!I13="","",'COMMANDE GD-PUBLIC SFC'!I13)</f>
        <v>0.8125</v>
      </c>
      <c r="E19" s="101"/>
      <c r="F19" s="104"/>
      <c r="G19" s="104"/>
      <c r="H19" s="105"/>
    </row>
    <row r="20" spans="2:8" ht="24.75" customHeight="1" x14ac:dyDescent="0.3">
      <c r="B20" s="99" t="str">
        <f>IF('COMMANDE GD-PUBLIC SFC'!D14="","",'COMMANDE GD-PUBLIC SFC'!D14)</f>
        <v/>
      </c>
      <c r="C20" s="100" t="str">
        <f>IF('COMMANDE GD-PUBLIC SFC'!C14="","",'COMMANDE GD-PUBLIC SFC'!C14)</f>
        <v/>
      </c>
      <c r="D20" s="101">
        <f>IF('COMMANDE GD-PUBLIC SFC'!I14="","",'COMMANDE GD-PUBLIC SFC'!I14)</f>
        <v>0.75</v>
      </c>
      <c r="E20" s="101"/>
      <c r="F20" s="104"/>
      <c r="G20" s="104"/>
      <c r="H20" s="105"/>
    </row>
    <row r="21" spans="2:8" ht="24.75" customHeight="1" x14ac:dyDescent="0.3">
      <c r="B21" s="99" t="str">
        <f>IF('COMMANDE GD-PUBLIC SFC'!D15="","",'COMMANDE GD-PUBLIC SFC'!D15)</f>
        <v/>
      </c>
      <c r="C21" s="100" t="str">
        <f>IF('COMMANDE GD-PUBLIC SFC'!C15="","",'COMMANDE GD-PUBLIC SFC'!C15)</f>
        <v/>
      </c>
      <c r="D21" s="101">
        <f>IF('COMMANDE GD-PUBLIC SFC'!I15="","",'COMMANDE GD-PUBLIC SFC'!I15)</f>
        <v>0.75</v>
      </c>
      <c r="E21" s="101"/>
      <c r="F21" s="104"/>
      <c r="G21" s="104"/>
      <c r="H21" s="105"/>
    </row>
    <row r="22" spans="2:8" ht="24.75" customHeight="1" x14ac:dyDescent="0.3">
      <c r="B22" s="99" t="str">
        <f>IF('COMMANDE GD-PUBLIC SFC'!D16="","",'COMMANDE GD-PUBLIC SFC'!D16)</f>
        <v/>
      </c>
      <c r="C22" s="100" t="str">
        <f>IF('COMMANDE GD-PUBLIC SFC'!C16="","",'COMMANDE GD-PUBLIC SFC'!C16)</f>
        <v/>
      </c>
      <c r="D22" s="101">
        <f>IF('COMMANDE GD-PUBLIC SFC'!I16="","",'COMMANDE GD-PUBLIC SFC'!I16)</f>
        <v>0.75</v>
      </c>
      <c r="E22" s="101"/>
      <c r="F22" s="104"/>
      <c r="G22" s="104"/>
      <c r="H22" s="105"/>
    </row>
    <row r="23" spans="2:8" ht="24.75" customHeight="1" x14ac:dyDescent="0.3">
      <c r="B23" s="99" t="str">
        <f>IF('COMMANDE GD-PUBLIC SFC'!D17="","",'COMMANDE GD-PUBLIC SFC'!D17)</f>
        <v/>
      </c>
      <c r="C23" s="100" t="str">
        <f>IF('COMMANDE GD-PUBLIC SFC'!C17="","",'COMMANDE GD-PUBLIC SFC'!C17)</f>
        <v/>
      </c>
      <c r="D23" s="101"/>
      <c r="E23" s="101"/>
      <c r="F23" s="104"/>
      <c r="G23" s="104"/>
      <c r="H23" s="105"/>
    </row>
    <row r="24" spans="2:8" ht="10.5" customHeight="1" thickBot="1" x14ac:dyDescent="0.35">
      <c r="B24" s="106"/>
      <c r="C24" s="107"/>
      <c r="D24" s="108"/>
      <c r="E24" s="108"/>
      <c r="F24" s="108"/>
      <c r="G24" s="108"/>
      <c r="H24" s="109"/>
    </row>
    <row r="28" spans="2:8" ht="15" x14ac:dyDescent="0.3">
      <c r="B28" s="82" t="str">
        <f>'COMMANDE GD-PUBLIC SFC'!$A$2</f>
        <v>MATCH SFC X</v>
      </c>
      <c r="C28" s="83" t="str">
        <f>'COMMANDE GD-PUBLIC SFC'!$C$2</f>
        <v>FC THOUNE</v>
      </c>
      <c r="D28" s="83"/>
      <c r="E28" s="82" t="s">
        <v>48</v>
      </c>
      <c r="F28" s="84">
        <f>'COMMANDE GD-PUBLIC SFC'!$D$2</f>
        <v>45969</v>
      </c>
      <c r="G28" s="85"/>
      <c r="H28" s="85"/>
    </row>
    <row r="29" spans="2:8" ht="15.6" x14ac:dyDescent="0.3">
      <c r="B29" s="86"/>
      <c r="C29" s="87"/>
      <c r="D29" s="87"/>
      <c r="E29" s="86"/>
      <c r="F29" s="87"/>
      <c r="G29" s="87"/>
      <c r="H29" s="88"/>
    </row>
    <row r="30" spans="2:8" ht="18" x14ac:dyDescent="0.3">
      <c r="B30" s="82" t="s">
        <v>49</v>
      </c>
      <c r="C30" s="89">
        <f>'COMMANDE GD-PUBLIC SFC'!$J$2</f>
        <v>0.85416666666666663</v>
      </c>
      <c r="D30" s="89"/>
      <c r="E30" s="82" t="s">
        <v>13</v>
      </c>
      <c r="F30" s="83" t="s">
        <v>80</v>
      </c>
      <c r="G30" s="90"/>
      <c r="H30" s="91"/>
    </row>
    <row r="31" spans="2:8" ht="16.2" thickBot="1" x14ac:dyDescent="0.35">
      <c r="B31" s="92"/>
      <c r="C31" s="92"/>
      <c r="D31" s="92"/>
      <c r="E31" s="93"/>
      <c r="F31" s="93"/>
      <c r="G31" s="93"/>
      <c r="H31" s="94"/>
    </row>
    <row r="32" spans="2:8" ht="27" customHeight="1" x14ac:dyDescent="0.3">
      <c r="B32" s="254" t="s">
        <v>81</v>
      </c>
      <c r="C32" s="255">
        <f>COUNTA('COMMANDE GD-PUBLIC SFC'!C18:C30)</f>
        <v>0</v>
      </c>
    </row>
    <row r="33" spans="2:8" ht="27" customHeight="1" thickBot="1" x14ac:dyDescent="0.35">
      <c r="B33" s="254"/>
      <c r="C33" s="256"/>
    </row>
    <row r="34" spans="2:8" ht="15" thickBot="1" x14ac:dyDescent="0.35"/>
    <row r="35" spans="2:8" ht="23.4" x14ac:dyDescent="0.3">
      <c r="B35" s="95" t="s">
        <v>51</v>
      </c>
      <c r="C35" s="224" t="s">
        <v>52</v>
      </c>
      <c r="D35" s="219" t="s">
        <v>53</v>
      </c>
      <c r="E35" s="220"/>
      <c r="F35" s="220"/>
      <c r="G35" s="221"/>
      <c r="H35" s="226" t="s">
        <v>54</v>
      </c>
    </row>
    <row r="36" spans="2:8" ht="38.4" thickBot="1" x14ac:dyDescent="0.35">
      <c r="B36" s="96" t="str">
        <f>'COMMANDE GD-PUBLIC SFC'!A18</f>
        <v>NORD 2</v>
      </c>
      <c r="C36" s="225"/>
      <c r="D36" s="97" t="s">
        <v>55</v>
      </c>
      <c r="E36" s="97" t="s">
        <v>23</v>
      </c>
      <c r="F36" s="97" t="s">
        <v>56</v>
      </c>
      <c r="G36" s="98" t="s">
        <v>57</v>
      </c>
      <c r="H36" s="227"/>
    </row>
    <row r="37" spans="2:8" ht="24.75" customHeight="1" x14ac:dyDescent="0.3">
      <c r="B37" s="99" t="str">
        <f>IF('COMMANDE GD-PUBLIC SFC'!D18="","",'COMMANDE GD-PUBLIC SFC'!D18)</f>
        <v/>
      </c>
      <c r="C37" s="100" t="str">
        <f>IF('COMMANDE GD-PUBLIC SFC'!C18="","",'COMMANDE GD-PUBLIC SFC'!C18)</f>
        <v/>
      </c>
      <c r="D37" s="101">
        <f>IF('COMMANDE GD-PUBLIC SFC'!I18="","",'COMMANDE GD-PUBLIC SFC'!I18)</f>
        <v>0.75</v>
      </c>
      <c r="E37" s="101"/>
      <c r="F37" s="102"/>
      <c r="G37" s="102"/>
      <c r="H37" s="103"/>
    </row>
    <row r="38" spans="2:8" ht="24.75" customHeight="1" x14ac:dyDescent="0.3">
      <c r="B38" s="99" t="str">
        <f>IF('COMMANDE GD-PUBLIC SFC'!D19="","",'COMMANDE GD-PUBLIC SFC'!D19)</f>
        <v/>
      </c>
      <c r="C38" s="100" t="str">
        <f>IF('COMMANDE GD-PUBLIC SFC'!C19="","",'COMMANDE GD-PUBLIC SFC'!C19)</f>
        <v/>
      </c>
      <c r="D38" s="101">
        <f>IF('COMMANDE GD-PUBLIC SFC'!I19="","",'COMMANDE GD-PUBLIC SFC'!I19)</f>
        <v>0.75</v>
      </c>
      <c r="E38" s="101"/>
      <c r="F38" s="104"/>
      <c r="G38" s="104"/>
      <c r="H38" s="105"/>
    </row>
    <row r="39" spans="2:8" ht="24.75" customHeight="1" x14ac:dyDescent="0.3">
      <c r="B39" s="99" t="str">
        <f>IF('COMMANDE GD-PUBLIC SFC'!D20="","",'COMMANDE GD-PUBLIC SFC'!D20)</f>
        <v/>
      </c>
      <c r="C39" s="100" t="str">
        <f>IF('COMMANDE GD-PUBLIC SFC'!C20="","",'COMMANDE GD-PUBLIC SFC'!C20)</f>
        <v/>
      </c>
      <c r="D39" s="101">
        <f>IF('COMMANDE GD-PUBLIC SFC'!I20="","",'COMMANDE GD-PUBLIC SFC'!I20)</f>
        <v>0.77083333333333337</v>
      </c>
      <c r="E39" s="101"/>
      <c r="F39" s="104"/>
      <c r="G39" s="104"/>
      <c r="H39" s="105"/>
    </row>
    <row r="40" spans="2:8" ht="24.75" customHeight="1" x14ac:dyDescent="0.3">
      <c r="B40" s="99" t="str">
        <f>IF('COMMANDE GD-PUBLIC SFC'!D21="","",'COMMANDE GD-PUBLIC SFC'!D21)</f>
        <v/>
      </c>
      <c r="C40" s="100" t="str">
        <f>IF('COMMANDE GD-PUBLIC SFC'!C21="","",'COMMANDE GD-PUBLIC SFC'!C21)</f>
        <v/>
      </c>
      <c r="D40" s="101">
        <f>IF('COMMANDE GD-PUBLIC SFC'!I21="","",'COMMANDE GD-PUBLIC SFC'!I21)</f>
        <v>0.77083333333333337</v>
      </c>
      <c r="E40" s="101"/>
      <c r="F40" s="104"/>
      <c r="G40" s="104"/>
      <c r="H40" s="105"/>
    </row>
    <row r="41" spans="2:8" ht="24.75" customHeight="1" x14ac:dyDescent="0.3">
      <c r="B41" s="99" t="str">
        <f>IF('COMMANDE GD-PUBLIC SFC'!D22="","",'COMMANDE GD-PUBLIC SFC'!D22)</f>
        <v/>
      </c>
      <c r="C41" s="100" t="str">
        <f>IF('COMMANDE GD-PUBLIC SFC'!C22="","",'COMMANDE GD-PUBLIC SFC'!C22)</f>
        <v/>
      </c>
      <c r="D41" s="101">
        <f>IF('COMMANDE GD-PUBLIC SFC'!I22="","",'COMMANDE GD-PUBLIC SFC'!I22)</f>
        <v>0.79166666666666663</v>
      </c>
      <c r="E41" s="101"/>
      <c r="F41" s="104"/>
      <c r="G41" s="104"/>
      <c r="H41" s="105"/>
    </row>
    <row r="42" spans="2:8" ht="24.75" customHeight="1" x14ac:dyDescent="0.3">
      <c r="B42" s="99" t="str">
        <f>IF('COMMANDE GD-PUBLIC SFC'!D23="","",'COMMANDE GD-PUBLIC SFC'!D23)</f>
        <v/>
      </c>
      <c r="C42" s="100" t="str">
        <f>IF('COMMANDE GD-PUBLIC SFC'!C23="","",'COMMANDE GD-PUBLIC SFC'!C23)</f>
        <v/>
      </c>
      <c r="D42" s="101">
        <f>IF('COMMANDE GD-PUBLIC SFC'!I23="","",'COMMANDE GD-PUBLIC SFC'!I23)</f>
        <v>0.79166666666666663</v>
      </c>
      <c r="E42" s="101"/>
      <c r="F42" s="104"/>
      <c r="G42" s="104"/>
      <c r="H42" s="105"/>
    </row>
    <row r="43" spans="2:8" ht="24.75" customHeight="1" x14ac:dyDescent="0.3">
      <c r="B43" s="99" t="str">
        <f>IF('COMMANDE GD-PUBLIC SFC'!D24="","",'COMMANDE GD-PUBLIC SFC'!D24)</f>
        <v/>
      </c>
      <c r="C43" s="100" t="str">
        <f>IF('COMMANDE GD-PUBLIC SFC'!C24="","",'COMMANDE GD-PUBLIC SFC'!C24)</f>
        <v/>
      </c>
      <c r="D43" s="101">
        <f>IF('COMMANDE GD-PUBLIC SFC'!I24="","",'COMMANDE GD-PUBLIC SFC'!I24)</f>
        <v>0.79166666666666663</v>
      </c>
      <c r="E43" s="101"/>
      <c r="F43" s="104"/>
      <c r="G43" s="104"/>
      <c r="H43" s="105"/>
    </row>
    <row r="44" spans="2:8" ht="24.75" customHeight="1" x14ac:dyDescent="0.3">
      <c r="B44" s="99" t="str">
        <f>IF('COMMANDE GD-PUBLIC SFC'!D25="","",'COMMANDE GD-PUBLIC SFC'!D25)</f>
        <v/>
      </c>
      <c r="C44" s="100" t="str">
        <f>IF('COMMANDE GD-PUBLIC SFC'!C25="","",'COMMANDE GD-PUBLIC SFC'!C25)</f>
        <v/>
      </c>
      <c r="D44" s="101">
        <f>IF('COMMANDE GD-PUBLIC SFC'!I25="","",'COMMANDE GD-PUBLIC SFC'!I25)</f>
        <v>0.8125</v>
      </c>
      <c r="E44" s="101"/>
      <c r="F44" s="104"/>
      <c r="G44" s="104"/>
      <c r="H44" s="105"/>
    </row>
    <row r="45" spans="2:8" ht="24.75" customHeight="1" x14ac:dyDescent="0.3">
      <c r="B45" s="99" t="str">
        <f>IF('COMMANDE GD-PUBLIC SFC'!D26="","",'COMMANDE GD-PUBLIC SFC'!D26)</f>
        <v/>
      </c>
      <c r="C45" s="100" t="str">
        <f>IF('COMMANDE GD-PUBLIC SFC'!C26="","",'COMMANDE GD-PUBLIC SFC'!C26)</f>
        <v/>
      </c>
      <c r="D45" s="101">
        <f>IF('COMMANDE GD-PUBLIC SFC'!I26="","",'COMMANDE GD-PUBLIC SFC'!I26)</f>
        <v>0.8125</v>
      </c>
      <c r="E45" s="101"/>
      <c r="F45" s="104"/>
      <c r="G45" s="104"/>
      <c r="H45" s="105"/>
    </row>
    <row r="46" spans="2:8" ht="24.75" customHeight="1" x14ac:dyDescent="0.3">
      <c r="B46" s="99" t="str">
        <f>IF('COMMANDE GD-PUBLIC SFC'!D27="","",'COMMANDE GD-PUBLIC SFC'!D27)</f>
        <v/>
      </c>
      <c r="C46" s="100" t="str">
        <f>IF('COMMANDE GD-PUBLIC SFC'!C27="","",'COMMANDE GD-PUBLIC SFC'!C27)</f>
        <v/>
      </c>
      <c r="D46" s="101">
        <f>IF('COMMANDE GD-PUBLIC SFC'!I27="","",'COMMANDE GD-PUBLIC SFC'!I27)</f>
        <v>0.75</v>
      </c>
      <c r="E46" s="101"/>
      <c r="F46" s="104"/>
      <c r="G46" s="104"/>
      <c r="H46" s="105"/>
    </row>
    <row r="47" spans="2:8" ht="24.75" customHeight="1" x14ac:dyDescent="0.3">
      <c r="B47" s="99" t="str">
        <f>IF('COMMANDE GD-PUBLIC SFC'!D28="","",'COMMANDE GD-PUBLIC SFC'!D28)</f>
        <v/>
      </c>
      <c r="C47" s="100" t="str">
        <f>IF('COMMANDE GD-PUBLIC SFC'!C28="","",'COMMANDE GD-PUBLIC SFC'!C28)</f>
        <v/>
      </c>
      <c r="D47" s="101">
        <f>IF('COMMANDE GD-PUBLIC SFC'!I28="","",'COMMANDE GD-PUBLIC SFC'!I28)</f>
        <v>0.75</v>
      </c>
      <c r="E47" s="101"/>
      <c r="F47" s="104"/>
      <c r="G47" s="104"/>
      <c r="H47" s="105"/>
    </row>
    <row r="48" spans="2:8" ht="24.75" customHeight="1" x14ac:dyDescent="0.3">
      <c r="B48" s="99" t="str">
        <f>IF('COMMANDE GD-PUBLIC SFC'!D29="","",'COMMANDE GD-PUBLIC SFC'!D29)</f>
        <v/>
      </c>
      <c r="C48" s="100" t="str">
        <f>IF('COMMANDE GD-PUBLIC SFC'!C29="","",'COMMANDE GD-PUBLIC SFC'!C29)</f>
        <v/>
      </c>
      <c r="D48" s="101">
        <f>IF('COMMANDE GD-PUBLIC SFC'!I29="","",'COMMANDE GD-PUBLIC SFC'!I29)</f>
        <v>0.75</v>
      </c>
      <c r="E48" s="101"/>
      <c r="F48" s="104"/>
      <c r="G48" s="104"/>
      <c r="H48" s="105"/>
    </row>
    <row r="49" spans="2:8" ht="24.75" customHeight="1" x14ac:dyDescent="0.3">
      <c r="B49" s="99" t="str">
        <f>IF('COMMANDE GD-PUBLIC SFC'!D30="","",'COMMANDE GD-PUBLIC SFC'!D30)</f>
        <v/>
      </c>
      <c r="C49" s="100" t="str">
        <f>IF('COMMANDE GD-PUBLIC SFC'!C30="","",'COMMANDE GD-PUBLIC SFC'!C30)</f>
        <v/>
      </c>
      <c r="D49" s="101" t="str">
        <f>IF('COMMANDE GD-PUBLIC SFC'!I30="","",'COMMANDE GD-PUBLIC SFC'!I30)</f>
        <v/>
      </c>
      <c r="E49" s="101"/>
      <c r="F49" s="104"/>
      <c r="G49" s="104"/>
      <c r="H49" s="105"/>
    </row>
    <row r="50" spans="2:8" ht="10.5" customHeight="1" thickBot="1" x14ac:dyDescent="0.35">
      <c r="B50" s="106"/>
      <c r="C50" s="107"/>
      <c r="D50" s="108"/>
      <c r="E50" s="108"/>
      <c r="F50" s="108"/>
      <c r="G50" s="108"/>
      <c r="H50" s="109"/>
    </row>
    <row r="53" spans="2:8" ht="15" x14ac:dyDescent="0.3">
      <c r="B53" s="82" t="str">
        <f>'COMMANDE GD-PUBLIC SFC'!$A$2</f>
        <v>MATCH SFC X</v>
      </c>
      <c r="C53" s="83" t="str">
        <f>'COMMANDE GD-PUBLIC SFC'!$C$2</f>
        <v>FC THOUNE</v>
      </c>
      <c r="D53" s="83"/>
      <c r="E53" s="82" t="s">
        <v>48</v>
      </c>
      <c r="F53" s="84">
        <f>'COMMANDE GD-PUBLIC SFC'!$D$2</f>
        <v>45969</v>
      </c>
      <c r="G53" s="85"/>
      <c r="H53" s="85"/>
    </row>
    <row r="54" spans="2:8" ht="15.6" x14ac:dyDescent="0.3">
      <c r="B54" s="86"/>
      <c r="C54" s="87"/>
      <c r="D54" s="87"/>
      <c r="E54" s="86"/>
      <c r="F54" s="87"/>
      <c r="G54" s="87"/>
      <c r="H54" s="88"/>
    </row>
    <row r="55" spans="2:8" ht="18" x14ac:dyDescent="0.3">
      <c r="B55" s="82" t="s">
        <v>49</v>
      </c>
      <c r="C55" s="89">
        <f>'COMMANDE GD-PUBLIC SFC'!$J$2</f>
        <v>0.85416666666666663</v>
      </c>
      <c r="D55" s="89"/>
      <c r="E55" s="82" t="s">
        <v>13</v>
      </c>
      <c r="F55" s="83" t="s">
        <v>80</v>
      </c>
      <c r="G55" s="90"/>
      <c r="H55" s="91"/>
    </row>
    <row r="56" spans="2:8" ht="16.2" thickBot="1" x14ac:dyDescent="0.35">
      <c r="B56" s="92"/>
      <c r="C56" s="92"/>
      <c r="D56" s="92"/>
      <c r="E56" s="93"/>
      <c r="F56" s="93"/>
      <c r="G56" s="93"/>
      <c r="H56" s="94"/>
    </row>
    <row r="57" spans="2:8" ht="27" customHeight="1" x14ac:dyDescent="0.3">
      <c r="B57" s="254" t="s">
        <v>81</v>
      </c>
      <c r="C57" s="255">
        <f>COUNTA('COMMANDE GD-PUBLIC SFC'!C31:C39)</f>
        <v>0</v>
      </c>
    </row>
    <row r="58" spans="2:8" ht="27" customHeight="1" thickBot="1" x14ac:dyDescent="0.35">
      <c r="B58" s="254"/>
      <c r="C58" s="256"/>
    </row>
    <row r="59" spans="2:8" ht="15" thickBot="1" x14ac:dyDescent="0.35"/>
    <row r="60" spans="2:8" ht="23.4" x14ac:dyDescent="0.3">
      <c r="B60" s="95" t="s">
        <v>51</v>
      </c>
      <c r="C60" s="224" t="s">
        <v>52</v>
      </c>
      <c r="D60" s="219" t="s">
        <v>53</v>
      </c>
      <c r="E60" s="220"/>
      <c r="F60" s="220"/>
      <c r="G60" s="221"/>
      <c r="H60" s="226" t="s">
        <v>54</v>
      </c>
    </row>
    <row r="61" spans="2:8" ht="38.4" thickBot="1" x14ac:dyDescent="0.35">
      <c r="B61" s="96" t="str">
        <f>'COMMANDE GD-PUBLIC SFC'!A31</f>
        <v>NORD MOBILE 1</v>
      </c>
      <c r="C61" s="225"/>
      <c r="D61" s="97" t="s">
        <v>55</v>
      </c>
      <c r="E61" s="97" t="s">
        <v>23</v>
      </c>
      <c r="F61" s="97" t="s">
        <v>56</v>
      </c>
      <c r="G61" s="98" t="s">
        <v>57</v>
      </c>
      <c r="H61" s="227"/>
    </row>
    <row r="62" spans="2:8" ht="24.75" customHeight="1" x14ac:dyDescent="0.3">
      <c r="B62" s="99" t="str">
        <f>IF('COMMANDE GD-PUBLIC SFC'!D31="","",'COMMANDE GD-PUBLIC SFC'!D31)</f>
        <v/>
      </c>
      <c r="C62" s="100" t="str">
        <f>IF('COMMANDE GD-PUBLIC SFC'!C31="","",'COMMANDE GD-PUBLIC SFC'!C31)</f>
        <v/>
      </c>
      <c r="D62" s="101">
        <f>IF('COMMANDE GD-PUBLIC SFC'!I31="","",'COMMANDE GD-PUBLIC SFC'!I31)</f>
        <v>0.75</v>
      </c>
      <c r="E62" s="101"/>
      <c r="F62" s="102"/>
      <c r="G62" s="102"/>
      <c r="H62" s="103"/>
    </row>
    <row r="63" spans="2:8" ht="24.75" customHeight="1" x14ac:dyDescent="0.3">
      <c r="B63" s="99" t="str">
        <f>IF('COMMANDE GD-PUBLIC SFC'!D32="","",'COMMANDE GD-PUBLIC SFC'!D32)</f>
        <v/>
      </c>
      <c r="C63" s="100" t="str">
        <f>IF('COMMANDE GD-PUBLIC SFC'!C32="","",'COMMANDE GD-PUBLIC SFC'!C32)</f>
        <v/>
      </c>
      <c r="D63" s="101">
        <f>IF('COMMANDE GD-PUBLIC SFC'!I32="","",'COMMANDE GD-PUBLIC SFC'!I32)</f>
        <v>0.75</v>
      </c>
      <c r="E63" s="101"/>
      <c r="F63" s="104"/>
      <c r="G63" s="104"/>
      <c r="H63" s="105"/>
    </row>
    <row r="64" spans="2:8" ht="24.75" customHeight="1" x14ac:dyDescent="0.3">
      <c r="B64" s="99" t="str">
        <f>IF('COMMANDE GD-PUBLIC SFC'!D33="","",'COMMANDE GD-PUBLIC SFC'!D33)</f>
        <v/>
      </c>
      <c r="C64" s="100" t="str">
        <f>IF('COMMANDE GD-PUBLIC SFC'!C33="","",'COMMANDE GD-PUBLIC SFC'!C33)</f>
        <v/>
      </c>
      <c r="D64" s="101">
        <f>IF('COMMANDE GD-PUBLIC SFC'!I33="","",'COMMANDE GD-PUBLIC SFC'!I33)</f>
        <v>0.77083333333333337</v>
      </c>
      <c r="E64" s="101"/>
      <c r="F64" s="104"/>
      <c r="G64" s="104"/>
      <c r="H64" s="105"/>
    </row>
    <row r="65" spans="2:8" ht="24.75" customHeight="1" x14ac:dyDescent="0.3">
      <c r="B65" s="99" t="str">
        <f>IF('COMMANDE GD-PUBLIC SFC'!D34="","",'COMMANDE GD-PUBLIC SFC'!D34)</f>
        <v/>
      </c>
      <c r="C65" s="100" t="str">
        <f>IF('COMMANDE GD-PUBLIC SFC'!C34="","",'COMMANDE GD-PUBLIC SFC'!C34)</f>
        <v/>
      </c>
      <c r="D65" s="101">
        <f>IF('COMMANDE GD-PUBLIC SFC'!I34="","",'COMMANDE GD-PUBLIC SFC'!I34)</f>
        <v>0.77083333333333337</v>
      </c>
      <c r="E65" s="101"/>
      <c r="F65" s="104"/>
      <c r="G65" s="104"/>
      <c r="H65" s="105"/>
    </row>
    <row r="66" spans="2:8" ht="24.75" customHeight="1" x14ac:dyDescent="0.3">
      <c r="B66" s="99" t="str">
        <f>IF('COMMANDE GD-PUBLIC SFC'!D35="","",'COMMANDE GD-PUBLIC SFC'!D35)</f>
        <v/>
      </c>
      <c r="C66" s="100" t="str">
        <f>IF('COMMANDE GD-PUBLIC SFC'!C35="","",'COMMANDE GD-PUBLIC SFC'!C35)</f>
        <v/>
      </c>
      <c r="D66" s="101">
        <f>IF('COMMANDE GD-PUBLIC SFC'!I35="","",'COMMANDE GD-PUBLIC SFC'!I35)</f>
        <v>0.8125</v>
      </c>
      <c r="E66" s="101"/>
      <c r="F66" s="104"/>
      <c r="G66" s="104"/>
      <c r="H66" s="105"/>
    </row>
    <row r="67" spans="2:8" ht="24.75" customHeight="1" x14ac:dyDescent="0.3">
      <c r="B67" s="99" t="str">
        <f>IF('COMMANDE GD-PUBLIC SFC'!D36="","",'COMMANDE GD-PUBLIC SFC'!D36)</f>
        <v/>
      </c>
      <c r="C67" s="100" t="str">
        <f>IF('COMMANDE GD-PUBLIC SFC'!C36="","",'COMMANDE GD-PUBLIC SFC'!C36)</f>
        <v/>
      </c>
      <c r="D67" s="101">
        <f>IF('COMMANDE GD-PUBLIC SFC'!I36="","",'COMMANDE GD-PUBLIC SFC'!I36)</f>
        <v>0.8125</v>
      </c>
      <c r="E67" s="101"/>
      <c r="F67" s="104"/>
      <c r="G67" s="104"/>
      <c r="H67" s="105"/>
    </row>
    <row r="68" spans="2:8" ht="24.75" customHeight="1" x14ac:dyDescent="0.3">
      <c r="B68" s="99" t="str">
        <f>IF('COMMANDE GD-PUBLIC SFC'!D37="","",'COMMANDE GD-PUBLIC SFC'!D37)</f>
        <v/>
      </c>
      <c r="C68" s="100" t="str">
        <f>IF('COMMANDE GD-PUBLIC SFC'!C37="","",'COMMANDE GD-PUBLIC SFC'!C37)</f>
        <v/>
      </c>
      <c r="D68" s="101">
        <f>IF('COMMANDE GD-PUBLIC SFC'!I37="","",'COMMANDE GD-PUBLIC SFC'!I37)</f>
        <v>0.8125</v>
      </c>
      <c r="E68" s="101"/>
      <c r="F68" s="104"/>
      <c r="G68" s="104"/>
      <c r="H68" s="105"/>
    </row>
    <row r="69" spans="2:8" ht="24.75" customHeight="1" x14ac:dyDescent="0.3">
      <c r="B69" s="99" t="str">
        <f>IF('COMMANDE GD-PUBLIC SFC'!D38="","",'COMMANDE GD-PUBLIC SFC'!D38)</f>
        <v/>
      </c>
      <c r="C69" s="100" t="str">
        <f>IF('COMMANDE GD-PUBLIC SFC'!C38="","",'COMMANDE GD-PUBLIC SFC'!C38)</f>
        <v/>
      </c>
      <c r="D69" s="101" t="str">
        <f>IF('COMMANDE GD-PUBLIC SFC'!I38="","",'COMMANDE GD-PUBLIC SFC'!I38)</f>
        <v/>
      </c>
      <c r="E69" s="101"/>
      <c r="F69" s="104"/>
      <c r="G69" s="104"/>
      <c r="H69" s="105"/>
    </row>
    <row r="70" spans="2:8" ht="24.75" customHeight="1" x14ac:dyDescent="0.3">
      <c r="B70" s="99" t="str">
        <f>IF('COMMANDE GD-PUBLIC SFC'!D39="","",'COMMANDE GD-PUBLIC SFC'!D39)</f>
        <v/>
      </c>
      <c r="C70" s="100" t="str">
        <f>IF('COMMANDE GD-PUBLIC SFC'!C39="","",'COMMANDE GD-PUBLIC SFC'!C39)</f>
        <v/>
      </c>
      <c r="D70" s="101" t="str">
        <f>IF('COMMANDE GD-PUBLIC SFC'!I39="","",'COMMANDE GD-PUBLIC SFC'!I39)</f>
        <v/>
      </c>
      <c r="E70" s="101"/>
      <c r="F70" s="104"/>
      <c r="G70" s="104"/>
      <c r="H70" s="105"/>
    </row>
    <row r="71" spans="2:8" ht="15" thickBot="1" x14ac:dyDescent="0.35">
      <c r="B71" s="106"/>
      <c r="C71" s="107"/>
      <c r="D71" s="108"/>
      <c r="E71" s="108"/>
      <c r="F71" s="108"/>
      <c r="G71" s="108"/>
      <c r="H71" s="109"/>
    </row>
    <row r="74" spans="2:8" ht="15" x14ac:dyDescent="0.3">
      <c r="B74" s="82" t="str">
        <f>'COMMANDE GD-PUBLIC SFC'!$A$2</f>
        <v>MATCH SFC X</v>
      </c>
      <c r="C74" s="83" t="str">
        <f>'COMMANDE GD-PUBLIC SFC'!$C$2</f>
        <v>FC THOUNE</v>
      </c>
      <c r="D74" s="83"/>
      <c r="E74" s="82" t="s">
        <v>48</v>
      </c>
      <c r="F74" s="84">
        <f>'COMMANDE GD-PUBLIC SFC'!$D$2</f>
        <v>45969</v>
      </c>
      <c r="G74" s="85"/>
      <c r="H74" s="85"/>
    </row>
    <row r="75" spans="2:8" ht="15.6" x14ac:dyDescent="0.3">
      <c r="B75" s="86"/>
      <c r="C75" s="87"/>
      <c r="D75" s="87"/>
      <c r="E75" s="86"/>
      <c r="F75" s="87"/>
      <c r="G75" s="87"/>
      <c r="H75" s="88"/>
    </row>
    <row r="76" spans="2:8" ht="18" x14ac:dyDescent="0.3">
      <c r="B76" s="82" t="s">
        <v>49</v>
      </c>
      <c r="C76" s="89">
        <f>'COMMANDE GD-PUBLIC SFC'!$J$2</f>
        <v>0.85416666666666663</v>
      </c>
      <c r="D76" s="89"/>
      <c r="E76" s="82" t="s">
        <v>13</v>
      </c>
      <c r="F76" s="83" t="s">
        <v>80</v>
      </c>
      <c r="G76" s="90"/>
      <c r="H76" s="91"/>
    </row>
    <row r="77" spans="2:8" ht="16.2" thickBot="1" x14ac:dyDescent="0.35">
      <c r="B77" s="92"/>
      <c r="C77" s="92"/>
      <c r="D77" s="92"/>
      <c r="E77" s="93"/>
      <c r="F77" s="93"/>
      <c r="G77" s="93"/>
      <c r="H77" s="94"/>
    </row>
    <row r="78" spans="2:8" ht="27" customHeight="1" x14ac:dyDescent="0.3">
      <c r="B78" s="254" t="s">
        <v>81</v>
      </c>
      <c r="C78" s="255">
        <f>COUNTA('COMMANDE GD-PUBLIC SFC'!C40:C48)</f>
        <v>0</v>
      </c>
    </row>
    <row r="79" spans="2:8" ht="27" customHeight="1" thickBot="1" x14ac:dyDescent="0.35">
      <c r="B79" s="254"/>
      <c r="C79" s="256"/>
    </row>
    <row r="80" spans="2:8" ht="15" thickBot="1" x14ac:dyDescent="0.35"/>
    <row r="81" spans="2:8" ht="23.4" x14ac:dyDescent="0.3">
      <c r="B81" s="95" t="s">
        <v>51</v>
      </c>
      <c r="C81" s="224" t="s">
        <v>52</v>
      </c>
      <c r="D81" s="219" t="s">
        <v>53</v>
      </c>
      <c r="E81" s="220"/>
      <c r="F81" s="220"/>
      <c r="G81" s="221"/>
      <c r="H81" s="226" t="s">
        <v>54</v>
      </c>
    </row>
    <row r="82" spans="2:8" ht="38.4" thickBot="1" x14ac:dyDescent="0.35">
      <c r="B82" s="96" t="str">
        <f>'COMMANDE GD-PUBLIC SFC'!A40</f>
        <v>NORD MOBILE 2</v>
      </c>
      <c r="C82" s="225"/>
      <c r="D82" s="97" t="s">
        <v>55</v>
      </c>
      <c r="E82" s="97" t="s">
        <v>23</v>
      </c>
      <c r="F82" s="97" t="s">
        <v>56</v>
      </c>
      <c r="G82" s="98" t="s">
        <v>57</v>
      </c>
      <c r="H82" s="227"/>
    </row>
    <row r="83" spans="2:8" ht="24.75" customHeight="1" x14ac:dyDescent="0.3">
      <c r="B83" s="99" t="str">
        <f>IF('COMMANDE GD-PUBLIC SFC'!D40="","",'COMMANDE GD-PUBLIC SFC'!D40)</f>
        <v/>
      </c>
      <c r="C83" s="100" t="str">
        <f>IF('COMMANDE GD-PUBLIC SFC'!C40="","",'COMMANDE GD-PUBLIC SFC'!C40)</f>
        <v/>
      </c>
      <c r="D83" s="101">
        <f>IF('COMMANDE GD-PUBLIC SFC'!I40="","",'COMMANDE GD-PUBLIC SFC'!I40)</f>
        <v>0.75</v>
      </c>
      <c r="E83" s="101"/>
      <c r="F83" s="102"/>
      <c r="G83" s="102"/>
      <c r="H83" s="103"/>
    </row>
    <row r="84" spans="2:8" ht="24.75" customHeight="1" x14ac:dyDescent="0.3">
      <c r="B84" s="99" t="str">
        <f>IF('COMMANDE GD-PUBLIC SFC'!D41="","",'COMMANDE GD-PUBLIC SFC'!D41)</f>
        <v/>
      </c>
      <c r="C84" s="100" t="str">
        <f>IF('COMMANDE GD-PUBLIC SFC'!C41="","",'COMMANDE GD-PUBLIC SFC'!C41)</f>
        <v/>
      </c>
      <c r="D84" s="101">
        <f>IF('COMMANDE GD-PUBLIC SFC'!I41="","",'COMMANDE GD-PUBLIC SFC'!I41)</f>
        <v>0.75</v>
      </c>
      <c r="E84" s="101"/>
      <c r="F84" s="104"/>
      <c r="G84" s="104"/>
      <c r="H84" s="105"/>
    </row>
    <row r="85" spans="2:8" ht="24.75" customHeight="1" x14ac:dyDescent="0.3">
      <c r="B85" s="99" t="str">
        <f>IF('COMMANDE GD-PUBLIC SFC'!D42="","",'COMMANDE GD-PUBLIC SFC'!D42)</f>
        <v/>
      </c>
      <c r="C85" s="100" t="str">
        <f>IF('COMMANDE GD-PUBLIC SFC'!C42="","",'COMMANDE GD-PUBLIC SFC'!C42)</f>
        <v/>
      </c>
      <c r="D85" s="101">
        <f>IF('COMMANDE GD-PUBLIC SFC'!I42="","",'COMMANDE GD-PUBLIC SFC'!I42)</f>
        <v>0.77083333333333337</v>
      </c>
      <c r="E85" s="101"/>
      <c r="F85" s="104"/>
      <c r="G85" s="104"/>
      <c r="H85" s="105"/>
    </row>
    <row r="86" spans="2:8" ht="24.75" customHeight="1" x14ac:dyDescent="0.3">
      <c r="B86" s="99" t="str">
        <f>IF('COMMANDE GD-PUBLIC SFC'!D43="","",'COMMANDE GD-PUBLIC SFC'!D43)</f>
        <v/>
      </c>
      <c r="C86" s="100" t="str">
        <f>IF('COMMANDE GD-PUBLIC SFC'!C43="","",'COMMANDE GD-PUBLIC SFC'!C43)</f>
        <v/>
      </c>
      <c r="D86" s="101">
        <f>IF('COMMANDE GD-PUBLIC SFC'!I43="","",'COMMANDE GD-PUBLIC SFC'!I43)</f>
        <v>0.77083333333333337</v>
      </c>
      <c r="E86" s="101"/>
      <c r="F86" s="104"/>
      <c r="G86" s="104"/>
      <c r="H86" s="105"/>
    </row>
    <row r="87" spans="2:8" ht="24.75" customHeight="1" x14ac:dyDescent="0.3">
      <c r="B87" s="99" t="str">
        <f>IF('COMMANDE GD-PUBLIC SFC'!D44="","",'COMMANDE GD-PUBLIC SFC'!D44)</f>
        <v/>
      </c>
      <c r="C87" s="100" t="str">
        <f>IF('COMMANDE GD-PUBLIC SFC'!C44="","",'COMMANDE GD-PUBLIC SFC'!C44)</f>
        <v/>
      </c>
      <c r="D87" s="101">
        <f>IF('COMMANDE GD-PUBLIC SFC'!I44="","",'COMMANDE GD-PUBLIC SFC'!I44)</f>
        <v>0.8125</v>
      </c>
      <c r="E87" s="101"/>
      <c r="F87" s="104"/>
      <c r="G87" s="104"/>
      <c r="H87" s="105"/>
    </row>
    <row r="88" spans="2:8" ht="24.75" customHeight="1" x14ac:dyDescent="0.3">
      <c r="B88" s="99" t="str">
        <f>IF('COMMANDE GD-PUBLIC SFC'!D45="","",'COMMANDE GD-PUBLIC SFC'!D45)</f>
        <v/>
      </c>
      <c r="C88" s="100" t="str">
        <f>IF('COMMANDE GD-PUBLIC SFC'!C45="","",'COMMANDE GD-PUBLIC SFC'!C45)</f>
        <v/>
      </c>
      <c r="D88" s="101">
        <f>IF('COMMANDE GD-PUBLIC SFC'!I45="","",'COMMANDE GD-PUBLIC SFC'!I45)</f>
        <v>0.8125</v>
      </c>
      <c r="E88" s="101"/>
      <c r="F88" s="104"/>
      <c r="G88" s="104"/>
      <c r="H88" s="105"/>
    </row>
    <row r="89" spans="2:8" ht="24.75" customHeight="1" x14ac:dyDescent="0.3">
      <c r="B89" s="99" t="str">
        <f>IF('COMMANDE GD-PUBLIC SFC'!D46="","",'COMMANDE GD-PUBLIC SFC'!D46)</f>
        <v/>
      </c>
      <c r="C89" s="100" t="str">
        <f>IF('COMMANDE GD-PUBLIC SFC'!C46="","",'COMMANDE GD-PUBLIC SFC'!C46)</f>
        <v/>
      </c>
      <c r="D89" s="101">
        <f>IF('COMMANDE GD-PUBLIC SFC'!I46="","",'COMMANDE GD-PUBLIC SFC'!I46)</f>
        <v>0.8125</v>
      </c>
      <c r="E89" s="101"/>
      <c r="F89" s="104"/>
      <c r="G89" s="104"/>
      <c r="H89" s="105"/>
    </row>
    <row r="90" spans="2:8" ht="24.75" customHeight="1" x14ac:dyDescent="0.3">
      <c r="B90" s="99" t="str">
        <f>IF('COMMANDE GD-PUBLIC SFC'!D47="","",'COMMANDE GD-PUBLIC SFC'!D47)</f>
        <v/>
      </c>
      <c r="C90" s="100" t="str">
        <f>IF('COMMANDE GD-PUBLIC SFC'!C47="","",'COMMANDE GD-PUBLIC SFC'!C47)</f>
        <v/>
      </c>
      <c r="D90" s="101" t="str">
        <f>IF('COMMANDE GD-PUBLIC SFC'!I47="","",'COMMANDE GD-PUBLIC SFC'!I47)</f>
        <v/>
      </c>
      <c r="E90" s="101"/>
      <c r="F90" s="104"/>
      <c r="G90" s="104"/>
      <c r="H90" s="105"/>
    </row>
    <row r="91" spans="2:8" ht="24.75" customHeight="1" x14ac:dyDescent="0.3">
      <c r="B91" s="99" t="str">
        <f>IF('COMMANDE GD-PUBLIC SFC'!D48="","",'COMMANDE GD-PUBLIC SFC'!D48)</f>
        <v/>
      </c>
      <c r="C91" s="100" t="str">
        <f>IF('COMMANDE GD-PUBLIC SFC'!C48="","",'COMMANDE GD-PUBLIC SFC'!C48)</f>
        <v/>
      </c>
      <c r="D91" s="101" t="str">
        <f>IF('COMMANDE GD-PUBLIC SFC'!I48="","",'COMMANDE GD-PUBLIC SFC'!I48)</f>
        <v/>
      </c>
      <c r="E91" s="101"/>
      <c r="F91" s="104"/>
      <c r="G91" s="104"/>
      <c r="H91" s="105"/>
    </row>
    <row r="92" spans="2:8" ht="15" thickBot="1" x14ac:dyDescent="0.35">
      <c r="B92" s="106"/>
      <c r="C92" s="107"/>
      <c r="D92" s="108"/>
      <c r="E92" s="108"/>
      <c r="F92" s="108"/>
      <c r="G92" s="108"/>
      <c r="H92" s="109"/>
    </row>
    <row r="96" spans="2:8" ht="15" x14ac:dyDescent="0.3">
      <c r="B96" s="82" t="str">
        <f>'COMMANDE GD-PUBLIC SFC'!$A$2</f>
        <v>MATCH SFC X</v>
      </c>
      <c r="C96" s="83" t="str">
        <f>'COMMANDE GD-PUBLIC SFC'!$C$2</f>
        <v>FC THOUNE</v>
      </c>
      <c r="D96" s="83"/>
      <c r="E96" s="82" t="s">
        <v>48</v>
      </c>
      <c r="F96" s="84">
        <f>'COMMANDE GD-PUBLIC SFC'!$D$2</f>
        <v>45969</v>
      </c>
      <c r="G96" s="85"/>
      <c r="H96" s="85"/>
    </row>
    <row r="97" spans="2:8" ht="15.6" x14ac:dyDescent="0.3">
      <c r="B97" s="86"/>
      <c r="C97" s="87"/>
      <c r="D97" s="87"/>
      <c r="E97" s="86"/>
      <c r="F97" s="87"/>
      <c r="G97" s="87"/>
      <c r="H97" s="88"/>
    </row>
    <row r="98" spans="2:8" ht="18" x14ac:dyDescent="0.3">
      <c r="B98" s="82" t="s">
        <v>49</v>
      </c>
      <c r="C98" s="89">
        <f>'COMMANDE GD-PUBLIC SFC'!$J$2</f>
        <v>0.85416666666666663</v>
      </c>
      <c r="D98" s="89"/>
      <c r="E98" s="82" t="s">
        <v>13</v>
      </c>
      <c r="F98" s="83" t="s">
        <v>80</v>
      </c>
      <c r="G98" s="90"/>
      <c r="H98" s="91"/>
    </row>
    <row r="99" spans="2:8" ht="16.2" thickBot="1" x14ac:dyDescent="0.35">
      <c r="B99" s="92"/>
      <c r="C99" s="92"/>
      <c r="D99" s="92"/>
      <c r="E99" s="93"/>
      <c r="F99" s="93"/>
      <c r="G99" s="93"/>
      <c r="H99" s="94"/>
    </row>
    <row r="100" spans="2:8" ht="27" customHeight="1" x14ac:dyDescent="0.3">
      <c r="B100" s="254" t="s">
        <v>81</v>
      </c>
      <c r="C100" s="255">
        <f>COUNTA('COMMANDE GD-PUBLIC SFC'!C49:C57)</f>
        <v>0</v>
      </c>
    </row>
    <row r="101" spans="2:8" ht="27" customHeight="1" thickBot="1" x14ac:dyDescent="0.35">
      <c r="B101" s="254"/>
      <c r="C101" s="256"/>
    </row>
    <row r="102" spans="2:8" ht="15" thickBot="1" x14ac:dyDescent="0.35"/>
    <row r="103" spans="2:8" ht="23.4" x14ac:dyDescent="0.3">
      <c r="B103" s="95" t="s">
        <v>51</v>
      </c>
      <c r="C103" s="224" t="s">
        <v>52</v>
      </c>
      <c r="D103" s="219" t="s">
        <v>53</v>
      </c>
      <c r="E103" s="220"/>
      <c r="F103" s="220"/>
      <c r="G103" s="221"/>
      <c r="H103" s="226" t="s">
        <v>54</v>
      </c>
    </row>
    <row r="104" spans="2:8" ht="38.4" thickBot="1" x14ac:dyDescent="0.35">
      <c r="B104" s="110" t="str">
        <f>'COMMANDE GD-PUBLIC SFC'!A49</f>
        <v>ESPLANADE</v>
      </c>
      <c r="C104" s="225"/>
      <c r="D104" s="97" t="s">
        <v>55</v>
      </c>
      <c r="E104" s="97" t="s">
        <v>23</v>
      </c>
      <c r="F104" s="97" t="s">
        <v>56</v>
      </c>
      <c r="G104" s="98" t="s">
        <v>57</v>
      </c>
      <c r="H104" s="227"/>
    </row>
    <row r="105" spans="2:8" ht="24.75" customHeight="1" x14ac:dyDescent="0.3">
      <c r="B105" s="99" t="str">
        <f>IF('COMMANDE GD-PUBLIC SFC'!D49="","",'COMMANDE GD-PUBLIC SFC'!D49)</f>
        <v/>
      </c>
      <c r="C105" s="100" t="str">
        <f>IF('COMMANDE GD-PUBLIC SFC'!C49="","",'COMMANDE GD-PUBLIC SFC'!C49)</f>
        <v/>
      </c>
      <c r="D105" s="101">
        <f>IF('COMMANDE GD-PUBLIC SFC'!I49="","",'COMMANDE GD-PUBLIC SFC'!I49)</f>
        <v>0.75</v>
      </c>
      <c r="E105" s="101"/>
      <c r="F105" s="102"/>
      <c r="G105" s="102"/>
      <c r="H105" s="103"/>
    </row>
    <row r="106" spans="2:8" ht="24.75" customHeight="1" x14ac:dyDescent="0.3">
      <c r="B106" s="99" t="str">
        <f>IF('COMMANDE GD-PUBLIC SFC'!D50="","",'COMMANDE GD-PUBLIC SFC'!D50)</f>
        <v/>
      </c>
      <c r="C106" s="100" t="str">
        <f>IF('COMMANDE GD-PUBLIC SFC'!C50="","",'COMMANDE GD-PUBLIC SFC'!C50)</f>
        <v/>
      </c>
      <c r="D106" s="101">
        <f>IF('COMMANDE GD-PUBLIC SFC'!I50="","",'COMMANDE GD-PUBLIC SFC'!I50)</f>
        <v>0.75</v>
      </c>
      <c r="E106" s="101"/>
      <c r="F106" s="104"/>
      <c r="G106" s="104"/>
      <c r="H106" s="105"/>
    </row>
    <row r="107" spans="2:8" ht="24.75" customHeight="1" x14ac:dyDescent="0.3">
      <c r="B107" s="99" t="str">
        <f>IF('COMMANDE GD-PUBLIC SFC'!D51="","",'COMMANDE GD-PUBLIC SFC'!D51)</f>
        <v/>
      </c>
      <c r="C107" s="100" t="str">
        <f>IF('COMMANDE GD-PUBLIC SFC'!C51="","",'COMMANDE GD-PUBLIC SFC'!C51)</f>
        <v/>
      </c>
      <c r="D107" s="101">
        <f>IF('COMMANDE GD-PUBLIC SFC'!I51="","",'COMMANDE GD-PUBLIC SFC'!I51)</f>
        <v>0.77083333333333337</v>
      </c>
      <c r="E107" s="101"/>
      <c r="F107" s="104"/>
      <c r="G107" s="104"/>
      <c r="H107" s="105"/>
    </row>
    <row r="108" spans="2:8" ht="24.75" customHeight="1" x14ac:dyDescent="0.3">
      <c r="B108" s="99" t="str">
        <f>IF('COMMANDE GD-PUBLIC SFC'!D52="","",'COMMANDE GD-PUBLIC SFC'!D52)</f>
        <v/>
      </c>
      <c r="C108" s="100" t="str">
        <f>IF('COMMANDE GD-PUBLIC SFC'!C52="","",'COMMANDE GD-PUBLIC SFC'!C52)</f>
        <v/>
      </c>
      <c r="D108" s="101">
        <f>IF('COMMANDE GD-PUBLIC SFC'!I52="","",'COMMANDE GD-PUBLIC SFC'!I52)</f>
        <v>0.77083333333333337</v>
      </c>
      <c r="E108" s="101"/>
      <c r="F108" s="104"/>
      <c r="G108" s="104"/>
      <c r="H108" s="105"/>
    </row>
    <row r="109" spans="2:8" ht="24.75" customHeight="1" x14ac:dyDescent="0.3">
      <c r="B109" s="99" t="str">
        <f>IF('COMMANDE GD-PUBLIC SFC'!D53="","",'COMMANDE GD-PUBLIC SFC'!D53)</f>
        <v/>
      </c>
      <c r="C109" s="100" t="str">
        <f>IF('COMMANDE GD-PUBLIC SFC'!C53="","",'COMMANDE GD-PUBLIC SFC'!C53)</f>
        <v/>
      </c>
      <c r="D109" s="101">
        <f>IF('COMMANDE GD-PUBLIC SFC'!I53="","",'COMMANDE GD-PUBLIC SFC'!I53)</f>
        <v>0.77083333333333337</v>
      </c>
      <c r="E109" s="101"/>
      <c r="F109" s="104"/>
      <c r="G109" s="104"/>
      <c r="H109" s="105"/>
    </row>
    <row r="110" spans="2:8" ht="24.75" customHeight="1" x14ac:dyDescent="0.3">
      <c r="B110" s="99" t="str">
        <f>IF('COMMANDE GD-PUBLIC SFC'!D54="","",'COMMANDE GD-PUBLIC SFC'!D54)</f>
        <v/>
      </c>
      <c r="C110" s="100" t="str">
        <f>IF('COMMANDE GD-PUBLIC SFC'!C54="","",'COMMANDE GD-PUBLIC SFC'!C54)</f>
        <v/>
      </c>
      <c r="D110" s="101">
        <f>IF('COMMANDE GD-PUBLIC SFC'!I54="","",'COMMANDE GD-PUBLIC SFC'!I54)</f>
        <v>0.79166666666666663</v>
      </c>
      <c r="E110" s="101"/>
      <c r="F110" s="104"/>
      <c r="G110" s="104"/>
      <c r="H110" s="105"/>
    </row>
    <row r="111" spans="2:8" ht="24.75" customHeight="1" x14ac:dyDescent="0.3">
      <c r="B111" s="99" t="str">
        <f>IF('COMMANDE GD-PUBLIC SFC'!D55="","",'COMMANDE GD-PUBLIC SFC'!D55)</f>
        <v/>
      </c>
      <c r="C111" s="100" t="str">
        <f>IF('COMMANDE GD-PUBLIC SFC'!C55="","",'COMMANDE GD-PUBLIC SFC'!C55)</f>
        <v/>
      </c>
      <c r="D111" s="101">
        <f>IF('COMMANDE GD-PUBLIC SFC'!I55="","",'COMMANDE GD-PUBLIC SFC'!I55)</f>
        <v>0.79166666666666663</v>
      </c>
      <c r="E111" s="101"/>
      <c r="F111" s="104"/>
      <c r="G111" s="104"/>
      <c r="H111" s="105"/>
    </row>
    <row r="112" spans="2:8" ht="24.75" customHeight="1" x14ac:dyDescent="0.3">
      <c r="B112" s="99" t="str">
        <f>IF('COMMANDE GD-PUBLIC SFC'!D56="","",'COMMANDE GD-PUBLIC SFC'!D56)</f>
        <v/>
      </c>
      <c r="C112" s="100" t="str">
        <f>IF('COMMANDE GD-PUBLIC SFC'!C56="","",'COMMANDE GD-PUBLIC SFC'!C56)</f>
        <v/>
      </c>
      <c r="D112" s="101" t="str">
        <f>IF('COMMANDE GD-PUBLIC SFC'!I56="","",'COMMANDE GD-PUBLIC SFC'!I56)</f>
        <v/>
      </c>
      <c r="E112" s="101"/>
      <c r="F112" s="104"/>
      <c r="G112" s="104"/>
      <c r="H112" s="105"/>
    </row>
    <row r="113" spans="2:8" ht="24.75" customHeight="1" x14ac:dyDescent="0.3">
      <c r="B113" s="99" t="str">
        <f>IF('COMMANDE GD-PUBLIC SFC'!D57="","",'COMMANDE GD-PUBLIC SFC'!D57)</f>
        <v/>
      </c>
      <c r="C113" s="100" t="str">
        <f>IF('COMMANDE GD-PUBLIC SFC'!C57="","",'COMMANDE GD-PUBLIC SFC'!C57)</f>
        <v/>
      </c>
      <c r="D113" s="101" t="str">
        <f>IF('COMMANDE GD-PUBLIC SFC'!I57="","",'COMMANDE GD-PUBLIC SFC'!I57)</f>
        <v/>
      </c>
      <c r="E113" s="101"/>
      <c r="F113" s="104"/>
      <c r="G113" s="104"/>
      <c r="H113" s="105"/>
    </row>
    <row r="114" spans="2:8" ht="15" thickBot="1" x14ac:dyDescent="0.35">
      <c r="B114" s="106"/>
      <c r="C114" s="107"/>
      <c r="D114" s="108"/>
      <c r="E114" s="108"/>
      <c r="F114" s="108"/>
      <c r="G114" s="108"/>
      <c r="H114" s="109"/>
    </row>
    <row r="117" spans="2:8" ht="15" x14ac:dyDescent="0.3">
      <c r="B117" s="82" t="str">
        <f>'COMMANDE GD-PUBLIC SFC'!$A$2</f>
        <v>MATCH SFC X</v>
      </c>
      <c r="C117" s="83" t="str">
        <f>'COMMANDE GD-PUBLIC SFC'!$C$2</f>
        <v>FC THOUNE</v>
      </c>
      <c r="D117" s="83"/>
      <c r="E117" s="82" t="s">
        <v>48</v>
      </c>
      <c r="F117" s="84">
        <f>'COMMANDE GD-PUBLIC SFC'!$D$2</f>
        <v>45969</v>
      </c>
      <c r="G117" s="85"/>
      <c r="H117" s="85"/>
    </row>
    <row r="118" spans="2:8" ht="15.6" x14ac:dyDescent="0.3">
      <c r="B118" s="86"/>
      <c r="C118" s="87"/>
      <c r="D118" s="87"/>
      <c r="E118" s="86"/>
      <c r="F118" s="87"/>
      <c r="G118" s="87"/>
      <c r="H118" s="88"/>
    </row>
    <row r="119" spans="2:8" ht="18" x14ac:dyDescent="0.3">
      <c r="B119" s="82" t="s">
        <v>49</v>
      </c>
      <c r="C119" s="89">
        <f>'COMMANDE GD-PUBLIC SFC'!$J$2</f>
        <v>0.85416666666666663</v>
      </c>
      <c r="D119" s="89"/>
      <c r="E119" s="82" t="s">
        <v>13</v>
      </c>
      <c r="F119" s="83" t="s">
        <v>80</v>
      </c>
      <c r="G119" s="90"/>
      <c r="H119" s="91"/>
    </row>
    <row r="120" spans="2:8" ht="16.2" thickBot="1" x14ac:dyDescent="0.35">
      <c r="B120" s="92"/>
      <c r="C120" s="92"/>
      <c r="D120" s="92"/>
      <c r="E120" s="93"/>
      <c r="F120" s="93"/>
      <c r="G120" s="93"/>
      <c r="H120" s="94"/>
    </row>
    <row r="121" spans="2:8" ht="27" customHeight="1" x14ac:dyDescent="0.3">
      <c r="B121" s="254" t="s">
        <v>81</v>
      </c>
      <c r="C121" s="255">
        <f>COUNTA('COMMANDE GD-PUBLIC SFC'!C58:C61)</f>
        <v>0</v>
      </c>
    </row>
    <row r="122" spans="2:8" ht="27" customHeight="1" thickBot="1" x14ac:dyDescent="0.35">
      <c r="B122" s="254"/>
      <c r="C122" s="256"/>
    </row>
    <row r="123" spans="2:8" ht="15" thickBot="1" x14ac:dyDescent="0.35"/>
    <row r="124" spans="2:8" ht="23.4" x14ac:dyDescent="0.3">
      <c r="B124" s="95" t="s">
        <v>51</v>
      </c>
      <c r="C124" s="224" t="s">
        <v>52</v>
      </c>
      <c r="D124" s="219" t="s">
        <v>53</v>
      </c>
      <c r="E124" s="220"/>
      <c r="F124" s="220"/>
      <c r="G124" s="221"/>
      <c r="H124" s="226" t="s">
        <v>54</v>
      </c>
    </row>
    <row r="125" spans="2:8" ht="38.4" thickBot="1" x14ac:dyDescent="0.35">
      <c r="B125" s="110" t="str">
        <f>'COMMANDE GD-PUBLIC SFC'!A58</f>
        <v xml:space="preserve">FISH AND SHIPS </v>
      </c>
      <c r="C125" s="225"/>
      <c r="D125" s="97" t="s">
        <v>55</v>
      </c>
      <c r="E125" s="97" t="s">
        <v>23</v>
      </c>
      <c r="F125" s="97" t="s">
        <v>56</v>
      </c>
      <c r="G125" s="98" t="s">
        <v>57</v>
      </c>
      <c r="H125" s="227"/>
    </row>
    <row r="126" spans="2:8" ht="24.75" customHeight="1" x14ac:dyDescent="0.3">
      <c r="B126" s="99" t="str">
        <f>IF('COMMANDE GD-PUBLIC SFC'!D58="","",'COMMANDE GD-PUBLIC SFC'!D58)</f>
        <v/>
      </c>
      <c r="C126" s="100" t="str">
        <f>IF('COMMANDE GD-PUBLIC SFC'!C58="","",'COMMANDE GD-PUBLIC SFC'!C58)</f>
        <v/>
      </c>
      <c r="D126" s="101">
        <f>IF('COMMANDE GD-PUBLIC SFC'!I58="","",'COMMANDE GD-PUBLIC SFC'!I58)</f>
        <v>0.77083333333333337</v>
      </c>
      <c r="E126" s="101"/>
      <c r="F126" s="102"/>
      <c r="G126" s="102"/>
      <c r="H126" s="103"/>
    </row>
    <row r="127" spans="2:8" ht="24.75" customHeight="1" x14ac:dyDescent="0.3">
      <c r="B127" s="99" t="str">
        <f>IF('COMMANDE GD-PUBLIC SFC'!D59="","",'COMMANDE GD-PUBLIC SFC'!D59)</f>
        <v/>
      </c>
      <c r="C127" s="100" t="str">
        <f>IF('COMMANDE GD-PUBLIC SFC'!C59="","",'COMMANDE GD-PUBLIC SFC'!C59)</f>
        <v/>
      </c>
      <c r="D127" s="101">
        <f>IF('COMMANDE GD-PUBLIC SFC'!I59="","",'COMMANDE GD-PUBLIC SFC'!I59)</f>
        <v>0.79166666666666663</v>
      </c>
      <c r="E127" s="101"/>
      <c r="F127" s="104"/>
      <c r="G127" s="104"/>
      <c r="H127" s="105"/>
    </row>
    <row r="128" spans="2:8" ht="24.75" customHeight="1" x14ac:dyDescent="0.3">
      <c r="B128" s="99" t="str">
        <f>IF('COMMANDE GD-PUBLIC SFC'!D60="","",'COMMANDE GD-PUBLIC SFC'!D60)</f>
        <v/>
      </c>
      <c r="C128" s="100" t="str">
        <f>IF('COMMANDE GD-PUBLIC SFC'!C60="","",'COMMANDE GD-PUBLIC SFC'!C60)</f>
        <v/>
      </c>
      <c r="D128" s="101">
        <f>IF('COMMANDE GD-PUBLIC SFC'!I60="","",'COMMANDE GD-PUBLIC SFC'!I60)</f>
        <v>0.8125</v>
      </c>
      <c r="E128" s="101"/>
      <c r="F128" s="104"/>
      <c r="G128" s="104"/>
      <c r="H128" s="105"/>
    </row>
    <row r="129" spans="2:8" ht="24.75" customHeight="1" x14ac:dyDescent="0.3">
      <c r="B129" s="99" t="str">
        <f>IF('COMMANDE GD-PUBLIC SFC'!D61="","",'COMMANDE GD-PUBLIC SFC'!D61)</f>
        <v/>
      </c>
      <c r="C129" s="100" t="str">
        <f>IF('COMMANDE GD-PUBLIC SFC'!C61="","",'COMMANDE GD-PUBLIC SFC'!C61)</f>
        <v/>
      </c>
      <c r="D129" s="101" t="str">
        <f>IF('COMMANDE GD-PUBLIC SFC'!I61="","",'COMMANDE GD-PUBLIC SFC'!I61)</f>
        <v/>
      </c>
      <c r="E129" s="101"/>
      <c r="F129" s="104"/>
      <c r="G129" s="104"/>
      <c r="H129" s="105"/>
    </row>
    <row r="130" spans="2:8" ht="15" thickBot="1" x14ac:dyDescent="0.35">
      <c r="B130" s="106"/>
      <c r="C130" s="107"/>
      <c r="D130" s="108"/>
      <c r="E130" s="108"/>
      <c r="F130" s="108"/>
      <c r="G130" s="108"/>
      <c r="H130" s="109"/>
    </row>
    <row r="133" spans="2:8" ht="15" x14ac:dyDescent="0.3">
      <c r="B133" s="82" t="str">
        <f>'COMMANDE GD-PUBLIC SFC'!$A$2</f>
        <v>MATCH SFC X</v>
      </c>
      <c r="C133" s="83" t="str">
        <f>'COMMANDE GD-PUBLIC SFC'!$C$2</f>
        <v>FC THOUNE</v>
      </c>
      <c r="D133" s="83"/>
      <c r="E133" s="82" t="s">
        <v>48</v>
      </c>
      <c r="F133" s="84">
        <f>'COMMANDE GD-PUBLIC SFC'!$D$2</f>
        <v>45969</v>
      </c>
      <c r="G133" s="85"/>
      <c r="H133" s="85"/>
    </row>
    <row r="134" spans="2:8" ht="15.6" x14ac:dyDescent="0.3">
      <c r="B134" s="86"/>
      <c r="C134" s="87"/>
      <c r="D134" s="87"/>
      <c r="E134" s="86"/>
      <c r="F134" s="87"/>
      <c r="G134" s="87"/>
      <c r="H134" s="88"/>
    </row>
    <row r="135" spans="2:8" ht="18" x14ac:dyDescent="0.3">
      <c r="B135" s="82" t="s">
        <v>49</v>
      </c>
      <c r="C135" s="89">
        <f>'COMMANDE GD-PUBLIC SFC'!$J$2</f>
        <v>0.85416666666666663</v>
      </c>
      <c r="D135" s="89"/>
      <c r="E135" s="82" t="s">
        <v>13</v>
      </c>
      <c r="F135" s="83" t="s">
        <v>80</v>
      </c>
      <c r="G135" s="90"/>
      <c r="H135" s="91"/>
    </row>
    <row r="136" spans="2:8" ht="16.2" thickBot="1" x14ac:dyDescent="0.35">
      <c r="B136" s="92"/>
      <c r="C136" s="92"/>
      <c r="D136" s="92"/>
      <c r="E136" s="93"/>
      <c r="F136" s="93"/>
      <c r="G136" s="93"/>
      <c r="H136" s="94"/>
    </row>
    <row r="137" spans="2:8" ht="27" customHeight="1" x14ac:dyDescent="0.3">
      <c r="B137" s="254" t="s">
        <v>81</v>
      </c>
      <c r="C137" s="255">
        <f>COUNTA('COMMANDE GD-PUBLIC SFC'!C62:C74)</f>
        <v>0</v>
      </c>
    </row>
    <row r="138" spans="2:8" ht="27" customHeight="1" thickBot="1" x14ac:dyDescent="0.35">
      <c r="B138" s="254"/>
      <c r="C138" s="256"/>
    </row>
    <row r="139" spans="2:8" ht="15" thickBot="1" x14ac:dyDescent="0.35"/>
    <row r="140" spans="2:8" ht="23.4" x14ac:dyDescent="0.3">
      <c r="B140" s="95" t="s">
        <v>51</v>
      </c>
      <c r="C140" s="224" t="s">
        <v>52</v>
      </c>
      <c r="D140" s="219" t="s">
        <v>53</v>
      </c>
      <c r="E140" s="220"/>
      <c r="F140" s="220"/>
      <c r="G140" s="221"/>
      <c r="H140" s="226" t="s">
        <v>54</v>
      </c>
    </row>
    <row r="141" spans="2:8" ht="38.4" thickBot="1" x14ac:dyDescent="0.35">
      <c r="B141" s="171" t="str">
        <f>'COMMANDE GD-PUBLIC SFC'!A62</f>
        <v>EST 1</v>
      </c>
      <c r="C141" s="225"/>
      <c r="D141" s="97" t="s">
        <v>55</v>
      </c>
      <c r="E141" s="97" t="s">
        <v>23</v>
      </c>
      <c r="F141" s="97" t="s">
        <v>56</v>
      </c>
      <c r="G141" s="98" t="s">
        <v>57</v>
      </c>
      <c r="H141" s="227"/>
    </row>
    <row r="142" spans="2:8" ht="24.75" customHeight="1" x14ac:dyDescent="0.3">
      <c r="B142" s="99" t="str">
        <f>IF('COMMANDE GD-PUBLIC SFC'!D62="","",'COMMANDE GD-PUBLIC SFC'!D62)</f>
        <v/>
      </c>
      <c r="C142" s="100" t="str">
        <f>IF('COMMANDE GD-PUBLIC SFC'!C62="","",'COMMANDE GD-PUBLIC SFC'!C62)</f>
        <v/>
      </c>
      <c r="D142" s="101">
        <f>IF('COMMANDE GD-PUBLIC SFC'!I62="","",'COMMANDE GD-PUBLIC SFC'!I62)</f>
        <v>0.75</v>
      </c>
      <c r="E142" s="101"/>
      <c r="F142" s="102"/>
      <c r="G142" s="102"/>
      <c r="H142" s="103"/>
    </row>
    <row r="143" spans="2:8" ht="24.75" customHeight="1" x14ac:dyDescent="0.3">
      <c r="B143" s="99" t="str">
        <f>IF('COMMANDE GD-PUBLIC SFC'!D63="","",'COMMANDE GD-PUBLIC SFC'!D63)</f>
        <v/>
      </c>
      <c r="C143" s="100" t="str">
        <f>IF('COMMANDE GD-PUBLIC SFC'!C63="","",'COMMANDE GD-PUBLIC SFC'!C63)</f>
        <v/>
      </c>
      <c r="D143" s="101">
        <f>IF('COMMANDE GD-PUBLIC SFC'!I63="","",'COMMANDE GD-PUBLIC SFC'!I63)</f>
        <v>0.75</v>
      </c>
      <c r="E143" s="101"/>
      <c r="F143" s="104"/>
      <c r="G143" s="104"/>
      <c r="H143" s="105"/>
    </row>
    <row r="144" spans="2:8" ht="24.75" customHeight="1" x14ac:dyDescent="0.3">
      <c r="B144" s="99" t="str">
        <f>IF('COMMANDE GD-PUBLIC SFC'!D64="","",'COMMANDE GD-PUBLIC SFC'!D64)</f>
        <v/>
      </c>
      <c r="C144" s="100" t="str">
        <f>IF('COMMANDE GD-PUBLIC SFC'!C64="","",'COMMANDE GD-PUBLIC SFC'!C64)</f>
        <v/>
      </c>
      <c r="D144" s="101">
        <f>IF('COMMANDE GD-PUBLIC SFC'!I64="","",'COMMANDE GD-PUBLIC SFC'!I64)</f>
        <v>0.77083333333333337</v>
      </c>
      <c r="E144" s="101"/>
      <c r="F144" s="104"/>
      <c r="G144" s="104"/>
      <c r="H144" s="105"/>
    </row>
    <row r="145" spans="2:8" ht="24.75" customHeight="1" x14ac:dyDescent="0.3">
      <c r="B145" s="99" t="str">
        <f>IF('COMMANDE GD-PUBLIC SFC'!D65="","",'COMMANDE GD-PUBLIC SFC'!D65)</f>
        <v/>
      </c>
      <c r="C145" s="100" t="str">
        <f>IF('COMMANDE GD-PUBLIC SFC'!C65="","",'COMMANDE GD-PUBLIC SFC'!C65)</f>
        <v/>
      </c>
      <c r="D145" s="101">
        <f>IF('COMMANDE GD-PUBLIC SFC'!I65="","",'COMMANDE GD-PUBLIC SFC'!I65)</f>
        <v>0.77083333333333337</v>
      </c>
      <c r="E145" s="101"/>
      <c r="F145" s="104"/>
      <c r="G145" s="104"/>
      <c r="H145" s="105"/>
    </row>
    <row r="146" spans="2:8" ht="24.75" customHeight="1" x14ac:dyDescent="0.3">
      <c r="B146" s="99" t="str">
        <f>IF('COMMANDE GD-PUBLIC SFC'!D66="","",'COMMANDE GD-PUBLIC SFC'!D66)</f>
        <v/>
      </c>
      <c r="C146" s="100" t="str">
        <f>IF('COMMANDE GD-PUBLIC SFC'!C66="","",'COMMANDE GD-PUBLIC SFC'!C66)</f>
        <v/>
      </c>
      <c r="D146" s="101">
        <f>IF('COMMANDE GD-PUBLIC SFC'!I66="","",'COMMANDE GD-PUBLIC SFC'!I66)</f>
        <v>0.79166666666666663</v>
      </c>
      <c r="E146" s="101"/>
      <c r="F146" s="104"/>
      <c r="G146" s="104"/>
      <c r="H146" s="105"/>
    </row>
    <row r="147" spans="2:8" ht="24.75" customHeight="1" x14ac:dyDescent="0.3">
      <c r="B147" s="99" t="str">
        <f>IF('COMMANDE GD-PUBLIC SFC'!D67="","",'COMMANDE GD-PUBLIC SFC'!D67)</f>
        <v/>
      </c>
      <c r="C147" s="100" t="str">
        <f>IF('COMMANDE GD-PUBLIC SFC'!C67="","",'COMMANDE GD-PUBLIC SFC'!C67)</f>
        <v/>
      </c>
      <c r="D147" s="101">
        <f>IF('COMMANDE GD-PUBLIC SFC'!I67="","",'COMMANDE GD-PUBLIC SFC'!I67)</f>
        <v>0.79166666666666663</v>
      </c>
      <c r="E147" s="101"/>
      <c r="F147" s="104"/>
      <c r="G147" s="104"/>
      <c r="H147" s="105"/>
    </row>
    <row r="148" spans="2:8" ht="24.75" customHeight="1" x14ac:dyDescent="0.3">
      <c r="B148" s="99" t="str">
        <f>IF('COMMANDE GD-PUBLIC SFC'!D68="","",'COMMANDE GD-PUBLIC SFC'!D68)</f>
        <v/>
      </c>
      <c r="C148" s="100" t="str">
        <f>IF('COMMANDE GD-PUBLIC SFC'!C68="","",'COMMANDE GD-PUBLIC SFC'!C68)</f>
        <v/>
      </c>
      <c r="D148" s="101">
        <f>IF('COMMANDE GD-PUBLIC SFC'!I68="","",'COMMANDE GD-PUBLIC SFC'!I68)</f>
        <v>0.79166666666666663</v>
      </c>
      <c r="E148" s="101"/>
      <c r="F148" s="104"/>
      <c r="G148" s="104"/>
      <c r="H148" s="105"/>
    </row>
    <row r="149" spans="2:8" ht="24.75" customHeight="1" x14ac:dyDescent="0.3">
      <c r="B149" s="99" t="str">
        <f>IF('COMMANDE GD-PUBLIC SFC'!D69="","",'COMMANDE GD-PUBLIC SFC'!D69)</f>
        <v/>
      </c>
      <c r="C149" s="100" t="str">
        <f>IF('COMMANDE GD-PUBLIC SFC'!C69="","",'COMMANDE GD-PUBLIC SFC'!C69)</f>
        <v/>
      </c>
      <c r="D149" s="101">
        <f>IF('COMMANDE GD-PUBLIC SFC'!I69="","",'COMMANDE GD-PUBLIC SFC'!I69)</f>
        <v>0.8125</v>
      </c>
      <c r="E149" s="101"/>
      <c r="F149" s="104"/>
      <c r="G149" s="104"/>
      <c r="H149" s="105"/>
    </row>
    <row r="150" spans="2:8" ht="24.75" customHeight="1" x14ac:dyDescent="0.3">
      <c r="B150" s="99" t="str">
        <f>IF('COMMANDE GD-PUBLIC SFC'!D70="","",'COMMANDE GD-PUBLIC SFC'!D70)</f>
        <v/>
      </c>
      <c r="C150" s="100" t="str">
        <f>IF('COMMANDE GD-PUBLIC SFC'!C70="","",'COMMANDE GD-PUBLIC SFC'!C70)</f>
        <v/>
      </c>
      <c r="D150" s="101">
        <f>IF('COMMANDE GD-PUBLIC SFC'!I70="","",'COMMANDE GD-PUBLIC SFC'!I70)</f>
        <v>0.8125</v>
      </c>
      <c r="E150" s="101"/>
      <c r="F150" s="104"/>
      <c r="G150" s="104"/>
      <c r="H150" s="105"/>
    </row>
    <row r="151" spans="2:8" ht="24.75" customHeight="1" x14ac:dyDescent="0.3">
      <c r="B151" s="99" t="str">
        <f>IF('COMMANDE GD-PUBLIC SFC'!D71="","",'COMMANDE GD-PUBLIC SFC'!D71)</f>
        <v/>
      </c>
      <c r="C151" s="100" t="str">
        <f>IF('COMMANDE GD-PUBLIC SFC'!C71="","",'COMMANDE GD-PUBLIC SFC'!C71)</f>
        <v/>
      </c>
      <c r="D151" s="101">
        <f>IF('COMMANDE GD-PUBLIC SFC'!I71="","",'COMMANDE GD-PUBLIC SFC'!I71)</f>
        <v>0.75</v>
      </c>
      <c r="E151" s="101"/>
      <c r="F151" s="104"/>
      <c r="G151" s="104"/>
      <c r="H151" s="105"/>
    </row>
    <row r="152" spans="2:8" ht="24.75" customHeight="1" x14ac:dyDescent="0.3">
      <c r="B152" s="99" t="str">
        <f>IF('COMMANDE GD-PUBLIC SFC'!D72="","",'COMMANDE GD-PUBLIC SFC'!D72)</f>
        <v/>
      </c>
      <c r="C152" s="100" t="str">
        <f>IF('COMMANDE GD-PUBLIC SFC'!C72="","",'COMMANDE GD-PUBLIC SFC'!C72)</f>
        <v/>
      </c>
      <c r="D152" s="101">
        <f>IF('COMMANDE GD-PUBLIC SFC'!I72="","",'COMMANDE GD-PUBLIC SFC'!I72)</f>
        <v>0.75</v>
      </c>
      <c r="E152" s="101"/>
      <c r="F152" s="104"/>
      <c r="G152" s="104"/>
      <c r="H152" s="105"/>
    </row>
    <row r="153" spans="2:8" ht="24.75" customHeight="1" x14ac:dyDescent="0.3">
      <c r="B153" s="99" t="str">
        <f>IF('COMMANDE GD-PUBLIC SFC'!D73="","",'COMMANDE GD-PUBLIC SFC'!D73)</f>
        <v/>
      </c>
      <c r="C153" s="100" t="str">
        <f>IF('COMMANDE GD-PUBLIC SFC'!C73="","",'COMMANDE GD-PUBLIC SFC'!C73)</f>
        <v/>
      </c>
      <c r="D153" s="101">
        <f>IF('COMMANDE GD-PUBLIC SFC'!I73="","",'COMMANDE GD-PUBLIC SFC'!I73)</f>
        <v>0.75</v>
      </c>
      <c r="E153" s="101"/>
      <c r="F153" s="104"/>
      <c r="G153" s="104"/>
      <c r="H153" s="105"/>
    </row>
    <row r="154" spans="2:8" ht="24.75" customHeight="1" x14ac:dyDescent="0.3">
      <c r="B154" s="99" t="str">
        <f>IF('COMMANDE GD-PUBLIC SFC'!D74="","",'COMMANDE GD-PUBLIC SFC'!D74)</f>
        <v/>
      </c>
      <c r="C154" s="100" t="str">
        <f>IF('COMMANDE GD-PUBLIC SFC'!C74="","",'COMMANDE GD-PUBLIC SFC'!C74)</f>
        <v/>
      </c>
      <c r="D154" s="101" t="str">
        <f>IF('COMMANDE GD-PUBLIC SFC'!I74="","",'COMMANDE GD-PUBLIC SFC'!I74)</f>
        <v/>
      </c>
      <c r="E154" s="101"/>
      <c r="F154" s="104"/>
      <c r="G154" s="104"/>
      <c r="H154" s="105"/>
    </row>
    <row r="155" spans="2:8" ht="10.5" customHeight="1" thickBot="1" x14ac:dyDescent="0.35">
      <c r="B155" s="106"/>
      <c r="C155" s="107"/>
      <c r="D155" s="108"/>
      <c r="E155" s="108"/>
      <c r="F155" s="108"/>
      <c r="G155" s="108"/>
      <c r="H155" s="109"/>
    </row>
    <row r="158" spans="2:8" ht="15" x14ac:dyDescent="0.3">
      <c r="B158" s="82" t="str">
        <f>'COMMANDE GD-PUBLIC SFC'!$A$2</f>
        <v>MATCH SFC X</v>
      </c>
      <c r="C158" s="83" t="str">
        <f>'COMMANDE GD-PUBLIC SFC'!$C$2</f>
        <v>FC THOUNE</v>
      </c>
      <c r="D158" s="83"/>
      <c r="E158" s="82" t="s">
        <v>48</v>
      </c>
      <c r="F158" s="84">
        <f>'COMMANDE GD-PUBLIC SFC'!$D$2</f>
        <v>45969</v>
      </c>
      <c r="G158" s="85"/>
      <c r="H158" s="85"/>
    </row>
    <row r="159" spans="2:8" ht="15.6" x14ac:dyDescent="0.3">
      <c r="B159" s="86"/>
      <c r="C159" s="87"/>
      <c r="D159" s="87"/>
      <c r="E159" s="86"/>
      <c r="F159" s="87"/>
      <c r="G159" s="87"/>
      <c r="H159" s="88"/>
    </row>
    <row r="160" spans="2:8" ht="18" x14ac:dyDescent="0.3">
      <c r="B160" s="82" t="s">
        <v>49</v>
      </c>
      <c r="C160" s="89">
        <f>'COMMANDE GD-PUBLIC SFC'!$J$2</f>
        <v>0.85416666666666663</v>
      </c>
      <c r="D160" s="89"/>
      <c r="E160" s="82" t="s">
        <v>13</v>
      </c>
      <c r="F160" s="83" t="s">
        <v>80</v>
      </c>
      <c r="G160" s="90"/>
      <c r="H160" s="91"/>
    </row>
    <row r="161" spans="2:8" ht="16.2" thickBot="1" x14ac:dyDescent="0.35">
      <c r="B161" s="92"/>
      <c r="C161" s="92"/>
      <c r="D161" s="92"/>
      <c r="E161" s="93"/>
      <c r="F161" s="93"/>
      <c r="G161" s="93"/>
      <c r="H161" s="94"/>
    </row>
    <row r="162" spans="2:8" ht="27" customHeight="1" x14ac:dyDescent="0.3">
      <c r="B162" s="254" t="s">
        <v>81</v>
      </c>
      <c r="C162" s="255">
        <f>COUNTA('COMMANDE GD-PUBLIC SFC'!C75:C87)</f>
        <v>0</v>
      </c>
    </row>
    <row r="163" spans="2:8" ht="27" customHeight="1" thickBot="1" x14ac:dyDescent="0.35">
      <c r="B163" s="254"/>
      <c r="C163" s="256"/>
    </row>
    <row r="164" spans="2:8" ht="15" thickBot="1" x14ac:dyDescent="0.35"/>
    <row r="165" spans="2:8" ht="23.4" x14ac:dyDescent="0.3">
      <c r="B165" s="95" t="s">
        <v>51</v>
      </c>
      <c r="C165" s="224" t="s">
        <v>52</v>
      </c>
      <c r="D165" s="219" t="s">
        <v>53</v>
      </c>
      <c r="E165" s="220"/>
      <c r="F165" s="220"/>
      <c r="G165" s="221"/>
      <c r="H165" s="226" t="s">
        <v>54</v>
      </c>
    </row>
    <row r="166" spans="2:8" ht="38.4" thickBot="1" x14ac:dyDescent="0.35">
      <c r="B166" s="171" t="str">
        <f>'COMMANDE GD-PUBLIC SFC'!A75</f>
        <v>EST 2</v>
      </c>
      <c r="C166" s="225"/>
      <c r="D166" s="97" t="s">
        <v>55</v>
      </c>
      <c r="E166" s="97" t="s">
        <v>23</v>
      </c>
      <c r="F166" s="97" t="s">
        <v>56</v>
      </c>
      <c r="G166" s="98" t="s">
        <v>57</v>
      </c>
      <c r="H166" s="227"/>
    </row>
    <row r="167" spans="2:8" ht="24.75" customHeight="1" x14ac:dyDescent="0.3">
      <c r="B167" s="99" t="str">
        <f>IF('COMMANDE GD-PUBLIC SFC'!D75="","",'COMMANDE GD-PUBLIC SFC'!D75)</f>
        <v/>
      </c>
      <c r="C167" s="100" t="str">
        <f>IF('COMMANDE GD-PUBLIC SFC'!C75="","",'COMMANDE GD-PUBLIC SFC'!C75)</f>
        <v/>
      </c>
      <c r="D167" s="101">
        <f>IF('COMMANDE GD-PUBLIC SFC'!I75="","",'COMMANDE GD-PUBLIC SFC'!I75)</f>
        <v>0.75</v>
      </c>
      <c r="E167" s="101"/>
      <c r="F167" s="102"/>
      <c r="G167" s="102"/>
      <c r="H167" s="103"/>
    </row>
    <row r="168" spans="2:8" ht="24.75" customHeight="1" x14ac:dyDescent="0.3">
      <c r="B168" s="99" t="str">
        <f>IF('COMMANDE GD-PUBLIC SFC'!D76="","",'COMMANDE GD-PUBLIC SFC'!D76)</f>
        <v/>
      </c>
      <c r="C168" s="100" t="str">
        <f>IF('COMMANDE GD-PUBLIC SFC'!C76="","",'COMMANDE GD-PUBLIC SFC'!C76)</f>
        <v/>
      </c>
      <c r="D168" s="101">
        <f>IF('COMMANDE GD-PUBLIC SFC'!I76="","",'COMMANDE GD-PUBLIC SFC'!I76)</f>
        <v>0.75</v>
      </c>
      <c r="E168" s="101"/>
      <c r="F168" s="104"/>
      <c r="G168" s="104"/>
      <c r="H168" s="105"/>
    </row>
    <row r="169" spans="2:8" ht="24.75" customHeight="1" x14ac:dyDescent="0.3">
      <c r="B169" s="99" t="str">
        <f>IF('COMMANDE GD-PUBLIC SFC'!D77="","",'COMMANDE GD-PUBLIC SFC'!D77)</f>
        <v/>
      </c>
      <c r="C169" s="100" t="str">
        <f>IF('COMMANDE GD-PUBLIC SFC'!C77="","",'COMMANDE GD-PUBLIC SFC'!C77)</f>
        <v/>
      </c>
      <c r="D169" s="101">
        <f>IF('COMMANDE GD-PUBLIC SFC'!I77="","",'COMMANDE GD-PUBLIC SFC'!I77)</f>
        <v>0.77083333333333337</v>
      </c>
      <c r="E169" s="101"/>
      <c r="F169" s="104"/>
      <c r="G169" s="104"/>
      <c r="H169" s="105"/>
    </row>
    <row r="170" spans="2:8" ht="24.75" customHeight="1" x14ac:dyDescent="0.3">
      <c r="B170" s="99" t="str">
        <f>IF('COMMANDE GD-PUBLIC SFC'!D78="","",'COMMANDE GD-PUBLIC SFC'!D78)</f>
        <v/>
      </c>
      <c r="C170" s="100" t="str">
        <f>IF('COMMANDE GD-PUBLIC SFC'!C78="","",'COMMANDE GD-PUBLIC SFC'!C78)</f>
        <v/>
      </c>
      <c r="D170" s="101">
        <f>IF('COMMANDE GD-PUBLIC SFC'!I78="","",'COMMANDE GD-PUBLIC SFC'!I78)</f>
        <v>0.77083333333333337</v>
      </c>
      <c r="E170" s="101"/>
      <c r="F170" s="104"/>
      <c r="G170" s="104"/>
      <c r="H170" s="105"/>
    </row>
    <row r="171" spans="2:8" ht="24.75" customHeight="1" x14ac:dyDescent="0.3">
      <c r="B171" s="99" t="str">
        <f>IF('COMMANDE GD-PUBLIC SFC'!D79="","",'COMMANDE GD-PUBLIC SFC'!D79)</f>
        <v/>
      </c>
      <c r="C171" s="100" t="str">
        <f>IF('COMMANDE GD-PUBLIC SFC'!C79="","",'COMMANDE GD-PUBLIC SFC'!C79)</f>
        <v/>
      </c>
      <c r="D171" s="101">
        <f>IF('COMMANDE GD-PUBLIC SFC'!I79="","",'COMMANDE GD-PUBLIC SFC'!I79)</f>
        <v>0.79166666666666663</v>
      </c>
      <c r="E171" s="101"/>
      <c r="F171" s="104"/>
      <c r="G171" s="104"/>
      <c r="H171" s="105"/>
    </row>
    <row r="172" spans="2:8" ht="24.75" customHeight="1" x14ac:dyDescent="0.3">
      <c r="B172" s="99" t="str">
        <f>IF('COMMANDE GD-PUBLIC SFC'!D80="","",'COMMANDE GD-PUBLIC SFC'!D80)</f>
        <v/>
      </c>
      <c r="C172" s="100" t="str">
        <f>IF('COMMANDE GD-PUBLIC SFC'!C80="","",'COMMANDE GD-PUBLIC SFC'!C80)</f>
        <v/>
      </c>
      <c r="D172" s="101">
        <f>IF('COMMANDE GD-PUBLIC SFC'!I80="","",'COMMANDE GD-PUBLIC SFC'!I80)</f>
        <v>0.79166666666666663</v>
      </c>
      <c r="E172" s="101"/>
      <c r="F172" s="104"/>
      <c r="G172" s="104"/>
      <c r="H172" s="105"/>
    </row>
    <row r="173" spans="2:8" ht="24.75" customHeight="1" x14ac:dyDescent="0.3">
      <c r="B173" s="99" t="str">
        <f>IF('COMMANDE GD-PUBLIC SFC'!D81="","",'COMMANDE GD-PUBLIC SFC'!D81)</f>
        <v/>
      </c>
      <c r="C173" s="100" t="str">
        <f>IF('COMMANDE GD-PUBLIC SFC'!C81="","",'COMMANDE GD-PUBLIC SFC'!C81)</f>
        <v/>
      </c>
      <c r="D173" s="101">
        <f>IF('COMMANDE GD-PUBLIC SFC'!I81="","",'COMMANDE GD-PUBLIC SFC'!I81)</f>
        <v>0.79166666666666663</v>
      </c>
      <c r="E173" s="101"/>
      <c r="F173" s="104"/>
      <c r="G173" s="104"/>
      <c r="H173" s="105"/>
    </row>
    <row r="174" spans="2:8" ht="24.75" customHeight="1" x14ac:dyDescent="0.3">
      <c r="B174" s="99" t="str">
        <f>IF('COMMANDE GD-PUBLIC SFC'!D82="","",'COMMANDE GD-PUBLIC SFC'!D82)</f>
        <v/>
      </c>
      <c r="C174" s="100" t="str">
        <f>IF('COMMANDE GD-PUBLIC SFC'!C82="","",'COMMANDE GD-PUBLIC SFC'!C82)</f>
        <v/>
      </c>
      <c r="D174" s="101">
        <f>IF('COMMANDE GD-PUBLIC SFC'!I82="","",'COMMANDE GD-PUBLIC SFC'!I82)</f>
        <v>0.8125</v>
      </c>
      <c r="E174" s="101"/>
      <c r="F174" s="104"/>
      <c r="G174" s="104"/>
      <c r="H174" s="105"/>
    </row>
    <row r="175" spans="2:8" ht="24.75" customHeight="1" x14ac:dyDescent="0.3">
      <c r="B175" s="99" t="str">
        <f>IF('COMMANDE GD-PUBLIC SFC'!D83="","",'COMMANDE GD-PUBLIC SFC'!D83)</f>
        <v/>
      </c>
      <c r="C175" s="100" t="str">
        <f>IF('COMMANDE GD-PUBLIC SFC'!C83="","",'COMMANDE GD-PUBLIC SFC'!C83)</f>
        <v/>
      </c>
      <c r="D175" s="101">
        <f>IF('COMMANDE GD-PUBLIC SFC'!I83="","",'COMMANDE GD-PUBLIC SFC'!I83)</f>
        <v>0.8125</v>
      </c>
      <c r="E175" s="101"/>
      <c r="F175" s="104"/>
      <c r="G175" s="104"/>
      <c r="H175" s="105"/>
    </row>
    <row r="176" spans="2:8" ht="24.75" customHeight="1" x14ac:dyDescent="0.3">
      <c r="B176" s="99" t="str">
        <f>IF('COMMANDE GD-PUBLIC SFC'!D84="","",'COMMANDE GD-PUBLIC SFC'!D84)</f>
        <v/>
      </c>
      <c r="C176" s="100" t="str">
        <f>IF('COMMANDE GD-PUBLIC SFC'!C84="","",'COMMANDE GD-PUBLIC SFC'!C84)</f>
        <v/>
      </c>
      <c r="D176" s="101">
        <f>IF('COMMANDE GD-PUBLIC SFC'!I84="","",'COMMANDE GD-PUBLIC SFC'!I84)</f>
        <v>0.75</v>
      </c>
      <c r="E176" s="101"/>
      <c r="F176" s="104"/>
      <c r="G176" s="104"/>
      <c r="H176" s="105"/>
    </row>
    <row r="177" spans="2:8" ht="24.75" customHeight="1" x14ac:dyDescent="0.3">
      <c r="B177" s="99" t="str">
        <f>IF('COMMANDE GD-PUBLIC SFC'!D85="","",'COMMANDE GD-PUBLIC SFC'!D85)</f>
        <v/>
      </c>
      <c r="C177" s="100" t="str">
        <f>IF('COMMANDE GD-PUBLIC SFC'!C85="","",'COMMANDE GD-PUBLIC SFC'!C85)</f>
        <v/>
      </c>
      <c r="D177" s="101">
        <f>IF('COMMANDE GD-PUBLIC SFC'!I85="","",'COMMANDE GD-PUBLIC SFC'!I85)</f>
        <v>0.75</v>
      </c>
      <c r="E177" s="101"/>
      <c r="F177" s="104"/>
      <c r="G177" s="104"/>
      <c r="H177" s="105"/>
    </row>
    <row r="178" spans="2:8" ht="24.75" customHeight="1" x14ac:dyDescent="0.3">
      <c r="B178" s="99" t="str">
        <f>IF('COMMANDE GD-PUBLIC SFC'!D86="","",'COMMANDE GD-PUBLIC SFC'!D86)</f>
        <v/>
      </c>
      <c r="C178" s="100" t="str">
        <f>IF('COMMANDE GD-PUBLIC SFC'!C86="","",'COMMANDE GD-PUBLIC SFC'!C86)</f>
        <v/>
      </c>
      <c r="D178" s="101">
        <f>IF('COMMANDE GD-PUBLIC SFC'!I86="","",'COMMANDE GD-PUBLIC SFC'!I86)</f>
        <v>0.75</v>
      </c>
      <c r="E178" s="101"/>
      <c r="F178" s="104"/>
      <c r="G178" s="104"/>
      <c r="H178" s="105"/>
    </row>
    <row r="179" spans="2:8" ht="24.75" customHeight="1" x14ac:dyDescent="0.3">
      <c r="B179" s="99" t="str">
        <f>IF('COMMANDE GD-PUBLIC SFC'!D87="","",'COMMANDE GD-PUBLIC SFC'!D87)</f>
        <v/>
      </c>
      <c r="C179" s="100" t="str">
        <f>IF('COMMANDE GD-PUBLIC SFC'!C87="","",'COMMANDE GD-PUBLIC SFC'!C87)</f>
        <v/>
      </c>
      <c r="D179" s="101" t="str">
        <f>IF('COMMANDE GD-PUBLIC SFC'!I87="","",'COMMANDE GD-PUBLIC SFC'!I87)</f>
        <v/>
      </c>
      <c r="E179" s="101"/>
      <c r="F179" s="104"/>
      <c r="G179" s="104"/>
      <c r="H179" s="105"/>
    </row>
    <row r="180" spans="2:8" ht="10.5" customHeight="1" thickBot="1" x14ac:dyDescent="0.35">
      <c r="B180" s="106"/>
      <c r="C180" s="107"/>
      <c r="D180" s="108"/>
      <c r="E180" s="108"/>
      <c r="F180" s="108"/>
      <c r="G180" s="108"/>
      <c r="H180" s="109"/>
    </row>
    <row r="184" spans="2:8" ht="15" x14ac:dyDescent="0.3">
      <c r="B184" s="82" t="str">
        <f>'COMMANDE GD-PUBLIC SFC'!$A$2</f>
        <v>MATCH SFC X</v>
      </c>
      <c r="C184" s="83" t="str">
        <f>'COMMANDE GD-PUBLIC SFC'!$C$2</f>
        <v>FC THOUNE</v>
      </c>
      <c r="D184" s="83"/>
      <c r="E184" s="82" t="s">
        <v>48</v>
      </c>
      <c r="F184" s="84">
        <f>'COMMANDE GD-PUBLIC SFC'!$D$2</f>
        <v>45969</v>
      </c>
      <c r="G184" s="85"/>
      <c r="H184" s="85"/>
    </row>
    <row r="185" spans="2:8" ht="15.6" x14ac:dyDescent="0.3">
      <c r="B185" s="86"/>
      <c r="C185" s="87"/>
      <c r="D185" s="87"/>
      <c r="E185" s="86"/>
      <c r="F185" s="87"/>
      <c r="G185" s="87"/>
      <c r="H185" s="88"/>
    </row>
    <row r="186" spans="2:8" ht="18" x14ac:dyDescent="0.3">
      <c r="B186" s="82" t="s">
        <v>49</v>
      </c>
      <c r="C186" s="89">
        <f>'COMMANDE GD-PUBLIC SFC'!$J$2</f>
        <v>0.85416666666666663</v>
      </c>
      <c r="D186" s="89"/>
      <c r="E186" s="82" t="s">
        <v>13</v>
      </c>
      <c r="F186" s="83" t="s">
        <v>80</v>
      </c>
      <c r="G186" s="90"/>
      <c r="H186" s="91"/>
    </row>
    <row r="187" spans="2:8" ht="16.2" thickBot="1" x14ac:dyDescent="0.35">
      <c r="B187" s="92"/>
      <c r="C187" s="92"/>
      <c r="D187" s="92"/>
      <c r="E187" s="93"/>
      <c r="F187" s="93"/>
      <c r="G187" s="93"/>
      <c r="H187" s="94"/>
    </row>
    <row r="188" spans="2:8" ht="27" customHeight="1" x14ac:dyDescent="0.3">
      <c r="B188" s="254" t="s">
        <v>81</v>
      </c>
      <c r="C188" s="255">
        <f>COUNTA('COMMANDE GD-PUBLIC SFC'!C88:C92)</f>
        <v>0</v>
      </c>
    </row>
    <row r="189" spans="2:8" ht="27" customHeight="1" thickBot="1" x14ac:dyDescent="0.35">
      <c r="B189" s="254"/>
      <c r="C189" s="256"/>
    </row>
    <row r="190" spans="2:8" ht="15" thickBot="1" x14ac:dyDescent="0.35"/>
    <row r="191" spans="2:8" ht="23.4" x14ac:dyDescent="0.3">
      <c r="B191" s="95" t="s">
        <v>51</v>
      </c>
      <c r="C191" s="224" t="s">
        <v>52</v>
      </c>
      <c r="D191" s="219" t="s">
        <v>53</v>
      </c>
      <c r="E191" s="220"/>
      <c r="F191" s="220"/>
      <c r="G191" s="221"/>
      <c r="H191" s="226" t="s">
        <v>54</v>
      </c>
    </row>
    <row r="192" spans="2:8" ht="38.4" thickBot="1" x14ac:dyDescent="0.35">
      <c r="B192" s="171" t="str">
        <f>'COMMANDE GD-PUBLIC SFC'!A88</f>
        <v>EST MOBILE 1</v>
      </c>
      <c r="C192" s="225"/>
      <c r="D192" s="97" t="s">
        <v>55</v>
      </c>
      <c r="E192" s="97" t="s">
        <v>23</v>
      </c>
      <c r="F192" s="97" t="s">
        <v>56</v>
      </c>
      <c r="G192" s="98" t="s">
        <v>57</v>
      </c>
      <c r="H192" s="227"/>
    </row>
    <row r="193" spans="2:8" ht="24.75" customHeight="1" x14ac:dyDescent="0.3">
      <c r="B193" s="99" t="str">
        <f>IF('COMMANDE GD-PUBLIC SFC'!D88="","",'COMMANDE GD-PUBLIC SFC'!D88)</f>
        <v/>
      </c>
      <c r="C193" s="100" t="str">
        <f>IF('COMMANDE GD-PUBLIC SFC'!C88="","",'COMMANDE GD-PUBLIC SFC'!C88)</f>
        <v/>
      </c>
      <c r="D193" s="101">
        <f>IF('COMMANDE GD-PUBLIC SFC'!I88="","",'COMMANDE GD-PUBLIC SFC'!I88)</f>
        <v>0.77083333333333337</v>
      </c>
      <c r="E193" s="101"/>
      <c r="F193" s="102"/>
      <c r="G193" s="102"/>
      <c r="H193" s="103"/>
    </row>
    <row r="194" spans="2:8" ht="24.75" customHeight="1" x14ac:dyDescent="0.3">
      <c r="B194" s="99" t="str">
        <f>IF('COMMANDE GD-PUBLIC SFC'!D89="","",'COMMANDE GD-PUBLIC SFC'!D89)</f>
        <v/>
      </c>
      <c r="C194" s="100" t="str">
        <f>IF('COMMANDE GD-PUBLIC SFC'!C89="","",'COMMANDE GD-PUBLIC SFC'!C89)</f>
        <v/>
      </c>
      <c r="D194" s="101">
        <f>IF('COMMANDE GD-PUBLIC SFC'!I89="","",'COMMANDE GD-PUBLIC SFC'!I89)</f>
        <v>0.77083333333333337</v>
      </c>
      <c r="E194" s="101"/>
      <c r="F194" s="104"/>
      <c r="G194" s="104"/>
      <c r="H194" s="105"/>
    </row>
    <row r="195" spans="2:8" ht="24.75" customHeight="1" x14ac:dyDescent="0.3">
      <c r="B195" s="99" t="str">
        <f>IF('COMMANDE GD-PUBLIC SFC'!D90="","",'COMMANDE GD-PUBLIC SFC'!D90)</f>
        <v/>
      </c>
      <c r="C195" s="100" t="str">
        <f>IF('COMMANDE GD-PUBLIC SFC'!C90="","",'COMMANDE GD-PUBLIC SFC'!C90)</f>
        <v/>
      </c>
      <c r="D195" s="101">
        <f>IF('COMMANDE GD-PUBLIC SFC'!I90="","",'COMMANDE GD-PUBLIC SFC'!I90)</f>
        <v>0.8125</v>
      </c>
      <c r="E195" s="101"/>
      <c r="F195" s="104"/>
      <c r="G195" s="104"/>
      <c r="H195" s="105"/>
    </row>
    <row r="196" spans="2:8" ht="24.75" customHeight="1" x14ac:dyDescent="0.3">
      <c r="B196" s="99" t="str">
        <f>IF('COMMANDE GD-PUBLIC SFC'!D91="","",'COMMANDE GD-PUBLIC SFC'!D91)</f>
        <v/>
      </c>
      <c r="C196" s="100" t="str">
        <f>IF('COMMANDE GD-PUBLIC SFC'!C91="","",'COMMANDE GD-PUBLIC SFC'!C91)</f>
        <v/>
      </c>
      <c r="D196" s="101" t="str">
        <f>IF('COMMANDE GD-PUBLIC SFC'!I91="","",'COMMANDE GD-PUBLIC SFC'!I91)</f>
        <v/>
      </c>
      <c r="E196" s="101"/>
      <c r="F196" s="104"/>
      <c r="G196" s="104"/>
      <c r="H196" s="105"/>
    </row>
    <row r="197" spans="2:8" ht="24.75" customHeight="1" x14ac:dyDescent="0.3">
      <c r="B197" s="99" t="str">
        <f>IF('COMMANDE GD-PUBLIC SFC'!D92="","",'COMMANDE GD-PUBLIC SFC'!D92)</f>
        <v/>
      </c>
      <c r="C197" s="100" t="str">
        <f>IF('COMMANDE GD-PUBLIC SFC'!C92="","",'COMMANDE GD-PUBLIC SFC'!C92)</f>
        <v/>
      </c>
      <c r="D197" s="101" t="str">
        <f>IF('COMMANDE GD-PUBLIC SFC'!I92="","",'COMMANDE GD-PUBLIC SFC'!I92)</f>
        <v/>
      </c>
      <c r="E197" s="101"/>
      <c r="F197" s="104"/>
      <c r="G197" s="104"/>
      <c r="H197" s="105"/>
    </row>
    <row r="198" spans="2:8" ht="15" thickBot="1" x14ac:dyDescent="0.35">
      <c r="B198" s="106"/>
      <c r="C198" s="107"/>
      <c r="D198" s="108"/>
      <c r="E198" s="108"/>
      <c r="F198" s="108"/>
      <c r="G198" s="108"/>
      <c r="H198" s="109"/>
    </row>
    <row r="202" spans="2:8" ht="15" x14ac:dyDescent="0.3">
      <c r="B202" s="82" t="str">
        <f>'COMMANDE GD-PUBLIC SFC'!$A$2</f>
        <v>MATCH SFC X</v>
      </c>
      <c r="C202" s="83" t="str">
        <f>'COMMANDE GD-PUBLIC SFC'!$C$2</f>
        <v>FC THOUNE</v>
      </c>
      <c r="D202" s="83"/>
      <c r="E202" s="82" t="s">
        <v>48</v>
      </c>
      <c r="F202" s="84">
        <f>'COMMANDE GD-PUBLIC SFC'!$D$2</f>
        <v>45969</v>
      </c>
      <c r="G202" s="85"/>
      <c r="H202" s="85"/>
    </row>
    <row r="203" spans="2:8" ht="15.6" x14ac:dyDescent="0.3">
      <c r="B203" s="86"/>
      <c r="C203" s="87"/>
      <c r="D203" s="87"/>
      <c r="E203" s="86"/>
      <c r="F203" s="87"/>
      <c r="G203" s="87"/>
      <c r="H203" s="88"/>
    </row>
    <row r="204" spans="2:8" ht="18" x14ac:dyDescent="0.3">
      <c r="B204" s="82" t="s">
        <v>49</v>
      </c>
      <c r="C204" s="89">
        <f>'COMMANDE GD-PUBLIC SFC'!$J$2</f>
        <v>0.85416666666666663</v>
      </c>
      <c r="D204" s="89"/>
      <c r="E204" s="82" t="s">
        <v>13</v>
      </c>
      <c r="F204" s="83" t="s">
        <v>80</v>
      </c>
      <c r="G204" s="90"/>
      <c r="H204" s="91"/>
    </row>
    <row r="205" spans="2:8" ht="16.2" thickBot="1" x14ac:dyDescent="0.35">
      <c r="B205" s="92"/>
      <c r="C205" s="92"/>
      <c r="D205" s="92"/>
      <c r="E205" s="93"/>
      <c r="F205" s="93"/>
      <c r="G205" s="93"/>
      <c r="H205" s="94"/>
    </row>
    <row r="206" spans="2:8" ht="27" customHeight="1" x14ac:dyDescent="0.3">
      <c r="B206" s="254" t="s">
        <v>81</v>
      </c>
      <c r="C206" s="255">
        <f>COUNTA('COMMANDE GD-PUBLIC SFC'!C93:C97)</f>
        <v>0</v>
      </c>
    </row>
    <row r="207" spans="2:8" ht="27" customHeight="1" thickBot="1" x14ac:dyDescent="0.35">
      <c r="B207" s="254"/>
      <c r="C207" s="256"/>
    </row>
    <row r="208" spans="2:8" ht="15" thickBot="1" x14ac:dyDescent="0.35"/>
    <row r="209" spans="2:8" ht="23.4" x14ac:dyDescent="0.3">
      <c r="B209" s="95" t="s">
        <v>51</v>
      </c>
      <c r="C209" s="224" t="s">
        <v>52</v>
      </c>
      <c r="D209" s="219" t="s">
        <v>53</v>
      </c>
      <c r="E209" s="220"/>
      <c r="F209" s="220"/>
      <c r="G209" s="221"/>
      <c r="H209" s="226" t="s">
        <v>54</v>
      </c>
    </row>
    <row r="210" spans="2:8" ht="38.4" thickBot="1" x14ac:dyDescent="0.35">
      <c r="B210" s="171" t="str">
        <f>'COMMANDE GD-PUBLIC SFC'!A93</f>
        <v>EST MOBILE 2</v>
      </c>
      <c r="C210" s="225"/>
      <c r="D210" s="97" t="s">
        <v>55</v>
      </c>
      <c r="E210" s="97" t="s">
        <v>23</v>
      </c>
      <c r="F210" s="97" t="s">
        <v>56</v>
      </c>
      <c r="G210" s="98" t="s">
        <v>57</v>
      </c>
      <c r="H210" s="227"/>
    </row>
    <row r="211" spans="2:8" ht="24.75" customHeight="1" x14ac:dyDescent="0.3">
      <c r="B211" s="99" t="str">
        <f>IF('COMMANDE GD-PUBLIC SFC'!D93="","",'COMMANDE GD-PUBLIC SFC'!D93)</f>
        <v/>
      </c>
      <c r="C211" s="100" t="str">
        <f>IF('COMMANDE GD-PUBLIC SFC'!C93="","",'COMMANDE GD-PUBLIC SFC'!C93)</f>
        <v/>
      </c>
      <c r="D211" s="101">
        <f>IF('COMMANDE GD-PUBLIC SFC'!I93="","",'COMMANDE GD-PUBLIC SFC'!I93)</f>
        <v>0.77083333333333337</v>
      </c>
      <c r="E211" s="101"/>
      <c r="F211" s="102"/>
      <c r="G211" s="102"/>
      <c r="H211" s="103"/>
    </row>
    <row r="212" spans="2:8" ht="24.75" customHeight="1" x14ac:dyDescent="0.3">
      <c r="B212" s="99" t="str">
        <f>IF('COMMANDE GD-PUBLIC SFC'!D94="","",'COMMANDE GD-PUBLIC SFC'!D94)</f>
        <v/>
      </c>
      <c r="C212" s="100" t="str">
        <f>IF('COMMANDE GD-PUBLIC SFC'!C94="","",'COMMANDE GD-PUBLIC SFC'!C94)</f>
        <v/>
      </c>
      <c r="D212" s="101">
        <f>IF('COMMANDE GD-PUBLIC SFC'!I94="","",'COMMANDE GD-PUBLIC SFC'!I94)</f>
        <v>0.77083333333333337</v>
      </c>
      <c r="E212" s="101"/>
      <c r="F212" s="104"/>
      <c r="G212" s="104"/>
      <c r="H212" s="105"/>
    </row>
    <row r="213" spans="2:8" ht="24.75" customHeight="1" x14ac:dyDescent="0.3">
      <c r="B213" s="99" t="str">
        <f>IF('COMMANDE GD-PUBLIC SFC'!D95="","",'COMMANDE GD-PUBLIC SFC'!D95)</f>
        <v/>
      </c>
      <c r="C213" s="100" t="str">
        <f>IF('COMMANDE GD-PUBLIC SFC'!C95="","",'COMMANDE GD-PUBLIC SFC'!C95)</f>
        <v/>
      </c>
      <c r="D213" s="101">
        <f>IF('COMMANDE GD-PUBLIC SFC'!I95="","",'COMMANDE GD-PUBLIC SFC'!I95)</f>
        <v>0.8125</v>
      </c>
      <c r="E213" s="101"/>
      <c r="F213" s="104"/>
      <c r="G213" s="104"/>
      <c r="H213" s="105"/>
    </row>
    <row r="214" spans="2:8" ht="24.75" customHeight="1" x14ac:dyDescent="0.3">
      <c r="B214" s="99" t="str">
        <f>IF('COMMANDE GD-PUBLIC SFC'!D96="","",'COMMANDE GD-PUBLIC SFC'!D96)</f>
        <v/>
      </c>
      <c r="C214" s="100" t="str">
        <f>IF('COMMANDE GD-PUBLIC SFC'!C96="","",'COMMANDE GD-PUBLIC SFC'!C96)</f>
        <v/>
      </c>
      <c r="D214" s="101" t="str">
        <f>IF('COMMANDE GD-PUBLIC SFC'!I96="","",'COMMANDE GD-PUBLIC SFC'!I96)</f>
        <v/>
      </c>
      <c r="E214" s="101"/>
      <c r="F214" s="104"/>
      <c r="G214" s="104"/>
      <c r="H214" s="105"/>
    </row>
    <row r="215" spans="2:8" ht="24.75" customHeight="1" x14ac:dyDescent="0.3">
      <c r="B215" s="99" t="str">
        <f>IF('COMMANDE GD-PUBLIC SFC'!D97="","",'COMMANDE GD-PUBLIC SFC'!D97)</f>
        <v/>
      </c>
      <c r="C215" s="100" t="str">
        <f>IF('COMMANDE GD-PUBLIC SFC'!C97="","",'COMMANDE GD-PUBLIC SFC'!C97)</f>
        <v/>
      </c>
      <c r="D215" s="101" t="str">
        <f>IF('COMMANDE GD-PUBLIC SFC'!I97="","",'COMMANDE GD-PUBLIC SFC'!I97)</f>
        <v/>
      </c>
      <c r="E215" s="101"/>
      <c r="F215" s="104"/>
      <c r="G215" s="104"/>
      <c r="H215" s="105"/>
    </row>
    <row r="216" spans="2:8" ht="15" thickBot="1" x14ac:dyDescent="0.35">
      <c r="B216" s="106"/>
      <c r="C216" s="107"/>
      <c r="D216" s="108"/>
      <c r="E216" s="108"/>
      <c r="F216" s="108"/>
      <c r="G216" s="108"/>
      <c r="H216" s="109"/>
    </row>
    <row r="220" spans="2:8" ht="15" x14ac:dyDescent="0.3">
      <c r="B220" s="82" t="str">
        <f>'COMMANDE GD-PUBLIC SFC'!$A$2</f>
        <v>MATCH SFC X</v>
      </c>
      <c r="C220" s="83" t="str">
        <f>'COMMANDE GD-PUBLIC SFC'!$C$2</f>
        <v>FC THOUNE</v>
      </c>
      <c r="D220" s="83"/>
      <c r="E220" s="82" t="s">
        <v>48</v>
      </c>
      <c r="F220" s="84">
        <f>'COMMANDE GD-PUBLIC SFC'!$D$2</f>
        <v>45969</v>
      </c>
      <c r="G220" s="85"/>
      <c r="H220" s="85"/>
    </row>
    <row r="221" spans="2:8" ht="15.6" x14ac:dyDescent="0.3">
      <c r="B221" s="86"/>
      <c r="C221" s="87"/>
      <c r="D221" s="87"/>
      <c r="E221" s="86"/>
      <c r="F221" s="87"/>
      <c r="G221" s="87"/>
      <c r="H221" s="88"/>
    </row>
    <row r="222" spans="2:8" ht="18" x14ac:dyDescent="0.3">
      <c r="B222" s="82" t="s">
        <v>49</v>
      </c>
      <c r="C222" s="89">
        <f>'COMMANDE GD-PUBLIC SFC'!$J$2</f>
        <v>0.85416666666666663</v>
      </c>
      <c r="D222" s="89"/>
      <c r="E222" s="82" t="s">
        <v>13</v>
      </c>
      <c r="F222" s="83" t="s">
        <v>80</v>
      </c>
      <c r="G222" s="90"/>
      <c r="H222" s="91"/>
    </row>
    <row r="223" spans="2:8" ht="16.2" thickBot="1" x14ac:dyDescent="0.35">
      <c r="B223" s="92"/>
      <c r="C223" s="92"/>
      <c r="D223" s="92"/>
      <c r="E223" s="93"/>
      <c r="F223" s="93"/>
      <c r="G223" s="93"/>
      <c r="H223" s="94"/>
    </row>
    <row r="224" spans="2:8" ht="27" customHeight="1" x14ac:dyDescent="0.3">
      <c r="B224" s="254" t="s">
        <v>81</v>
      </c>
      <c r="C224" s="255">
        <f>COUNTA('COMMANDE GD-PUBLIC SFC'!C98:C102)</f>
        <v>0</v>
      </c>
    </row>
    <row r="225" spans="2:8" ht="27" customHeight="1" thickBot="1" x14ac:dyDescent="0.35">
      <c r="B225" s="254"/>
      <c r="C225" s="256"/>
    </row>
    <row r="226" spans="2:8" ht="15" thickBot="1" x14ac:dyDescent="0.35"/>
    <row r="227" spans="2:8" ht="23.4" x14ac:dyDescent="0.3">
      <c r="B227" s="95" t="s">
        <v>51</v>
      </c>
      <c r="C227" s="224" t="s">
        <v>52</v>
      </c>
      <c r="D227" s="219" t="s">
        <v>53</v>
      </c>
      <c r="E227" s="220"/>
      <c r="F227" s="220"/>
      <c r="G227" s="221"/>
      <c r="H227" s="226" t="s">
        <v>54</v>
      </c>
    </row>
    <row r="228" spans="2:8" ht="38.4" thickBot="1" x14ac:dyDescent="0.35">
      <c r="B228" s="171" t="str">
        <f>'COMMANDE GD-PUBLIC SFC'!A98</f>
        <v>EST MOBILE 3</v>
      </c>
      <c r="C228" s="225"/>
      <c r="D228" s="97" t="s">
        <v>55</v>
      </c>
      <c r="E228" s="97" t="s">
        <v>23</v>
      </c>
      <c r="F228" s="97" t="s">
        <v>56</v>
      </c>
      <c r="G228" s="98" t="s">
        <v>57</v>
      </c>
      <c r="H228" s="227"/>
    </row>
    <row r="229" spans="2:8" ht="24.75" customHeight="1" x14ac:dyDescent="0.3">
      <c r="B229" s="99" t="str">
        <f>IF('COMMANDE GD-PUBLIC SFC'!D98="","",'COMMANDE GD-PUBLIC SFC'!D98)</f>
        <v/>
      </c>
      <c r="C229" s="100" t="str">
        <f>IF('COMMANDE GD-PUBLIC SFC'!C98="","",'COMMANDE GD-PUBLIC SFC'!C98)</f>
        <v/>
      </c>
      <c r="D229" s="101">
        <f>IF('COMMANDE GD-PUBLIC SFC'!I98="","",'COMMANDE GD-PUBLIC SFC'!I98)</f>
        <v>0.77083333333333337</v>
      </c>
      <c r="E229" s="101"/>
      <c r="F229" s="102"/>
      <c r="G229" s="102"/>
      <c r="H229" s="103"/>
    </row>
    <row r="230" spans="2:8" ht="24.75" customHeight="1" x14ac:dyDescent="0.3">
      <c r="B230" s="99" t="str">
        <f>IF('COMMANDE GD-PUBLIC SFC'!D99="","",'COMMANDE GD-PUBLIC SFC'!D99)</f>
        <v/>
      </c>
      <c r="C230" s="100" t="str">
        <f>IF('COMMANDE GD-PUBLIC SFC'!C99="","",'COMMANDE GD-PUBLIC SFC'!C99)</f>
        <v/>
      </c>
      <c r="D230" s="101">
        <f>IF('COMMANDE GD-PUBLIC SFC'!I99="","",'COMMANDE GD-PUBLIC SFC'!I99)</f>
        <v>0.77083333333333337</v>
      </c>
      <c r="E230" s="101"/>
      <c r="F230" s="104"/>
      <c r="G230" s="104"/>
      <c r="H230" s="105"/>
    </row>
    <row r="231" spans="2:8" ht="24.75" customHeight="1" x14ac:dyDescent="0.3">
      <c r="B231" s="99" t="str">
        <f>IF('COMMANDE GD-PUBLIC SFC'!D100="","",'COMMANDE GD-PUBLIC SFC'!D100)</f>
        <v/>
      </c>
      <c r="C231" s="100" t="str">
        <f>IF('COMMANDE GD-PUBLIC SFC'!C100="","",'COMMANDE GD-PUBLIC SFC'!C100)</f>
        <v/>
      </c>
      <c r="D231" s="101">
        <f>IF('COMMANDE GD-PUBLIC SFC'!I100="","",'COMMANDE GD-PUBLIC SFC'!I100)</f>
        <v>0.8125</v>
      </c>
      <c r="E231" s="101"/>
      <c r="F231" s="104"/>
      <c r="G231" s="104"/>
      <c r="H231" s="105"/>
    </row>
    <row r="232" spans="2:8" ht="24.75" customHeight="1" x14ac:dyDescent="0.3">
      <c r="B232" s="99" t="str">
        <f>IF('COMMANDE GD-PUBLIC SFC'!D101="","",'COMMANDE GD-PUBLIC SFC'!D101)</f>
        <v/>
      </c>
      <c r="C232" s="100" t="str">
        <f>IF('COMMANDE GD-PUBLIC SFC'!C101="","",'COMMANDE GD-PUBLIC SFC'!C101)</f>
        <v/>
      </c>
      <c r="D232" s="101" t="str">
        <f>IF('COMMANDE GD-PUBLIC SFC'!I101="","",'COMMANDE GD-PUBLIC SFC'!I101)</f>
        <v/>
      </c>
      <c r="E232" s="101"/>
      <c r="F232" s="104"/>
      <c r="G232" s="104"/>
      <c r="H232" s="105"/>
    </row>
    <row r="233" spans="2:8" ht="24.75" customHeight="1" x14ac:dyDescent="0.3">
      <c r="B233" s="99" t="str">
        <f>IF('COMMANDE GD-PUBLIC SFC'!D102="","",'COMMANDE GD-PUBLIC SFC'!D102)</f>
        <v/>
      </c>
      <c r="C233" s="100" t="str">
        <f>IF('COMMANDE GD-PUBLIC SFC'!C102="","",'COMMANDE GD-PUBLIC SFC'!C102)</f>
        <v/>
      </c>
      <c r="D233" s="101" t="str">
        <f>IF('COMMANDE GD-PUBLIC SFC'!I102="","",'COMMANDE GD-PUBLIC SFC'!I102)</f>
        <v/>
      </c>
      <c r="E233" s="101"/>
      <c r="F233" s="104"/>
      <c r="G233" s="104"/>
      <c r="H233" s="105"/>
    </row>
    <row r="234" spans="2:8" ht="15" thickBot="1" x14ac:dyDescent="0.35">
      <c r="B234" s="106"/>
      <c r="C234" s="107"/>
      <c r="D234" s="108"/>
      <c r="E234" s="108"/>
      <c r="F234" s="108"/>
      <c r="G234" s="108"/>
      <c r="H234" s="109"/>
    </row>
    <row r="237" spans="2:8" ht="15" x14ac:dyDescent="0.3">
      <c r="B237" s="82" t="str">
        <f>'COMMANDE GD-PUBLIC SFC'!$A$2</f>
        <v>MATCH SFC X</v>
      </c>
      <c r="C237" s="83" t="str">
        <f>'COMMANDE GD-PUBLIC SFC'!$C$2</f>
        <v>FC THOUNE</v>
      </c>
      <c r="D237" s="83"/>
      <c r="E237" s="82" t="s">
        <v>48</v>
      </c>
      <c r="F237" s="84">
        <f>'COMMANDE GD-PUBLIC SFC'!$D$2</f>
        <v>45969</v>
      </c>
      <c r="G237" s="85"/>
      <c r="H237" s="85"/>
    </row>
    <row r="238" spans="2:8" ht="15.6" x14ac:dyDescent="0.3">
      <c r="B238" s="86"/>
      <c r="C238" s="87"/>
      <c r="D238" s="87"/>
      <c r="E238" s="86"/>
      <c r="F238" s="87"/>
      <c r="G238" s="87"/>
      <c r="H238" s="88"/>
    </row>
    <row r="239" spans="2:8" ht="18" x14ac:dyDescent="0.3">
      <c r="B239" s="82" t="s">
        <v>49</v>
      </c>
      <c r="C239" s="89">
        <f>'COMMANDE GD-PUBLIC SFC'!$J$2</f>
        <v>0.85416666666666663</v>
      </c>
      <c r="D239" s="89"/>
      <c r="E239" s="82" t="s">
        <v>13</v>
      </c>
      <c r="F239" s="83" t="s">
        <v>80</v>
      </c>
      <c r="G239" s="90"/>
      <c r="H239" s="91"/>
    </row>
    <row r="240" spans="2:8" ht="16.2" thickBot="1" x14ac:dyDescent="0.35">
      <c r="B240" s="92"/>
      <c r="C240" s="92"/>
      <c r="D240" s="92"/>
      <c r="E240" s="93"/>
      <c r="F240" s="93"/>
      <c r="G240" s="93"/>
      <c r="H240" s="94"/>
    </row>
    <row r="241" spans="2:8" ht="27" customHeight="1" x14ac:dyDescent="0.3">
      <c r="B241" s="254" t="s">
        <v>81</v>
      </c>
      <c r="C241" s="255">
        <f>COUNTA('COMMANDE GD-PUBLIC SFC'!C103:C107)</f>
        <v>0</v>
      </c>
    </row>
    <row r="242" spans="2:8" ht="27" customHeight="1" thickBot="1" x14ac:dyDescent="0.35">
      <c r="B242" s="254"/>
      <c r="C242" s="256"/>
    </row>
    <row r="243" spans="2:8" ht="15" thickBot="1" x14ac:dyDescent="0.35"/>
    <row r="244" spans="2:8" ht="23.4" x14ac:dyDescent="0.3">
      <c r="B244" s="95" t="s">
        <v>51</v>
      </c>
      <c r="C244" s="224" t="s">
        <v>52</v>
      </c>
      <c r="D244" s="219" t="s">
        <v>53</v>
      </c>
      <c r="E244" s="220"/>
      <c r="F244" s="220"/>
      <c r="G244" s="221"/>
      <c r="H244" s="226" t="s">
        <v>54</v>
      </c>
    </row>
    <row r="245" spans="2:8" ht="38.4" thickBot="1" x14ac:dyDescent="0.35">
      <c r="B245" s="171" t="str">
        <f>'COMMANDE GD-PUBLIC SFC'!A103</f>
        <v>EST MOBILE 4</v>
      </c>
      <c r="C245" s="225"/>
      <c r="D245" s="97" t="s">
        <v>55</v>
      </c>
      <c r="E245" s="97" t="s">
        <v>23</v>
      </c>
      <c r="F245" s="97" t="s">
        <v>56</v>
      </c>
      <c r="G245" s="98" t="s">
        <v>57</v>
      </c>
      <c r="H245" s="227"/>
    </row>
    <row r="246" spans="2:8" ht="24.75" customHeight="1" x14ac:dyDescent="0.3">
      <c r="B246" s="99" t="str">
        <f>IF('COMMANDE GD-PUBLIC SFC'!D103="","",'COMMANDE GD-PUBLIC SFC'!D103)</f>
        <v/>
      </c>
      <c r="C246" s="100" t="str">
        <f>IF('COMMANDE GD-PUBLIC SFC'!C103="","",'COMMANDE GD-PUBLIC SFC'!C103)</f>
        <v/>
      </c>
      <c r="D246" s="101">
        <f>IF('COMMANDE GD-PUBLIC SFC'!I103="","",'COMMANDE GD-PUBLIC SFC'!I103)</f>
        <v>0.77083333333333337</v>
      </c>
      <c r="E246" s="101"/>
      <c r="F246" s="102"/>
      <c r="G246" s="102"/>
      <c r="H246" s="103"/>
    </row>
    <row r="247" spans="2:8" ht="24.75" customHeight="1" x14ac:dyDescent="0.3">
      <c r="B247" s="99" t="str">
        <f>IF('COMMANDE GD-PUBLIC SFC'!D104="","",'COMMANDE GD-PUBLIC SFC'!D104)</f>
        <v/>
      </c>
      <c r="C247" s="100" t="str">
        <f>IF('COMMANDE GD-PUBLIC SFC'!C104="","",'COMMANDE GD-PUBLIC SFC'!C104)</f>
        <v/>
      </c>
      <c r="D247" s="101">
        <f>IF('COMMANDE GD-PUBLIC SFC'!I104="","",'COMMANDE GD-PUBLIC SFC'!I104)</f>
        <v>0.77083333333333337</v>
      </c>
      <c r="E247" s="101"/>
      <c r="F247" s="104"/>
      <c r="G247" s="104"/>
      <c r="H247" s="105"/>
    </row>
    <row r="248" spans="2:8" ht="24.75" customHeight="1" x14ac:dyDescent="0.3">
      <c r="B248" s="99" t="str">
        <f>IF('COMMANDE GD-PUBLIC SFC'!D105="","",'COMMANDE GD-PUBLIC SFC'!D105)</f>
        <v/>
      </c>
      <c r="C248" s="100" t="str">
        <f>IF('COMMANDE GD-PUBLIC SFC'!C105="","",'COMMANDE GD-PUBLIC SFC'!C105)</f>
        <v/>
      </c>
      <c r="D248" s="101">
        <f>IF('COMMANDE GD-PUBLIC SFC'!I105="","",'COMMANDE GD-PUBLIC SFC'!I105)</f>
        <v>0.8125</v>
      </c>
      <c r="E248" s="101"/>
      <c r="F248" s="104"/>
      <c r="G248" s="104"/>
      <c r="H248" s="105"/>
    </row>
    <row r="249" spans="2:8" ht="24.75" customHeight="1" x14ac:dyDescent="0.3">
      <c r="B249" s="99" t="str">
        <f>IF('COMMANDE GD-PUBLIC SFC'!D106="","",'COMMANDE GD-PUBLIC SFC'!D106)</f>
        <v/>
      </c>
      <c r="C249" s="100" t="str">
        <f>IF('COMMANDE GD-PUBLIC SFC'!C106="","",'COMMANDE GD-PUBLIC SFC'!C106)</f>
        <v/>
      </c>
      <c r="D249" s="101" t="str">
        <f>IF('COMMANDE GD-PUBLIC SFC'!I106="","",'COMMANDE GD-PUBLIC SFC'!I106)</f>
        <v/>
      </c>
      <c r="E249" s="101"/>
      <c r="F249" s="104"/>
      <c r="G249" s="104"/>
      <c r="H249" s="105"/>
    </row>
    <row r="250" spans="2:8" ht="24.75" customHeight="1" x14ac:dyDescent="0.3">
      <c r="B250" s="99" t="str">
        <f>IF('COMMANDE GD-PUBLIC SFC'!D107="","",'COMMANDE GD-PUBLIC SFC'!D107)</f>
        <v/>
      </c>
      <c r="C250" s="100" t="str">
        <f>IF('COMMANDE GD-PUBLIC SFC'!C107="","",'COMMANDE GD-PUBLIC SFC'!C107)</f>
        <v/>
      </c>
      <c r="D250" s="101" t="str">
        <f>IF('COMMANDE GD-PUBLIC SFC'!I107="","",'COMMANDE GD-PUBLIC SFC'!I107)</f>
        <v/>
      </c>
      <c r="E250" s="101"/>
      <c r="F250" s="104"/>
      <c r="G250" s="104"/>
      <c r="H250" s="105"/>
    </row>
    <row r="251" spans="2:8" ht="15" thickBot="1" x14ac:dyDescent="0.35">
      <c r="B251" s="106"/>
      <c r="C251" s="107"/>
      <c r="D251" s="108"/>
      <c r="E251" s="108"/>
      <c r="F251" s="108"/>
      <c r="G251" s="108"/>
      <c r="H251" s="109"/>
    </row>
    <row r="255" spans="2:8" ht="15" x14ac:dyDescent="0.3">
      <c r="B255" s="82" t="str">
        <f>'COMMANDE GD-PUBLIC SFC'!$A$2</f>
        <v>MATCH SFC X</v>
      </c>
      <c r="C255" s="83" t="str">
        <f>'COMMANDE GD-PUBLIC SFC'!$C$2</f>
        <v>FC THOUNE</v>
      </c>
      <c r="D255" s="83"/>
      <c r="E255" s="82" t="s">
        <v>48</v>
      </c>
      <c r="F255" s="84">
        <f>'COMMANDE GD-PUBLIC SFC'!$D$2</f>
        <v>45969</v>
      </c>
      <c r="G255" s="85"/>
      <c r="H255" s="85"/>
    </row>
    <row r="256" spans="2:8" ht="15.6" x14ac:dyDescent="0.3">
      <c r="B256" s="86"/>
      <c r="C256" s="87"/>
      <c r="D256" s="87"/>
      <c r="E256" s="86"/>
      <c r="F256" s="87"/>
      <c r="G256" s="87"/>
      <c r="H256" s="88"/>
    </row>
    <row r="257" spans="2:8" ht="18" x14ac:dyDescent="0.3">
      <c r="B257" s="82" t="s">
        <v>49</v>
      </c>
      <c r="C257" s="89">
        <f>'COMMANDE GD-PUBLIC SFC'!$J$2</f>
        <v>0.85416666666666663</v>
      </c>
      <c r="D257" s="89"/>
      <c r="E257" s="82" t="s">
        <v>13</v>
      </c>
      <c r="F257" s="83" t="s">
        <v>80</v>
      </c>
      <c r="G257" s="90"/>
      <c r="H257" s="91"/>
    </row>
    <row r="258" spans="2:8" ht="16.2" thickBot="1" x14ac:dyDescent="0.35">
      <c r="B258" s="92"/>
      <c r="C258" s="92"/>
      <c r="D258" s="92"/>
      <c r="E258" s="93"/>
      <c r="F258" s="93"/>
      <c r="G258" s="93"/>
      <c r="H258" s="94"/>
    </row>
    <row r="259" spans="2:8" ht="27" customHeight="1" x14ac:dyDescent="0.3">
      <c r="B259" s="254" t="s">
        <v>81</v>
      </c>
      <c r="C259" s="255">
        <f>COUNTA('COMMANDE GD-PUBLIC SFC'!C108:C120)</f>
        <v>0</v>
      </c>
    </row>
    <row r="260" spans="2:8" ht="27" customHeight="1" thickBot="1" x14ac:dyDescent="0.35">
      <c r="B260" s="254"/>
      <c r="C260" s="256"/>
    </row>
    <row r="261" spans="2:8" ht="15" thickBot="1" x14ac:dyDescent="0.35"/>
    <row r="262" spans="2:8" ht="23.4" x14ac:dyDescent="0.3">
      <c r="B262" s="95" t="s">
        <v>51</v>
      </c>
      <c r="C262" s="224" t="s">
        <v>52</v>
      </c>
      <c r="D262" s="219" t="s">
        <v>53</v>
      </c>
      <c r="E262" s="220"/>
      <c r="F262" s="220"/>
      <c r="G262" s="221"/>
      <c r="H262" s="226" t="s">
        <v>54</v>
      </c>
    </row>
    <row r="263" spans="2:8" ht="38.4" thickBot="1" x14ac:dyDescent="0.35">
      <c r="B263" s="170" t="str">
        <f>'COMMANDE GD-PUBLIC SFC'!A108</f>
        <v>PRINCIPALE 1</v>
      </c>
      <c r="C263" s="225"/>
      <c r="D263" s="97" t="s">
        <v>55</v>
      </c>
      <c r="E263" s="97" t="s">
        <v>23</v>
      </c>
      <c r="F263" s="97" t="s">
        <v>56</v>
      </c>
      <c r="G263" s="98" t="s">
        <v>57</v>
      </c>
      <c r="H263" s="227"/>
    </row>
    <row r="264" spans="2:8" ht="24.75" customHeight="1" x14ac:dyDescent="0.3">
      <c r="B264" s="99" t="str">
        <f>IF('COMMANDE GD-PUBLIC SFC'!D108="","",'COMMANDE GD-PUBLIC SFC'!D108)</f>
        <v/>
      </c>
      <c r="C264" s="100" t="str">
        <f>IF('COMMANDE GD-PUBLIC SFC'!C108="","",'COMMANDE GD-PUBLIC SFC'!C108)</f>
        <v/>
      </c>
      <c r="D264" s="101">
        <f>IF('COMMANDE GD-PUBLIC SFC'!I108="","",'COMMANDE GD-PUBLIC SFC'!I108)</f>
        <v>0.75</v>
      </c>
      <c r="E264" s="101"/>
      <c r="F264" s="102"/>
      <c r="G264" s="102"/>
      <c r="H264" s="103"/>
    </row>
    <row r="265" spans="2:8" ht="24.75" customHeight="1" x14ac:dyDescent="0.3">
      <c r="B265" s="99" t="str">
        <f>IF('COMMANDE GD-PUBLIC SFC'!D109="","",'COMMANDE GD-PUBLIC SFC'!D109)</f>
        <v/>
      </c>
      <c r="C265" s="100" t="str">
        <f>IF('COMMANDE GD-PUBLIC SFC'!C109="","",'COMMANDE GD-PUBLIC SFC'!C109)</f>
        <v/>
      </c>
      <c r="D265" s="101">
        <f>IF('COMMANDE GD-PUBLIC SFC'!I109="","",'COMMANDE GD-PUBLIC SFC'!I109)</f>
        <v>0.75</v>
      </c>
      <c r="E265" s="101"/>
      <c r="F265" s="104"/>
      <c r="G265" s="104"/>
      <c r="H265" s="105"/>
    </row>
    <row r="266" spans="2:8" ht="24.75" customHeight="1" x14ac:dyDescent="0.3">
      <c r="B266" s="99" t="str">
        <f>IF('COMMANDE GD-PUBLIC SFC'!D110="","",'COMMANDE GD-PUBLIC SFC'!D110)</f>
        <v/>
      </c>
      <c r="C266" s="100" t="str">
        <f>IF('COMMANDE GD-PUBLIC SFC'!C110="","",'COMMANDE GD-PUBLIC SFC'!C110)</f>
        <v/>
      </c>
      <c r="D266" s="101">
        <f>IF('COMMANDE GD-PUBLIC SFC'!I110="","",'COMMANDE GD-PUBLIC SFC'!I110)</f>
        <v>0.77083333333333337</v>
      </c>
      <c r="E266" s="101"/>
      <c r="F266" s="104"/>
      <c r="G266" s="104"/>
      <c r="H266" s="105"/>
    </row>
    <row r="267" spans="2:8" ht="24.75" customHeight="1" x14ac:dyDescent="0.3">
      <c r="B267" s="99" t="str">
        <f>IF('COMMANDE GD-PUBLIC SFC'!D111="","",'COMMANDE GD-PUBLIC SFC'!D111)</f>
        <v/>
      </c>
      <c r="C267" s="100" t="str">
        <f>IF('COMMANDE GD-PUBLIC SFC'!C111="","",'COMMANDE GD-PUBLIC SFC'!C111)</f>
        <v/>
      </c>
      <c r="D267" s="101">
        <f>IF('COMMANDE GD-PUBLIC SFC'!I111="","",'COMMANDE GD-PUBLIC SFC'!I111)</f>
        <v>0.77083333333333337</v>
      </c>
      <c r="E267" s="101"/>
      <c r="F267" s="104"/>
      <c r="G267" s="104"/>
      <c r="H267" s="105"/>
    </row>
    <row r="268" spans="2:8" ht="24.75" customHeight="1" x14ac:dyDescent="0.3">
      <c r="B268" s="99" t="str">
        <f>IF('COMMANDE GD-PUBLIC SFC'!D112="","",'COMMANDE GD-PUBLIC SFC'!D112)</f>
        <v/>
      </c>
      <c r="C268" s="100" t="str">
        <f>IF('COMMANDE GD-PUBLIC SFC'!C112="","",'COMMANDE GD-PUBLIC SFC'!C112)</f>
        <v/>
      </c>
      <c r="D268" s="101">
        <f>IF('COMMANDE GD-PUBLIC SFC'!I112="","",'COMMANDE GD-PUBLIC SFC'!I112)</f>
        <v>0.79166666666666663</v>
      </c>
      <c r="E268" s="101"/>
      <c r="F268" s="104"/>
      <c r="G268" s="104"/>
      <c r="H268" s="105"/>
    </row>
    <row r="269" spans="2:8" ht="24.75" customHeight="1" x14ac:dyDescent="0.3">
      <c r="B269" s="99" t="str">
        <f>IF('COMMANDE GD-PUBLIC SFC'!D113="","",'COMMANDE GD-PUBLIC SFC'!D113)</f>
        <v/>
      </c>
      <c r="C269" s="100" t="str">
        <f>IF('COMMANDE GD-PUBLIC SFC'!C113="","",'COMMANDE GD-PUBLIC SFC'!C113)</f>
        <v/>
      </c>
      <c r="D269" s="101">
        <f>IF('COMMANDE GD-PUBLIC SFC'!I113="","",'COMMANDE GD-PUBLIC SFC'!I113)</f>
        <v>0.79166666666666663</v>
      </c>
      <c r="E269" s="101"/>
      <c r="F269" s="104"/>
      <c r="G269" s="104"/>
      <c r="H269" s="105"/>
    </row>
    <row r="270" spans="2:8" ht="24.75" customHeight="1" x14ac:dyDescent="0.3">
      <c r="B270" s="99" t="str">
        <f>IF('COMMANDE GD-PUBLIC SFC'!D114="","",'COMMANDE GD-PUBLIC SFC'!D114)</f>
        <v/>
      </c>
      <c r="C270" s="100" t="str">
        <f>IF('COMMANDE GD-PUBLIC SFC'!C114="","",'COMMANDE GD-PUBLIC SFC'!C114)</f>
        <v/>
      </c>
      <c r="D270" s="101">
        <f>IF('COMMANDE GD-PUBLIC SFC'!I114="","",'COMMANDE GD-PUBLIC SFC'!I114)</f>
        <v>0.79166666666666663</v>
      </c>
      <c r="E270" s="101"/>
      <c r="F270" s="104"/>
      <c r="G270" s="104"/>
      <c r="H270" s="105"/>
    </row>
    <row r="271" spans="2:8" ht="24.75" customHeight="1" x14ac:dyDescent="0.3">
      <c r="B271" s="99" t="str">
        <f>IF('COMMANDE GD-PUBLIC SFC'!D115="","",'COMMANDE GD-PUBLIC SFC'!D115)</f>
        <v/>
      </c>
      <c r="C271" s="100" t="str">
        <f>IF('COMMANDE GD-PUBLIC SFC'!C115="","",'COMMANDE GD-PUBLIC SFC'!C115)</f>
        <v/>
      </c>
      <c r="D271" s="101">
        <f>IF('COMMANDE GD-PUBLIC SFC'!I115="","",'COMMANDE GD-PUBLIC SFC'!I115)</f>
        <v>0.8125</v>
      </c>
      <c r="E271" s="101"/>
      <c r="F271" s="104"/>
      <c r="G271" s="104"/>
      <c r="H271" s="105"/>
    </row>
    <row r="272" spans="2:8" ht="24.75" customHeight="1" x14ac:dyDescent="0.3">
      <c r="B272" s="99" t="str">
        <f>IF('COMMANDE GD-PUBLIC SFC'!D116="","",'COMMANDE GD-PUBLIC SFC'!D116)</f>
        <v/>
      </c>
      <c r="C272" s="100" t="str">
        <f>IF('COMMANDE GD-PUBLIC SFC'!C116="","",'COMMANDE GD-PUBLIC SFC'!C116)</f>
        <v/>
      </c>
      <c r="D272" s="101">
        <f>IF('COMMANDE GD-PUBLIC SFC'!I116="","",'COMMANDE GD-PUBLIC SFC'!I116)</f>
        <v>0.8125</v>
      </c>
      <c r="E272" s="101"/>
      <c r="F272" s="104"/>
      <c r="G272" s="104"/>
      <c r="H272" s="105"/>
    </row>
    <row r="273" spans="2:8" ht="24.75" customHeight="1" x14ac:dyDescent="0.3">
      <c r="B273" s="99" t="str">
        <f>IF('COMMANDE GD-PUBLIC SFC'!D117="","",'COMMANDE GD-PUBLIC SFC'!D117)</f>
        <v/>
      </c>
      <c r="C273" s="100" t="str">
        <f>IF('COMMANDE GD-PUBLIC SFC'!C117="","",'COMMANDE GD-PUBLIC SFC'!C117)</f>
        <v/>
      </c>
      <c r="D273" s="101">
        <f>IF('COMMANDE GD-PUBLIC SFC'!I117="","",'COMMANDE GD-PUBLIC SFC'!I117)</f>
        <v>0.75</v>
      </c>
      <c r="E273" s="101"/>
      <c r="F273" s="104"/>
      <c r="G273" s="104"/>
      <c r="H273" s="105"/>
    </row>
    <row r="274" spans="2:8" ht="24.75" customHeight="1" x14ac:dyDescent="0.3">
      <c r="B274" s="99" t="str">
        <f>IF('COMMANDE GD-PUBLIC SFC'!D118="","",'COMMANDE GD-PUBLIC SFC'!D118)</f>
        <v/>
      </c>
      <c r="C274" s="100" t="str">
        <f>IF('COMMANDE GD-PUBLIC SFC'!C118="","",'COMMANDE GD-PUBLIC SFC'!C118)</f>
        <v/>
      </c>
      <c r="D274" s="101">
        <f>IF('COMMANDE GD-PUBLIC SFC'!I118="","",'COMMANDE GD-PUBLIC SFC'!I118)</f>
        <v>0.75</v>
      </c>
      <c r="E274" s="101"/>
      <c r="F274" s="104"/>
      <c r="G274" s="104"/>
      <c r="H274" s="105"/>
    </row>
    <row r="275" spans="2:8" ht="24.75" customHeight="1" x14ac:dyDescent="0.3">
      <c r="B275" s="99" t="str">
        <f>IF('COMMANDE GD-PUBLIC SFC'!D119="","",'COMMANDE GD-PUBLIC SFC'!D119)</f>
        <v/>
      </c>
      <c r="C275" s="100" t="str">
        <f>IF('COMMANDE GD-PUBLIC SFC'!C119="","",'COMMANDE GD-PUBLIC SFC'!C119)</f>
        <v/>
      </c>
      <c r="D275" s="101">
        <f>IF('COMMANDE GD-PUBLIC SFC'!I119="","",'COMMANDE GD-PUBLIC SFC'!I119)</f>
        <v>0.75</v>
      </c>
      <c r="E275" s="101"/>
      <c r="F275" s="104"/>
      <c r="G275" s="104"/>
      <c r="H275" s="105"/>
    </row>
    <row r="276" spans="2:8" ht="24.75" customHeight="1" x14ac:dyDescent="0.3">
      <c r="B276" s="99" t="str">
        <f>IF('COMMANDE GD-PUBLIC SFC'!D120="","",'COMMANDE GD-PUBLIC SFC'!D120)</f>
        <v/>
      </c>
      <c r="C276" s="100" t="str">
        <f>IF('COMMANDE GD-PUBLIC SFC'!C120="","",'COMMANDE GD-PUBLIC SFC'!C120)</f>
        <v/>
      </c>
      <c r="D276" s="101" t="str">
        <f>IF('COMMANDE GD-PUBLIC SFC'!I120="","",'COMMANDE GD-PUBLIC SFC'!I120)</f>
        <v/>
      </c>
      <c r="E276" s="101"/>
      <c r="F276" s="104"/>
      <c r="G276" s="104"/>
      <c r="H276" s="105"/>
    </row>
    <row r="277" spans="2:8" ht="10.5" customHeight="1" thickBot="1" x14ac:dyDescent="0.35">
      <c r="B277" s="106"/>
      <c r="C277" s="107"/>
      <c r="D277" s="108"/>
      <c r="E277" s="108"/>
      <c r="F277" s="108"/>
      <c r="G277" s="108"/>
      <c r="H277" s="109"/>
    </row>
    <row r="281" spans="2:8" ht="15" x14ac:dyDescent="0.3">
      <c r="B281" s="82" t="str">
        <f>'COMMANDE GD-PUBLIC SFC'!$A$2</f>
        <v>MATCH SFC X</v>
      </c>
      <c r="C281" s="83" t="str">
        <f>'COMMANDE GD-PUBLIC SFC'!$C$2</f>
        <v>FC THOUNE</v>
      </c>
      <c r="D281" s="83"/>
      <c r="E281" s="82" t="s">
        <v>48</v>
      </c>
      <c r="F281" s="84">
        <f>'COMMANDE GD-PUBLIC SFC'!$D$2</f>
        <v>45969</v>
      </c>
      <c r="G281" s="85"/>
      <c r="H281" s="85"/>
    </row>
    <row r="282" spans="2:8" ht="15.6" x14ac:dyDescent="0.3">
      <c r="B282" s="86"/>
      <c r="C282" s="87"/>
      <c r="D282" s="87"/>
      <c r="E282" s="86"/>
      <c r="F282" s="87"/>
      <c r="G282" s="87"/>
      <c r="H282" s="88"/>
    </row>
    <row r="283" spans="2:8" ht="18" x14ac:dyDescent="0.3">
      <c r="B283" s="82" t="s">
        <v>49</v>
      </c>
      <c r="C283" s="89">
        <f>'COMMANDE GD-PUBLIC SFC'!$J$2</f>
        <v>0.85416666666666663</v>
      </c>
      <c r="D283" s="89"/>
      <c r="E283" s="82" t="s">
        <v>13</v>
      </c>
      <c r="F283" s="83" t="s">
        <v>80</v>
      </c>
      <c r="G283" s="90"/>
      <c r="H283" s="91"/>
    </row>
    <row r="284" spans="2:8" ht="16.2" thickBot="1" x14ac:dyDescent="0.35">
      <c r="B284" s="92"/>
      <c r="C284" s="92"/>
      <c r="D284" s="92"/>
      <c r="E284" s="93"/>
      <c r="F284" s="93"/>
      <c r="G284" s="93"/>
      <c r="H284" s="94"/>
    </row>
    <row r="285" spans="2:8" ht="27" customHeight="1" x14ac:dyDescent="0.3">
      <c r="B285" s="254" t="s">
        <v>81</v>
      </c>
      <c r="C285" s="255">
        <f>COUNTA('COMMANDE GD-PUBLIC SFC'!C121:C126)</f>
        <v>0</v>
      </c>
    </row>
    <row r="286" spans="2:8" ht="27" customHeight="1" thickBot="1" x14ac:dyDescent="0.35">
      <c r="B286" s="254"/>
      <c r="C286" s="256"/>
    </row>
    <row r="287" spans="2:8" ht="15" thickBot="1" x14ac:dyDescent="0.35"/>
    <row r="288" spans="2:8" ht="23.4" x14ac:dyDescent="0.3">
      <c r="B288" s="95" t="s">
        <v>51</v>
      </c>
      <c r="C288" s="224" t="s">
        <v>52</v>
      </c>
      <c r="D288" s="219" t="s">
        <v>53</v>
      </c>
      <c r="E288" s="220"/>
      <c r="F288" s="220"/>
      <c r="G288" s="221"/>
      <c r="H288" s="226" t="s">
        <v>54</v>
      </c>
    </row>
    <row r="289" spans="2:8" ht="38.4" thickBot="1" x14ac:dyDescent="0.35">
      <c r="B289" s="170" t="str">
        <f>'COMMANDE GD-PUBLIC SFC'!A121</f>
        <v>PRINCIPALE MOBILE 2</v>
      </c>
      <c r="C289" s="225"/>
      <c r="D289" s="97" t="s">
        <v>55</v>
      </c>
      <c r="E289" s="97" t="s">
        <v>23</v>
      </c>
      <c r="F289" s="97" t="s">
        <v>56</v>
      </c>
      <c r="G289" s="98" t="s">
        <v>57</v>
      </c>
      <c r="H289" s="227"/>
    </row>
    <row r="290" spans="2:8" ht="24.75" customHeight="1" x14ac:dyDescent="0.3">
      <c r="B290" s="99" t="str">
        <f>IF('COMMANDE GD-PUBLIC SFC'!D121="","",'COMMANDE GD-PUBLIC SFC'!D121)</f>
        <v/>
      </c>
      <c r="C290" s="100" t="str">
        <f>IF('COMMANDE GD-PUBLIC SFC'!C121="","",'COMMANDE GD-PUBLIC SFC'!C121)</f>
        <v/>
      </c>
      <c r="D290" s="101">
        <f>IF('COMMANDE GD-PUBLIC SFC'!I121="","",'COMMANDE GD-PUBLIC SFC'!I121)</f>
        <v>0.75</v>
      </c>
      <c r="E290" s="101"/>
      <c r="F290" s="102"/>
      <c r="G290" s="102"/>
      <c r="H290" s="103"/>
    </row>
    <row r="291" spans="2:8" ht="24.75" customHeight="1" x14ac:dyDescent="0.3">
      <c r="B291" s="99" t="str">
        <f>IF('COMMANDE GD-PUBLIC SFC'!D122="","",'COMMANDE GD-PUBLIC SFC'!D122)</f>
        <v/>
      </c>
      <c r="C291" s="100" t="str">
        <f>IF('COMMANDE GD-PUBLIC SFC'!C122="","",'COMMANDE GD-PUBLIC SFC'!C122)</f>
        <v/>
      </c>
      <c r="D291" s="101">
        <f>IF('COMMANDE GD-PUBLIC SFC'!I122="","",'COMMANDE GD-PUBLIC SFC'!I122)</f>
        <v>0.77083333333333337</v>
      </c>
      <c r="E291" s="101"/>
      <c r="F291" s="104"/>
      <c r="G291" s="104"/>
      <c r="H291" s="105"/>
    </row>
    <row r="292" spans="2:8" ht="24.75" customHeight="1" x14ac:dyDescent="0.3">
      <c r="B292" s="99" t="str">
        <f>IF('COMMANDE GD-PUBLIC SFC'!D123="","",'COMMANDE GD-PUBLIC SFC'!D123)</f>
        <v/>
      </c>
      <c r="C292" s="100" t="str">
        <f>IF('COMMANDE GD-PUBLIC SFC'!C123="","",'COMMANDE GD-PUBLIC SFC'!C123)</f>
        <v/>
      </c>
      <c r="D292" s="101">
        <f>IF('COMMANDE GD-PUBLIC SFC'!I123="","",'COMMANDE GD-PUBLIC SFC'!I123)</f>
        <v>0.77083333333333337</v>
      </c>
      <c r="E292" s="101"/>
      <c r="F292" s="104"/>
      <c r="G292" s="104"/>
      <c r="H292" s="105"/>
    </row>
    <row r="293" spans="2:8" ht="24.75" customHeight="1" x14ac:dyDescent="0.3">
      <c r="B293" s="99" t="str">
        <f>IF('COMMANDE GD-PUBLIC SFC'!D124="","",'COMMANDE GD-PUBLIC SFC'!D124)</f>
        <v/>
      </c>
      <c r="C293" s="100" t="str">
        <f>IF('COMMANDE GD-PUBLIC SFC'!C124="","",'COMMANDE GD-PUBLIC SFC'!C124)</f>
        <v/>
      </c>
      <c r="D293" s="101">
        <f>IF('COMMANDE GD-PUBLIC SFC'!I124="","",'COMMANDE GD-PUBLIC SFC'!I124)</f>
        <v>0.77083333333333337</v>
      </c>
      <c r="E293" s="101"/>
      <c r="F293" s="104"/>
      <c r="G293" s="104"/>
      <c r="H293" s="105"/>
    </row>
    <row r="294" spans="2:8" ht="24.75" customHeight="1" x14ac:dyDescent="0.3">
      <c r="B294" s="99" t="str">
        <f>IF('COMMANDE GD-PUBLIC SFC'!D125="","",'COMMANDE GD-PUBLIC SFC'!D125)</f>
        <v/>
      </c>
      <c r="C294" s="100" t="str">
        <f>IF('COMMANDE GD-PUBLIC SFC'!C125="","",'COMMANDE GD-PUBLIC SFC'!C125)</f>
        <v/>
      </c>
      <c r="D294" s="101">
        <f>IF('COMMANDE GD-PUBLIC SFC'!I125="","",'COMMANDE GD-PUBLIC SFC'!I125)</f>
        <v>0.79166666666666663</v>
      </c>
      <c r="E294" s="101"/>
      <c r="F294" s="104"/>
      <c r="G294" s="104"/>
      <c r="H294" s="105"/>
    </row>
    <row r="295" spans="2:8" ht="24.75" customHeight="1" x14ac:dyDescent="0.3">
      <c r="B295" s="99" t="str">
        <f>IF('COMMANDE GD-PUBLIC SFC'!D126="","",'COMMANDE GD-PUBLIC SFC'!D126)</f>
        <v/>
      </c>
      <c r="C295" s="100" t="str">
        <f>IF('COMMANDE GD-PUBLIC SFC'!C126="","",'COMMANDE GD-PUBLIC SFC'!C126)</f>
        <v/>
      </c>
      <c r="D295" s="101" t="str">
        <f>IF('COMMANDE GD-PUBLIC SFC'!I126="","",'COMMANDE GD-PUBLIC SFC'!I126)</f>
        <v/>
      </c>
      <c r="E295" s="101"/>
      <c r="F295" s="104"/>
      <c r="G295" s="104"/>
      <c r="H295" s="105"/>
    </row>
    <row r="296" spans="2:8" ht="15" thickBot="1" x14ac:dyDescent="0.35">
      <c r="B296" s="106"/>
      <c r="C296" s="107"/>
      <c r="D296" s="108"/>
      <c r="E296" s="108"/>
      <c r="F296" s="108"/>
      <c r="G296" s="108"/>
      <c r="H296" s="109"/>
    </row>
    <row r="300" spans="2:8" ht="15" x14ac:dyDescent="0.3">
      <c r="B300" s="82" t="str">
        <f>'COMMANDE GD-PUBLIC SFC'!$A$2</f>
        <v>MATCH SFC X</v>
      </c>
      <c r="C300" s="83" t="str">
        <f>'COMMANDE GD-PUBLIC SFC'!$C$2</f>
        <v>FC THOUNE</v>
      </c>
      <c r="D300" s="83"/>
      <c r="E300" s="82" t="s">
        <v>48</v>
      </c>
      <c r="F300" s="84">
        <f>'COMMANDE GD-PUBLIC SFC'!$D$2</f>
        <v>45969</v>
      </c>
      <c r="G300" s="85"/>
      <c r="H300" s="85"/>
    </row>
    <row r="301" spans="2:8" ht="15.6" x14ac:dyDescent="0.3">
      <c r="B301" s="86"/>
      <c r="C301" s="87"/>
      <c r="D301" s="87"/>
      <c r="E301" s="86"/>
      <c r="F301" s="87"/>
      <c r="G301" s="87"/>
      <c r="H301" s="88"/>
    </row>
    <row r="302" spans="2:8" ht="18" x14ac:dyDescent="0.3">
      <c r="B302" s="82" t="s">
        <v>49</v>
      </c>
      <c r="C302" s="89">
        <f>'COMMANDE GD-PUBLIC SFC'!$J$2</f>
        <v>0.85416666666666663</v>
      </c>
      <c r="D302" s="89"/>
      <c r="E302" s="82" t="s">
        <v>13</v>
      </c>
      <c r="F302" s="83" t="s">
        <v>80</v>
      </c>
      <c r="G302" s="90"/>
      <c r="H302" s="91"/>
    </row>
    <row r="303" spans="2:8" ht="16.2" thickBot="1" x14ac:dyDescent="0.35">
      <c r="B303" s="92"/>
      <c r="C303" s="92"/>
      <c r="D303" s="92"/>
      <c r="E303" s="93"/>
      <c r="F303" s="93"/>
      <c r="G303" s="93"/>
      <c r="H303" s="94"/>
    </row>
    <row r="304" spans="2:8" ht="27" customHeight="1" x14ac:dyDescent="0.3">
      <c r="B304" s="254" t="s">
        <v>81</v>
      </c>
      <c r="C304" s="255">
        <f>COUNTA('COMMANDE GD-PUBLIC SFC'!C127:C135)</f>
        <v>0</v>
      </c>
    </row>
    <row r="305" spans="2:8" ht="27" customHeight="1" thickBot="1" x14ac:dyDescent="0.35">
      <c r="B305" s="254"/>
      <c r="C305" s="256"/>
    </row>
    <row r="306" spans="2:8" ht="15" thickBot="1" x14ac:dyDescent="0.35"/>
    <row r="307" spans="2:8" ht="23.4" x14ac:dyDescent="0.3">
      <c r="B307" s="95" t="s">
        <v>51</v>
      </c>
      <c r="C307" s="224" t="s">
        <v>52</v>
      </c>
      <c r="D307" s="219" t="s">
        <v>53</v>
      </c>
      <c r="E307" s="220"/>
      <c r="F307" s="220"/>
      <c r="G307" s="221"/>
      <c r="H307" s="226" t="s">
        <v>54</v>
      </c>
    </row>
    <row r="308" spans="2:8" ht="38.4" thickBot="1" x14ac:dyDescent="0.35">
      <c r="B308" s="114" t="str">
        <f>'COMMANDE GD-PUBLIC SFC'!A127</f>
        <v>VISITEURS</v>
      </c>
      <c r="C308" s="225"/>
      <c r="D308" s="97" t="s">
        <v>55</v>
      </c>
      <c r="E308" s="97" t="s">
        <v>23</v>
      </c>
      <c r="F308" s="97" t="s">
        <v>56</v>
      </c>
      <c r="G308" s="98" t="s">
        <v>57</v>
      </c>
      <c r="H308" s="227"/>
    </row>
    <row r="309" spans="2:8" ht="24.75" customHeight="1" x14ac:dyDescent="0.3">
      <c r="B309" s="99" t="str">
        <f>IF('COMMANDE GD-PUBLIC SFC'!D127="","",'COMMANDE GD-PUBLIC SFC'!D127)</f>
        <v/>
      </c>
      <c r="C309" s="100" t="str">
        <f>IF('COMMANDE GD-PUBLIC SFC'!C127="","",'COMMANDE GD-PUBLIC SFC'!C127)</f>
        <v/>
      </c>
      <c r="D309" s="101">
        <f>IF('COMMANDE GD-PUBLIC SFC'!I127="","",'COMMANDE GD-PUBLIC SFC'!I127)</f>
        <v>0.77083333333333337</v>
      </c>
      <c r="E309" s="101"/>
      <c r="F309" s="102"/>
      <c r="G309" s="102"/>
      <c r="H309" s="103"/>
    </row>
    <row r="310" spans="2:8" ht="24.75" customHeight="1" x14ac:dyDescent="0.3">
      <c r="B310" s="99" t="str">
        <f>IF('COMMANDE GD-PUBLIC SFC'!D128="","",'COMMANDE GD-PUBLIC SFC'!D128)</f>
        <v/>
      </c>
      <c r="C310" s="100" t="str">
        <f>IF('COMMANDE GD-PUBLIC SFC'!C128="","",'COMMANDE GD-PUBLIC SFC'!C128)</f>
        <v/>
      </c>
      <c r="D310" s="101">
        <f>IF('COMMANDE GD-PUBLIC SFC'!I128="","",'COMMANDE GD-PUBLIC SFC'!I128)</f>
        <v>0.77083333333333337</v>
      </c>
      <c r="E310" s="101"/>
      <c r="F310" s="104"/>
      <c r="G310" s="104"/>
      <c r="H310" s="105"/>
    </row>
    <row r="311" spans="2:8" ht="24.75" customHeight="1" x14ac:dyDescent="0.3">
      <c r="B311" s="99" t="str">
        <f>IF('COMMANDE GD-PUBLIC SFC'!D129="","",'COMMANDE GD-PUBLIC SFC'!D129)</f>
        <v/>
      </c>
      <c r="C311" s="100" t="str">
        <f>IF('COMMANDE GD-PUBLIC SFC'!C129="","",'COMMANDE GD-PUBLIC SFC'!C129)</f>
        <v/>
      </c>
      <c r="D311" s="101">
        <f>IF('COMMANDE GD-PUBLIC SFC'!I129="","",'COMMANDE GD-PUBLIC SFC'!I129)</f>
        <v>0.77083333333333337</v>
      </c>
      <c r="E311" s="101"/>
      <c r="F311" s="104"/>
      <c r="G311" s="104"/>
      <c r="H311" s="105"/>
    </row>
    <row r="312" spans="2:8" ht="24.75" customHeight="1" x14ac:dyDescent="0.3">
      <c r="B312" s="99" t="str">
        <f>IF('COMMANDE GD-PUBLIC SFC'!D130="","",'COMMANDE GD-PUBLIC SFC'!D130)</f>
        <v/>
      </c>
      <c r="C312" s="100" t="str">
        <f>IF('COMMANDE GD-PUBLIC SFC'!C130="","",'COMMANDE GD-PUBLIC SFC'!C130)</f>
        <v/>
      </c>
      <c r="D312" s="101">
        <f>IF('COMMANDE GD-PUBLIC SFC'!I130="","",'COMMANDE GD-PUBLIC SFC'!I130)</f>
        <v>0.77083333333333337</v>
      </c>
      <c r="E312" s="101"/>
      <c r="F312" s="104"/>
      <c r="G312" s="104"/>
      <c r="H312" s="105"/>
    </row>
    <row r="313" spans="2:8" ht="24.75" customHeight="1" x14ac:dyDescent="0.3">
      <c r="B313" s="99" t="str">
        <f>IF('COMMANDE GD-PUBLIC SFC'!D131="","",'COMMANDE GD-PUBLIC SFC'!D131)</f>
        <v/>
      </c>
      <c r="C313" s="100" t="str">
        <f>IF('COMMANDE GD-PUBLIC SFC'!C131="","",'COMMANDE GD-PUBLIC SFC'!C131)</f>
        <v/>
      </c>
      <c r="D313" s="101">
        <f>IF('COMMANDE GD-PUBLIC SFC'!I131="","",'COMMANDE GD-PUBLIC SFC'!I131)</f>
        <v>0.77083333333333337</v>
      </c>
      <c r="E313" s="101"/>
      <c r="F313" s="104"/>
      <c r="G313" s="104"/>
      <c r="H313" s="105"/>
    </row>
    <row r="314" spans="2:8" ht="24.75" customHeight="1" x14ac:dyDescent="0.3">
      <c r="B314" s="99" t="str">
        <f>IF('COMMANDE GD-PUBLIC SFC'!D132="","",'COMMANDE GD-PUBLIC SFC'!D132)</f>
        <v/>
      </c>
      <c r="C314" s="100" t="str">
        <f>IF('COMMANDE GD-PUBLIC SFC'!C132="","",'COMMANDE GD-PUBLIC SFC'!C132)</f>
        <v/>
      </c>
      <c r="D314" s="101" t="str">
        <f>IF('COMMANDE GD-PUBLIC SFC'!I132="","",'COMMANDE GD-PUBLIC SFC'!I132)</f>
        <v/>
      </c>
      <c r="E314" s="101"/>
      <c r="F314" s="104"/>
      <c r="G314" s="104"/>
      <c r="H314" s="105"/>
    </row>
    <row r="315" spans="2:8" ht="24.75" customHeight="1" x14ac:dyDescent="0.3">
      <c r="B315" s="99" t="str">
        <f>IF('COMMANDE GD-PUBLIC SFC'!D133="","",'COMMANDE GD-PUBLIC SFC'!D133)</f>
        <v/>
      </c>
      <c r="C315" s="100" t="str">
        <f>IF('COMMANDE GD-PUBLIC SFC'!C133="","",'COMMANDE GD-PUBLIC SFC'!C133)</f>
        <v/>
      </c>
      <c r="D315" s="101" t="str">
        <f>IF('COMMANDE GD-PUBLIC SFC'!I133="","",'COMMANDE GD-PUBLIC SFC'!I133)</f>
        <v/>
      </c>
      <c r="E315" s="101"/>
      <c r="F315" s="104"/>
      <c r="G315" s="104"/>
      <c r="H315" s="105"/>
    </row>
    <row r="316" spans="2:8" ht="24.75" customHeight="1" x14ac:dyDescent="0.3">
      <c r="B316" s="99" t="str">
        <f>IF('COMMANDE GD-PUBLIC SFC'!D134="","",'COMMANDE GD-PUBLIC SFC'!D134)</f>
        <v/>
      </c>
      <c r="C316" s="100" t="str">
        <f>IF('COMMANDE GD-PUBLIC SFC'!C134="","",'COMMANDE GD-PUBLIC SFC'!C134)</f>
        <v/>
      </c>
      <c r="D316" s="101" t="str">
        <f>IF('COMMANDE GD-PUBLIC SFC'!I134="","",'COMMANDE GD-PUBLIC SFC'!I134)</f>
        <v/>
      </c>
      <c r="E316" s="101"/>
      <c r="F316" s="104"/>
      <c r="G316" s="104"/>
      <c r="H316" s="105"/>
    </row>
    <row r="317" spans="2:8" ht="24.75" customHeight="1" x14ac:dyDescent="0.3">
      <c r="B317" s="99" t="str">
        <f>IF('COMMANDE GD-PUBLIC SFC'!D135="","",'COMMANDE GD-PUBLIC SFC'!D135)</f>
        <v/>
      </c>
      <c r="C317" s="100" t="str">
        <f>IF('COMMANDE GD-PUBLIC SFC'!C135="","",'COMMANDE GD-PUBLIC SFC'!C135)</f>
        <v/>
      </c>
      <c r="D317" s="101" t="str">
        <f>IF('COMMANDE GD-PUBLIC SFC'!I135="","",'COMMANDE GD-PUBLIC SFC'!I135)</f>
        <v/>
      </c>
      <c r="E317" s="101"/>
      <c r="F317" s="104"/>
      <c r="G317" s="104"/>
      <c r="H317" s="105"/>
    </row>
    <row r="318" spans="2:8" ht="15" thickBot="1" x14ac:dyDescent="0.35">
      <c r="B318" s="106"/>
      <c r="C318" s="107"/>
      <c r="D318" s="108"/>
      <c r="E318" s="108"/>
      <c r="F318" s="108"/>
      <c r="G318" s="108"/>
      <c r="H318" s="109"/>
    </row>
    <row r="321" spans="2:8" ht="15" x14ac:dyDescent="0.3">
      <c r="B321" s="82" t="str">
        <f>'COMMANDE GD-PUBLIC SFC'!$A$2</f>
        <v>MATCH SFC X</v>
      </c>
      <c r="C321" s="83" t="str">
        <f>'COMMANDE GD-PUBLIC SFC'!$C$2</f>
        <v>FC THOUNE</v>
      </c>
      <c r="D321" s="83"/>
      <c r="E321" s="82" t="s">
        <v>48</v>
      </c>
      <c r="F321" s="84">
        <f>'COMMANDE GD-PUBLIC SFC'!$D$2</f>
        <v>45969</v>
      </c>
      <c r="G321" s="85"/>
      <c r="H321" s="85"/>
    </row>
    <row r="322" spans="2:8" ht="15.6" x14ac:dyDescent="0.3">
      <c r="B322" s="86"/>
      <c r="C322" s="87"/>
      <c r="D322" s="87"/>
      <c r="E322" s="86"/>
      <c r="F322" s="87"/>
      <c r="G322" s="87"/>
      <c r="H322" s="88"/>
    </row>
    <row r="323" spans="2:8" ht="18" x14ac:dyDescent="0.3">
      <c r="B323" s="82" t="s">
        <v>49</v>
      </c>
      <c r="C323" s="89">
        <f>'COMMANDE GD-PUBLIC SFC'!$J$2</f>
        <v>0.85416666666666663</v>
      </c>
      <c r="D323" s="89"/>
      <c r="E323" s="82" t="s">
        <v>13</v>
      </c>
      <c r="F323" s="83" t="s">
        <v>80</v>
      </c>
      <c r="G323" s="90"/>
      <c r="H323" s="91"/>
    </row>
    <row r="324" spans="2:8" ht="16.2" thickBot="1" x14ac:dyDescent="0.35">
      <c r="B324" s="92"/>
      <c r="C324" s="92"/>
      <c r="D324" s="92"/>
      <c r="E324" s="93"/>
      <c r="F324" s="93"/>
      <c r="G324" s="93"/>
      <c r="H324" s="94"/>
    </row>
    <row r="325" spans="2:8" ht="27" customHeight="1" x14ac:dyDescent="0.3">
      <c r="B325" s="254" t="s">
        <v>81</v>
      </c>
      <c r="C325" s="255">
        <f>COUNTA('COMMANDE GD-PUBLIC SFC'!C136:C148)</f>
        <v>0</v>
      </c>
    </row>
    <row r="326" spans="2:8" ht="27" customHeight="1" thickBot="1" x14ac:dyDescent="0.35">
      <c r="B326" s="254"/>
      <c r="C326" s="256"/>
    </row>
    <row r="327" spans="2:8" ht="15" thickBot="1" x14ac:dyDescent="0.35"/>
    <row r="328" spans="2:8" ht="23.4" x14ac:dyDescent="0.3">
      <c r="B328" s="95" t="s">
        <v>51</v>
      </c>
      <c r="C328" s="224" t="s">
        <v>52</v>
      </c>
      <c r="D328" s="219" t="s">
        <v>53</v>
      </c>
      <c r="E328" s="220"/>
      <c r="F328" s="220"/>
      <c r="G328" s="221"/>
      <c r="H328" s="226" t="s">
        <v>54</v>
      </c>
    </row>
    <row r="329" spans="2:8" ht="38.4" thickBot="1" x14ac:dyDescent="0.35">
      <c r="B329" s="169" t="str">
        <f>'COMMANDE GD-PUBLIC SFC'!A136</f>
        <v>PRINCIPALE 2</v>
      </c>
      <c r="C329" s="225"/>
      <c r="D329" s="97" t="s">
        <v>55</v>
      </c>
      <c r="E329" s="97" t="s">
        <v>23</v>
      </c>
      <c r="F329" s="97" t="s">
        <v>56</v>
      </c>
      <c r="G329" s="98" t="s">
        <v>57</v>
      </c>
      <c r="H329" s="227"/>
    </row>
    <row r="330" spans="2:8" ht="24.75" customHeight="1" x14ac:dyDescent="0.3">
      <c r="B330" s="99" t="str">
        <f>IF('COMMANDE GD-PUBLIC SFC'!D136="","",'COMMANDE GD-PUBLIC SFC'!D136)</f>
        <v/>
      </c>
      <c r="C330" s="100" t="str">
        <f>IF('COMMANDE GD-PUBLIC SFC'!C136="","",'COMMANDE GD-PUBLIC SFC'!C136)</f>
        <v/>
      </c>
      <c r="D330" s="101" t="str">
        <f>IF('COMMANDE GD-PUBLIC SFC'!I136="","",'COMMANDE GD-PUBLIC SFC'!I136)</f>
        <v/>
      </c>
      <c r="E330" s="101"/>
      <c r="F330" s="102"/>
      <c r="G330" s="102"/>
      <c r="H330" s="103"/>
    </row>
    <row r="331" spans="2:8" ht="24.75" customHeight="1" x14ac:dyDescent="0.3">
      <c r="B331" s="99" t="str">
        <f>IF('COMMANDE GD-PUBLIC SFC'!D137="","",'COMMANDE GD-PUBLIC SFC'!D137)</f>
        <v/>
      </c>
      <c r="C331" s="100" t="str">
        <f>IF('COMMANDE GD-PUBLIC SFC'!C137="","",'COMMANDE GD-PUBLIC SFC'!C137)</f>
        <v/>
      </c>
      <c r="D331" s="101" t="str">
        <f>IF('COMMANDE GD-PUBLIC SFC'!I137="","",'COMMANDE GD-PUBLIC SFC'!I137)</f>
        <v/>
      </c>
      <c r="E331" s="101"/>
      <c r="F331" s="102"/>
      <c r="G331" s="102"/>
      <c r="H331" s="103"/>
    </row>
    <row r="332" spans="2:8" ht="24.75" customHeight="1" x14ac:dyDescent="0.3">
      <c r="B332" s="99" t="str">
        <f>IF('COMMANDE GD-PUBLIC SFC'!D138="","",'COMMANDE GD-PUBLIC SFC'!D138)</f>
        <v/>
      </c>
      <c r="C332" s="100" t="str">
        <f>IF('COMMANDE GD-PUBLIC SFC'!C138="","",'COMMANDE GD-PUBLIC SFC'!C138)</f>
        <v/>
      </c>
      <c r="D332" s="101" t="str">
        <f>IF('COMMANDE GD-PUBLIC SFC'!I138="","",'COMMANDE GD-PUBLIC SFC'!I138)</f>
        <v/>
      </c>
      <c r="E332" s="101"/>
      <c r="F332" s="102"/>
      <c r="G332" s="102"/>
      <c r="H332" s="103"/>
    </row>
    <row r="333" spans="2:8" ht="24.75" customHeight="1" x14ac:dyDescent="0.3">
      <c r="B333" s="99" t="str">
        <f>IF('COMMANDE GD-PUBLIC SFC'!D139="","",'COMMANDE GD-PUBLIC SFC'!D139)</f>
        <v/>
      </c>
      <c r="C333" s="100" t="str">
        <f>IF('COMMANDE GD-PUBLIC SFC'!C139="","",'COMMANDE GD-PUBLIC SFC'!C139)</f>
        <v/>
      </c>
      <c r="D333" s="101" t="str">
        <f>IF('COMMANDE GD-PUBLIC SFC'!I139="","",'COMMANDE GD-PUBLIC SFC'!I139)</f>
        <v/>
      </c>
      <c r="E333" s="101"/>
      <c r="F333" s="102"/>
      <c r="G333" s="102"/>
      <c r="H333" s="103"/>
    </row>
    <row r="334" spans="2:8" ht="24.75" customHeight="1" x14ac:dyDescent="0.3">
      <c r="B334" s="99" t="str">
        <f>IF('COMMANDE GD-PUBLIC SFC'!D140="","",'COMMANDE GD-PUBLIC SFC'!D140)</f>
        <v/>
      </c>
      <c r="C334" s="100" t="str">
        <f>IF('COMMANDE GD-PUBLIC SFC'!C140="","",'COMMANDE GD-PUBLIC SFC'!C140)</f>
        <v/>
      </c>
      <c r="D334" s="101" t="str">
        <f>IF('COMMANDE GD-PUBLIC SFC'!I140="","",'COMMANDE GD-PUBLIC SFC'!I140)</f>
        <v/>
      </c>
      <c r="E334" s="101"/>
      <c r="F334" s="102"/>
      <c r="G334" s="102"/>
      <c r="H334" s="103"/>
    </row>
    <row r="335" spans="2:8" ht="24.75" customHeight="1" x14ac:dyDescent="0.3">
      <c r="B335" s="99" t="str">
        <f>IF('COMMANDE GD-PUBLIC SFC'!D141="","",'COMMANDE GD-PUBLIC SFC'!D141)</f>
        <v/>
      </c>
      <c r="C335" s="100" t="str">
        <f>IF('COMMANDE GD-PUBLIC SFC'!C141="","",'COMMANDE GD-PUBLIC SFC'!C141)</f>
        <v/>
      </c>
      <c r="D335" s="101" t="str">
        <f>IF('COMMANDE GD-PUBLIC SFC'!I141="","",'COMMANDE GD-PUBLIC SFC'!I141)</f>
        <v/>
      </c>
      <c r="E335" s="101"/>
      <c r="F335" s="102"/>
      <c r="G335" s="102"/>
      <c r="H335" s="103"/>
    </row>
    <row r="336" spans="2:8" ht="24.75" customHeight="1" x14ac:dyDescent="0.3">
      <c r="B336" s="99" t="str">
        <f>IF('COMMANDE GD-PUBLIC SFC'!D142="","",'COMMANDE GD-PUBLIC SFC'!D142)</f>
        <v/>
      </c>
      <c r="C336" s="100" t="str">
        <f>IF('COMMANDE GD-PUBLIC SFC'!C142="","",'COMMANDE GD-PUBLIC SFC'!C142)</f>
        <v/>
      </c>
      <c r="D336" s="101" t="str">
        <f>IF('COMMANDE GD-PUBLIC SFC'!I142="","",'COMMANDE GD-PUBLIC SFC'!I142)</f>
        <v/>
      </c>
      <c r="E336" s="101"/>
      <c r="F336" s="102"/>
      <c r="G336" s="102"/>
      <c r="H336" s="103"/>
    </row>
    <row r="337" spans="2:8" ht="24.75" customHeight="1" x14ac:dyDescent="0.3">
      <c r="B337" s="99" t="str">
        <f>IF('COMMANDE GD-PUBLIC SFC'!D143="","",'COMMANDE GD-PUBLIC SFC'!D143)</f>
        <v/>
      </c>
      <c r="C337" s="100" t="str">
        <f>IF('COMMANDE GD-PUBLIC SFC'!C143="","",'COMMANDE GD-PUBLIC SFC'!C143)</f>
        <v/>
      </c>
      <c r="D337" s="101" t="str">
        <f>IF('COMMANDE GD-PUBLIC SFC'!I143="","",'COMMANDE GD-PUBLIC SFC'!I143)</f>
        <v/>
      </c>
      <c r="E337" s="101"/>
      <c r="F337" s="102"/>
      <c r="G337" s="102"/>
      <c r="H337" s="103"/>
    </row>
    <row r="338" spans="2:8" ht="24.75" customHeight="1" x14ac:dyDescent="0.3">
      <c r="B338" s="99" t="str">
        <f>IF('COMMANDE GD-PUBLIC SFC'!D144="","",'COMMANDE GD-PUBLIC SFC'!D144)</f>
        <v/>
      </c>
      <c r="C338" s="100" t="str">
        <f>IF('COMMANDE GD-PUBLIC SFC'!C144="","",'COMMANDE GD-PUBLIC SFC'!C144)</f>
        <v/>
      </c>
      <c r="D338" s="101" t="str">
        <f>IF('COMMANDE GD-PUBLIC SFC'!I144="","",'COMMANDE GD-PUBLIC SFC'!I144)</f>
        <v/>
      </c>
      <c r="E338" s="101"/>
      <c r="F338" s="104"/>
      <c r="G338" s="104"/>
      <c r="H338" s="105"/>
    </row>
    <row r="339" spans="2:8" ht="24.75" customHeight="1" x14ac:dyDescent="0.3">
      <c r="B339" s="99" t="str">
        <f>IF('COMMANDE GD-PUBLIC SFC'!D145="","",'COMMANDE GD-PUBLIC SFC'!D145)</f>
        <v/>
      </c>
      <c r="C339" s="100" t="str">
        <f>IF('COMMANDE GD-PUBLIC SFC'!C145="","",'COMMANDE GD-PUBLIC SFC'!C145)</f>
        <v/>
      </c>
      <c r="D339" s="101" t="str">
        <f>IF('COMMANDE GD-PUBLIC SFC'!I145="","",'COMMANDE GD-PUBLIC SFC'!I145)</f>
        <v/>
      </c>
      <c r="E339" s="101"/>
      <c r="F339" s="104"/>
      <c r="G339" s="104"/>
      <c r="H339" s="105"/>
    </row>
    <row r="340" spans="2:8" ht="24.75" customHeight="1" x14ac:dyDescent="0.3">
      <c r="B340" s="99" t="str">
        <f>IF('COMMANDE GD-PUBLIC SFC'!D146="","",'COMMANDE GD-PUBLIC SFC'!D146)</f>
        <v/>
      </c>
      <c r="C340" s="100" t="str">
        <f>IF('COMMANDE GD-PUBLIC SFC'!C146="","",'COMMANDE GD-PUBLIC SFC'!C146)</f>
        <v/>
      </c>
      <c r="D340" s="101" t="str">
        <f>IF('COMMANDE GD-PUBLIC SFC'!I146="","",'COMMANDE GD-PUBLIC SFC'!I146)</f>
        <v/>
      </c>
      <c r="E340" s="101"/>
      <c r="F340" s="104"/>
      <c r="G340" s="104"/>
      <c r="H340" s="105"/>
    </row>
    <row r="341" spans="2:8" ht="24.75" customHeight="1" x14ac:dyDescent="0.3">
      <c r="B341" s="99" t="str">
        <f>IF('COMMANDE GD-PUBLIC SFC'!D147="","",'COMMANDE GD-PUBLIC SFC'!D147)</f>
        <v/>
      </c>
      <c r="C341" s="100" t="str">
        <f>IF('COMMANDE GD-PUBLIC SFC'!C147="","",'COMMANDE GD-PUBLIC SFC'!C147)</f>
        <v/>
      </c>
      <c r="D341" s="101" t="str">
        <f>IF('COMMANDE GD-PUBLIC SFC'!I147="","",'COMMANDE GD-PUBLIC SFC'!I147)</f>
        <v/>
      </c>
      <c r="E341" s="101"/>
      <c r="F341" s="104"/>
      <c r="G341" s="104"/>
      <c r="H341" s="105"/>
    </row>
    <row r="342" spans="2:8" ht="24.75" customHeight="1" x14ac:dyDescent="0.3">
      <c r="B342" s="99" t="str">
        <f>IF('COMMANDE GD-PUBLIC SFC'!D148="","",'COMMANDE GD-PUBLIC SFC'!D148)</f>
        <v/>
      </c>
      <c r="C342" s="100" t="str">
        <f>IF('COMMANDE GD-PUBLIC SFC'!C148="","",'COMMANDE GD-PUBLIC SFC'!C148)</f>
        <v/>
      </c>
      <c r="D342" s="101" t="str">
        <f>IF('COMMANDE GD-PUBLIC SFC'!I148="","",'COMMANDE GD-PUBLIC SFC'!I148)</f>
        <v/>
      </c>
      <c r="E342" s="101"/>
      <c r="F342" s="104"/>
      <c r="G342" s="104"/>
      <c r="H342" s="105"/>
    </row>
    <row r="343" spans="2:8" ht="15" thickBot="1" x14ac:dyDescent="0.35">
      <c r="B343" s="106"/>
      <c r="C343" s="107"/>
      <c r="D343" s="108"/>
      <c r="E343" s="108"/>
      <c r="F343" s="108"/>
      <c r="G343" s="108"/>
      <c r="H343" s="109"/>
    </row>
    <row r="347" spans="2:8" ht="15" x14ac:dyDescent="0.3">
      <c r="B347" s="82" t="str">
        <f>'COMMANDE GD-PUBLIC SFC'!$A$2</f>
        <v>MATCH SFC X</v>
      </c>
      <c r="C347" s="83" t="str">
        <f>'COMMANDE GD-PUBLIC SFC'!$C$2</f>
        <v>FC THOUNE</v>
      </c>
      <c r="D347" s="83"/>
      <c r="E347" s="82" t="s">
        <v>48</v>
      </c>
      <c r="F347" s="84">
        <f>'COMMANDE GD-PUBLIC SFC'!$D$2</f>
        <v>45969</v>
      </c>
      <c r="G347" s="85"/>
      <c r="H347" s="85"/>
    </row>
    <row r="348" spans="2:8" ht="15.6" x14ac:dyDescent="0.3">
      <c r="B348" s="86"/>
      <c r="C348" s="87"/>
      <c r="D348" s="87"/>
      <c r="E348" s="86"/>
      <c r="F348" s="87"/>
      <c r="G348" s="87"/>
      <c r="H348" s="88"/>
    </row>
    <row r="349" spans="2:8" ht="18" x14ac:dyDescent="0.3">
      <c r="B349" s="82" t="s">
        <v>49</v>
      </c>
      <c r="C349" s="89">
        <f>'COMMANDE GD-PUBLIC SFC'!$J$2</f>
        <v>0.85416666666666663</v>
      </c>
      <c r="D349" s="89"/>
      <c r="E349" s="82" t="s">
        <v>13</v>
      </c>
      <c r="F349" s="83" t="s">
        <v>80</v>
      </c>
      <c r="G349" s="90"/>
      <c r="H349" s="91"/>
    </row>
    <row r="350" spans="2:8" ht="16.2" thickBot="1" x14ac:dyDescent="0.35">
      <c r="B350" s="92"/>
      <c r="C350" s="92"/>
      <c r="D350" s="92"/>
      <c r="E350" s="93"/>
      <c r="F350" s="93"/>
      <c r="G350" s="93"/>
      <c r="H350" s="94"/>
    </row>
    <row r="351" spans="2:8" ht="27" customHeight="1" x14ac:dyDescent="0.3">
      <c r="B351" s="254" t="s">
        <v>81</v>
      </c>
      <c r="C351" s="255">
        <f>COUNTA('COMMANDE GD-PUBLIC SFC'!C149:C153)</f>
        <v>0</v>
      </c>
    </row>
    <row r="352" spans="2:8" ht="27" customHeight="1" thickBot="1" x14ac:dyDescent="0.35">
      <c r="B352" s="254"/>
      <c r="C352" s="256"/>
    </row>
    <row r="353" spans="2:8" ht="15" thickBot="1" x14ac:dyDescent="0.35"/>
    <row r="354" spans="2:8" ht="23.4" x14ac:dyDescent="0.3">
      <c r="B354" s="95" t="s">
        <v>51</v>
      </c>
      <c r="C354" s="224" t="s">
        <v>52</v>
      </c>
      <c r="D354" s="219" t="s">
        <v>53</v>
      </c>
      <c r="E354" s="220"/>
      <c r="F354" s="220"/>
      <c r="G354" s="221"/>
      <c r="H354" s="226" t="s">
        <v>54</v>
      </c>
    </row>
    <row r="355" spans="2:8" ht="38.4" thickBot="1" x14ac:dyDescent="0.35">
      <c r="B355" s="169" t="str">
        <f>'COMMANDE GD-PUBLIC SFC'!A149</f>
        <v>PRINCIPALE MOBILE 3</v>
      </c>
      <c r="C355" s="225"/>
      <c r="D355" s="97" t="s">
        <v>55</v>
      </c>
      <c r="E355" s="97" t="s">
        <v>23</v>
      </c>
      <c r="F355" s="97" t="s">
        <v>56</v>
      </c>
      <c r="G355" s="98" t="s">
        <v>57</v>
      </c>
      <c r="H355" s="227"/>
    </row>
    <row r="356" spans="2:8" ht="24.75" customHeight="1" x14ac:dyDescent="0.3">
      <c r="B356" s="99" t="str">
        <f>IF('COMMANDE GD-PUBLIC SFC'!D149="","",'COMMANDE GD-PUBLIC SFC'!D149)</f>
        <v/>
      </c>
      <c r="C356" s="100" t="str">
        <f>IF('COMMANDE GD-PUBLIC SFC'!C149="","",'COMMANDE GD-PUBLIC SFC'!C149)</f>
        <v/>
      </c>
      <c r="D356" s="101" t="str">
        <f>IF('COMMANDE GD-PUBLIC SFC'!I149="","",'COMMANDE GD-PUBLIC SFC'!I149)</f>
        <v/>
      </c>
      <c r="E356" s="101"/>
      <c r="F356" s="102"/>
      <c r="G356" s="102"/>
      <c r="H356" s="103"/>
    </row>
    <row r="357" spans="2:8" ht="24.75" customHeight="1" x14ac:dyDescent="0.3">
      <c r="B357" s="99" t="str">
        <f>IF('COMMANDE GD-PUBLIC SFC'!D150="","",'COMMANDE GD-PUBLIC SFC'!D150)</f>
        <v/>
      </c>
      <c r="C357" s="100" t="str">
        <f>IF('COMMANDE GD-PUBLIC SFC'!C150="","",'COMMANDE GD-PUBLIC SFC'!C150)</f>
        <v/>
      </c>
      <c r="D357" s="101" t="str">
        <f>IF('COMMANDE GD-PUBLIC SFC'!I150="","",'COMMANDE GD-PUBLIC SFC'!I150)</f>
        <v/>
      </c>
      <c r="E357" s="101"/>
      <c r="F357" s="104"/>
      <c r="G357" s="104"/>
      <c r="H357" s="105"/>
    </row>
    <row r="358" spans="2:8" ht="24.75" customHeight="1" x14ac:dyDescent="0.3">
      <c r="B358" s="99" t="str">
        <f>IF('COMMANDE GD-PUBLIC SFC'!D151="","",'COMMANDE GD-PUBLIC SFC'!D151)</f>
        <v/>
      </c>
      <c r="C358" s="100" t="str">
        <f>IF('COMMANDE GD-PUBLIC SFC'!C151="","",'COMMANDE GD-PUBLIC SFC'!C151)</f>
        <v/>
      </c>
      <c r="D358" s="101" t="str">
        <f>IF('COMMANDE GD-PUBLIC SFC'!I151="","",'COMMANDE GD-PUBLIC SFC'!I151)</f>
        <v/>
      </c>
      <c r="E358" s="101"/>
      <c r="F358" s="104"/>
      <c r="G358" s="104"/>
      <c r="H358" s="105"/>
    </row>
    <row r="359" spans="2:8" ht="24.75" customHeight="1" x14ac:dyDescent="0.3">
      <c r="B359" s="99" t="str">
        <f>IF('COMMANDE GD-PUBLIC SFC'!D152="","",'COMMANDE GD-PUBLIC SFC'!D152)</f>
        <v/>
      </c>
      <c r="C359" s="100" t="str">
        <f>IF('COMMANDE GD-PUBLIC SFC'!C152="","",'COMMANDE GD-PUBLIC SFC'!C152)</f>
        <v/>
      </c>
      <c r="D359" s="101" t="str">
        <f>IF('COMMANDE GD-PUBLIC SFC'!I152="","",'COMMANDE GD-PUBLIC SFC'!I152)</f>
        <v/>
      </c>
      <c r="E359" s="101"/>
      <c r="F359" s="104"/>
      <c r="G359" s="104"/>
      <c r="H359" s="105"/>
    </row>
    <row r="360" spans="2:8" ht="24.75" customHeight="1" x14ac:dyDescent="0.3">
      <c r="B360" s="99" t="str">
        <f>IF('COMMANDE GD-PUBLIC SFC'!D153="","",'COMMANDE GD-PUBLIC SFC'!D153)</f>
        <v/>
      </c>
      <c r="C360" s="100" t="str">
        <f>IF('COMMANDE GD-PUBLIC SFC'!C153="","",'COMMANDE GD-PUBLIC SFC'!C153)</f>
        <v/>
      </c>
      <c r="D360" s="101" t="str">
        <f>IF('COMMANDE GD-PUBLIC SFC'!I153="","",'COMMANDE GD-PUBLIC SFC'!I153)</f>
        <v/>
      </c>
      <c r="E360" s="101"/>
      <c r="F360" s="104"/>
      <c r="G360" s="104"/>
      <c r="H360" s="105"/>
    </row>
    <row r="361" spans="2:8" ht="18.600000000000001" thickBot="1" x14ac:dyDescent="0.35">
      <c r="B361" s="168"/>
      <c r="C361" s="167"/>
      <c r="D361" s="166"/>
      <c r="E361" s="108"/>
      <c r="F361" s="108"/>
      <c r="G361" s="108"/>
      <c r="H361" s="109"/>
    </row>
    <row r="364" spans="2:8" ht="15" x14ac:dyDescent="0.3">
      <c r="B364" s="82" t="str">
        <f>'COMMANDE GD-PUBLIC SFC'!$A$2</f>
        <v>MATCH SFC X</v>
      </c>
      <c r="C364" s="83" t="str">
        <f>'COMMANDE GD-PUBLIC SFC'!$C$2</f>
        <v>FC THOUNE</v>
      </c>
      <c r="D364" s="83"/>
      <c r="E364" s="82" t="s">
        <v>48</v>
      </c>
      <c r="F364" s="84">
        <f>'COMMANDE GD-PUBLIC SFC'!$D$2</f>
        <v>45969</v>
      </c>
      <c r="G364" s="85"/>
      <c r="H364" s="85"/>
    </row>
    <row r="365" spans="2:8" ht="15.6" x14ac:dyDescent="0.3">
      <c r="B365" s="86"/>
      <c r="C365" s="87"/>
      <c r="D365" s="87"/>
      <c r="E365" s="86"/>
      <c r="F365" s="87"/>
      <c r="G365" s="87"/>
      <c r="H365" s="88"/>
    </row>
    <row r="366" spans="2:8" ht="18" x14ac:dyDescent="0.3">
      <c r="B366" s="82" t="s">
        <v>49</v>
      </c>
      <c r="C366" s="89">
        <f>'COMMANDE GD-PUBLIC SFC'!$J$2</f>
        <v>0.85416666666666663</v>
      </c>
      <c r="D366" s="89"/>
      <c r="E366" s="82" t="s">
        <v>13</v>
      </c>
      <c r="F366" s="83" t="s">
        <v>80</v>
      </c>
      <c r="G366" s="90"/>
      <c r="H366" s="91"/>
    </row>
    <row r="367" spans="2:8" ht="16.2" thickBot="1" x14ac:dyDescent="0.35">
      <c r="B367" s="92"/>
      <c r="C367" s="92"/>
      <c r="D367" s="92"/>
      <c r="E367" s="93"/>
      <c r="F367" s="93"/>
      <c r="G367" s="93"/>
      <c r="H367" s="94"/>
    </row>
    <row r="368" spans="2:8" ht="27" customHeight="1" x14ac:dyDescent="0.3">
      <c r="B368" s="254" t="s">
        <v>81</v>
      </c>
      <c r="C368" s="255">
        <f>COUNTA('COMMANDE GD-PUBLIC SFC'!C154:C158)</f>
        <v>0</v>
      </c>
    </row>
    <row r="369" spans="2:8" ht="27" customHeight="1" thickBot="1" x14ac:dyDescent="0.35">
      <c r="B369" s="254"/>
      <c r="C369" s="256"/>
    </row>
    <row r="370" spans="2:8" ht="15" thickBot="1" x14ac:dyDescent="0.35"/>
    <row r="371" spans="2:8" ht="23.4" x14ac:dyDescent="0.3">
      <c r="B371" s="95" t="s">
        <v>51</v>
      </c>
      <c r="C371" s="224" t="s">
        <v>52</v>
      </c>
      <c r="D371" s="219" t="s">
        <v>53</v>
      </c>
      <c r="E371" s="220"/>
      <c r="F371" s="220"/>
      <c r="G371" s="221"/>
      <c r="H371" s="226" t="s">
        <v>54</v>
      </c>
    </row>
    <row r="372" spans="2:8" ht="38.4" thickBot="1" x14ac:dyDescent="0.35">
      <c r="B372" s="169" t="str">
        <f>'COMMANDE GD-PUBLIC SFC'!A154</f>
        <v>AUTRE</v>
      </c>
      <c r="C372" s="225"/>
      <c r="D372" s="97" t="s">
        <v>55</v>
      </c>
      <c r="E372" s="97" t="s">
        <v>23</v>
      </c>
      <c r="F372" s="97" t="s">
        <v>56</v>
      </c>
      <c r="G372" s="98" t="s">
        <v>57</v>
      </c>
      <c r="H372" s="227"/>
    </row>
    <row r="373" spans="2:8" ht="24.75" customHeight="1" x14ac:dyDescent="0.3">
      <c r="B373" s="99" t="str">
        <f>IF('COMMANDE GD-PUBLIC SFC'!D154="","",'COMMANDE GD-PUBLIC SFC'!D154)</f>
        <v/>
      </c>
      <c r="C373" s="100" t="str">
        <f>IF('COMMANDE GD-PUBLIC SFC'!C154="","",'COMMANDE GD-PUBLIC SFC'!C154)</f>
        <v/>
      </c>
      <c r="D373" s="101" t="str">
        <f>IF('COMMANDE GD-PUBLIC SFC'!I154="","",'COMMANDE GD-PUBLIC SFC'!I154)</f>
        <v/>
      </c>
      <c r="E373" s="101"/>
      <c r="F373" s="102"/>
      <c r="G373" s="102"/>
      <c r="H373" s="103"/>
    </row>
    <row r="374" spans="2:8" ht="24.75" customHeight="1" x14ac:dyDescent="0.3">
      <c r="B374" s="99" t="str">
        <f>IF('COMMANDE GD-PUBLIC SFC'!D155="","",'COMMANDE GD-PUBLIC SFC'!D155)</f>
        <v/>
      </c>
      <c r="C374" s="100" t="str">
        <f>IF('COMMANDE GD-PUBLIC SFC'!C155="","",'COMMANDE GD-PUBLIC SFC'!C155)</f>
        <v/>
      </c>
      <c r="D374" s="101" t="str">
        <f>IF('COMMANDE GD-PUBLIC SFC'!I155="","",'COMMANDE GD-PUBLIC SFC'!I155)</f>
        <v/>
      </c>
      <c r="E374" s="101"/>
      <c r="F374" s="104"/>
      <c r="G374" s="104"/>
      <c r="H374" s="105"/>
    </row>
    <row r="375" spans="2:8" ht="24.75" customHeight="1" x14ac:dyDescent="0.3">
      <c r="B375" s="99" t="str">
        <f>IF('COMMANDE GD-PUBLIC SFC'!D156="","",'COMMANDE GD-PUBLIC SFC'!D156)</f>
        <v/>
      </c>
      <c r="C375" s="100" t="str">
        <f>IF('COMMANDE GD-PUBLIC SFC'!C156="","",'COMMANDE GD-PUBLIC SFC'!C156)</f>
        <v/>
      </c>
      <c r="D375" s="101" t="str">
        <f>IF('COMMANDE GD-PUBLIC SFC'!I156="","",'COMMANDE GD-PUBLIC SFC'!I156)</f>
        <v/>
      </c>
      <c r="E375" s="101"/>
      <c r="F375" s="104"/>
      <c r="G375" s="104"/>
      <c r="H375" s="105"/>
    </row>
    <row r="376" spans="2:8" ht="24.75" customHeight="1" x14ac:dyDescent="0.3">
      <c r="B376" s="99" t="str">
        <f>IF('COMMANDE GD-PUBLIC SFC'!D157="","",'COMMANDE GD-PUBLIC SFC'!D157)</f>
        <v/>
      </c>
      <c r="C376" s="100" t="str">
        <f>IF('COMMANDE GD-PUBLIC SFC'!C157="","",'COMMANDE GD-PUBLIC SFC'!C157)</f>
        <v/>
      </c>
      <c r="D376" s="101" t="str">
        <f>IF('COMMANDE GD-PUBLIC SFC'!I157="","",'COMMANDE GD-PUBLIC SFC'!I157)</f>
        <v/>
      </c>
      <c r="E376" s="101"/>
      <c r="F376" s="104"/>
      <c r="G376" s="104"/>
      <c r="H376" s="105"/>
    </row>
    <row r="377" spans="2:8" ht="24.75" customHeight="1" x14ac:dyDescent="0.3">
      <c r="B377" s="99" t="str">
        <f>IF('COMMANDE GD-PUBLIC SFC'!D158="","",'COMMANDE GD-PUBLIC SFC'!D158)</f>
        <v/>
      </c>
      <c r="C377" s="100" t="str">
        <f>IF('COMMANDE GD-PUBLIC SFC'!C158="","",'COMMANDE GD-PUBLIC SFC'!C158)</f>
        <v/>
      </c>
      <c r="D377" s="101" t="str">
        <f>IF('COMMANDE GD-PUBLIC SFC'!I158="","",'COMMANDE GD-PUBLIC SFC'!I158)</f>
        <v/>
      </c>
      <c r="E377" s="101"/>
      <c r="F377" s="104"/>
      <c r="G377" s="104"/>
      <c r="H377" s="105"/>
    </row>
    <row r="378" spans="2:8" ht="18.600000000000001" thickBot="1" x14ac:dyDescent="0.35">
      <c r="B378" s="168"/>
      <c r="C378" s="167"/>
      <c r="D378" s="166"/>
      <c r="E378" s="108"/>
      <c r="F378" s="108"/>
      <c r="G378" s="108"/>
      <c r="H378" s="109"/>
    </row>
  </sheetData>
  <sheetProtection algorithmName="SHA-512" hashValue="HhKbkzJtSy+bsXfoefh8CP/xR9tw1+TY4jmXYkrMeuxAQPL1EO3Na4eIfJyb/ybm7oBbvpaaNALcWKhDitbG9Q==" saltValue="8ebS5NY9mDDAcOE35g7xRg==" spinCount="100000" sheet="1" objects="1" scenarios="1"/>
  <mergeCells count="90">
    <mergeCell ref="D191:G191"/>
    <mergeCell ref="H191:H192"/>
    <mergeCell ref="D9:G9"/>
    <mergeCell ref="H9:H10"/>
    <mergeCell ref="C165:C166"/>
    <mergeCell ref="D165:G165"/>
    <mergeCell ref="H165:H166"/>
    <mergeCell ref="D35:G35"/>
    <mergeCell ref="H35:H36"/>
    <mergeCell ref="B57:B58"/>
    <mergeCell ref="C57:C58"/>
    <mergeCell ref="C60:C61"/>
    <mergeCell ref="D60:G60"/>
    <mergeCell ref="H60:H61"/>
    <mergeCell ref="B6:B7"/>
    <mergeCell ref="C6:C7"/>
    <mergeCell ref="B32:B33"/>
    <mergeCell ref="C32:C33"/>
    <mergeCell ref="C35:C36"/>
    <mergeCell ref="C9:C10"/>
    <mergeCell ref="B100:B101"/>
    <mergeCell ref="C100:C101"/>
    <mergeCell ref="C103:C104"/>
    <mergeCell ref="D103:G103"/>
    <mergeCell ref="H103:H104"/>
    <mergeCell ref="B78:B79"/>
    <mergeCell ref="C78:C79"/>
    <mergeCell ref="C81:C82"/>
    <mergeCell ref="D81:G81"/>
    <mergeCell ref="H81:H82"/>
    <mergeCell ref="B137:B138"/>
    <mergeCell ref="C137:C138"/>
    <mergeCell ref="C140:C141"/>
    <mergeCell ref="D140:G140"/>
    <mergeCell ref="H140:H141"/>
    <mergeCell ref="B121:B122"/>
    <mergeCell ref="C121:C122"/>
    <mergeCell ref="C124:C125"/>
    <mergeCell ref="D124:G124"/>
    <mergeCell ref="H124:H125"/>
    <mergeCell ref="B206:B207"/>
    <mergeCell ref="C206:C207"/>
    <mergeCell ref="C209:C210"/>
    <mergeCell ref="D209:G209"/>
    <mergeCell ref="H209:H210"/>
    <mergeCell ref="B162:B163"/>
    <mergeCell ref="C162:C163"/>
    <mergeCell ref="B188:B189"/>
    <mergeCell ref="C188:C189"/>
    <mergeCell ref="C191:C192"/>
    <mergeCell ref="B241:B242"/>
    <mergeCell ref="C241:C242"/>
    <mergeCell ref="C244:C245"/>
    <mergeCell ref="D244:G244"/>
    <mergeCell ref="H244:H245"/>
    <mergeCell ref="B224:B225"/>
    <mergeCell ref="C224:C225"/>
    <mergeCell ref="C227:C228"/>
    <mergeCell ref="D227:G227"/>
    <mergeCell ref="H227:H228"/>
    <mergeCell ref="B285:B286"/>
    <mergeCell ref="C285:C286"/>
    <mergeCell ref="C288:C289"/>
    <mergeCell ref="D288:G288"/>
    <mergeCell ref="H288:H289"/>
    <mergeCell ref="B259:B260"/>
    <mergeCell ref="C259:C260"/>
    <mergeCell ref="C262:C263"/>
    <mergeCell ref="D262:G262"/>
    <mergeCell ref="H262:H263"/>
    <mergeCell ref="B325:B326"/>
    <mergeCell ref="C325:C326"/>
    <mergeCell ref="C328:C329"/>
    <mergeCell ref="D328:G328"/>
    <mergeCell ref="H328:H329"/>
    <mergeCell ref="B304:B305"/>
    <mergeCell ref="C304:C305"/>
    <mergeCell ref="C307:C308"/>
    <mergeCell ref="D307:G307"/>
    <mergeCell ref="H307:H308"/>
    <mergeCell ref="B368:B369"/>
    <mergeCell ref="C368:C369"/>
    <mergeCell ref="C371:C372"/>
    <mergeCell ref="D371:G371"/>
    <mergeCell ref="H371:H372"/>
    <mergeCell ref="B351:B352"/>
    <mergeCell ref="C351:C352"/>
    <mergeCell ref="C354:C355"/>
    <mergeCell ref="D354:G354"/>
    <mergeCell ref="H354:H355"/>
  </mergeCells>
  <pageMargins left="0.7" right="0.7" top="0.75" bottom="0.75" header="0.3" footer="0.3"/>
  <pageSetup paperSize="9" scale="78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F52A4DD5ECE041A76C48CA81E8205F" ma:contentTypeVersion="11" ma:contentTypeDescription="Crée un document." ma:contentTypeScope="" ma:versionID="4e520464401e88cc7de6a9d33d8e6593">
  <xsd:schema xmlns:xsd="http://www.w3.org/2001/XMLSchema" xmlns:xs="http://www.w3.org/2001/XMLSchema" xmlns:p="http://schemas.microsoft.com/office/2006/metadata/properties" xmlns:ns2="1aedba12-9921-41e8-9f2f-2ea528fec480" xmlns:ns3="293846d6-3f9b-4a29-a702-97247153a90f" targetNamespace="http://schemas.microsoft.com/office/2006/metadata/properties" ma:root="true" ma:fieldsID="d6bd74b117df39039843dd3bc51bf00f" ns2:_="" ns3:_="">
    <xsd:import namespace="1aedba12-9921-41e8-9f2f-2ea528fec480"/>
    <xsd:import namespace="293846d6-3f9b-4a29-a702-97247153a9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edba12-9921-41e8-9f2f-2ea528fec4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394270ed-8e68-4b55-9506-467e2960e45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3846d6-3f9b-4a29-a702-97247153a90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37dfd3e-6c84-411e-8076-721b255a17b4}" ma:internalName="TaxCatchAll" ma:showField="CatchAllData" ma:web="293846d6-3f9b-4a29-a702-97247153a9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93846d6-3f9b-4a29-a702-97247153a90f" xsi:nil="true"/>
    <lcf76f155ced4ddcb4097134ff3c332f xmlns="1aedba12-9921-41e8-9f2f-2ea528fec48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F301326-B762-4CAF-B869-57840AEE0D99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1aedba12-9921-41e8-9f2f-2ea528fec480"/>
    <ds:schemaRef ds:uri="293846d6-3f9b-4a29-a702-97247153a90f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AF4FD7A-1C63-4838-907E-793B24C9AFE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CB1EB68-1757-446A-B8E6-1589280E24CA}">
  <ds:schemaRefs>
    <ds:schemaRef ds:uri="http://schemas.microsoft.com/office/2006/metadata/properties"/>
    <ds:schemaRef ds:uri="http://www.w3.org/2000/xmlns/"/>
    <ds:schemaRef ds:uri="293846d6-3f9b-4a29-a702-97247153a90f"/>
    <ds:schemaRef ds:uri="http://www.w3.org/2001/XMLSchema-instance"/>
    <ds:schemaRef ds:uri="1aedba12-9921-41e8-9f2f-2ea528fec480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10</vt:i4>
      </vt:variant>
    </vt:vector>
  </HeadingPairs>
  <TitlesOfParts>
    <vt:vector size="15" baseType="lpstr">
      <vt:lpstr>COMMANDE GD-PUBLIC GSHC</vt:lpstr>
      <vt:lpstr>FEUILLES HEURES</vt:lpstr>
      <vt:lpstr>Feuilles Heures a remplir GSHC</vt:lpstr>
      <vt:lpstr>COMMANDE GD-PUBLIC SFC</vt:lpstr>
      <vt:lpstr>FEUILLES HEURES SFC</vt:lpstr>
      <vt:lpstr>'COMMANDE GD-PUBLIC SFC'!HeureEstim2</vt:lpstr>
      <vt:lpstr>'FEUILLES HEURES SFC'!HeureEstim2</vt:lpstr>
      <vt:lpstr>HeureEstim2</vt:lpstr>
      <vt:lpstr>'COMMANDE GD-PUBLIC SFC'!Tarifs</vt:lpstr>
      <vt:lpstr>'FEUILLES HEURES SFC'!Tarifs</vt:lpstr>
      <vt:lpstr>Tarifs</vt:lpstr>
      <vt:lpstr>'COMMANDE GD-PUBLIC GSHC'!Zone_d_impression</vt:lpstr>
      <vt:lpstr>'COMMANDE GD-PUBLIC SFC'!Zone_d_impression</vt:lpstr>
      <vt:lpstr>'FEUILLES HEURES'!Zone_d_impression</vt:lpstr>
      <vt:lpstr>'FEUILLES HEURES SFC'!Zone_d_impression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Nathalie Chollet</dc:creator>
  <cp:keywords/>
  <dc:description/>
  <cp:lastModifiedBy>Logistique Prime</cp:lastModifiedBy>
  <cp:revision/>
  <dcterms:created xsi:type="dcterms:W3CDTF">2024-12-10T09:58:33Z</dcterms:created>
  <dcterms:modified xsi:type="dcterms:W3CDTF">2025-11-19T09:18:47Z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0x0101000FF52A4DD5ECE041A76C48CA81E8205F</vt:lpwstr>
  </property>
</Properties>
</file>