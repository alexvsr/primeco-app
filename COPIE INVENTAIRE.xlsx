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showObjects="none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ervettesports-my.sharepoint.com/personal/logistique_primeandco_ch/Documents/Bureau/ENVOI DE FICHIER/"/>
    </mc:Choice>
  </mc:AlternateContent>
  <xr:revisionPtr revIDLastSave="0" documentId="8_{53C7472A-97E7-4749-B292-83D4C9334BA8}" xr6:coauthVersionLast="47" xr6:coauthVersionMax="47" xr10:uidLastSave="{00000000-0000-0000-0000-000000000000}"/>
  <bookViews>
    <workbookView xWindow="-110" yWindow="-110" windowWidth="19420" windowHeight="10420" tabRatio="732" firstSheet="2" activeTab="2" xr2:uid="{00000000-000D-0000-FFFF-FFFF00000000}"/>
  </bookViews>
  <sheets>
    <sheet name="Recap Commande Inventaire" sheetId="147" state="hidden" r:id="rId1"/>
    <sheet name="START" sheetId="36" state="hidden" r:id="rId2"/>
    <sheet name="Inventaire Patinoire &amp; Stade" sheetId="167" r:id="rId3"/>
    <sheet name="Inventaire Generale" sheetId="165" r:id="rId4"/>
    <sheet name="Réserve Nord" sheetId="77" r:id="rId5"/>
    <sheet name="Nord Mobile 1" sheetId="121" r:id="rId6"/>
    <sheet name="Nord 1" sheetId="163" r:id="rId7"/>
    <sheet name="Nord 2" sheetId="120" r:id="rId8"/>
    <sheet name="Nord Mobile 2" sheetId="122" r:id="rId9"/>
    <sheet name="Esplanade" sheetId="123" r:id="rId10"/>
    <sheet name="Est mobile 1" sheetId="124" r:id="rId11"/>
    <sheet name="Est 1" sheetId="126" r:id="rId12"/>
    <sheet name="Est mobile 2" sheetId="125" r:id="rId13"/>
    <sheet name="Est Mobile 3" sheetId="128" r:id="rId14"/>
    <sheet name="Est 2" sheetId="127" r:id="rId15"/>
    <sheet name="Est mobile 4" sheetId="129" r:id="rId16"/>
    <sheet name="Réserve Sud" sheetId="130" r:id="rId17"/>
    <sheet name="Sud 1" sheetId="131" r:id="rId18"/>
    <sheet name="Sud 2" sheetId="162" r:id="rId19"/>
    <sheet name="Visiteurs" sheetId="133" r:id="rId20"/>
    <sheet name="Principale mobile 1" sheetId="138" r:id="rId21"/>
    <sheet name="Principale 1 " sheetId="135" r:id="rId22"/>
    <sheet name="Principale mobile 2" sheetId="118" r:id="rId23"/>
    <sheet name="Principale mobile 3" sheetId="136" r:id="rId24"/>
    <sheet name="Principale 2" sheetId="134" r:id="rId25"/>
    <sheet name="Principale mobile 4" sheetId="137" r:id="rId26"/>
    <sheet name="Rapport tcpos" sheetId="146" state="hidden" r:id="rId27"/>
    <sheet name="Inventaire General Patinoire" sheetId="166" r:id="rId28"/>
    <sheet name="Buvette 1" sheetId="149" r:id="rId29"/>
    <sheet name="Buvette 2" sheetId="150" r:id="rId30"/>
    <sheet name="Buvette 3" sheetId="151" r:id="rId31"/>
    <sheet name="2023" sheetId="152" r:id="rId32"/>
    <sheet name="Food Genevois" sheetId="155" r:id="rId33"/>
    <sheet name="Food Bretzel" sheetId="154" r:id="rId34"/>
    <sheet name="Chalet 1" sheetId="156" r:id="rId35"/>
    <sheet name="Chalet 2" sheetId="157" r:id="rId36"/>
    <sheet name="Chalet 3" sheetId="158" r:id="rId37"/>
    <sheet name="Cocktail" sheetId="159" r:id="rId38"/>
    <sheet name="Home Corner" sheetId="153" r:id="rId39"/>
    <sheet name="Visiteur" sheetId="160" r:id="rId40"/>
    <sheet name="Stock Principal" sheetId="161" r:id="rId41"/>
    <sheet name="END" sheetId="35" state="hidden" r:id="rId42"/>
  </sheets>
  <externalReferences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</externalReferences>
  <definedNames>
    <definedName name="_xlnm.Print_Area" localSheetId="9">Esplanade!$A$21:$J$126</definedName>
    <definedName name="_xlnm.Print_Area" localSheetId="11">'Est 1'!$A$21:$J$126</definedName>
    <definedName name="_xlnm.Print_Area" localSheetId="14">'Est 2'!$A$21:$J$126</definedName>
    <definedName name="_xlnm.Print_Area" localSheetId="10">'Est mobile 1'!$A$20:$J$125</definedName>
    <definedName name="_xlnm.Print_Area" localSheetId="12">'Est mobile 2'!$A$21:$J$126</definedName>
    <definedName name="_xlnm.Print_Area" localSheetId="13">'Est Mobile 3'!$A$21:$J$126</definedName>
    <definedName name="_xlnm.Print_Area" localSheetId="15">'Est mobile 4'!$A$21:$J$126</definedName>
    <definedName name="_xlnm.Print_Area" localSheetId="7">'Nord 2'!$A$21:$J$126</definedName>
    <definedName name="_xlnm.Print_Area" localSheetId="5">'Nord Mobile 1'!$A$21:$J$126</definedName>
    <definedName name="_xlnm.Print_Area" localSheetId="8">'Nord Mobile 2'!$A$21:$J$126</definedName>
    <definedName name="_xlnm.Print_Area" localSheetId="21">'Principale 1 '!$A$21:$J$126</definedName>
    <definedName name="_xlnm.Print_Area" localSheetId="24">'Principale 2'!$A$21:$J$126</definedName>
    <definedName name="_xlnm.Print_Area" localSheetId="22">'Principale mobile 2'!$A$21:$J$126</definedName>
    <definedName name="_xlnm.Print_Area" localSheetId="23">'Principale mobile 3'!$A$21:$J$126</definedName>
    <definedName name="_xlnm.Print_Area" localSheetId="25">'Principale mobile 4'!$A$21:$J$126</definedName>
    <definedName name="_xlnm.Print_Area" localSheetId="4">'Réserve Nord'!$A$21:$J$126</definedName>
    <definedName name="_xlnm.Print_Area" localSheetId="16">'Réserve Sud'!$A$21:$J$126</definedName>
    <definedName name="_xlnm.Print_Area" localSheetId="17">'Sud 1'!$A$21:$J$126</definedName>
    <definedName name="_xlnm.Print_Area" localSheetId="19">Visiteurs!$A$21:$J$126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08" i="77" l="1"/>
  <c r="J208" i="121"/>
  <c r="J208" i="163"/>
  <c r="J208" i="120"/>
  <c r="J208" i="122"/>
  <c r="J208" i="123"/>
  <c r="J208" i="124"/>
  <c r="J208" i="126"/>
  <c r="J208" i="125"/>
  <c r="J208" i="128"/>
  <c r="J208" i="127"/>
  <c r="J208" i="129"/>
  <c r="J208" i="130"/>
  <c r="J208" i="131"/>
  <c r="J208" i="162"/>
  <c r="J208" i="133"/>
  <c r="J208" i="138"/>
  <c r="J208" i="135"/>
  <c r="J208" i="118"/>
  <c r="J208" i="136"/>
  <c r="J208" i="134"/>
  <c r="J208" i="137"/>
  <c r="J208" i="165"/>
  <c r="J211" i="77"/>
  <c r="J211" i="121"/>
  <c r="J211" i="163"/>
  <c r="J211" i="120"/>
  <c r="J211" i="122"/>
  <c r="J211" i="123"/>
  <c r="J211" i="124"/>
  <c r="J211" i="126"/>
  <c r="J211" i="125"/>
  <c r="J211" i="128"/>
  <c r="J211" i="127"/>
  <c r="J211" i="129"/>
  <c r="J211" i="130"/>
  <c r="J211" i="131"/>
  <c r="J211" i="162"/>
  <c r="J211" i="133"/>
  <c r="J211" i="138"/>
  <c r="J211" i="135"/>
  <c r="J211" i="118"/>
  <c r="J211" i="136"/>
  <c r="J211" i="134"/>
  <c r="J211" i="137"/>
  <c r="J211" i="165"/>
  <c r="J210" i="77"/>
  <c r="J212" i="77"/>
  <c r="J213" i="77"/>
  <c r="J210" i="121"/>
  <c r="J212" i="121"/>
  <c r="J213" i="121"/>
  <c r="J210" i="163"/>
  <c r="J212" i="163"/>
  <c r="J213" i="163"/>
  <c r="J210" i="120"/>
  <c r="J212" i="120"/>
  <c r="J213" i="120"/>
  <c r="J210" i="122"/>
  <c r="J212" i="122"/>
  <c r="J213" i="122"/>
  <c r="J210" i="123"/>
  <c r="J212" i="123"/>
  <c r="J213" i="123"/>
  <c r="J210" i="124"/>
  <c r="J212" i="124"/>
  <c r="J213" i="124"/>
  <c r="J210" i="126"/>
  <c r="J212" i="126"/>
  <c r="J213" i="126"/>
  <c r="J210" i="125"/>
  <c r="J212" i="125"/>
  <c r="J213" i="125"/>
  <c r="J210" i="128"/>
  <c r="J212" i="128"/>
  <c r="J213" i="128"/>
  <c r="J210" i="127"/>
  <c r="J212" i="127"/>
  <c r="J213" i="127"/>
  <c r="J210" i="129"/>
  <c r="J212" i="129"/>
  <c r="J213" i="129"/>
  <c r="J210" i="130"/>
  <c r="J212" i="130"/>
  <c r="J213" i="130"/>
  <c r="J210" i="131"/>
  <c r="J212" i="131"/>
  <c r="J213" i="131"/>
  <c r="J210" i="162"/>
  <c r="J212" i="162"/>
  <c r="J213" i="162"/>
  <c r="J210" i="133"/>
  <c r="J212" i="133"/>
  <c r="J213" i="133"/>
  <c r="J210" i="138"/>
  <c r="J212" i="138"/>
  <c r="J213" i="138"/>
  <c r="J210" i="135"/>
  <c r="J212" i="135"/>
  <c r="J213" i="135"/>
  <c r="J210" i="118"/>
  <c r="J212" i="118"/>
  <c r="J213" i="118"/>
  <c r="J210" i="136"/>
  <c r="J212" i="136"/>
  <c r="J213" i="136"/>
  <c r="J210" i="134"/>
  <c r="J212" i="134"/>
  <c r="J213" i="134"/>
  <c r="J210" i="137"/>
  <c r="J212" i="137"/>
  <c r="J213" i="137"/>
  <c r="J210" i="165"/>
  <c r="J212" i="165"/>
  <c r="J213" i="165"/>
  <c r="G200" i="126"/>
  <c r="G201" i="126"/>
  <c r="G202" i="126"/>
  <c r="G203" i="126"/>
  <c r="G204" i="126"/>
  <c r="G205" i="126"/>
  <c r="G205" i="165" s="1"/>
  <c r="G206" i="126"/>
  <c r="G207" i="126"/>
  <c r="G207" i="165" s="1"/>
  <c r="G208" i="126"/>
  <c r="G209" i="126"/>
  <c r="G210" i="126"/>
  <c r="G199" i="126"/>
  <c r="G210" i="165"/>
  <c r="G211" i="126"/>
  <c r="G212" i="126"/>
  <c r="G213" i="126"/>
  <c r="G214" i="126"/>
  <c r="G214" i="165" s="1"/>
  <c r="G215" i="126"/>
  <c r="G216" i="126"/>
  <c r="G217" i="126"/>
  <c r="G218" i="126"/>
  <c r="G219" i="126"/>
  <c r="G220" i="126"/>
  <c r="G221" i="126"/>
  <c r="G221" i="165" s="1"/>
  <c r="G222" i="126"/>
  <c r="G223" i="126"/>
  <c r="G223" i="165" s="1"/>
  <c r="G224" i="126"/>
  <c r="G225" i="126"/>
  <c r="G226" i="126"/>
  <c r="G227" i="126"/>
  <c r="G228" i="126"/>
  <c r="G229" i="126"/>
  <c r="G229" i="165" s="1"/>
  <c r="G230" i="126"/>
  <c r="G230" i="165" s="1"/>
  <c r="G231" i="126"/>
  <c r="G232" i="126"/>
  <c r="G233" i="126"/>
  <c r="G234" i="126"/>
  <c r="G235" i="126"/>
  <c r="G236" i="126"/>
  <c r="G237" i="126"/>
  <c r="G237" i="165" s="1"/>
  <c r="G238" i="126"/>
  <c r="G239" i="126"/>
  <c r="G239" i="165" s="1"/>
  <c r="G240" i="126"/>
  <c r="G241" i="126"/>
  <c r="G242" i="126"/>
  <c r="G243" i="126"/>
  <c r="G244" i="126"/>
  <c r="G245" i="126"/>
  <c r="G245" i="165" s="1"/>
  <c r="G246" i="126"/>
  <c r="G246" i="165" s="1"/>
  <c r="G247" i="126"/>
  <c r="G248" i="126"/>
  <c r="G249" i="126"/>
  <c r="G250" i="126"/>
  <c r="G251" i="126"/>
  <c r="G252" i="126"/>
  <c r="G253" i="126"/>
  <c r="G253" i="165" s="1"/>
  <c r="G254" i="126"/>
  <c r="G255" i="126"/>
  <c r="G255" i="165" s="1"/>
  <c r="G256" i="126"/>
  <c r="G25" i="126"/>
  <c r="G26" i="126"/>
  <c r="G27" i="126"/>
  <c r="G28" i="126"/>
  <c r="G29" i="126"/>
  <c r="G30" i="126"/>
  <c r="G31" i="126"/>
  <c r="G32" i="126"/>
  <c r="G33" i="126"/>
  <c r="G34" i="126"/>
  <c r="G35" i="126"/>
  <c r="G36" i="126"/>
  <c r="G37" i="126"/>
  <c r="G38" i="126"/>
  <c r="G39" i="126"/>
  <c r="G40" i="126"/>
  <c r="G41" i="126"/>
  <c r="G42" i="126"/>
  <c r="G43" i="126"/>
  <c r="G44" i="126"/>
  <c r="G45" i="126"/>
  <c r="G46" i="126"/>
  <c r="G47" i="126"/>
  <c r="G48" i="126"/>
  <c r="G49" i="126"/>
  <c r="G50" i="126"/>
  <c r="G51" i="126"/>
  <c r="G52" i="126"/>
  <c r="G53" i="126"/>
  <c r="G54" i="126"/>
  <c r="G55" i="126"/>
  <c r="G56" i="126"/>
  <c r="G57" i="126"/>
  <c r="G58" i="126"/>
  <c r="G59" i="126"/>
  <c r="G60" i="126"/>
  <c r="G61" i="126"/>
  <c r="G62" i="126"/>
  <c r="G63" i="126"/>
  <c r="G64" i="126"/>
  <c r="G65" i="126"/>
  <c r="G66" i="126"/>
  <c r="G67" i="126"/>
  <c r="G68" i="126"/>
  <c r="G69" i="126"/>
  <c r="G70" i="126"/>
  <c r="G71" i="126"/>
  <c r="G72" i="126"/>
  <c r="G73" i="126"/>
  <c r="G74" i="126"/>
  <c r="G75" i="126"/>
  <c r="G76" i="126"/>
  <c r="G77" i="126"/>
  <c r="G78" i="126"/>
  <c r="G79" i="126"/>
  <c r="G80" i="126"/>
  <c r="G81" i="126"/>
  <c r="G82" i="126"/>
  <c r="G83" i="126"/>
  <c r="G84" i="126"/>
  <c r="G85" i="126"/>
  <c r="G86" i="126"/>
  <c r="G87" i="126"/>
  <c r="G88" i="126"/>
  <c r="G89" i="126"/>
  <c r="G90" i="126"/>
  <c r="G91" i="126"/>
  <c r="G92" i="126"/>
  <c r="G93" i="126"/>
  <c r="G94" i="126"/>
  <c r="G95" i="126"/>
  <c r="G96" i="126"/>
  <c r="G97" i="126"/>
  <c r="G98" i="126"/>
  <c r="G99" i="126"/>
  <c r="G100" i="126"/>
  <c r="G101" i="126"/>
  <c r="G102" i="126"/>
  <c r="G103" i="126"/>
  <c r="G104" i="126"/>
  <c r="G105" i="126"/>
  <c r="G106" i="126"/>
  <c r="G107" i="126"/>
  <c r="G108" i="126"/>
  <c r="G109" i="126"/>
  <c r="G110" i="126"/>
  <c r="G111" i="126"/>
  <c r="G112" i="126"/>
  <c r="G113" i="126"/>
  <c r="G114" i="126"/>
  <c r="G115" i="126"/>
  <c r="G116" i="126"/>
  <c r="G117" i="126"/>
  <c r="G118" i="126"/>
  <c r="G119" i="126"/>
  <c r="G120" i="126"/>
  <c r="G121" i="126"/>
  <c r="G122" i="126"/>
  <c r="G123" i="126"/>
  <c r="G124" i="126"/>
  <c r="G125" i="126"/>
  <c r="G126" i="126"/>
  <c r="G127" i="126"/>
  <c r="G128" i="126"/>
  <c r="G129" i="126"/>
  <c r="G130" i="126"/>
  <c r="G131" i="126"/>
  <c r="G132" i="126"/>
  <c r="G133" i="126"/>
  <c r="G134" i="126"/>
  <c r="G135" i="126"/>
  <c r="G136" i="126"/>
  <c r="G137" i="126"/>
  <c r="G138" i="126"/>
  <c r="G139" i="126"/>
  <c r="G140" i="126"/>
  <c r="G141" i="126"/>
  <c r="G142" i="126"/>
  <c r="G143" i="126"/>
  <c r="G144" i="126"/>
  <c r="G145" i="126"/>
  <c r="G146" i="126"/>
  <c r="G147" i="126"/>
  <c r="G148" i="126"/>
  <c r="G149" i="126"/>
  <c r="G150" i="126"/>
  <c r="G151" i="126"/>
  <c r="G152" i="126"/>
  <c r="G153" i="126"/>
  <c r="G154" i="126"/>
  <c r="G155" i="126"/>
  <c r="G156" i="126"/>
  <c r="G157" i="126"/>
  <c r="G158" i="126"/>
  <c r="G159" i="126"/>
  <c r="G160" i="126"/>
  <c r="G25" i="137"/>
  <c r="G26" i="137"/>
  <c r="G27" i="137"/>
  <c r="G28" i="137"/>
  <c r="G29" i="137"/>
  <c r="G30" i="137"/>
  <c r="G31" i="137"/>
  <c r="G32" i="137"/>
  <c r="G33" i="137"/>
  <c r="G34" i="137"/>
  <c r="G35" i="137"/>
  <c r="G36" i="137"/>
  <c r="G37" i="137"/>
  <c r="G38" i="137"/>
  <c r="G39" i="137"/>
  <c r="G40" i="137"/>
  <c r="G41" i="137"/>
  <c r="G42" i="137"/>
  <c r="G43" i="137"/>
  <c r="G44" i="137"/>
  <c r="G45" i="137"/>
  <c r="G46" i="137"/>
  <c r="G47" i="137"/>
  <c r="G48" i="137"/>
  <c r="G49" i="137"/>
  <c r="G50" i="137"/>
  <c r="G51" i="137"/>
  <c r="G52" i="137"/>
  <c r="G53" i="137"/>
  <c r="G54" i="137"/>
  <c r="G55" i="137"/>
  <c r="G56" i="137"/>
  <c r="G57" i="137"/>
  <c r="G58" i="137"/>
  <c r="G59" i="137"/>
  <c r="G60" i="137"/>
  <c r="G61" i="137"/>
  <c r="G62" i="137"/>
  <c r="G63" i="137"/>
  <c r="G64" i="137"/>
  <c r="G65" i="137"/>
  <c r="G66" i="137"/>
  <c r="G67" i="137"/>
  <c r="G68" i="137"/>
  <c r="G69" i="137"/>
  <c r="G70" i="137"/>
  <c r="G71" i="137"/>
  <c r="G72" i="137"/>
  <c r="G73" i="137"/>
  <c r="G74" i="137"/>
  <c r="G75" i="137"/>
  <c r="G76" i="137"/>
  <c r="G77" i="137"/>
  <c r="G78" i="137"/>
  <c r="G79" i="137"/>
  <c r="G80" i="137"/>
  <c r="G81" i="137"/>
  <c r="G82" i="137"/>
  <c r="G83" i="137"/>
  <c r="G84" i="137"/>
  <c r="G85" i="137"/>
  <c r="G86" i="137"/>
  <c r="G87" i="137"/>
  <c r="G88" i="137"/>
  <c r="G89" i="137"/>
  <c r="G90" i="137"/>
  <c r="G91" i="137"/>
  <c r="G92" i="137"/>
  <c r="G93" i="137"/>
  <c r="G94" i="137"/>
  <c r="G95" i="137"/>
  <c r="G96" i="137"/>
  <c r="G97" i="137"/>
  <c r="G98" i="137"/>
  <c r="G99" i="137"/>
  <c r="G100" i="137"/>
  <c r="G101" i="137"/>
  <c r="G102" i="137"/>
  <c r="G103" i="137"/>
  <c r="G104" i="137"/>
  <c r="G105" i="137"/>
  <c r="G106" i="137"/>
  <c r="G107" i="137"/>
  <c r="G108" i="137"/>
  <c r="G109" i="137"/>
  <c r="G110" i="137"/>
  <c r="G111" i="137"/>
  <c r="G112" i="137"/>
  <c r="G113" i="137"/>
  <c r="G114" i="137"/>
  <c r="G115" i="137"/>
  <c r="G116" i="137"/>
  <c r="G117" i="137"/>
  <c r="G118" i="137"/>
  <c r="G119" i="137"/>
  <c r="G120" i="137"/>
  <c r="G121" i="137"/>
  <c r="G122" i="137"/>
  <c r="G123" i="137"/>
  <c r="G124" i="137"/>
  <c r="G125" i="137"/>
  <c r="G126" i="137"/>
  <c r="G127" i="137"/>
  <c r="G128" i="137"/>
  <c r="G129" i="137"/>
  <c r="G130" i="137"/>
  <c r="G131" i="137"/>
  <c r="G132" i="137"/>
  <c r="G133" i="137"/>
  <c r="G134" i="137"/>
  <c r="G135" i="137"/>
  <c r="G136" i="137"/>
  <c r="G137" i="137"/>
  <c r="G138" i="137"/>
  <c r="G139" i="137"/>
  <c r="G140" i="137"/>
  <c r="G141" i="137"/>
  <c r="G142" i="137"/>
  <c r="G143" i="137"/>
  <c r="G144" i="137"/>
  <c r="G145" i="137"/>
  <c r="G146" i="137"/>
  <c r="G147" i="137"/>
  <c r="G148" i="137"/>
  <c r="G149" i="137"/>
  <c r="G150" i="137"/>
  <c r="G151" i="137"/>
  <c r="G152" i="137"/>
  <c r="G153" i="137"/>
  <c r="G154" i="137"/>
  <c r="G155" i="137"/>
  <c r="G156" i="137"/>
  <c r="G157" i="137"/>
  <c r="G158" i="137"/>
  <c r="G159" i="137"/>
  <c r="G160" i="137"/>
  <c r="G25" i="134"/>
  <c r="G26" i="134"/>
  <c r="G27" i="134"/>
  <c r="G28" i="134"/>
  <c r="G29" i="134"/>
  <c r="G30" i="134"/>
  <c r="G31" i="134"/>
  <c r="G32" i="134"/>
  <c r="G33" i="134"/>
  <c r="G34" i="134"/>
  <c r="G35" i="134"/>
  <c r="G36" i="134"/>
  <c r="G37" i="134"/>
  <c r="G38" i="134"/>
  <c r="G39" i="134"/>
  <c r="G40" i="134"/>
  <c r="G41" i="134"/>
  <c r="G42" i="134"/>
  <c r="G43" i="134"/>
  <c r="G44" i="134"/>
  <c r="G45" i="134"/>
  <c r="G46" i="134"/>
  <c r="G47" i="134"/>
  <c r="G48" i="134"/>
  <c r="G49" i="134"/>
  <c r="G50" i="134"/>
  <c r="G51" i="134"/>
  <c r="G52" i="134"/>
  <c r="G53" i="134"/>
  <c r="G54" i="134"/>
  <c r="G55" i="134"/>
  <c r="G56" i="134"/>
  <c r="G57" i="134"/>
  <c r="G58" i="134"/>
  <c r="G59" i="134"/>
  <c r="G60" i="134"/>
  <c r="G61" i="134"/>
  <c r="G62" i="134"/>
  <c r="G63" i="134"/>
  <c r="G64" i="134"/>
  <c r="G65" i="134"/>
  <c r="G66" i="134"/>
  <c r="G67" i="134"/>
  <c r="G68" i="134"/>
  <c r="G69" i="134"/>
  <c r="G70" i="134"/>
  <c r="G71" i="134"/>
  <c r="G72" i="134"/>
  <c r="G73" i="134"/>
  <c r="G74" i="134"/>
  <c r="G75" i="134"/>
  <c r="G76" i="134"/>
  <c r="G77" i="134"/>
  <c r="G78" i="134"/>
  <c r="G79" i="134"/>
  <c r="G80" i="134"/>
  <c r="G81" i="134"/>
  <c r="G82" i="134"/>
  <c r="G83" i="134"/>
  <c r="G84" i="134"/>
  <c r="G85" i="134"/>
  <c r="G86" i="134"/>
  <c r="G87" i="134"/>
  <c r="G88" i="134"/>
  <c r="G89" i="134"/>
  <c r="G90" i="134"/>
  <c r="G91" i="134"/>
  <c r="G92" i="134"/>
  <c r="G93" i="134"/>
  <c r="G94" i="134"/>
  <c r="G95" i="134"/>
  <c r="G96" i="134"/>
  <c r="G97" i="134"/>
  <c r="G98" i="134"/>
  <c r="G99" i="134"/>
  <c r="G100" i="134"/>
  <c r="G101" i="134"/>
  <c r="G102" i="134"/>
  <c r="G103" i="134"/>
  <c r="G104" i="134"/>
  <c r="G105" i="134"/>
  <c r="G106" i="134"/>
  <c r="G107" i="134"/>
  <c r="G108" i="134"/>
  <c r="G109" i="134"/>
  <c r="G110" i="134"/>
  <c r="G111" i="134"/>
  <c r="G112" i="134"/>
  <c r="G113" i="134"/>
  <c r="G114" i="134"/>
  <c r="G115" i="134"/>
  <c r="G116" i="134"/>
  <c r="G117" i="134"/>
  <c r="G118" i="134"/>
  <c r="G119" i="134"/>
  <c r="G120" i="134"/>
  <c r="G121" i="134"/>
  <c r="G122" i="134"/>
  <c r="G123" i="134"/>
  <c r="G124" i="134"/>
  <c r="G125" i="134"/>
  <c r="G126" i="134"/>
  <c r="G127" i="134"/>
  <c r="G128" i="134"/>
  <c r="G129" i="134"/>
  <c r="G130" i="134"/>
  <c r="G131" i="134"/>
  <c r="G132" i="134"/>
  <c r="G133" i="134"/>
  <c r="G134" i="134"/>
  <c r="G135" i="134"/>
  <c r="G136" i="134"/>
  <c r="G137" i="134"/>
  <c r="G138" i="134"/>
  <c r="G139" i="134"/>
  <c r="G140" i="134"/>
  <c r="G141" i="134"/>
  <c r="G142" i="134"/>
  <c r="G143" i="134"/>
  <c r="G144" i="134"/>
  <c r="G145" i="134"/>
  <c r="G146" i="134"/>
  <c r="G147" i="134"/>
  <c r="G148" i="134"/>
  <c r="G149" i="134"/>
  <c r="G150" i="134"/>
  <c r="G151" i="134"/>
  <c r="G152" i="134"/>
  <c r="G153" i="134"/>
  <c r="G154" i="134"/>
  <c r="G155" i="134"/>
  <c r="G156" i="134"/>
  <c r="G157" i="134"/>
  <c r="G158" i="134"/>
  <c r="G159" i="134"/>
  <c r="G160" i="134"/>
  <c r="G25" i="136"/>
  <c r="G26" i="136"/>
  <c r="G27" i="136"/>
  <c r="G28" i="136"/>
  <c r="G29" i="136"/>
  <c r="G30" i="136"/>
  <c r="G31" i="136"/>
  <c r="G32" i="136"/>
  <c r="G33" i="136"/>
  <c r="G34" i="136"/>
  <c r="G35" i="136"/>
  <c r="G36" i="136"/>
  <c r="G37" i="136"/>
  <c r="G38" i="136"/>
  <c r="G39" i="136"/>
  <c r="G40" i="136"/>
  <c r="G41" i="136"/>
  <c r="G42" i="136"/>
  <c r="G43" i="136"/>
  <c r="G44" i="136"/>
  <c r="G45" i="136"/>
  <c r="G46" i="136"/>
  <c r="G47" i="136"/>
  <c r="G48" i="136"/>
  <c r="G49" i="136"/>
  <c r="G50" i="136"/>
  <c r="G51" i="136"/>
  <c r="G52" i="136"/>
  <c r="G53" i="136"/>
  <c r="G54" i="136"/>
  <c r="G55" i="136"/>
  <c r="G56" i="136"/>
  <c r="G57" i="136"/>
  <c r="G58" i="136"/>
  <c r="G59" i="136"/>
  <c r="G60" i="136"/>
  <c r="G61" i="136"/>
  <c r="G62" i="136"/>
  <c r="G63" i="136"/>
  <c r="G64" i="136"/>
  <c r="G65" i="136"/>
  <c r="G66" i="136"/>
  <c r="G67" i="136"/>
  <c r="G68" i="136"/>
  <c r="G69" i="136"/>
  <c r="G70" i="136"/>
  <c r="G71" i="136"/>
  <c r="G72" i="136"/>
  <c r="G73" i="136"/>
  <c r="G74" i="136"/>
  <c r="G75" i="136"/>
  <c r="G76" i="136"/>
  <c r="G77" i="136"/>
  <c r="G78" i="136"/>
  <c r="G79" i="136"/>
  <c r="G80" i="136"/>
  <c r="G81" i="136"/>
  <c r="G82" i="136"/>
  <c r="G83" i="136"/>
  <c r="G84" i="136"/>
  <c r="G85" i="136"/>
  <c r="G86" i="136"/>
  <c r="G87" i="136"/>
  <c r="G88" i="136"/>
  <c r="G89" i="136"/>
  <c r="G90" i="136"/>
  <c r="G91" i="136"/>
  <c r="G92" i="136"/>
  <c r="G93" i="136"/>
  <c r="G94" i="136"/>
  <c r="G95" i="136"/>
  <c r="G96" i="136"/>
  <c r="G97" i="136"/>
  <c r="G98" i="136"/>
  <c r="G99" i="136"/>
  <c r="G100" i="136"/>
  <c r="G101" i="136"/>
  <c r="G102" i="136"/>
  <c r="G103" i="136"/>
  <c r="G104" i="136"/>
  <c r="G105" i="136"/>
  <c r="G106" i="136"/>
  <c r="G107" i="136"/>
  <c r="G108" i="136"/>
  <c r="G109" i="136"/>
  <c r="G110" i="136"/>
  <c r="G111" i="136"/>
  <c r="G112" i="136"/>
  <c r="G113" i="136"/>
  <c r="G114" i="136"/>
  <c r="G115" i="136"/>
  <c r="G116" i="136"/>
  <c r="G117" i="136"/>
  <c r="G118" i="136"/>
  <c r="G119" i="136"/>
  <c r="G120" i="136"/>
  <c r="G121" i="136"/>
  <c r="G122" i="136"/>
  <c r="G123" i="136"/>
  <c r="G124" i="136"/>
  <c r="G125" i="136"/>
  <c r="G126" i="136"/>
  <c r="G127" i="136"/>
  <c r="G128" i="136"/>
  <c r="G129" i="136"/>
  <c r="G130" i="136"/>
  <c r="G131" i="136"/>
  <c r="G132" i="136"/>
  <c r="G133" i="136"/>
  <c r="G134" i="136"/>
  <c r="G135" i="136"/>
  <c r="G136" i="136"/>
  <c r="G137" i="136"/>
  <c r="G138" i="136"/>
  <c r="G139" i="136"/>
  <c r="G140" i="136"/>
  <c r="G141" i="136"/>
  <c r="G142" i="136"/>
  <c r="G143" i="136"/>
  <c r="G144" i="136"/>
  <c r="G145" i="136"/>
  <c r="G146" i="136"/>
  <c r="G147" i="136"/>
  <c r="G148" i="136"/>
  <c r="G149" i="136"/>
  <c r="G150" i="136"/>
  <c r="G151" i="136"/>
  <c r="G152" i="136"/>
  <c r="G153" i="136"/>
  <c r="G154" i="136"/>
  <c r="G155" i="136"/>
  <c r="G156" i="136"/>
  <c r="G157" i="136"/>
  <c r="G158" i="136"/>
  <c r="G159" i="136"/>
  <c r="G160" i="136"/>
  <c r="G25" i="118"/>
  <c r="G26" i="118"/>
  <c r="G27" i="118"/>
  <c r="G28" i="118"/>
  <c r="G29" i="118"/>
  <c r="G30" i="118"/>
  <c r="G31" i="118"/>
  <c r="G32" i="118"/>
  <c r="G33" i="118"/>
  <c r="G34" i="118"/>
  <c r="G35" i="118"/>
  <c r="G36" i="118"/>
  <c r="G37" i="118"/>
  <c r="G38" i="118"/>
  <c r="G39" i="118"/>
  <c r="G40" i="118"/>
  <c r="G41" i="118"/>
  <c r="G42" i="118"/>
  <c r="G43" i="118"/>
  <c r="G44" i="118"/>
  <c r="G45" i="118"/>
  <c r="G46" i="118"/>
  <c r="G47" i="118"/>
  <c r="G48" i="118"/>
  <c r="G49" i="118"/>
  <c r="G50" i="118"/>
  <c r="G51" i="118"/>
  <c r="G52" i="118"/>
  <c r="G53" i="118"/>
  <c r="G54" i="118"/>
  <c r="G55" i="118"/>
  <c r="G56" i="118"/>
  <c r="G57" i="118"/>
  <c r="G58" i="118"/>
  <c r="G59" i="118"/>
  <c r="G60" i="118"/>
  <c r="G61" i="118"/>
  <c r="G62" i="118"/>
  <c r="G63" i="118"/>
  <c r="G64" i="118"/>
  <c r="G65" i="118"/>
  <c r="G66" i="118"/>
  <c r="G67" i="118"/>
  <c r="G68" i="118"/>
  <c r="G69" i="118"/>
  <c r="G70" i="118"/>
  <c r="G71" i="118"/>
  <c r="G72" i="118"/>
  <c r="G73" i="118"/>
  <c r="G74" i="118"/>
  <c r="G75" i="118"/>
  <c r="G76" i="118"/>
  <c r="G77" i="118"/>
  <c r="G78" i="118"/>
  <c r="G79" i="118"/>
  <c r="G80" i="118"/>
  <c r="G81" i="118"/>
  <c r="G82" i="118"/>
  <c r="G83" i="118"/>
  <c r="G84" i="118"/>
  <c r="G85" i="118"/>
  <c r="G86" i="118"/>
  <c r="G87" i="118"/>
  <c r="G88" i="118"/>
  <c r="G89" i="118"/>
  <c r="G90" i="118"/>
  <c r="G91" i="118"/>
  <c r="G92" i="118"/>
  <c r="G93" i="118"/>
  <c r="G94" i="118"/>
  <c r="G95" i="118"/>
  <c r="G96" i="118"/>
  <c r="G97" i="118"/>
  <c r="G98" i="118"/>
  <c r="G99" i="118"/>
  <c r="G100" i="118"/>
  <c r="G101" i="118"/>
  <c r="G102" i="118"/>
  <c r="G103" i="118"/>
  <c r="G104" i="118"/>
  <c r="G105" i="118"/>
  <c r="G106" i="118"/>
  <c r="G107" i="118"/>
  <c r="G108" i="118"/>
  <c r="G109" i="118"/>
  <c r="G110" i="118"/>
  <c r="G111" i="118"/>
  <c r="G112" i="118"/>
  <c r="G113" i="118"/>
  <c r="G114" i="118"/>
  <c r="G115" i="118"/>
  <c r="G116" i="118"/>
  <c r="G117" i="118"/>
  <c r="G118" i="118"/>
  <c r="G119" i="118"/>
  <c r="G120" i="118"/>
  <c r="G121" i="118"/>
  <c r="G122" i="118"/>
  <c r="G123" i="118"/>
  <c r="G124" i="118"/>
  <c r="G125" i="118"/>
  <c r="G126" i="118"/>
  <c r="G127" i="118"/>
  <c r="G128" i="118"/>
  <c r="G129" i="118"/>
  <c r="G130" i="118"/>
  <c r="G131" i="118"/>
  <c r="G132" i="118"/>
  <c r="G133" i="118"/>
  <c r="G134" i="118"/>
  <c r="G135" i="118"/>
  <c r="G136" i="118"/>
  <c r="G137" i="118"/>
  <c r="G138" i="118"/>
  <c r="G139" i="118"/>
  <c r="G140" i="118"/>
  <c r="G141" i="118"/>
  <c r="G142" i="118"/>
  <c r="G143" i="118"/>
  <c r="G144" i="118"/>
  <c r="G145" i="118"/>
  <c r="G146" i="118"/>
  <c r="G147" i="118"/>
  <c r="G148" i="118"/>
  <c r="G149" i="118"/>
  <c r="G150" i="118"/>
  <c r="G151" i="118"/>
  <c r="G152" i="118"/>
  <c r="G153" i="118"/>
  <c r="G154" i="118"/>
  <c r="G155" i="118"/>
  <c r="G156" i="118"/>
  <c r="G157" i="118"/>
  <c r="G158" i="118"/>
  <c r="G159" i="118"/>
  <c r="G160" i="118"/>
  <c r="G25" i="135"/>
  <c r="G26" i="135"/>
  <c r="G27" i="135"/>
  <c r="G28" i="135"/>
  <c r="G29" i="135"/>
  <c r="G30" i="135"/>
  <c r="G31" i="135"/>
  <c r="G32" i="135"/>
  <c r="G33" i="135"/>
  <c r="G34" i="135"/>
  <c r="G35" i="135"/>
  <c r="G36" i="135"/>
  <c r="G37" i="135"/>
  <c r="G38" i="135"/>
  <c r="G39" i="135"/>
  <c r="G40" i="135"/>
  <c r="G41" i="135"/>
  <c r="G42" i="135"/>
  <c r="G43" i="135"/>
  <c r="G44" i="135"/>
  <c r="G45" i="135"/>
  <c r="G46" i="135"/>
  <c r="G47" i="135"/>
  <c r="G48" i="135"/>
  <c r="G49" i="135"/>
  <c r="G50" i="135"/>
  <c r="G51" i="135"/>
  <c r="G52" i="135"/>
  <c r="G53" i="135"/>
  <c r="G54" i="135"/>
  <c r="G55" i="135"/>
  <c r="G56" i="135"/>
  <c r="G57" i="135"/>
  <c r="G58" i="135"/>
  <c r="G59" i="135"/>
  <c r="G60" i="135"/>
  <c r="G61" i="135"/>
  <c r="G62" i="135"/>
  <c r="G63" i="135"/>
  <c r="G64" i="135"/>
  <c r="G65" i="135"/>
  <c r="G66" i="135"/>
  <c r="G67" i="135"/>
  <c r="G68" i="135"/>
  <c r="G69" i="135"/>
  <c r="G70" i="135"/>
  <c r="G71" i="135"/>
  <c r="G72" i="135"/>
  <c r="G73" i="135"/>
  <c r="G74" i="135"/>
  <c r="G75" i="135"/>
  <c r="G76" i="135"/>
  <c r="G77" i="135"/>
  <c r="G78" i="135"/>
  <c r="G79" i="135"/>
  <c r="G80" i="135"/>
  <c r="G81" i="135"/>
  <c r="G82" i="135"/>
  <c r="G83" i="135"/>
  <c r="G84" i="135"/>
  <c r="G85" i="135"/>
  <c r="G86" i="135"/>
  <c r="G87" i="135"/>
  <c r="G88" i="135"/>
  <c r="G89" i="135"/>
  <c r="G90" i="135"/>
  <c r="G91" i="135"/>
  <c r="G92" i="135"/>
  <c r="G93" i="135"/>
  <c r="G94" i="135"/>
  <c r="G95" i="135"/>
  <c r="G96" i="135"/>
  <c r="G97" i="135"/>
  <c r="G98" i="135"/>
  <c r="G99" i="135"/>
  <c r="G100" i="135"/>
  <c r="G101" i="135"/>
  <c r="G102" i="135"/>
  <c r="G103" i="135"/>
  <c r="G104" i="135"/>
  <c r="G105" i="135"/>
  <c r="G106" i="135"/>
  <c r="G107" i="135"/>
  <c r="G108" i="135"/>
  <c r="G109" i="135"/>
  <c r="G110" i="135"/>
  <c r="G111" i="135"/>
  <c r="G112" i="135"/>
  <c r="G113" i="135"/>
  <c r="G114" i="135"/>
  <c r="G115" i="135"/>
  <c r="G116" i="135"/>
  <c r="G117" i="135"/>
  <c r="G118" i="135"/>
  <c r="G119" i="135"/>
  <c r="G120" i="135"/>
  <c r="G121" i="135"/>
  <c r="G122" i="135"/>
  <c r="G123" i="135"/>
  <c r="G124" i="135"/>
  <c r="G125" i="135"/>
  <c r="G126" i="135"/>
  <c r="G127" i="135"/>
  <c r="G128" i="135"/>
  <c r="G129" i="135"/>
  <c r="G130" i="135"/>
  <c r="G131" i="135"/>
  <c r="G132" i="135"/>
  <c r="G133" i="135"/>
  <c r="G134" i="135"/>
  <c r="G135" i="135"/>
  <c r="G136" i="135"/>
  <c r="G137" i="135"/>
  <c r="G138" i="135"/>
  <c r="G139" i="135"/>
  <c r="G140" i="135"/>
  <c r="G141" i="135"/>
  <c r="G142" i="135"/>
  <c r="G143" i="135"/>
  <c r="G144" i="135"/>
  <c r="G145" i="135"/>
  <c r="G146" i="135"/>
  <c r="G147" i="135"/>
  <c r="G148" i="135"/>
  <c r="G149" i="135"/>
  <c r="G150" i="135"/>
  <c r="G151" i="135"/>
  <c r="G152" i="135"/>
  <c r="G153" i="135"/>
  <c r="G154" i="135"/>
  <c r="G155" i="135"/>
  <c r="G156" i="135"/>
  <c r="G157" i="135"/>
  <c r="G158" i="135"/>
  <c r="G159" i="135"/>
  <c r="G160" i="135"/>
  <c r="G25" i="138"/>
  <c r="G26" i="138"/>
  <c r="G27" i="138"/>
  <c r="G28" i="138"/>
  <c r="G29" i="138"/>
  <c r="G30" i="138"/>
  <c r="G31" i="138"/>
  <c r="G32" i="138"/>
  <c r="G33" i="138"/>
  <c r="G34" i="138"/>
  <c r="G35" i="138"/>
  <c r="G36" i="138"/>
  <c r="G37" i="138"/>
  <c r="G38" i="138"/>
  <c r="G39" i="138"/>
  <c r="G40" i="138"/>
  <c r="G41" i="138"/>
  <c r="G42" i="138"/>
  <c r="G43" i="138"/>
  <c r="G44" i="138"/>
  <c r="G45" i="138"/>
  <c r="G46" i="138"/>
  <c r="G47" i="138"/>
  <c r="G48" i="138"/>
  <c r="G49" i="138"/>
  <c r="G50" i="138"/>
  <c r="G51" i="138"/>
  <c r="G52" i="138"/>
  <c r="G53" i="138"/>
  <c r="G54" i="138"/>
  <c r="G55" i="138"/>
  <c r="G56" i="138"/>
  <c r="G57" i="138"/>
  <c r="G58" i="138"/>
  <c r="G59" i="138"/>
  <c r="G60" i="138"/>
  <c r="G61" i="138"/>
  <c r="G62" i="138"/>
  <c r="G63" i="138"/>
  <c r="G64" i="138"/>
  <c r="G65" i="138"/>
  <c r="G66" i="138"/>
  <c r="G67" i="138"/>
  <c r="G68" i="138"/>
  <c r="G69" i="138"/>
  <c r="G70" i="138"/>
  <c r="G71" i="138"/>
  <c r="G72" i="138"/>
  <c r="G73" i="138"/>
  <c r="G74" i="138"/>
  <c r="G75" i="138"/>
  <c r="G76" i="138"/>
  <c r="G77" i="138"/>
  <c r="G78" i="138"/>
  <c r="G79" i="138"/>
  <c r="G80" i="138"/>
  <c r="G81" i="138"/>
  <c r="G82" i="138"/>
  <c r="G83" i="138"/>
  <c r="G84" i="138"/>
  <c r="G85" i="138"/>
  <c r="G86" i="138"/>
  <c r="G87" i="138"/>
  <c r="G88" i="138"/>
  <c r="G89" i="138"/>
  <c r="G90" i="138"/>
  <c r="G91" i="138"/>
  <c r="G92" i="138"/>
  <c r="G93" i="138"/>
  <c r="G94" i="138"/>
  <c r="G95" i="138"/>
  <c r="G96" i="138"/>
  <c r="G97" i="138"/>
  <c r="G98" i="138"/>
  <c r="G99" i="138"/>
  <c r="G100" i="138"/>
  <c r="G101" i="138"/>
  <c r="G102" i="138"/>
  <c r="G103" i="138"/>
  <c r="G104" i="138"/>
  <c r="G105" i="138"/>
  <c r="G106" i="138"/>
  <c r="G107" i="138"/>
  <c r="G108" i="138"/>
  <c r="G109" i="138"/>
  <c r="G110" i="138"/>
  <c r="G111" i="138"/>
  <c r="G112" i="138"/>
  <c r="G113" i="138"/>
  <c r="G114" i="138"/>
  <c r="G115" i="138"/>
  <c r="G116" i="138"/>
  <c r="G117" i="138"/>
  <c r="G118" i="138"/>
  <c r="G119" i="138"/>
  <c r="G120" i="138"/>
  <c r="G121" i="138"/>
  <c r="G122" i="138"/>
  <c r="G123" i="138"/>
  <c r="G124" i="138"/>
  <c r="G125" i="138"/>
  <c r="G126" i="138"/>
  <c r="G127" i="138"/>
  <c r="G128" i="138"/>
  <c r="G129" i="138"/>
  <c r="G130" i="138"/>
  <c r="G131" i="138"/>
  <c r="G132" i="138"/>
  <c r="G133" i="138"/>
  <c r="G134" i="138"/>
  <c r="G135" i="138"/>
  <c r="G136" i="138"/>
  <c r="G137" i="138"/>
  <c r="G138" i="138"/>
  <c r="G139" i="138"/>
  <c r="G140" i="138"/>
  <c r="G141" i="138"/>
  <c r="G142" i="138"/>
  <c r="G143" i="138"/>
  <c r="G144" i="138"/>
  <c r="G145" i="138"/>
  <c r="G146" i="138"/>
  <c r="G147" i="138"/>
  <c r="G148" i="138"/>
  <c r="G149" i="138"/>
  <c r="G150" i="138"/>
  <c r="G151" i="138"/>
  <c r="G152" i="138"/>
  <c r="G153" i="138"/>
  <c r="G154" i="138"/>
  <c r="G155" i="138"/>
  <c r="G156" i="138"/>
  <c r="G157" i="138"/>
  <c r="G158" i="138"/>
  <c r="G159" i="138"/>
  <c r="G160" i="138"/>
  <c r="G25" i="133"/>
  <c r="G26" i="133"/>
  <c r="G27" i="133"/>
  <c r="G28" i="133"/>
  <c r="G29" i="133"/>
  <c r="G30" i="133"/>
  <c r="G31" i="133"/>
  <c r="G32" i="133"/>
  <c r="G33" i="133"/>
  <c r="G34" i="133"/>
  <c r="G35" i="133"/>
  <c r="G36" i="133"/>
  <c r="G37" i="133"/>
  <c r="G38" i="133"/>
  <c r="G39" i="133"/>
  <c r="G40" i="133"/>
  <c r="G41" i="133"/>
  <c r="G42" i="133"/>
  <c r="G43" i="133"/>
  <c r="G44" i="133"/>
  <c r="G45" i="133"/>
  <c r="G46" i="133"/>
  <c r="G47" i="133"/>
  <c r="G48" i="133"/>
  <c r="G49" i="133"/>
  <c r="G50" i="133"/>
  <c r="G51" i="133"/>
  <c r="G52" i="133"/>
  <c r="G53" i="133"/>
  <c r="G54" i="133"/>
  <c r="G55" i="133"/>
  <c r="G56" i="133"/>
  <c r="G57" i="133"/>
  <c r="G58" i="133"/>
  <c r="G59" i="133"/>
  <c r="G60" i="133"/>
  <c r="G61" i="133"/>
  <c r="G62" i="133"/>
  <c r="G63" i="133"/>
  <c r="G64" i="133"/>
  <c r="G65" i="133"/>
  <c r="G66" i="133"/>
  <c r="G67" i="133"/>
  <c r="G68" i="133"/>
  <c r="G69" i="133"/>
  <c r="G70" i="133"/>
  <c r="G71" i="133"/>
  <c r="G72" i="133"/>
  <c r="G73" i="133"/>
  <c r="G74" i="133"/>
  <c r="G75" i="133"/>
  <c r="G76" i="133"/>
  <c r="G77" i="133"/>
  <c r="G78" i="133"/>
  <c r="G79" i="133"/>
  <c r="G80" i="133"/>
  <c r="G81" i="133"/>
  <c r="G82" i="133"/>
  <c r="G83" i="133"/>
  <c r="G84" i="133"/>
  <c r="G85" i="133"/>
  <c r="G86" i="133"/>
  <c r="G87" i="133"/>
  <c r="G88" i="133"/>
  <c r="G89" i="133"/>
  <c r="G90" i="133"/>
  <c r="G91" i="133"/>
  <c r="G92" i="133"/>
  <c r="G93" i="133"/>
  <c r="G94" i="133"/>
  <c r="G95" i="133"/>
  <c r="G96" i="133"/>
  <c r="G97" i="133"/>
  <c r="G98" i="133"/>
  <c r="G99" i="133"/>
  <c r="G100" i="133"/>
  <c r="G101" i="133"/>
  <c r="G102" i="133"/>
  <c r="G103" i="133"/>
  <c r="G104" i="133"/>
  <c r="G105" i="133"/>
  <c r="G106" i="133"/>
  <c r="G107" i="133"/>
  <c r="G108" i="133"/>
  <c r="G109" i="133"/>
  <c r="G110" i="133"/>
  <c r="G111" i="133"/>
  <c r="G112" i="133"/>
  <c r="G113" i="133"/>
  <c r="G114" i="133"/>
  <c r="G115" i="133"/>
  <c r="G116" i="133"/>
  <c r="G117" i="133"/>
  <c r="G118" i="133"/>
  <c r="G119" i="133"/>
  <c r="G120" i="133"/>
  <c r="G121" i="133"/>
  <c r="G122" i="133"/>
  <c r="G123" i="133"/>
  <c r="G124" i="133"/>
  <c r="G125" i="133"/>
  <c r="G126" i="133"/>
  <c r="G127" i="133"/>
  <c r="G128" i="133"/>
  <c r="G129" i="133"/>
  <c r="G130" i="133"/>
  <c r="G131" i="133"/>
  <c r="G132" i="133"/>
  <c r="G133" i="133"/>
  <c r="G134" i="133"/>
  <c r="G135" i="133"/>
  <c r="G136" i="133"/>
  <c r="G137" i="133"/>
  <c r="G138" i="133"/>
  <c r="G139" i="133"/>
  <c r="G140" i="133"/>
  <c r="G141" i="133"/>
  <c r="G142" i="133"/>
  <c r="G143" i="133"/>
  <c r="G144" i="133"/>
  <c r="G145" i="133"/>
  <c r="G146" i="133"/>
  <c r="G147" i="133"/>
  <c r="G148" i="133"/>
  <c r="G149" i="133"/>
  <c r="G150" i="133"/>
  <c r="G151" i="133"/>
  <c r="G152" i="133"/>
  <c r="G153" i="133"/>
  <c r="G154" i="133"/>
  <c r="G155" i="133"/>
  <c r="G156" i="133"/>
  <c r="G157" i="133"/>
  <c r="G158" i="133"/>
  <c r="G159" i="133"/>
  <c r="G160" i="133"/>
  <c r="G25" i="162"/>
  <c r="G26" i="162"/>
  <c r="G27" i="162"/>
  <c r="G28" i="162"/>
  <c r="G29" i="162"/>
  <c r="G30" i="162"/>
  <c r="G31" i="162"/>
  <c r="G32" i="162"/>
  <c r="G33" i="162"/>
  <c r="G34" i="162"/>
  <c r="G35" i="162"/>
  <c r="G36" i="162"/>
  <c r="G37" i="162"/>
  <c r="G38" i="162"/>
  <c r="G39" i="162"/>
  <c r="G40" i="162"/>
  <c r="G41" i="162"/>
  <c r="G42" i="162"/>
  <c r="G43" i="162"/>
  <c r="G44" i="162"/>
  <c r="G45" i="162"/>
  <c r="G46" i="162"/>
  <c r="G47" i="162"/>
  <c r="G48" i="162"/>
  <c r="G49" i="162"/>
  <c r="G50" i="162"/>
  <c r="G51" i="162"/>
  <c r="G52" i="162"/>
  <c r="G53" i="162"/>
  <c r="G54" i="162"/>
  <c r="G55" i="162"/>
  <c r="G56" i="162"/>
  <c r="G57" i="162"/>
  <c r="G58" i="162"/>
  <c r="G59" i="162"/>
  <c r="G60" i="162"/>
  <c r="G61" i="162"/>
  <c r="G62" i="162"/>
  <c r="G63" i="162"/>
  <c r="G64" i="162"/>
  <c r="G65" i="162"/>
  <c r="G66" i="162"/>
  <c r="G67" i="162"/>
  <c r="G68" i="162"/>
  <c r="G69" i="162"/>
  <c r="G70" i="162"/>
  <c r="G71" i="162"/>
  <c r="G72" i="162"/>
  <c r="G73" i="162"/>
  <c r="G74" i="162"/>
  <c r="G75" i="162"/>
  <c r="G76" i="162"/>
  <c r="G77" i="162"/>
  <c r="G78" i="162"/>
  <c r="G79" i="162"/>
  <c r="G80" i="162"/>
  <c r="G81" i="162"/>
  <c r="G82" i="162"/>
  <c r="G83" i="162"/>
  <c r="G84" i="162"/>
  <c r="G85" i="162"/>
  <c r="G86" i="162"/>
  <c r="G87" i="162"/>
  <c r="G88" i="162"/>
  <c r="G89" i="162"/>
  <c r="G90" i="162"/>
  <c r="G91" i="162"/>
  <c r="G92" i="162"/>
  <c r="G93" i="162"/>
  <c r="G94" i="162"/>
  <c r="G95" i="162"/>
  <c r="G96" i="162"/>
  <c r="G97" i="162"/>
  <c r="G98" i="162"/>
  <c r="G99" i="162"/>
  <c r="G100" i="162"/>
  <c r="G101" i="162"/>
  <c r="G102" i="162"/>
  <c r="G103" i="162"/>
  <c r="G104" i="162"/>
  <c r="G105" i="162"/>
  <c r="G106" i="162"/>
  <c r="G107" i="162"/>
  <c r="G108" i="162"/>
  <c r="G109" i="162"/>
  <c r="G110" i="162"/>
  <c r="G111" i="162"/>
  <c r="G112" i="162"/>
  <c r="G113" i="162"/>
  <c r="G114" i="162"/>
  <c r="G115" i="162"/>
  <c r="G116" i="162"/>
  <c r="G117" i="162"/>
  <c r="G118" i="162"/>
  <c r="G119" i="162"/>
  <c r="G120" i="162"/>
  <c r="G121" i="162"/>
  <c r="G122" i="162"/>
  <c r="G123" i="162"/>
  <c r="G124" i="162"/>
  <c r="G125" i="162"/>
  <c r="G126" i="162"/>
  <c r="G127" i="162"/>
  <c r="G128" i="162"/>
  <c r="G129" i="162"/>
  <c r="G130" i="162"/>
  <c r="G131" i="162"/>
  <c r="G132" i="162"/>
  <c r="G133" i="162"/>
  <c r="G134" i="162"/>
  <c r="G135" i="162"/>
  <c r="G136" i="162"/>
  <c r="G137" i="162"/>
  <c r="G138" i="162"/>
  <c r="G139" i="162"/>
  <c r="G140" i="162"/>
  <c r="G141" i="162"/>
  <c r="G142" i="162"/>
  <c r="G143" i="162"/>
  <c r="G144" i="162"/>
  <c r="G145" i="162"/>
  <c r="G146" i="162"/>
  <c r="G147" i="162"/>
  <c r="G148" i="162"/>
  <c r="G149" i="162"/>
  <c r="G150" i="162"/>
  <c r="G151" i="162"/>
  <c r="G152" i="162"/>
  <c r="G153" i="162"/>
  <c r="G154" i="162"/>
  <c r="G155" i="162"/>
  <c r="G156" i="162"/>
  <c r="G157" i="162"/>
  <c r="G158" i="162"/>
  <c r="G159" i="162"/>
  <c r="G160" i="162"/>
  <c r="G25" i="131"/>
  <c r="G26" i="131"/>
  <c r="G27" i="131"/>
  <c r="G28" i="131"/>
  <c r="G29" i="131"/>
  <c r="G30" i="131"/>
  <c r="G31" i="131"/>
  <c r="G32" i="131"/>
  <c r="G33" i="131"/>
  <c r="G34" i="131"/>
  <c r="G35" i="131"/>
  <c r="G36" i="131"/>
  <c r="G37" i="131"/>
  <c r="G38" i="131"/>
  <c r="G39" i="131"/>
  <c r="G40" i="131"/>
  <c r="G41" i="131"/>
  <c r="G42" i="131"/>
  <c r="G43" i="131"/>
  <c r="G44" i="131"/>
  <c r="G45" i="131"/>
  <c r="G46" i="131"/>
  <c r="G47" i="131"/>
  <c r="G48" i="131"/>
  <c r="G49" i="131"/>
  <c r="G50" i="131"/>
  <c r="G51" i="131"/>
  <c r="G52" i="131"/>
  <c r="G53" i="131"/>
  <c r="G54" i="131"/>
  <c r="G55" i="131"/>
  <c r="G56" i="131"/>
  <c r="G57" i="131"/>
  <c r="G58" i="131"/>
  <c r="G59" i="131"/>
  <c r="G60" i="131"/>
  <c r="G61" i="131"/>
  <c r="G62" i="131"/>
  <c r="G63" i="131"/>
  <c r="G64" i="131"/>
  <c r="G65" i="131"/>
  <c r="G66" i="131"/>
  <c r="G67" i="131"/>
  <c r="G68" i="131"/>
  <c r="G69" i="131"/>
  <c r="G70" i="131"/>
  <c r="G71" i="131"/>
  <c r="G72" i="131"/>
  <c r="G73" i="131"/>
  <c r="G74" i="131"/>
  <c r="G75" i="131"/>
  <c r="G76" i="131"/>
  <c r="G77" i="131"/>
  <c r="G78" i="131"/>
  <c r="G79" i="131"/>
  <c r="G80" i="131"/>
  <c r="G81" i="131"/>
  <c r="G82" i="131"/>
  <c r="G83" i="131"/>
  <c r="G84" i="131"/>
  <c r="G85" i="131"/>
  <c r="G86" i="131"/>
  <c r="G87" i="131"/>
  <c r="G88" i="131"/>
  <c r="G89" i="131"/>
  <c r="G90" i="131"/>
  <c r="G91" i="131"/>
  <c r="G92" i="131"/>
  <c r="G93" i="131"/>
  <c r="G94" i="131"/>
  <c r="G95" i="131"/>
  <c r="G96" i="131"/>
  <c r="G97" i="131"/>
  <c r="G98" i="131"/>
  <c r="G99" i="131"/>
  <c r="G100" i="131"/>
  <c r="G101" i="131"/>
  <c r="G102" i="131"/>
  <c r="G103" i="131"/>
  <c r="G104" i="131"/>
  <c r="G105" i="131"/>
  <c r="G106" i="131"/>
  <c r="G107" i="131"/>
  <c r="G108" i="131"/>
  <c r="G109" i="131"/>
  <c r="G110" i="131"/>
  <c r="G111" i="131"/>
  <c r="G112" i="131"/>
  <c r="G113" i="131"/>
  <c r="G114" i="131"/>
  <c r="G115" i="131"/>
  <c r="G116" i="131"/>
  <c r="G117" i="131"/>
  <c r="G118" i="131"/>
  <c r="G119" i="131"/>
  <c r="G120" i="131"/>
  <c r="G121" i="131"/>
  <c r="G122" i="131"/>
  <c r="G123" i="131"/>
  <c r="G124" i="131"/>
  <c r="G125" i="131"/>
  <c r="G126" i="131"/>
  <c r="G127" i="131"/>
  <c r="G128" i="131"/>
  <c r="G129" i="131"/>
  <c r="G130" i="131"/>
  <c r="G131" i="131"/>
  <c r="G132" i="131"/>
  <c r="G133" i="131"/>
  <c r="G134" i="131"/>
  <c r="G135" i="131"/>
  <c r="G136" i="131"/>
  <c r="G137" i="131"/>
  <c r="G138" i="131"/>
  <c r="G139" i="131"/>
  <c r="G140" i="131"/>
  <c r="G141" i="131"/>
  <c r="G142" i="131"/>
  <c r="G143" i="131"/>
  <c r="G144" i="131"/>
  <c r="G145" i="131"/>
  <c r="G146" i="131"/>
  <c r="G147" i="131"/>
  <c r="G148" i="131"/>
  <c r="G149" i="131"/>
  <c r="G150" i="131"/>
  <c r="G151" i="131"/>
  <c r="G152" i="131"/>
  <c r="G153" i="131"/>
  <c r="G154" i="131"/>
  <c r="G155" i="131"/>
  <c r="G156" i="131"/>
  <c r="G157" i="131"/>
  <c r="G158" i="131"/>
  <c r="G159" i="131"/>
  <c r="G160" i="131"/>
  <c r="G25" i="129"/>
  <c r="G26" i="129"/>
  <c r="G27" i="129"/>
  <c r="G28" i="129"/>
  <c r="G29" i="129"/>
  <c r="G30" i="129"/>
  <c r="G31" i="129"/>
  <c r="G32" i="129"/>
  <c r="G33" i="129"/>
  <c r="G34" i="129"/>
  <c r="G35" i="129"/>
  <c r="G36" i="129"/>
  <c r="G37" i="129"/>
  <c r="G38" i="129"/>
  <c r="G39" i="129"/>
  <c r="G40" i="129"/>
  <c r="G41" i="129"/>
  <c r="G42" i="129"/>
  <c r="G43" i="129"/>
  <c r="G44" i="129"/>
  <c r="G45" i="129"/>
  <c r="G46" i="129"/>
  <c r="G47" i="129"/>
  <c r="G48" i="129"/>
  <c r="G49" i="129"/>
  <c r="G50" i="129"/>
  <c r="G51" i="129"/>
  <c r="G52" i="129"/>
  <c r="G53" i="129"/>
  <c r="G54" i="129"/>
  <c r="G55" i="129"/>
  <c r="G56" i="129"/>
  <c r="G57" i="129"/>
  <c r="G58" i="129"/>
  <c r="G59" i="129"/>
  <c r="G60" i="129"/>
  <c r="G61" i="129"/>
  <c r="G62" i="129"/>
  <c r="G63" i="129"/>
  <c r="G64" i="129"/>
  <c r="G65" i="129"/>
  <c r="G66" i="129"/>
  <c r="G67" i="129"/>
  <c r="G68" i="129"/>
  <c r="G69" i="129"/>
  <c r="G70" i="129"/>
  <c r="G71" i="129"/>
  <c r="G72" i="129"/>
  <c r="G73" i="129"/>
  <c r="G74" i="129"/>
  <c r="G75" i="129"/>
  <c r="G76" i="129"/>
  <c r="G77" i="129"/>
  <c r="G78" i="129"/>
  <c r="G79" i="129"/>
  <c r="G80" i="129"/>
  <c r="G81" i="129"/>
  <c r="G82" i="129"/>
  <c r="G83" i="129"/>
  <c r="G84" i="129"/>
  <c r="G85" i="129"/>
  <c r="G86" i="129"/>
  <c r="G87" i="129"/>
  <c r="G88" i="129"/>
  <c r="G89" i="129"/>
  <c r="G90" i="129"/>
  <c r="G91" i="129"/>
  <c r="G92" i="129"/>
  <c r="G93" i="129"/>
  <c r="G94" i="129"/>
  <c r="G95" i="129"/>
  <c r="G96" i="129"/>
  <c r="G97" i="129"/>
  <c r="G98" i="129"/>
  <c r="G99" i="129"/>
  <c r="G100" i="129"/>
  <c r="G101" i="129"/>
  <c r="G102" i="129"/>
  <c r="G103" i="129"/>
  <c r="G104" i="129"/>
  <c r="G105" i="129"/>
  <c r="G106" i="129"/>
  <c r="G107" i="129"/>
  <c r="G108" i="129"/>
  <c r="G109" i="129"/>
  <c r="G110" i="129"/>
  <c r="G111" i="129"/>
  <c r="G112" i="129"/>
  <c r="G113" i="129"/>
  <c r="G114" i="129"/>
  <c r="G115" i="129"/>
  <c r="G116" i="129"/>
  <c r="G117" i="129"/>
  <c r="G118" i="129"/>
  <c r="G119" i="129"/>
  <c r="G120" i="129"/>
  <c r="G121" i="129"/>
  <c r="G122" i="129"/>
  <c r="G123" i="129"/>
  <c r="G124" i="129"/>
  <c r="G125" i="129"/>
  <c r="G126" i="129"/>
  <c r="G127" i="129"/>
  <c r="G128" i="129"/>
  <c r="G129" i="129"/>
  <c r="G130" i="129"/>
  <c r="G131" i="129"/>
  <c r="G132" i="129"/>
  <c r="G133" i="129"/>
  <c r="G134" i="129"/>
  <c r="G135" i="129"/>
  <c r="G136" i="129"/>
  <c r="G137" i="129"/>
  <c r="G138" i="129"/>
  <c r="G139" i="129"/>
  <c r="G140" i="129"/>
  <c r="G141" i="129"/>
  <c r="G142" i="129"/>
  <c r="G143" i="129"/>
  <c r="G144" i="129"/>
  <c r="G145" i="129"/>
  <c r="G146" i="129"/>
  <c r="G147" i="129"/>
  <c r="G148" i="129"/>
  <c r="G149" i="129"/>
  <c r="G150" i="129"/>
  <c r="G151" i="129"/>
  <c r="G152" i="129"/>
  <c r="G153" i="129"/>
  <c r="G154" i="129"/>
  <c r="G155" i="129"/>
  <c r="G156" i="129"/>
  <c r="G157" i="129"/>
  <c r="G158" i="129"/>
  <c r="G159" i="129"/>
  <c r="G160" i="129"/>
  <c r="G25" i="127"/>
  <c r="G26" i="127"/>
  <c r="G27" i="127"/>
  <c r="G28" i="127"/>
  <c r="G29" i="127"/>
  <c r="G30" i="127"/>
  <c r="G31" i="127"/>
  <c r="G32" i="127"/>
  <c r="G33" i="127"/>
  <c r="G34" i="127"/>
  <c r="G35" i="127"/>
  <c r="G36" i="127"/>
  <c r="G37" i="127"/>
  <c r="G38" i="127"/>
  <c r="G39" i="127"/>
  <c r="G40" i="127"/>
  <c r="G41" i="127"/>
  <c r="G42" i="127"/>
  <c r="G43" i="127"/>
  <c r="G44" i="127"/>
  <c r="G45" i="127"/>
  <c r="G46" i="127"/>
  <c r="G47" i="127"/>
  <c r="G48" i="127"/>
  <c r="G49" i="127"/>
  <c r="G50" i="127"/>
  <c r="G51" i="127"/>
  <c r="G52" i="127"/>
  <c r="G53" i="127"/>
  <c r="G54" i="127"/>
  <c r="G55" i="127"/>
  <c r="G56" i="127"/>
  <c r="G57" i="127"/>
  <c r="G58" i="127"/>
  <c r="G59" i="127"/>
  <c r="G60" i="127"/>
  <c r="G61" i="127"/>
  <c r="G62" i="127"/>
  <c r="G63" i="127"/>
  <c r="G64" i="127"/>
  <c r="G65" i="127"/>
  <c r="G66" i="127"/>
  <c r="G67" i="127"/>
  <c r="G68" i="127"/>
  <c r="G69" i="127"/>
  <c r="G70" i="127"/>
  <c r="G71" i="127"/>
  <c r="G72" i="127"/>
  <c r="G73" i="127"/>
  <c r="G74" i="127"/>
  <c r="G75" i="127"/>
  <c r="G76" i="127"/>
  <c r="G77" i="127"/>
  <c r="G78" i="127"/>
  <c r="G79" i="127"/>
  <c r="G80" i="127"/>
  <c r="G81" i="127"/>
  <c r="G82" i="127"/>
  <c r="G83" i="127"/>
  <c r="G84" i="127"/>
  <c r="G85" i="127"/>
  <c r="G86" i="127"/>
  <c r="G87" i="127"/>
  <c r="G88" i="127"/>
  <c r="G89" i="127"/>
  <c r="G90" i="127"/>
  <c r="G91" i="127"/>
  <c r="G92" i="127"/>
  <c r="G93" i="127"/>
  <c r="G94" i="127"/>
  <c r="G95" i="127"/>
  <c r="G96" i="127"/>
  <c r="G97" i="127"/>
  <c r="G98" i="127"/>
  <c r="G99" i="127"/>
  <c r="G100" i="127"/>
  <c r="G101" i="127"/>
  <c r="G102" i="127"/>
  <c r="G103" i="127"/>
  <c r="G104" i="127"/>
  <c r="G105" i="127"/>
  <c r="G106" i="127"/>
  <c r="G107" i="127"/>
  <c r="G108" i="127"/>
  <c r="G109" i="127"/>
  <c r="G110" i="127"/>
  <c r="G111" i="127"/>
  <c r="G112" i="127"/>
  <c r="G113" i="127"/>
  <c r="G114" i="127"/>
  <c r="G115" i="127"/>
  <c r="G116" i="127"/>
  <c r="G117" i="127"/>
  <c r="G118" i="127"/>
  <c r="G119" i="127"/>
  <c r="G120" i="127"/>
  <c r="G121" i="127"/>
  <c r="G122" i="127"/>
  <c r="G123" i="127"/>
  <c r="G124" i="127"/>
  <c r="G125" i="127"/>
  <c r="G126" i="127"/>
  <c r="G127" i="127"/>
  <c r="G128" i="127"/>
  <c r="G129" i="127"/>
  <c r="G130" i="127"/>
  <c r="G131" i="127"/>
  <c r="G132" i="127"/>
  <c r="G133" i="127"/>
  <c r="G134" i="127"/>
  <c r="G135" i="127"/>
  <c r="G136" i="127"/>
  <c r="G137" i="127"/>
  <c r="G138" i="127"/>
  <c r="G139" i="127"/>
  <c r="G140" i="127"/>
  <c r="G141" i="127"/>
  <c r="G142" i="127"/>
  <c r="G143" i="127"/>
  <c r="G144" i="127"/>
  <c r="G145" i="127"/>
  <c r="G146" i="127"/>
  <c r="G147" i="127"/>
  <c r="G148" i="127"/>
  <c r="G149" i="127"/>
  <c r="G150" i="127"/>
  <c r="G151" i="127"/>
  <c r="G152" i="127"/>
  <c r="G153" i="127"/>
  <c r="G154" i="127"/>
  <c r="G155" i="127"/>
  <c r="G156" i="127"/>
  <c r="G157" i="127"/>
  <c r="G158" i="127"/>
  <c r="G159" i="127"/>
  <c r="G160" i="127"/>
  <c r="G25" i="128"/>
  <c r="G26" i="128"/>
  <c r="G27" i="128"/>
  <c r="G28" i="128"/>
  <c r="G29" i="128"/>
  <c r="G30" i="128"/>
  <c r="G31" i="128"/>
  <c r="G32" i="128"/>
  <c r="G33" i="128"/>
  <c r="G34" i="128"/>
  <c r="G35" i="128"/>
  <c r="G36" i="128"/>
  <c r="G37" i="128"/>
  <c r="G38" i="128"/>
  <c r="G39" i="128"/>
  <c r="G40" i="128"/>
  <c r="G41" i="128"/>
  <c r="G42" i="128"/>
  <c r="G43" i="128"/>
  <c r="G44" i="128"/>
  <c r="G45" i="128"/>
  <c r="G46" i="128"/>
  <c r="G47" i="128"/>
  <c r="G48" i="128"/>
  <c r="G49" i="128"/>
  <c r="G50" i="128"/>
  <c r="G51" i="128"/>
  <c r="G52" i="128"/>
  <c r="G53" i="128"/>
  <c r="G54" i="128"/>
  <c r="G55" i="128"/>
  <c r="G56" i="128"/>
  <c r="G57" i="128"/>
  <c r="G58" i="128"/>
  <c r="G59" i="128"/>
  <c r="G60" i="128"/>
  <c r="G61" i="128"/>
  <c r="G62" i="128"/>
  <c r="G63" i="128"/>
  <c r="G64" i="128"/>
  <c r="G65" i="128"/>
  <c r="G66" i="128"/>
  <c r="G67" i="128"/>
  <c r="G68" i="128"/>
  <c r="G69" i="128"/>
  <c r="G70" i="128"/>
  <c r="G71" i="128"/>
  <c r="G72" i="128"/>
  <c r="G73" i="128"/>
  <c r="G74" i="128"/>
  <c r="G75" i="128"/>
  <c r="G76" i="128"/>
  <c r="G77" i="128"/>
  <c r="G78" i="128"/>
  <c r="G79" i="128"/>
  <c r="G80" i="128"/>
  <c r="G81" i="128"/>
  <c r="G82" i="128"/>
  <c r="G83" i="128"/>
  <c r="G84" i="128"/>
  <c r="G85" i="128"/>
  <c r="G86" i="128"/>
  <c r="G87" i="128"/>
  <c r="G88" i="128"/>
  <c r="G89" i="128"/>
  <c r="G90" i="128"/>
  <c r="G91" i="128"/>
  <c r="G92" i="128"/>
  <c r="G93" i="128"/>
  <c r="G94" i="128"/>
  <c r="G95" i="128"/>
  <c r="G96" i="128"/>
  <c r="G97" i="128"/>
  <c r="G98" i="128"/>
  <c r="G99" i="128"/>
  <c r="G100" i="128"/>
  <c r="G101" i="128"/>
  <c r="G102" i="128"/>
  <c r="G103" i="128"/>
  <c r="G104" i="128"/>
  <c r="G105" i="128"/>
  <c r="G106" i="128"/>
  <c r="G107" i="128"/>
  <c r="G108" i="128"/>
  <c r="G109" i="128"/>
  <c r="G110" i="128"/>
  <c r="G111" i="128"/>
  <c r="G112" i="128"/>
  <c r="G113" i="128"/>
  <c r="G114" i="128"/>
  <c r="G115" i="128"/>
  <c r="G116" i="128"/>
  <c r="G117" i="128"/>
  <c r="G118" i="128"/>
  <c r="G119" i="128"/>
  <c r="G120" i="128"/>
  <c r="G121" i="128"/>
  <c r="G122" i="128"/>
  <c r="G123" i="128"/>
  <c r="G124" i="128"/>
  <c r="G125" i="128"/>
  <c r="G126" i="128"/>
  <c r="G127" i="128"/>
  <c r="G128" i="128"/>
  <c r="G129" i="128"/>
  <c r="G130" i="128"/>
  <c r="G131" i="128"/>
  <c r="G132" i="128"/>
  <c r="G133" i="128"/>
  <c r="G134" i="128"/>
  <c r="G135" i="128"/>
  <c r="G136" i="128"/>
  <c r="G137" i="128"/>
  <c r="G138" i="128"/>
  <c r="G139" i="128"/>
  <c r="G140" i="128"/>
  <c r="G141" i="128"/>
  <c r="G142" i="128"/>
  <c r="G143" i="128"/>
  <c r="G144" i="128"/>
  <c r="G145" i="128"/>
  <c r="G146" i="128"/>
  <c r="G147" i="128"/>
  <c r="G148" i="128"/>
  <c r="G149" i="128"/>
  <c r="G150" i="128"/>
  <c r="G151" i="128"/>
  <c r="G152" i="128"/>
  <c r="G153" i="128"/>
  <c r="G154" i="128"/>
  <c r="G155" i="128"/>
  <c r="G156" i="128"/>
  <c r="G157" i="128"/>
  <c r="G158" i="128"/>
  <c r="G159" i="128"/>
  <c r="G160" i="128"/>
  <c r="G25" i="125"/>
  <c r="G26" i="125"/>
  <c r="G27" i="125"/>
  <c r="G28" i="125"/>
  <c r="G29" i="125"/>
  <c r="G30" i="125"/>
  <c r="G31" i="125"/>
  <c r="G32" i="125"/>
  <c r="G33" i="125"/>
  <c r="G34" i="125"/>
  <c r="G35" i="125"/>
  <c r="G36" i="125"/>
  <c r="G37" i="125"/>
  <c r="G38" i="125"/>
  <c r="G39" i="125"/>
  <c r="G40" i="125"/>
  <c r="G41" i="125"/>
  <c r="G42" i="125"/>
  <c r="G43" i="125"/>
  <c r="G44" i="125"/>
  <c r="G45" i="125"/>
  <c r="G46" i="125"/>
  <c r="G47" i="125"/>
  <c r="G48" i="125"/>
  <c r="G49" i="125"/>
  <c r="G50" i="125"/>
  <c r="G51" i="125"/>
  <c r="G52" i="125"/>
  <c r="G53" i="125"/>
  <c r="G54" i="125"/>
  <c r="G55" i="125"/>
  <c r="G56" i="125"/>
  <c r="G57" i="125"/>
  <c r="G58" i="125"/>
  <c r="G59" i="125"/>
  <c r="G60" i="125"/>
  <c r="G61" i="125"/>
  <c r="G62" i="125"/>
  <c r="G63" i="125"/>
  <c r="G64" i="125"/>
  <c r="G65" i="125"/>
  <c r="G66" i="125"/>
  <c r="G67" i="125"/>
  <c r="G68" i="125"/>
  <c r="G69" i="125"/>
  <c r="G70" i="125"/>
  <c r="G71" i="125"/>
  <c r="G72" i="125"/>
  <c r="G73" i="125"/>
  <c r="G74" i="125"/>
  <c r="G75" i="125"/>
  <c r="G76" i="125"/>
  <c r="G77" i="125"/>
  <c r="G78" i="125"/>
  <c r="G79" i="125"/>
  <c r="G80" i="125"/>
  <c r="G81" i="125"/>
  <c r="G82" i="125"/>
  <c r="G83" i="125"/>
  <c r="G84" i="125"/>
  <c r="G85" i="125"/>
  <c r="G86" i="125"/>
  <c r="G87" i="125"/>
  <c r="G88" i="125"/>
  <c r="G89" i="125"/>
  <c r="G90" i="125"/>
  <c r="G91" i="125"/>
  <c r="G92" i="125"/>
  <c r="G93" i="125"/>
  <c r="G94" i="125"/>
  <c r="G95" i="125"/>
  <c r="G96" i="125"/>
  <c r="G97" i="125"/>
  <c r="G98" i="125"/>
  <c r="G99" i="125"/>
  <c r="G100" i="125"/>
  <c r="G101" i="125"/>
  <c r="G102" i="125"/>
  <c r="G103" i="125"/>
  <c r="G104" i="125"/>
  <c r="G105" i="125"/>
  <c r="G106" i="125"/>
  <c r="G107" i="125"/>
  <c r="G108" i="125"/>
  <c r="G109" i="125"/>
  <c r="G110" i="125"/>
  <c r="G111" i="125"/>
  <c r="G112" i="125"/>
  <c r="G113" i="125"/>
  <c r="G114" i="125"/>
  <c r="G115" i="125"/>
  <c r="G116" i="125"/>
  <c r="G117" i="125"/>
  <c r="G118" i="125"/>
  <c r="G119" i="125"/>
  <c r="G120" i="125"/>
  <c r="G121" i="125"/>
  <c r="G122" i="125"/>
  <c r="G123" i="125"/>
  <c r="G124" i="125"/>
  <c r="G125" i="125"/>
  <c r="G126" i="125"/>
  <c r="G127" i="125"/>
  <c r="G128" i="125"/>
  <c r="G129" i="125"/>
  <c r="G130" i="125"/>
  <c r="G131" i="125"/>
  <c r="G132" i="125"/>
  <c r="G133" i="125"/>
  <c r="G134" i="125"/>
  <c r="G135" i="125"/>
  <c r="G136" i="125"/>
  <c r="G137" i="125"/>
  <c r="G138" i="125"/>
  <c r="G139" i="125"/>
  <c r="G140" i="125"/>
  <c r="G141" i="125"/>
  <c r="G142" i="125"/>
  <c r="G143" i="125"/>
  <c r="G144" i="125"/>
  <c r="G145" i="125"/>
  <c r="G146" i="125"/>
  <c r="G147" i="125"/>
  <c r="G148" i="125"/>
  <c r="G149" i="125"/>
  <c r="G150" i="125"/>
  <c r="G151" i="125"/>
  <c r="G152" i="125"/>
  <c r="G153" i="125"/>
  <c r="G154" i="125"/>
  <c r="G155" i="125"/>
  <c r="G156" i="125"/>
  <c r="G157" i="125"/>
  <c r="G158" i="125"/>
  <c r="G159" i="125"/>
  <c r="G160" i="125"/>
  <c r="G25" i="124"/>
  <c r="G26" i="124"/>
  <c r="G27" i="124"/>
  <c r="G28" i="124"/>
  <c r="G29" i="124"/>
  <c r="G30" i="124"/>
  <c r="G31" i="124"/>
  <c r="G32" i="124"/>
  <c r="G33" i="124"/>
  <c r="G34" i="124"/>
  <c r="G35" i="124"/>
  <c r="G36" i="124"/>
  <c r="G37" i="124"/>
  <c r="G38" i="124"/>
  <c r="G39" i="124"/>
  <c r="G40" i="124"/>
  <c r="G41" i="124"/>
  <c r="G42" i="124"/>
  <c r="G43" i="124"/>
  <c r="G44" i="124"/>
  <c r="G45" i="124"/>
  <c r="G46" i="124"/>
  <c r="G47" i="124"/>
  <c r="G48" i="124"/>
  <c r="G49" i="124"/>
  <c r="G50" i="124"/>
  <c r="G51" i="124"/>
  <c r="G52" i="124"/>
  <c r="G53" i="124"/>
  <c r="G54" i="124"/>
  <c r="G55" i="124"/>
  <c r="G56" i="124"/>
  <c r="G57" i="124"/>
  <c r="G58" i="124"/>
  <c r="G59" i="124"/>
  <c r="G60" i="124"/>
  <c r="G61" i="124"/>
  <c r="G62" i="124"/>
  <c r="G63" i="124"/>
  <c r="G64" i="124"/>
  <c r="G65" i="124"/>
  <c r="G66" i="124"/>
  <c r="G67" i="124"/>
  <c r="G68" i="124"/>
  <c r="G69" i="124"/>
  <c r="G70" i="124"/>
  <c r="G71" i="124"/>
  <c r="G72" i="124"/>
  <c r="G73" i="124"/>
  <c r="G74" i="124"/>
  <c r="G75" i="124"/>
  <c r="G76" i="124"/>
  <c r="G77" i="124"/>
  <c r="G78" i="124"/>
  <c r="G79" i="124"/>
  <c r="G80" i="124"/>
  <c r="G81" i="124"/>
  <c r="G82" i="124"/>
  <c r="G83" i="124"/>
  <c r="G84" i="124"/>
  <c r="G85" i="124"/>
  <c r="G86" i="124"/>
  <c r="G87" i="124"/>
  <c r="G88" i="124"/>
  <c r="G89" i="124"/>
  <c r="G90" i="124"/>
  <c r="G91" i="124"/>
  <c r="G92" i="124"/>
  <c r="G93" i="124"/>
  <c r="G94" i="124"/>
  <c r="G95" i="124"/>
  <c r="G96" i="124"/>
  <c r="G97" i="124"/>
  <c r="G98" i="124"/>
  <c r="G99" i="124"/>
  <c r="G100" i="124"/>
  <c r="G101" i="124"/>
  <c r="G102" i="124"/>
  <c r="G103" i="124"/>
  <c r="G104" i="124"/>
  <c r="G105" i="124"/>
  <c r="G106" i="124"/>
  <c r="G107" i="124"/>
  <c r="G108" i="124"/>
  <c r="G109" i="124"/>
  <c r="G110" i="124"/>
  <c r="G111" i="124"/>
  <c r="G112" i="124"/>
  <c r="G113" i="124"/>
  <c r="G114" i="124"/>
  <c r="G115" i="124"/>
  <c r="G116" i="124"/>
  <c r="G117" i="124"/>
  <c r="G118" i="124"/>
  <c r="G119" i="124"/>
  <c r="G120" i="124"/>
  <c r="G121" i="124"/>
  <c r="G122" i="124"/>
  <c r="G123" i="124"/>
  <c r="G124" i="124"/>
  <c r="G125" i="124"/>
  <c r="G126" i="124"/>
  <c r="G127" i="124"/>
  <c r="G128" i="124"/>
  <c r="G129" i="124"/>
  <c r="G130" i="124"/>
  <c r="G131" i="124"/>
  <c r="G132" i="124"/>
  <c r="G133" i="124"/>
  <c r="G134" i="124"/>
  <c r="G135" i="124"/>
  <c r="G136" i="124"/>
  <c r="G137" i="124"/>
  <c r="G138" i="124"/>
  <c r="G139" i="124"/>
  <c r="G140" i="124"/>
  <c r="G141" i="124"/>
  <c r="G142" i="124"/>
  <c r="G143" i="124"/>
  <c r="G144" i="124"/>
  <c r="G145" i="124"/>
  <c r="G146" i="124"/>
  <c r="G147" i="124"/>
  <c r="G148" i="124"/>
  <c r="G149" i="124"/>
  <c r="G150" i="124"/>
  <c r="G151" i="124"/>
  <c r="G152" i="124"/>
  <c r="G153" i="124"/>
  <c r="G154" i="124"/>
  <c r="G155" i="124"/>
  <c r="G156" i="124"/>
  <c r="G157" i="124"/>
  <c r="G158" i="124"/>
  <c r="G159" i="124"/>
  <c r="G160" i="124"/>
  <c r="G25" i="123"/>
  <c r="G26" i="123"/>
  <c r="G27" i="123"/>
  <c r="G28" i="123"/>
  <c r="G29" i="123"/>
  <c r="G30" i="123"/>
  <c r="G31" i="123"/>
  <c r="G32" i="123"/>
  <c r="G33" i="123"/>
  <c r="G34" i="123"/>
  <c r="G35" i="123"/>
  <c r="G36" i="123"/>
  <c r="G37" i="123"/>
  <c r="G38" i="123"/>
  <c r="G39" i="123"/>
  <c r="G40" i="123"/>
  <c r="G41" i="123"/>
  <c r="G42" i="123"/>
  <c r="G43" i="123"/>
  <c r="G44" i="123"/>
  <c r="G45" i="123"/>
  <c r="G46" i="123"/>
  <c r="G47" i="123"/>
  <c r="G48" i="123"/>
  <c r="G49" i="123"/>
  <c r="G50" i="123"/>
  <c r="G51" i="123"/>
  <c r="G52" i="123"/>
  <c r="G53" i="123"/>
  <c r="G54" i="123"/>
  <c r="G55" i="123"/>
  <c r="G56" i="123"/>
  <c r="G57" i="123"/>
  <c r="G58" i="123"/>
  <c r="G59" i="123"/>
  <c r="G60" i="123"/>
  <c r="G61" i="123"/>
  <c r="G62" i="123"/>
  <c r="G63" i="123"/>
  <c r="G64" i="123"/>
  <c r="G65" i="123"/>
  <c r="G66" i="123"/>
  <c r="G67" i="123"/>
  <c r="G68" i="123"/>
  <c r="G69" i="123"/>
  <c r="G70" i="123"/>
  <c r="G71" i="123"/>
  <c r="G72" i="123"/>
  <c r="G73" i="123"/>
  <c r="G74" i="123"/>
  <c r="G75" i="123"/>
  <c r="G76" i="123"/>
  <c r="G77" i="123"/>
  <c r="G78" i="123"/>
  <c r="G79" i="123"/>
  <c r="G80" i="123"/>
  <c r="G81" i="123"/>
  <c r="G82" i="123"/>
  <c r="G83" i="123"/>
  <c r="G84" i="123"/>
  <c r="G85" i="123"/>
  <c r="G86" i="123"/>
  <c r="G87" i="123"/>
  <c r="G88" i="123"/>
  <c r="G89" i="123"/>
  <c r="G90" i="123"/>
  <c r="G91" i="123"/>
  <c r="G92" i="123"/>
  <c r="G93" i="123"/>
  <c r="G94" i="123"/>
  <c r="G95" i="123"/>
  <c r="G96" i="123"/>
  <c r="G97" i="123"/>
  <c r="G98" i="123"/>
  <c r="G99" i="123"/>
  <c r="G100" i="123"/>
  <c r="G101" i="123"/>
  <c r="G102" i="123"/>
  <c r="G103" i="123"/>
  <c r="G104" i="123"/>
  <c r="G105" i="123"/>
  <c r="G106" i="123"/>
  <c r="G107" i="123"/>
  <c r="G108" i="123"/>
  <c r="G109" i="123"/>
  <c r="G110" i="123"/>
  <c r="G111" i="123"/>
  <c r="G112" i="123"/>
  <c r="G113" i="123"/>
  <c r="G114" i="123"/>
  <c r="G115" i="123"/>
  <c r="G116" i="123"/>
  <c r="G117" i="123"/>
  <c r="G118" i="123"/>
  <c r="G119" i="123"/>
  <c r="G120" i="123"/>
  <c r="G121" i="123"/>
  <c r="G122" i="123"/>
  <c r="G123" i="123"/>
  <c r="G124" i="123"/>
  <c r="G125" i="123"/>
  <c r="G126" i="123"/>
  <c r="G127" i="123"/>
  <c r="G128" i="123"/>
  <c r="G129" i="123"/>
  <c r="G130" i="123"/>
  <c r="G131" i="123"/>
  <c r="G132" i="123"/>
  <c r="G133" i="123"/>
  <c r="G134" i="123"/>
  <c r="G135" i="123"/>
  <c r="G136" i="123"/>
  <c r="G137" i="123"/>
  <c r="G138" i="123"/>
  <c r="G139" i="123"/>
  <c r="G140" i="123"/>
  <c r="G141" i="123"/>
  <c r="G142" i="123"/>
  <c r="G143" i="123"/>
  <c r="G144" i="123"/>
  <c r="G145" i="123"/>
  <c r="G146" i="123"/>
  <c r="G147" i="123"/>
  <c r="G148" i="123"/>
  <c r="G149" i="123"/>
  <c r="G150" i="123"/>
  <c r="G151" i="123"/>
  <c r="G152" i="123"/>
  <c r="G153" i="123"/>
  <c r="G154" i="123"/>
  <c r="G155" i="123"/>
  <c r="G156" i="123"/>
  <c r="G157" i="123"/>
  <c r="G158" i="123"/>
  <c r="G159" i="123"/>
  <c r="G160" i="123"/>
  <c r="G25" i="122"/>
  <c r="G26" i="122"/>
  <c r="G27" i="122"/>
  <c r="G28" i="122"/>
  <c r="G29" i="122"/>
  <c r="G30" i="122"/>
  <c r="G31" i="122"/>
  <c r="G32" i="122"/>
  <c r="G33" i="122"/>
  <c r="G34" i="122"/>
  <c r="G35" i="122"/>
  <c r="G36" i="122"/>
  <c r="G37" i="122"/>
  <c r="G38" i="122"/>
  <c r="G39" i="122"/>
  <c r="G40" i="122"/>
  <c r="G41" i="122"/>
  <c r="G42" i="122"/>
  <c r="G43" i="122"/>
  <c r="G44" i="122"/>
  <c r="G45" i="122"/>
  <c r="G46" i="122"/>
  <c r="G47" i="122"/>
  <c r="G48" i="122"/>
  <c r="G49" i="122"/>
  <c r="G50" i="122"/>
  <c r="G51" i="122"/>
  <c r="G52" i="122"/>
  <c r="G53" i="122"/>
  <c r="G54" i="122"/>
  <c r="G55" i="122"/>
  <c r="G56" i="122"/>
  <c r="G57" i="122"/>
  <c r="G58" i="122"/>
  <c r="G59" i="122"/>
  <c r="G60" i="122"/>
  <c r="G61" i="122"/>
  <c r="G62" i="122"/>
  <c r="G63" i="122"/>
  <c r="G64" i="122"/>
  <c r="G65" i="122"/>
  <c r="G66" i="122"/>
  <c r="G67" i="122"/>
  <c r="G68" i="122"/>
  <c r="G69" i="122"/>
  <c r="G70" i="122"/>
  <c r="G71" i="122"/>
  <c r="G72" i="122"/>
  <c r="G73" i="122"/>
  <c r="G74" i="122"/>
  <c r="G75" i="122"/>
  <c r="G76" i="122"/>
  <c r="G77" i="122"/>
  <c r="G78" i="122"/>
  <c r="G79" i="122"/>
  <c r="G80" i="122"/>
  <c r="G81" i="122"/>
  <c r="G82" i="122"/>
  <c r="G83" i="122"/>
  <c r="G84" i="122"/>
  <c r="G85" i="122"/>
  <c r="G86" i="122"/>
  <c r="G87" i="122"/>
  <c r="G88" i="122"/>
  <c r="G89" i="122"/>
  <c r="G90" i="122"/>
  <c r="G91" i="122"/>
  <c r="G92" i="122"/>
  <c r="G93" i="122"/>
  <c r="G94" i="122"/>
  <c r="G95" i="122"/>
  <c r="G96" i="122"/>
  <c r="G97" i="122"/>
  <c r="G98" i="122"/>
  <c r="G99" i="122"/>
  <c r="G100" i="122"/>
  <c r="G101" i="122"/>
  <c r="G102" i="122"/>
  <c r="G103" i="122"/>
  <c r="G104" i="122"/>
  <c r="G105" i="122"/>
  <c r="G106" i="122"/>
  <c r="G107" i="122"/>
  <c r="G108" i="122"/>
  <c r="G109" i="122"/>
  <c r="G110" i="122"/>
  <c r="G111" i="122"/>
  <c r="G112" i="122"/>
  <c r="G113" i="122"/>
  <c r="G114" i="122"/>
  <c r="G115" i="122"/>
  <c r="G116" i="122"/>
  <c r="G117" i="122"/>
  <c r="G118" i="122"/>
  <c r="G119" i="122"/>
  <c r="G120" i="122"/>
  <c r="G121" i="122"/>
  <c r="G122" i="122"/>
  <c r="G123" i="122"/>
  <c r="G124" i="122"/>
  <c r="G125" i="122"/>
  <c r="G126" i="122"/>
  <c r="G127" i="122"/>
  <c r="G128" i="122"/>
  <c r="G129" i="122"/>
  <c r="G130" i="122"/>
  <c r="G131" i="122"/>
  <c r="G132" i="122"/>
  <c r="G133" i="122"/>
  <c r="G134" i="122"/>
  <c r="G135" i="122"/>
  <c r="G136" i="122"/>
  <c r="G137" i="122"/>
  <c r="G138" i="122"/>
  <c r="G139" i="122"/>
  <c r="G140" i="122"/>
  <c r="G141" i="122"/>
  <c r="G142" i="122"/>
  <c r="G143" i="122"/>
  <c r="G144" i="122"/>
  <c r="G145" i="122"/>
  <c r="G146" i="122"/>
  <c r="G147" i="122"/>
  <c r="G148" i="122"/>
  <c r="G149" i="122"/>
  <c r="G150" i="122"/>
  <c r="G151" i="122"/>
  <c r="G152" i="122"/>
  <c r="G153" i="122"/>
  <c r="G154" i="122"/>
  <c r="G155" i="122"/>
  <c r="G156" i="122"/>
  <c r="G157" i="122"/>
  <c r="G158" i="122"/>
  <c r="G159" i="122"/>
  <c r="G160" i="122"/>
  <c r="G25" i="120"/>
  <c r="G26" i="120"/>
  <c r="G27" i="120"/>
  <c r="G28" i="120"/>
  <c r="G29" i="120"/>
  <c r="G30" i="120"/>
  <c r="G31" i="120"/>
  <c r="G32" i="120"/>
  <c r="G33" i="120"/>
  <c r="G34" i="120"/>
  <c r="G35" i="120"/>
  <c r="G36" i="120"/>
  <c r="G37" i="120"/>
  <c r="G38" i="120"/>
  <c r="G39" i="120"/>
  <c r="G40" i="120"/>
  <c r="G41" i="120"/>
  <c r="G42" i="120"/>
  <c r="G43" i="120"/>
  <c r="G44" i="120"/>
  <c r="G45" i="120"/>
  <c r="G46" i="120"/>
  <c r="G47" i="120"/>
  <c r="G48" i="120"/>
  <c r="G49" i="120"/>
  <c r="G50" i="120"/>
  <c r="G51" i="120"/>
  <c r="G52" i="120"/>
  <c r="G53" i="120"/>
  <c r="G54" i="120"/>
  <c r="G55" i="120"/>
  <c r="G56" i="120"/>
  <c r="G57" i="120"/>
  <c r="G58" i="120"/>
  <c r="G59" i="120"/>
  <c r="G60" i="120"/>
  <c r="G61" i="120"/>
  <c r="G62" i="120"/>
  <c r="G63" i="120"/>
  <c r="G64" i="120"/>
  <c r="G65" i="120"/>
  <c r="G66" i="120"/>
  <c r="G67" i="120"/>
  <c r="G68" i="120"/>
  <c r="G69" i="120"/>
  <c r="G70" i="120"/>
  <c r="G71" i="120"/>
  <c r="G72" i="120"/>
  <c r="G73" i="120"/>
  <c r="G74" i="120"/>
  <c r="G75" i="120"/>
  <c r="G76" i="120"/>
  <c r="G77" i="120"/>
  <c r="G78" i="120"/>
  <c r="G79" i="120"/>
  <c r="G80" i="120"/>
  <c r="G81" i="120"/>
  <c r="G82" i="120"/>
  <c r="G83" i="120"/>
  <c r="G84" i="120"/>
  <c r="G85" i="120"/>
  <c r="G86" i="120"/>
  <c r="G87" i="120"/>
  <c r="G88" i="120"/>
  <c r="G89" i="120"/>
  <c r="G90" i="120"/>
  <c r="G91" i="120"/>
  <c r="G92" i="120"/>
  <c r="G93" i="120"/>
  <c r="G94" i="120"/>
  <c r="G95" i="120"/>
  <c r="G96" i="120"/>
  <c r="G97" i="120"/>
  <c r="G98" i="120"/>
  <c r="G99" i="120"/>
  <c r="G100" i="120"/>
  <c r="G101" i="120"/>
  <c r="G102" i="120"/>
  <c r="G103" i="120"/>
  <c r="G104" i="120"/>
  <c r="G105" i="120"/>
  <c r="G106" i="120"/>
  <c r="G107" i="120"/>
  <c r="G108" i="120"/>
  <c r="G109" i="120"/>
  <c r="G110" i="120"/>
  <c r="G111" i="120"/>
  <c r="G112" i="120"/>
  <c r="G113" i="120"/>
  <c r="G114" i="120"/>
  <c r="G115" i="120"/>
  <c r="G116" i="120"/>
  <c r="G117" i="120"/>
  <c r="G118" i="120"/>
  <c r="G119" i="120"/>
  <c r="G120" i="120"/>
  <c r="G121" i="120"/>
  <c r="G122" i="120"/>
  <c r="G123" i="120"/>
  <c r="G124" i="120"/>
  <c r="G125" i="120"/>
  <c r="G126" i="120"/>
  <c r="G127" i="120"/>
  <c r="G128" i="120"/>
  <c r="G129" i="120"/>
  <c r="G130" i="120"/>
  <c r="G131" i="120"/>
  <c r="G132" i="120"/>
  <c r="G133" i="120"/>
  <c r="G134" i="120"/>
  <c r="G135" i="120"/>
  <c r="G136" i="120"/>
  <c r="G137" i="120"/>
  <c r="G138" i="120"/>
  <c r="G139" i="120"/>
  <c r="G140" i="120"/>
  <c r="G141" i="120"/>
  <c r="G142" i="120"/>
  <c r="G143" i="120"/>
  <c r="G144" i="120"/>
  <c r="G145" i="120"/>
  <c r="G146" i="120"/>
  <c r="G147" i="120"/>
  <c r="G148" i="120"/>
  <c r="G149" i="120"/>
  <c r="G150" i="120"/>
  <c r="G151" i="120"/>
  <c r="G152" i="120"/>
  <c r="G153" i="120"/>
  <c r="G154" i="120"/>
  <c r="G155" i="120"/>
  <c r="G156" i="120"/>
  <c r="G157" i="120"/>
  <c r="G158" i="120"/>
  <c r="G159" i="120"/>
  <c r="G160" i="120"/>
  <c r="G25" i="163"/>
  <c r="G26" i="163"/>
  <c r="G27" i="163"/>
  <c r="G28" i="163"/>
  <c r="G29" i="163"/>
  <c r="G30" i="163"/>
  <c r="G31" i="163"/>
  <c r="G32" i="163"/>
  <c r="G33" i="163"/>
  <c r="G34" i="163"/>
  <c r="G35" i="163"/>
  <c r="G36" i="163"/>
  <c r="G37" i="163"/>
  <c r="G38" i="163"/>
  <c r="G39" i="163"/>
  <c r="G40" i="163"/>
  <c r="G41" i="163"/>
  <c r="G42" i="163"/>
  <c r="G43" i="163"/>
  <c r="G44" i="163"/>
  <c r="G45" i="163"/>
  <c r="G46" i="163"/>
  <c r="G47" i="163"/>
  <c r="G48" i="163"/>
  <c r="G49" i="163"/>
  <c r="G50" i="163"/>
  <c r="G51" i="163"/>
  <c r="G52" i="163"/>
  <c r="G53" i="163"/>
  <c r="G54" i="163"/>
  <c r="G55" i="163"/>
  <c r="G56" i="163"/>
  <c r="G57" i="163"/>
  <c r="G58" i="163"/>
  <c r="G59" i="163"/>
  <c r="G60" i="163"/>
  <c r="G61" i="163"/>
  <c r="G62" i="163"/>
  <c r="G63" i="163"/>
  <c r="G64" i="163"/>
  <c r="G65" i="163"/>
  <c r="G66" i="163"/>
  <c r="G67" i="163"/>
  <c r="G68" i="163"/>
  <c r="G69" i="163"/>
  <c r="G70" i="163"/>
  <c r="G71" i="163"/>
  <c r="G72" i="163"/>
  <c r="G73" i="163"/>
  <c r="G74" i="163"/>
  <c r="G75" i="163"/>
  <c r="G76" i="163"/>
  <c r="G77" i="163"/>
  <c r="G78" i="163"/>
  <c r="G79" i="163"/>
  <c r="G80" i="163"/>
  <c r="G81" i="163"/>
  <c r="G82" i="163"/>
  <c r="G83" i="163"/>
  <c r="G84" i="163"/>
  <c r="G85" i="163"/>
  <c r="G86" i="163"/>
  <c r="G87" i="163"/>
  <c r="G88" i="163"/>
  <c r="G89" i="163"/>
  <c r="G90" i="163"/>
  <c r="G91" i="163"/>
  <c r="G92" i="163"/>
  <c r="G93" i="163"/>
  <c r="G94" i="163"/>
  <c r="G95" i="163"/>
  <c r="G96" i="163"/>
  <c r="G97" i="163"/>
  <c r="G98" i="163"/>
  <c r="G99" i="163"/>
  <c r="G100" i="163"/>
  <c r="G101" i="163"/>
  <c r="G102" i="163"/>
  <c r="G103" i="163"/>
  <c r="G104" i="163"/>
  <c r="G105" i="163"/>
  <c r="G106" i="163"/>
  <c r="G107" i="163"/>
  <c r="G108" i="163"/>
  <c r="G109" i="163"/>
  <c r="G110" i="163"/>
  <c r="G111" i="163"/>
  <c r="G112" i="163"/>
  <c r="G113" i="163"/>
  <c r="G114" i="163"/>
  <c r="G115" i="163"/>
  <c r="G116" i="163"/>
  <c r="G117" i="163"/>
  <c r="G118" i="163"/>
  <c r="G119" i="163"/>
  <c r="G120" i="163"/>
  <c r="G121" i="163"/>
  <c r="G122" i="163"/>
  <c r="G123" i="163"/>
  <c r="G124" i="163"/>
  <c r="G125" i="163"/>
  <c r="G126" i="163"/>
  <c r="G127" i="163"/>
  <c r="G128" i="163"/>
  <c r="G129" i="163"/>
  <c r="G130" i="163"/>
  <c r="G131" i="163"/>
  <c r="G132" i="163"/>
  <c r="G133" i="163"/>
  <c r="G134" i="163"/>
  <c r="G135" i="163"/>
  <c r="G136" i="163"/>
  <c r="G137" i="163"/>
  <c r="G138" i="163"/>
  <c r="G139" i="163"/>
  <c r="G140" i="163"/>
  <c r="G141" i="163"/>
  <c r="G142" i="163"/>
  <c r="G143" i="163"/>
  <c r="G144" i="163"/>
  <c r="G145" i="163"/>
  <c r="G146" i="163"/>
  <c r="G147" i="163"/>
  <c r="G148" i="163"/>
  <c r="G149" i="163"/>
  <c r="G150" i="163"/>
  <c r="G151" i="163"/>
  <c r="G152" i="163"/>
  <c r="G153" i="163"/>
  <c r="G154" i="163"/>
  <c r="G155" i="163"/>
  <c r="G156" i="163"/>
  <c r="G157" i="163"/>
  <c r="G158" i="163"/>
  <c r="G159" i="163"/>
  <c r="G160" i="163"/>
  <c r="G25" i="121"/>
  <c r="G26" i="121"/>
  <c r="G26" i="165" s="1"/>
  <c r="G27" i="121"/>
  <c r="G28" i="121"/>
  <c r="G29" i="121"/>
  <c r="G29" i="165" s="1"/>
  <c r="G30" i="121"/>
  <c r="G30" i="165" s="1"/>
  <c r="G31" i="121"/>
  <c r="G32" i="121"/>
  <c r="G33" i="121"/>
  <c r="G33" i="165" s="1"/>
  <c r="G34" i="121"/>
  <c r="G35" i="121"/>
  <c r="G36" i="121"/>
  <c r="G37" i="121"/>
  <c r="G37" i="165" s="1"/>
  <c r="G38" i="121"/>
  <c r="G38" i="165" s="1"/>
  <c r="G39" i="121"/>
  <c r="G40" i="121"/>
  <c r="G40" i="165" s="1"/>
  <c r="G41" i="121"/>
  <c r="G42" i="121"/>
  <c r="G42" i="165" s="1"/>
  <c r="G43" i="121"/>
  <c r="G44" i="121"/>
  <c r="G45" i="121"/>
  <c r="G45" i="165" s="1"/>
  <c r="G46" i="121"/>
  <c r="G46" i="165" s="1"/>
  <c r="G47" i="121"/>
  <c r="G48" i="121"/>
  <c r="G48" i="165" s="1"/>
  <c r="G49" i="121"/>
  <c r="G49" i="165" s="1"/>
  <c r="G50" i="121"/>
  <c r="G51" i="121"/>
  <c r="G51" i="165" s="1"/>
  <c r="G52" i="121"/>
  <c r="G53" i="121"/>
  <c r="G54" i="121"/>
  <c r="G54" i="165" s="1"/>
  <c r="G55" i="121"/>
  <c r="G56" i="121"/>
  <c r="G57" i="121"/>
  <c r="G58" i="121"/>
  <c r="G59" i="121"/>
  <c r="G60" i="121"/>
  <c r="G61" i="121"/>
  <c r="G61" i="165" s="1"/>
  <c r="G62" i="121"/>
  <c r="G63" i="121"/>
  <c r="G64" i="121"/>
  <c r="G64" i="165" s="1"/>
  <c r="G65" i="121"/>
  <c r="G66" i="121"/>
  <c r="G66" i="165" s="1"/>
  <c r="G67" i="121"/>
  <c r="G68" i="121"/>
  <c r="G69" i="121"/>
  <c r="G69" i="165" s="1"/>
  <c r="G70" i="121"/>
  <c r="G71" i="121"/>
  <c r="G72" i="121"/>
  <c r="G72" i="165" s="1"/>
  <c r="G73" i="121"/>
  <c r="G74" i="121"/>
  <c r="G74" i="165" s="1"/>
  <c r="G75" i="121"/>
  <c r="G76" i="121"/>
  <c r="G77" i="121"/>
  <c r="G78" i="121"/>
  <c r="G78" i="165" s="1"/>
  <c r="G79" i="121"/>
  <c r="G80" i="121"/>
  <c r="G80" i="165" s="1"/>
  <c r="G81" i="121"/>
  <c r="G82" i="121"/>
  <c r="G82" i="165" s="1"/>
  <c r="G83" i="121"/>
  <c r="G84" i="121"/>
  <c r="G85" i="121"/>
  <c r="G85" i="165" s="1"/>
  <c r="G86" i="121"/>
  <c r="G86" i="165" s="1"/>
  <c r="G87" i="121"/>
  <c r="G88" i="121"/>
  <c r="G88" i="165" s="1"/>
  <c r="G89" i="121"/>
  <c r="G90" i="121"/>
  <c r="G90" i="165" s="1"/>
  <c r="G91" i="121"/>
  <c r="G92" i="121"/>
  <c r="G93" i="121"/>
  <c r="G93" i="165" s="1"/>
  <c r="G94" i="121"/>
  <c r="G95" i="121"/>
  <c r="G96" i="121"/>
  <c r="G97" i="121"/>
  <c r="G98" i="121"/>
  <c r="G98" i="165" s="1"/>
  <c r="G99" i="121"/>
  <c r="G100" i="121"/>
  <c r="G101" i="121"/>
  <c r="G101" i="165" s="1"/>
  <c r="G102" i="121"/>
  <c r="G102" i="165" s="1"/>
  <c r="G103" i="121"/>
  <c r="G104" i="121"/>
  <c r="G104" i="165" s="1"/>
  <c r="G105" i="121"/>
  <c r="G106" i="121"/>
  <c r="G106" i="165" s="1"/>
  <c r="G107" i="121"/>
  <c r="G108" i="121"/>
  <c r="G109" i="121"/>
  <c r="G109" i="165" s="1"/>
  <c r="G110" i="121"/>
  <c r="G110" i="165" s="1"/>
  <c r="G111" i="121"/>
  <c r="G112" i="121"/>
  <c r="G112" i="165" s="1"/>
  <c r="G113" i="121"/>
  <c r="G114" i="121"/>
  <c r="G115" i="121"/>
  <c r="G116" i="121"/>
  <c r="G117" i="121"/>
  <c r="G118" i="121"/>
  <c r="G118" i="165" s="1"/>
  <c r="G119" i="121"/>
  <c r="G120" i="121"/>
  <c r="G120" i="165" s="1"/>
  <c r="G121" i="121"/>
  <c r="G122" i="121"/>
  <c r="G122" i="165" s="1"/>
  <c r="G123" i="121"/>
  <c r="G124" i="121"/>
  <c r="G125" i="121"/>
  <c r="G125" i="165" s="1"/>
  <c r="G126" i="121"/>
  <c r="G126" i="165" s="1"/>
  <c r="G127" i="121"/>
  <c r="G128" i="121"/>
  <c r="G128" i="165" s="1"/>
  <c r="G129" i="121"/>
  <c r="G130" i="121"/>
  <c r="G130" i="165" s="1"/>
  <c r="G131" i="121"/>
  <c r="G132" i="121"/>
  <c r="G133" i="121"/>
  <c r="G133" i="165" s="1"/>
  <c r="G134" i="121"/>
  <c r="G134" i="165" s="1"/>
  <c r="G135" i="121"/>
  <c r="G136" i="121"/>
  <c r="G136" i="165" s="1"/>
  <c r="G137" i="121"/>
  <c r="G138" i="121"/>
  <c r="G139" i="121"/>
  <c r="G140" i="121"/>
  <c r="G141" i="121"/>
  <c r="G142" i="121"/>
  <c r="G142" i="165" s="1"/>
  <c r="G143" i="121"/>
  <c r="G144" i="121"/>
  <c r="G144" i="165" s="1"/>
  <c r="G145" i="121"/>
  <c r="G146" i="121"/>
  <c r="G146" i="165" s="1"/>
  <c r="G147" i="121"/>
  <c r="G148" i="121"/>
  <c r="G149" i="121"/>
  <c r="G149" i="165" s="1"/>
  <c r="G150" i="121"/>
  <c r="G151" i="121"/>
  <c r="G152" i="121"/>
  <c r="G152" i="165" s="1"/>
  <c r="G153" i="121"/>
  <c r="G154" i="121"/>
  <c r="G154" i="165" s="1"/>
  <c r="G155" i="121"/>
  <c r="G156" i="121"/>
  <c r="G157" i="121"/>
  <c r="G157" i="165" s="1"/>
  <c r="G158" i="121"/>
  <c r="G158" i="165" s="1"/>
  <c r="G159" i="121"/>
  <c r="G160" i="121"/>
  <c r="G160" i="165" s="1"/>
  <c r="G24" i="126"/>
  <c r="G31" i="165"/>
  <c r="G39" i="165"/>
  <c r="G47" i="165"/>
  <c r="G55" i="165"/>
  <c r="G63" i="165"/>
  <c r="G79" i="165"/>
  <c r="G87" i="165"/>
  <c r="G95" i="165"/>
  <c r="G103" i="165"/>
  <c r="G111" i="165"/>
  <c r="G119" i="165"/>
  <c r="G127" i="165"/>
  <c r="G143" i="165"/>
  <c r="G151" i="165"/>
  <c r="G159" i="165"/>
  <c r="G161" i="126"/>
  <c r="G162" i="126"/>
  <c r="G163" i="126"/>
  <c r="G164" i="126"/>
  <c r="G165" i="126"/>
  <c r="G166" i="126"/>
  <c r="G167" i="126"/>
  <c r="G167" i="165" s="1"/>
  <c r="G168" i="126"/>
  <c r="G169" i="126"/>
  <c r="G170" i="126"/>
  <c r="G171" i="126"/>
  <c r="G172" i="126"/>
  <c r="G173" i="126"/>
  <c r="G174" i="126"/>
  <c r="G175" i="126"/>
  <c r="G175" i="165" s="1"/>
  <c r="G176" i="126"/>
  <c r="G177" i="126"/>
  <c r="G178" i="126"/>
  <c r="G179" i="126"/>
  <c r="G180" i="126"/>
  <c r="G181" i="126"/>
  <c r="G182" i="126"/>
  <c r="G183" i="126"/>
  <c r="G183" i="165" s="1"/>
  <c r="G184" i="126"/>
  <c r="G185" i="126"/>
  <c r="G186" i="126"/>
  <c r="G187" i="126"/>
  <c r="G188" i="126"/>
  <c r="G189" i="126"/>
  <c r="G190" i="126"/>
  <c r="G191" i="126"/>
  <c r="G191" i="165" s="1"/>
  <c r="G192" i="126"/>
  <c r="G193" i="126"/>
  <c r="G194" i="126"/>
  <c r="G195" i="126"/>
  <c r="G196" i="126"/>
  <c r="G197" i="126"/>
  <c r="G198" i="126"/>
  <c r="G195" i="137"/>
  <c r="G196" i="137"/>
  <c r="G197" i="137"/>
  <c r="G198" i="137"/>
  <c r="G199" i="137"/>
  <c r="G200" i="137"/>
  <c r="G195" i="134"/>
  <c r="G196" i="134"/>
  <c r="G197" i="134"/>
  <c r="G198" i="134"/>
  <c r="G199" i="134"/>
  <c r="G200" i="134"/>
  <c r="G195" i="136"/>
  <c r="G196" i="136"/>
  <c r="G197" i="136"/>
  <c r="G198" i="136"/>
  <c r="G199" i="136"/>
  <c r="G200" i="136"/>
  <c r="G195" i="118"/>
  <c r="G196" i="118"/>
  <c r="G197" i="118"/>
  <c r="G198" i="118"/>
  <c r="G199" i="118"/>
  <c r="G200" i="118"/>
  <c r="G195" i="135"/>
  <c r="G196" i="135"/>
  <c r="G197" i="135"/>
  <c r="G198" i="135"/>
  <c r="G199" i="135"/>
  <c r="G200" i="135"/>
  <c r="G195" i="138"/>
  <c r="G196" i="138"/>
  <c r="G197" i="138"/>
  <c r="G198" i="138"/>
  <c r="G199" i="138"/>
  <c r="G200" i="138"/>
  <c r="G195" i="133"/>
  <c r="G196" i="133"/>
  <c r="G197" i="133"/>
  <c r="G198" i="133"/>
  <c r="G199" i="133"/>
  <c r="G200" i="133"/>
  <c r="G195" i="162"/>
  <c r="G196" i="162"/>
  <c r="G197" i="162"/>
  <c r="G198" i="162"/>
  <c r="G199" i="162"/>
  <c r="G200" i="162"/>
  <c r="G195" i="131"/>
  <c r="G196" i="131"/>
  <c r="G197" i="131"/>
  <c r="G198" i="131"/>
  <c r="G199" i="131"/>
  <c r="G200" i="131"/>
  <c r="G195" i="129"/>
  <c r="G196" i="129"/>
  <c r="G197" i="129"/>
  <c r="G198" i="129"/>
  <c r="G199" i="129"/>
  <c r="G200" i="129"/>
  <c r="G195" i="127"/>
  <c r="G196" i="127"/>
  <c r="G197" i="127"/>
  <c r="G198" i="127"/>
  <c r="G199" i="127"/>
  <c r="G200" i="127"/>
  <c r="G195" i="128"/>
  <c r="G196" i="128"/>
  <c r="G197" i="128"/>
  <c r="G198" i="128"/>
  <c r="G199" i="128"/>
  <c r="G200" i="128"/>
  <c r="G195" i="125"/>
  <c r="G196" i="125"/>
  <c r="G197" i="125"/>
  <c r="G198" i="125"/>
  <c r="G199" i="125"/>
  <c r="G200" i="125"/>
  <c r="G195" i="124"/>
  <c r="G196" i="124"/>
  <c r="G197" i="124"/>
  <c r="G198" i="124"/>
  <c r="G199" i="124"/>
  <c r="G200" i="124"/>
  <c r="G195" i="123"/>
  <c r="G196" i="123"/>
  <c r="G197" i="123"/>
  <c r="G198" i="123"/>
  <c r="G199" i="123"/>
  <c r="G200" i="123"/>
  <c r="G195" i="122"/>
  <c r="G196" i="122"/>
  <c r="G197" i="122"/>
  <c r="G198" i="122"/>
  <c r="G199" i="122"/>
  <c r="G200" i="122"/>
  <c r="G195" i="120"/>
  <c r="G196" i="120"/>
  <c r="G196" i="165" s="1"/>
  <c r="G197" i="120"/>
  <c r="G198" i="120"/>
  <c r="G199" i="120"/>
  <c r="G200" i="120"/>
  <c r="G195" i="163"/>
  <c r="G196" i="163"/>
  <c r="G197" i="163"/>
  <c r="G198" i="163"/>
  <c r="G198" i="165" s="1"/>
  <c r="G199" i="163"/>
  <c r="G200" i="163"/>
  <c r="G195" i="121"/>
  <c r="G196" i="121"/>
  <c r="G197" i="121"/>
  <c r="G198" i="121"/>
  <c r="G199" i="121"/>
  <c r="G200" i="121"/>
  <c r="G71" i="165"/>
  <c r="G135" i="165"/>
  <c r="G24" i="137"/>
  <c r="G161" i="137"/>
  <c r="G162" i="137"/>
  <c r="G163" i="137"/>
  <c r="G164" i="137"/>
  <c r="G165" i="137"/>
  <c r="G166" i="137"/>
  <c r="G167" i="137"/>
  <c r="G168" i="137"/>
  <c r="G169" i="137"/>
  <c r="G170" i="137"/>
  <c r="G171" i="137"/>
  <c r="G172" i="137"/>
  <c r="G173" i="137"/>
  <c r="G174" i="137"/>
  <c r="G175" i="137"/>
  <c r="G176" i="137"/>
  <c r="G177" i="137"/>
  <c r="G178" i="137"/>
  <c r="G179" i="137"/>
  <c r="G180" i="137"/>
  <c r="G181" i="137"/>
  <c r="G182" i="137"/>
  <c r="G183" i="137"/>
  <c r="G184" i="137"/>
  <c r="G185" i="137"/>
  <c r="G186" i="137"/>
  <c r="G187" i="137"/>
  <c r="G188" i="137"/>
  <c r="G189" i="137"/>
  <c r="G190" i="137"/>
  <c r="G191" i="137"/>
  <c r="G192" i="137"/>
  <c r="G193" i="137"/>
  <c r="G194" i="137"/>
  <c r="G201" i="137"/>
  <c r="G205" i="137"/>
  <c r="G206" i="137"/>
  <c r="G207" i="137"/>
  <c r="G208" i="137"/>
  <c r="G209" i="137"/>
  <c r="G214" i="137"/>
  <c r="G24" i="134"/>
  <c r="G161" i="134"/>
  <c r="G162" i="134"/>
  <c r="G163" i="134"/>
  <c r="G164" i="134"/>
  <c r="G165" i="134"/>
  <c r="G166" i="134"/>
  <c r="G167" i="134"/>
  <c r="G168" i="134"/>
  <c r="G169" i="134"/>
  <c r="G170" i="134"/>
  <c r="G171" i="134"/>
  <c r="G172" i="134"/>
  <c r="G173" i="134"/>
  <c r="G174" i="134"/>
  <c r="G175" i="134"/>
  <c r="G176" i="134"/>
  <c r="G177" i="134"/>
  <c r="G178" i="134"/>
  <c r="G179" i="134"/>
  <c r="G180" i="134"/>
  <c r="G181" i="134"/>
  <c r="G182" i="134"/>
  <c r="G183" i="134"/>
  <c r="G184" i="134"/>
  <c r="G185" i="134"/>
  <c r="G186" i="134"/>
  <c r="G187" i="134"/>
  <c r="G188" i="134"/>
  <c r="G189" i="134"/>
  <c r="G190" i="134"/>
  <c r="G191" i="134"/>
  <c r="G192" i="134"/>
  <c r="G193" i="134"/>
  <c r="G194" i="134"/>
  <c r="G201" i="134"/>
  <c r="G205" i="134"/>
  <c r="G206" i="134"/>
  <c r="G207" i="134"/>
  <c r="G208" i="134"/>
  <c r="G209" i="134"/>
  <c r="G214" i="134"/>
  <c r="G24" i="136"/>
  <c r="G161" i="136"/>
  <c r="G162" i="136"/>
  <c r="G163" i="136"/>
  <c r="G164" i="136"/>
  <c r="G165" i="136"/>
  <c r="G166" i="136"/>
  <c r="G167" i="136"/>
  <c r="G168" i="136"/>
  <c r="G169" i="136"/>
  <c r="G170" i="136"/>
  <c r="G171" i="136"/>
  <c r="G172" i="136"/>
  <c r="G173" i="136"/>
  <c r="G174" i="136"/>
  <c r="G175" i="136"/>
  <c r="G176" i="136"/>
  <c r="G177" i="136"/>
  <c r="G178" i="136"/>
  <c r="G179" i="136"/>
  <c r="G180" i="136"/>
  <c r="G181" i="136"/>
  <c r="G182" i="136"/>
  <c r="G183" i="136"/>
  <c r="G184" i="136"/>
  <c r="G185" i="136"/>
  <c r="G186" i="136"/>
  <c r="G187" i="136"/>
  <c r="G188" i="136"/>
  <c r="G189" i="136"/>
  <c r="G190" i="136"/>
  <c r="G191" i="136"/>
  <c r="G192" i="136"/>
  <c r="G193" i="136"/>
  <c r="G194" i="136"/>
  <c r="G201" i="136"/>
  <c r="G205" i="136"/>
  <c r="G206" i="136"/>
  <c r="G207" i="136"/>
  <c r="G208" i="136"/>
  <c r="G209" i="136"/>
  <c r="G214" i="136"/>
  <c r="G24" i="118"/>
  <c r="G161" i="118"/>
  <c r="G162" i="118"/>
  <c r="G163" i="118"/>
  <c r="G164" i="118"/>
  <c r="G165" i="118"/>
  <c r="G166" i="118"/>
  <c r="G167" i="118"/>
  <c r="G168" i="118"/>
  <c r="G169" i="118"/>
  <c r="G170" i="118"/>
  <c r="G171" i="118"/>
  <c r="G172" i="118"/>
  <c r="G173" i="118"/>
  <c r="G174" i="118"/>
  <c r="G175" i="118"/>
  <c r="G176" i="118"/>
  <c r="G177" i="118"/>
  <c r="G178" i="118"/>
  <c r="G179" i="118"/>
  <c r="G180" i="118"/>
  <c r="G181" i="118"/>
  <c r="G182" i="118"/>
  <c r="G183" i="118"/>
  <c r="G184" i="118"/>
  <c r="G185" i="118"/>
  <c r="G186" i="118"/>
  <c r="G187" i="118"/>
  <c r="G188" i="118"/>
  <c r="G189" i="118"/>
  <c r="G190" i="118"/>
  <c r="G191" i="118"/>
  <c r="G192" i="118"/>
  <c r="G193" i="118"/>
  <c r="G194" i="118"/>
  <c r="G201" i="118"/>
  <c r="G205" i="118"/>
  <c r="G206" i="118"/>
  <c r="G207" i="118"/>
  <c r="G208" i="118"/>
  <c r="G209" i="118"/>
  <c r="G214" i="118"/>
  <c r="G24" i="135"/>
  <c r="G161" i="135"/>
  <c r="G162" i="135"/>
  <c r="G163" i="135"/>
  <c r="G164" i="135"/>
  <c r="G165" i="135"/>
  <c r="G166" i="135"/>
  <c r="G167" i="135"/>
  <c r="G168" i="135"/>
  <c r="G169" i="135"/>
  <c r="G170" i="135"/>
  <c r="G171" i="135"/>
  <c r="G172" i="135"/>
  <c r="G173" i="135"/>
  <c r="G174" i="135"/>
  <c r="G175" i="135"/>
  <c r="G176" i="135"/>
  <c r="G177" i="135"/>
  <c r="G178" i="135"/>
  <c r="G179" i="135"/>
  <c r="G180" i="135"/>
  <c r="G181" i="135"/>
  <c r="G182" i="135"/>
  <c r="G183" i="135"/>
  <c r="G184" i="135"/>
  <c r="G185" i="135"/>
  <c r="G186" i="135"/>
  <c r="G187" i="135"/>
  <c r="G188" i="135"/>
  <c r="G189" i="135"/>
  <c r="G190" i="135"/>
  <c r="G191" i="135"/>
  <c r="G192" i="135"/>
  <c r="G193" i="135"/>
  <c r="G194" i="135"/>
  <c r="G201" i="135"/>
  <c r="G205" i="135"/>
  <c r="G206" i="135"/>
  <c r="G207" i="135"/>
  <c r="G208" i="135"/>
  <c r="G209" i="135"/>
  <c r="G214" i="135"/>
  <c r="G24" i="138"/>
  <c r="G161" i="138"/>
  <c r="G162" i="138"/>
  <c r="G163" i="138"/>
  <c r="G164" i="138"/>
  <c r="G165" i="138"/>
  <c r="G166" i="138"/>
  <c r="G167" i="138"/>
  <c r="G168" i="138"/>
  <c r="G169" i="138"/>
  <c r="G170" i="138"/>
  <c r="G171" i="138"/>
  <c r="G172" i="138"/>
  <c r="G173" i="138"/>
  <c r="G174" i="138"/>
  <c r="G175" i="138"/>
  <c r="G176" i="138"/>
  <c r="G177" i="138"/>
  <c r="G178" i="138"/>
  <c r="G179" i="138"/>
  <c r="G180" i="138"/>
  <c r="G181" i="138"/>
  <c r="G182" i="138"/>
  <c r="G183" i="138"/>
  <c r="G184" i="138"/>
  <c r="G185" i="138"/>
  <c r="G186" i="138"/>
  <c r="G187" i="138"/>
  <c r="G188" i="138"/>
  <c r="G189" i="138"/>
  <c r="G190" i="138"/>
  <c r="G191" i="138"/>
  <c r="G192" i="138"/>
  <c r="G193" i="138"/>
  <c r="G194" i="138"/>
  <c r="G201" i="138"/>
  <c r="G205" i="138"/>
  <c r="G206" i="138"/>
  <c r="G207" i="138"/>
  <c r="G208" i="138"/>
  <c r="G209" i="138"/>
  <c r="G214" i="138"/>
  <c r="G24" i="133"/>
  <c r="G161" i="133"/>
  <c r="G162" i="133"/>
  <c r="G163" i="133"/>
  <c r="G164" i="133"/>
  <c r="G165" i="133"/>
  <c r="G166" i="133"/>
  <c r="G167" i="133"/>
  <c r="G168" i="133"/>
  <c r="G169" i="133"/>
  <c r="G170" i="133"/>
  <c r="G171" i="133"/>
  <c r="G172" i="133"/>
  <c r="G173" i="133"/>
  <c r="G174" i="133"/>
  <c r="G175" i="133"/>
  <c r="G176" i="133"/>
  <c r="G177" i="133"/>
  <c r="G178" i="133"/>
  <c r="G179" i="133"/>
  <c r="G180" i="133"/>
  <c r="G181" i="133"/>
  <c r="G182" i="133"/>
  <c r="G183" i="133"/>
  <c r="G184" i="133"/>
  <c r="G185" i="133"/>
  <c r="G186" i="133"/>
  <c r="G187" i="133"/>
  <c r="G188" i="133"/>
  <c r="G189" i="133"/>
  <c r="G190" i="133"/>
  <c r="G191" i="133"/>
  <c r="G192" i="133"/>
  <c r="G193" i="133"/>
  <c r="G194" i="133"/>
  <c r="G201" i="133"/>
  <c r="G205" i="133"/>
  <c r="G206" i="133"/>
  <c r="G207" i="133"/>
  <c r="G208" i="133"/>
  <c r="G209" i="133"/>
  <c r="G214" i="133"/>
  <c r="G24" i="162"/>
  <c r="G161" i="162"/>
  <c r="G162" i="162"/>
  <c r="G163" i="162"/>
  <c r="G164" i="162"/>
  <c r="G165" i="162"/>
  <c r="G166" i="162"/>
  <c r="G167" i="162"/>
  <c r="G168" i="162"/>
  <c r="G169" i="162"/>
  <c r="G170" i="162"/>
  <c r="G171" i="162"/>
  <c r="G172" i="162"/>
  <c r="G173" i="162"/>
  <c r="G174" i="162"/>
  <c r="G175" i="162"/>
  <c r="G176" i="162"/>
  <c r="G177" i="162"/>
  <c r="G178" i="162"/>
  <c r="G179" i="162"/>
  <c r="G180" i="162"/>
  <c r="G181" i="162"/>
  <c r="G182" i="162"/>
  <c r="G183" i="162"/>
  <c r="G184" i="162"/>
  <c r="G185" i="162"/>
  <c r="G186" i="162"/>
  <c r="G187" i="162"/>
  <c r="G188" i="162"/>
  <c r="G189" i="162"/>
  <c r="G190" i="162"/>
  <c r="G191" i="162"/>
  <c r="G192" i="162"/>
  <c r="G193" i="162"/>
  <c r="G194" i="162"/>
  <c r="G201" i="162"/>
  <c r="G205" i="162"/>
  <c r="G206" i="162"/>
  <c r="G207" i="162"/>
  <c r="G208" i="162"/>
  <c r="G209" i="162"/>
  <c r="G214" i="162"/>
  <c r="G24" i="131"/>
  <c r="G161" i="131"/>
  <c r="G162" i="131"/>
  <c r="G163" i="131"/>
  <c r="G164" i="131"/>
  <c r="G165" i="131"/>
  <c r="G166" i="131"/>
  <c r="G167" i="131"/>
  <c r="G168" i="131"/>
  <c r="G169" i="131"/>
  <c r="G170" i="131"/>
  <c r="G171" i="131"/>
  <c r="G172" i="131"/>
  <c r="G173" i="131"/>
  <c r="G174" i="131"/>
  <c r="G175" i="131"/>
  <c r="G176" i="131"/>
  <c r="G177" i="131"/>
  <c r="G178" i="131"/>
  <c r="G179" i="131"/>
  <c r="G180" i="131"/>
  <c r="G181" i="131"/>
  <c r="G182" i="131"/>
  <c r="G183" i="131"/>
  <c r="G184" i="131"/>
  <c r="G185" i="131"/>
  <c r="G186" i="131"/>
  <c r="G187" i="131"/>
  <c r="G188" i="131"/>
  <c r="G189" i="131"/>
  <c r="G190" i="131"/>
  <c r="G191" i="131"/>
  <c r="G192" i="131"/>
  <c r="G193" i="131"/>
  <c r="G194" i="131"/>
  <c r="G201" i="131"/>
  <c r="G205" i="131"/>
  <c r="G206" i="131"/>
  <c r="G207" i="131"/>
  <c r="G208" i="131"/>
  <c r="G209" i="131"/>
  <c r="G214" i="131"/>
  <c r="G24" i="129"/>
  <c r="G161" i="129"/>
  <c r="G162" i="129"/>
  <c r="G163" i="129"/>
  <c r="G164" i="129"/>
  <c r="G165" i="129"/>
  <c r="G166" i="129"/>
  <c r="G167" i="129"/>
  <c r="G168" i="129"/>
  <c r="G169" i="129"/>
  <c r="G170" i="129"/>
  <c r="G171" i="129"/>
  <c r="G172" i="129"/>
  <c r="G173" i="129"/>
  <c r="G174" i="129"/>
  <c r="G175" i="129"/>
  <c r="G176" i="129"/>
  <c r="G177" i="129"/>
  <c r="G178" i="129"/>
  <c r="G179" i="129"/>
  <c r="G180" i="129"/>
  <c r="G181" i="129"/>
  <c r="G182" i="129"/>
  <c r="G183" i="129"/>
  <c r="G184" i="129"/>
  <c r="G185" i="129"/>
  <c r="G186" i="129"/>
  <c r="G187" i="129"/>
  <c r="G188" i="129"/>
  <c r="G189" i="129"/>
  <c r="G190" i="129"/>
  <c r="G191" i="129"/>
  <c r="G192" i="129"/>
  <c r="G193" i="129"/>
  <c r="G194" i="129"/>
  <c r="G201" i="129"/>
  <c r="G205" i="129"/>
  <c r="G206" i="129"/>
  <c r="G207" i="129"/>
  <c r="G208" i="129"/>
  <c r="G209" i="129"/>
  <c r="G214" i="129"/>
  <c r="G24" i="127"/>
  <c r="G161" i="127"/>
  <c r="G162" i="127"/>
  <c r="G163" i="127"/>
  <c r="G164" i="127"/>
  <c r="G165" i="127"/>
  <c r="G166" i="127"/>
  <c r="G167" i="127"/>
  <c r="G168" i="127"/>
  <c r="G169" i="127"/>
  <c r="G170" i="127"/>
  <c r="G171" i="127"/>
  <c r="G172" i="127"/>
  <c r="G173" i="127"/>
  <c r="G174" i="127"/>
  <c r="G175" i="127"/>
  <c r="G176" i="127"/>
  <c r="G177" i="127"/>
  <c r="G178" i="127"/>
  <c r="G179" i="127"/>
  <c r="G180" i="127"/>
  <c r="G181" i="127"/>
  <c r="G182" i="127"/>
  <c r="G183" i="127"/>
  <c r="G184" i="127"/>
  <c r="G185" i="127"/>
  <c r="G186" i="127"/>
  <c r="G187" i="127"/>
  <c r="G188" i="127"/>
  <c r="G189" i="127"/>
  <c r="G190" i="127"/>
  <c r="G191" i="127"/>
  <c r="G192" i="127"/>
  <c r="G193" i="127"/>
  <c r="G194" i="127"/>
  <c r="G201" i="127"/>
  <c r="G205" i="127"/>
  <c r="G206" i="127"/>
  <c r="G207" i="127"/>
  <c r="G208" i="127"/>
  <c r="G209" i="127"/>
  <c r="G214" i="127"/>
  <c r="G24" i="128"/>
  <c r="G161" i="128"/>
  <c r="G162" i="128"/>
  <c r="G163" i="128"/>
  <c r="G164" i="128"/>
  <c r="G165" i="128"/>
  <c r="G166" i="128"/>
  <c r="G167" i="128"/>
  <c r="G168" i="128"/>
  <c r="G169" i="128"/>
  <c r="G170" i="128"/>
  <c r="G171" i="128"/>
  <c r="G172" i="128"/>
  <c r="G173" i="128"/>
  <c r="G174" i="128"/>
  <c r="G175" i="128"/>
  <c r="G176" i="128"/>
  <c r="G177" i="128"/>
  <c r="G178" i="128"/>
  <c r="G179" i="128"/>
  <c r="G180" i="128"/>
  <c r="G181" i="128"/>
  <c r="G182" i="128"/>
  <c r="G183" i="128"/>
  <c r="G184" i="128"/>
  <c r="G185" i="128"/>
  <c r="G186" i="128"/>
  <c r="G187" i="128"/>
  <c r="G188" i="128"/>
  <c r="G189" i="128"/>
  <c r="G190" i="128"/>
  <c r="G191" i="128"/>
  <c r="G192" i="128"/>
  <c r="G193" i="128"/>
  <c r="G194" i="128"/>
  <c r="G201" i="128"/>
  <c r="G205" i="128"/>
  <c r="G206" i="128"/>
  <c r="G207" i="128"/>
  <c r="G208" i="128"/>
  <c r="G209" i="128"/>
  <c r="G214" i="128"/>
  <c r="G24" i="125"/>
  <c r="G161" i="125"/>
  <c r="G162" i="125"/>
  <c r="G163" i="125"/>
  <c r="G164" i="125"/>
  <c r="G165" i="125"/>
  <c r="G166" i="125"/>
  <c r="G167" i="125"/>
  <c r="G168" i="125"/>
  <c r="G169" i="125"/>
  <c r="G170" i="125"/>
  <c r="G171" i="125"/>
  <c r="G172" i="125"/>
  <c r="G173" i="125"/>
  <c r="G174" i="125"/>
  <c r="G175" i="125"/>
  <c r="G176" i="125"/>
  <c r="G177" i="125"/>
  <c r="G178" i="125"/>
  <c r="G179" i="125"/>
  <c r="G180" i="125"/>
  <c r="G181" i="125"/>
  <c r="G182" i="125"/>
  <c r="G183" i="125"/>
  <c r="G184" i="125"/>
  <c r="G185" i="125"/>
  <c r="G186" i="125"/>
  <c r="G187" i="125"/>
  <c r="G188" i="125"/>
  <c r="G189" i="125"/>
  <c r="G190" i="125"/>
  <c r="G191" i="125"/>
  <c r="G192" i="125"/>
  <c r="G193" i="125"/>
  <c r="G194" i="125"/>
  <c r="G201" i="125"/>
  <c r="G205" i="125"/>
  <c r="G206" i="125"/>
  <c r="G207" i="125"/>
  <c r="G208" i="125"/>
  <c r="G209" i="125"/>
  <c r="G214" i="125"/>
  <c r="G24" i="124"/>
  <c r="G161" i="124"/>
  <c r="G162" i="124"/>
  <c r="G163" i="124"/>
  <c r="G164" i="124"/>
  <c r="G165" i="124"/>
  <c r="G166" i="124"/>
  <c r="G167" i="124"/>
  <c r="G168" i="124"/>
  <c r="G169" i="124"/>
  <c r="G170" i="124"/>
  <c r="G171" i="124"/>
  <c r="G172" i="124"/>
  <c r="G173" i="124"/>
  <c r="G174" i="124"/>
  <c r="G175" i="124"/>
  <c r="G176" i="124"/>
  <c r="G177" i="124"/>
  <c r="G178" i="124"/>
  <c r="G179" i="124"/>
  <c r="G180" i="124"/>
  <c r="G181" i="124"/>
  <c r="G182" i="124"/>
  <c r="G183" i="124"/>
  <c r="G184" i="124"/>
  <c r="G185" i="124"/>
  <c r="G186" i="124"/>
  <c r="G187" i="124"/>
  <c r="G188" i="124"/>
  <c r="G189" i="124"/>
  <c r="G190" i="124"/>
  <c r="G191" i="124"/>
  <c r="G192" i="124"/>
  <c r="G193" i="124"/>
  <c r="G194" i="124"/>
  <c r="G201" i="124"/>
  <c r="G205" i="124"/>
  <c r="G206" i="124"/>
  <c r="G207" i="124"/>
  <c r="G208" i="124"/>
  <c r="G209" i="124"/>
  <c r="G214" i="124"/>
  <c r="G24" i="123"/>
  <c r="G161" i="123"/>
  <c r="G162" i="123"/>
  <c r="G163" i="123"/>
  <c r="G164" i="123"/>
  <c r="G165" i="123"/>
  <c r="G166" i="123"/>
  <c r="G167" i="123"/>
  <c r="G168" i="123"/>
  <c r="G169" i="123"/>
  <c r="G170" i="123"/>
  <c r="G171" i="123"/>
  <c r="G172" i="123"/>
  <c r="G173" i="123"/>
  <c r="G174" i="123"/>
  <c r="G175" i="123"/>
  <c r="G176" i="123"/>
  <c r="G177" i="123"/>
  <c r="G178" i="123"/>
  <c r="G179" i="123"/>
  <c r="G180" i="123"/>
  <c r="G181" i="123"/>
  <c r="G182" i="123"/>
  <c r="G183" i="123"/>
  <c r="G184" i="123"/>
  <c r="G185" i="123"/>
  <c r="G186" i="123"/>
  <c r="G187" i="123"/>
  <c r="G188" i="123"/>
  <c r="G189" i="123"/>
  <c r="G190" i="123"/>
  <c r="G191" i="123"/>
  <c r="G192" i="123"/>
  <c r="G193" i="123"/>
  <c r="G194" i="123"/>
  <c r="G201" i="123"/>
  <c r="G205" i="123"/>
  <c r="G206" i="123"/>
  <c r="G207" i="123"/>
  <c r="G208" i="123"/>
  <c r="G209" i="123"/>
  <c r="G214" i="123"/>
  <c r="G24" i="122"/>
  <c r="G161" i="122"/>
  <c r="G162" i="122"/>
  <c r="G163" i="122"/>
  <c r="G164" i="122"/>
  <c r="G165" i="122"/>
  <c r="G166" i="122"/>
  <c r="G167" i="122"/>
  <c r="G168" i="122"/>
  <c r="G169" i="122"/>
  <c r="G170" i="122"/>
  <c r="G171" i="122"/>
  <c r="G172" i="122"/>
  <c r="G173" i="122"/>
  <c r="G174" i="122"/>
  <c r="G175" i="122"/>
  <c r="G176" i="122"/>
  <c r="G177" i="122"/>
  <c r="G178" i="122"/>
  <c r="G179" i="122"/>
  <c r="G180" i="122"/>
  <c r="G181" i="122"/>
  <c r="G182" i="122"/>
  <c r="G183" i="122"/>
  <c r="G184" i="122"/>
  <c r="G185" i="122"/>
  <c r="G186" i="122"/>
  <c r="G187" i="122"/>
  <c r="G188" i="122"/>
  <c r="G189" i="122"/>
  <c r="G190" i="122"/>
  <c r="G191" i="122"/>
  <c r="G192" i="122"/>
  <c r="G193" i="122"/>
  <c r="G194" i="122"/>
  <c r="G201" i="122"/>
  <c r="G205" i="122"/>
  <c r="G206" i="122"/>
  <c r="G207" i="122"/>
  <c r="G208" i="122"/>
  <c r="G209" i="122"/>
  <c r="G214" i="122"/>
  <c r="G24" i="120"/>
  <c r="G161" i="120"/>
  <c r="G162" i="120"/>
  <c r="G163" i="120"/>
  <c r="G164" i="120"/>
  <c r="G165" i="120"/>
  <c r="G166" i="120"/>
  <c r="G167" i="120"/>
  <c r="G168" i="120"/>
  <c r="G169" i="120"/>
  <c r="G170" i="120"/>
  <c r="G171" i="120"/>
  <c r="G172" i="120"/>
  <c r="G173" i="120"/>
  <c r="G174" i="120"/>
  <c r="G175" i="120"/>
  <c r="G176" i="120"/>
  <c r="G177" i="120"/>
  <c r="G178" i="120"/>
  <c r="G179" i="120"/>
  <c r="G180" i="120"/>
  <c r="G181" i="120"/>
  <c r="G182" i="120"/>
  <c r="G183" i="120"/>
  <c r="G184" i="120"/>
  <c r="G185" i="120"/>
  <c r="G186" i="120"/>
  <c r="G187" i="120"/>
  <c r="G188" i="120"/>
  <c r="G189" i="120"/>
  <c r="G190" i="120"/>
  <c r="G191" i="120"/>
  <c r="G192" i="120"/>
  <c r="G193" i="120"/>
  <c r="G194" i="120"/>
  <c r="G201" i="120"/>
  <c r="G205" i="120"/>
  <c r="G206" i="120"/>
  <c r="G207" i="120"/>
  <c r="G208" i="120"/>
  <c r="G209" i="120"/>
  <c r="G214" i="120"/>
  <c r="G24" i="163"/>
  <c r="G161" i="163"/>
  <c r="G162" i="163"/>
  <c r="G163" i="163"/>
  <c r="G164" i="163"/>
  <c r="G165" i="163"/>
  <c r="G166" i="163"/>
  <c r="G167" i="163"/>
  <c r="G168" i="163"/>
  <c r="G169" i="163"/>
  <c r="G170" i="163"/>
  <c r="G171" i="163"/>
  <c r="G172" i="163"/>
  <c r="G173" i="163"/>
  <c r="G174" i="163"/>
  <c r="G175" i="163"/>
  <c r="G176" i="163"/>
  <c r="G177" i="163"/>
  <c r="G178" i="163"/>
  <c r="G179" i="163"/>
  <c r="G180" i="163"/>
  <c r="G181" i="163"/>
  <c r="G182" i="163"/>
  <c r="G183" i="163"/>
  <c r="G184" i="163"/>
  <c r="G185" i="163"/>
  <c r="G186" i="163"/>
  <c r="G187" i="163"/>
  <c r="G188" i="163"/>
  <c r="G189" i="163"/>
  <c r="G190" i="163"/>
  <c r="G191" i="163"/>
  <c r="G192" i="163"/>
  <c r="G193" i="163"/>
  <c r="G194" i="163"/>
  <c r="G201" i="163"/>
  <c r="G205" i="163"/>
  <c r="G206" i="163"/>
  <c r="G207" i="163"/>
  <c r="G208" i="163"/>
  <c r="G209" i="163"/>
  <c r="G214" i="163"/>
  <c r="G24" i="121"/>
  <c r="G24" i="165" s="1"/>
  <c r="G32" i="165"/>
  <c r="G43" i="165"/>
  <c r="G96" i="165"/>
  <c r="G161" i="121"/>
  <c r="G162" i="121"/>
  <c r="G163" i="121"/>
  <c r="G164" i="121"/>
  <c r="G165" i="121"/>
  <c r="G166" i="121"/>
  <c r="G167" i="121"/>
  <c r="G168" i="121"/>
  <c r="G168" i="165" s="1"/>
  <c r="G169" i="121"/>
  <c r="G170" i="121"/>
  <c r="G171" i="121"/>
  <c r="G172" i="121"/>
  <c r="G173" i="121"/>
  <c r="G174" i="121"/>
  <c r="G175" i="121"/>
  <c r="G176" i="121"/>
  <c r="G176" i="165" s="1"/>
  <c r="G177" i="121"/>
  <c r="G178" i="121"/>
  <c r="G179" i="121"/>
  <c r="G180" i="121"/>
  <c r="G181" i="121"/>
  <c r="G182" i="121"/>
  <c r="G183" i="121"/>
  <c r="G184" i="121"/>
  <c r="G185" i="121"/>
  <c r="G186" i="121"/>
  <c r="G187" i="121"/>
  <c r="G188" i="121"/>
  <c r="G189" i="121"/>
  <c r="G190" i="121"/>
  <c r="G191" i="121"/>
  <c r="G192" i="121"/>
  <c r="G192" i="165" s="1"/>
  <c r="G193" i="121"/>
  <c r="G194" i="121"/>
  <c r="G201" i="121"/>
  <c r="G205" i="121"/>
  <c r="G206" i="121"/>
  <c r="G207" i="121"/>
  <c r="G208" i="121"/>
  <c r="G209" i="121"/>
  <c r="G214" i="121"/>
  <c r="G27" i="165"/>
  <c r="G35" i="165"/>
  <c r="G53" i="165"/>
  <c r="G77" i="165"/>
  <c r="G117" i="165"/>
  <c r="G141" i="165"/>
  <c r="G165" i="165"/>
  <c r="G173" i="165"/>
  <c r="G189" i="165"/>
  <c r="G215" i="165"/>
  <c r="G218" i="165"/>
  <c r="G222" i="165"/>
  <c r="G226" i="165"/>
  <c r="G231" i="165"/>
  <c r="G234" i="165"/>
  <c r="G238" i="165"/>
  <c r="G242" i="165"/>
  <c r="G247" i="165"/>
  <c r="G250" i="165"/>
  <c r="G254" i="165"/>
  <c r="G209" i="165"/>
  <c r="G213" i="165"/>
  <c r="G208" i="165"/>
  <c r="G202" i="165"/>
  <c r="G204" i="165"/>
  <c r="G212" i="165"/>
  <c r="E210" i="165"/>
  <c r="E211" i="165"/>
  <c r="E212" i="165"/>
  <c r="E213" i="165"/>
  <c r="K202" i="166"/>
  <c r="K203" i="166"/>
  <c r="K204" i="166"/>
  <c r="G25" i="165"/>
  <c r="G28" i="165"/>
  <c r="G34" i="165"/>
  <c r="G36" i="165"/>
  <c r="G41" i="165"/>
  <c r="G44" i="165"/>
  <c r="G50" i="165"/>
  <c r="G52" i="165"/>
  <c r="G56" i="165"/>
  <c r="G57" i="165"/>
  <c r="G58" i="165"/>
  <c r="G59" i="165"/>
  <c r="G60" i="165"/>
  <c r="G62" i="165"/>
  <c r="G65" i="165"/>
  <c r="G67" i="165"/>
  <c r="G68" i="165"/>
  <c r="G70" i="165"/>
  <c r="G73" i="165"/>
  <c r="G75" i="165"/>
  <c r="G76" i="165"/>
  <c r="G81" i="165"/>
  <c r="G83" i="165"/>
  <c r="G84" i="165"/>
  <c r="G89" i="165"/>
  <c r="G91" i="165"/>
  <c r="G92" i="165"/>
  <c r="G94" i="165"/>
  <c r="G97" i="165"/>
  <c r="G99" i="165"/>
  <c r="G100" i="165"/>
  <c r="G105" i="165"/>
  <c r="G107" i="165"/>
  <c r="G108" i="165"/>
  <c r="G113" i="165"/>
  <c r="G114" i="165"/>
  <c r="G115" i="165"/>
  <c r="G116" i="165"/>
  <c r="G121" i="165"/>
  <c r="G123" i="165"/>
  <c r="G124" i="165"/>
  <c r="G129" i="165"/>
  <c r="G131" i="165"/>
  <c r="G132" i="165"/>
  <c r="G137" i="165"/>
  <c r="G138" i="165"/>
  <c r="G139" i="165"/>
  <c r="G140" i="165"/>
  <c r="G145" i="165"/>
  <c r="G147" i="165"/>
  <c r="G148" i="165"/>
  <c r="G150" i="165"/>
  <c r="G153" i="165"/>
  <c r="G155" i="165"/>
  <c r="G156" i="165"/>
  <c r="G161" i="165"/>
  <c r="G162" i="165"/>
  <c r="G163" i="165"/>
  <c r="G164" i="165"/>
  <c r="G169" i="165"/>
  <c r="G170" i="165"/>
  <c r="G171" i="165"/>
  <c r="G172" i="165"/>
  <c r="G174" i="165"/>
  <c r="G177" i="165"/>
  <c r="G178" i="165"/>
  <c r="G179" i="165"/>
  <c r="G180" i="165"/>
  <c r="G181" i="165"/>
  <c r="G182" i="165"/>
  <c r="G184" i="165"/>
  <c r="G185" i="165"/>
  <c r="G186" i="165"/>
  <c r="G187" i="165"/>
  <c r="G188" i="165"/>
  <c r="G190" i="165"/>
  <c r="G193" i="165"/>
  <c r="G194" i="165"/>
  <c r="G195" i="165"/>
  <c r="G203" i="165"/>
  <c r="G211" i="165"/>
  <c r="G216" i="165"/>
  <c r="G217" i="165"/>
  <c r="G219" i="165"/>
  <c r="G220" i="165"/>
  <c r="G224" i="165"/>
  <c r="G225" i="165"/>
  <c r="G227" i="165"/>
  <c r="G228" i="165"/>
  <c r="G232" i="165"/>
  <c r="G233" i="165"/>
  <c r="G235" i="165"/>
  <c r="G236" i="165"/>
  <c r="G240" i="165"/>
  <c r="G241" i="165"/>
  <c r="G243" i="165"/>
  <c r="G244" i="165"/>
  <c r="G248" i="165"/>
  <c r="G249" i="165"/>
  <c r="G251" i="165"/>
  <c r="G252" i="165"/>
  <c r="G256" i="165"/>
  <c r="G257" i="165"/>
  <c r="G258" i="165"/>
  <c r="G259" i="165"/>
  <c r="J24" i="165"/>
  <c r="E24" i="165"/>
  <c r="E25" i="165"/>
  <c r="E26" i="165"/>
  <c r="E27" i="165"/>
  <c r="E28" i="165"/>
  <c r="E29" i="165"/>
  <c r="E30" i="165"/>
  <c r="J30" i="165" s="1"/>
  <c r="E31" i="165"/>
  <c r="J31" i="165" s="1"/>
  <c r="E32" i="165"/>
  <c r="E33" i="165"/>
  <c r="E34" i="165"/>
  <c r="E35" i="165"/>
  <c r="E36" i="165"/>
  <c r="E37" i="165"/>
  <c r="E38" i="165"/>
  <c r="J38" i="165" s="1"/>
  <c r="E39" i="165"/>
  <c r="J39" i="165" s="1"/>
  <c r="E40" i="165"/>
  <c r="E41" i="165"/>
  <c r="E43" i="165"/>
  <c r="E44" i="165"/>
  <c r="E45" i="165"/>
  <c r="E46" i="165"/>
  <c r="E47" i="165"/>
  <c r="J47" i="165" s="1"/>
  <c r="E49" i="165"/>
  <c r="J49" i="165" s="1"/>
  <c r="E50" i="165"/>
  <c r="E51" i="165"/>
  <c r="E52" i="165"/>
  <c r="E53" i="165"/>
  <c r="E54" i="165"/>
  <c r="E55" i="165"/>
  <c r="J55" i="165" s="1"/>
  <c r="E56" i="165"/>
  <c r="J56" i="165" s="1"/>
  <c r="E57" i="165"/>
  <c r="J57" i="165" s="1"/>
  <c r="E58" i="165"/>
  <c r="E59" i="165"/>
  <c r="E60" i="165"/>
  <c r="E61" i="165"/>
  <c r="E62" i="165"/>
  <c r="E63" i="165"/>
  <c r="J63" i="165" s="1"/>
  <c r="E64" i="165"/>
  <c r="J64" i="165" s="1"/>
  <c r="E65" i="165"/>
  <c r="J65" i="165" s="1"/>
  <c r="E66" i="165"/>
  <c r="E67" i="165"/>
  <c r="E68" i="165"/>
  <c r="E69" i="165"/>
  <c r="E70" i="165"/>
  <c r="E71" i="165"/>
  <c r="J71" i="165" s="1"/>
  <c r="E72" i="165"/>
  <c r="J72" i="165" s="1"/>
  <c r="E73" i="165"/>
  <c r="J73" i="165" s="1"/>
  <c r="E74" i="165"/>
  <c r="E75" i="165"/>
  <c r="E76" i="165"/>
  <c r="E77" i="165"/>
  <c r="E78" i="165"/>
  <c r="E79" i="165"/>
  <c r="J79" i="165" s="1"/>
  <c r="E80" i="165"/>
  <c r="J80" i="165" s="1"/>
  <c r="E81" i="165"/>
  <c r="J81" i="165" s="1"/>
  <c r="E82" i="165"/>
  <c r="E83" i="165"/>
  <c r="E84" i="165"/>
  <c r="E85" i="165"/>
  <c r="E86" i="165"/>
  <c r="E87" i="165"/>
  <c r="J87" i="165" s="1"/>
  <c r="E88" i="165"/>
  <c r="J88" i="165" s="1"/>
  <c r="E89" i="165"/>
  <c r="J89" i="165" s="1"/>
  <c r="E90" i="165"/>
  <c r="E91" i="165"/>
  <c r="E92" i="165"/>
  <c r="E93" i="165"/>
  <c r="E94" i="165"/>
  <c r="E95" i="165"/>
  <c r="J95" i="165" s="1"/>
  <c r="E96" i="165"/>
  <c r="J96" i="165" s="1"/>
  <c r="E97" i="165"/>
  <c r="J97" i="165" s="1"/>
  <c r="E98" i="165"/>
  <c r="E99" i="165"/>
  <c r="E100" i="165"/>
  <c r="E101" i="165"/>
  <c r="E102" i="165"/>
  <c r="E103" i="165"/>
  <c r="J103" i="165" s="1"/>
  <c r="E104" i="165"/>
  <c r="J104" i="165" s="1"/>
  <c r="E105" i="165"/>
  <c r="J105" i="165" s="1"/>
  <c r="E106" i="165"/>
  <c r="E107" i="165"/>
  <c r="E108" i="165"/>
  <c r="E109" i="165"/>
  <c r="E110" i="165"/>
  <c r="E111" i="165"/>
  <c r="J111" i="165" s="1"/>
  <c r="E112" i="165"/>
  <c r="E113" i="165"/>
  <c r="J113" i="165" s="1"/>
  <c r="E114" i="165"/>
  <c r="E115" i="165"/>
  <c r="E116" i="165"/>
  <c r="E117" i="165"/>
  <c r="E118" i="165"/>
  <c r="E119" i="165"/>
  <c r="J119" i="165" s="1"/>
  <c r="E120" i="165"/>
  <c r="J120" i="165" s="1"/>
  <c r="E121" i="165"/>
  <c r="J121" i="165" s="1"/>
  <c r="E122" i="165"/>
  <c r="E123" i="165"/>
  <c r="E124" i="165"/>
  <c r="E125" i="165"/>
  <c r="J125" i="165" s="1"/>
  <c r="E126" i="165"/>
  <c r="E127" i="165"/>
  <c r="J127" i="165" s="1"/>
  <c r="E128" i="165"/>
  <c r="J128" i="165" s="1"/>
  <c r="E129" i="165"/>
  <c r="J129" i="165" s="1"/>
  <c r="E130" i="165"/>
  <c r="E131" i="165"/>
  <c r="E132" i="165"/>
  <c r="E133" i="165"/>
  <c r="E134" i="165"/>
  <c r="E135" i="165"/>
  <c r="J135" i="165" s="1"/>
  <c r="E136" i="165"/>
  <c r="J136" i="165" s="1"/>
  <c r="E137" i="165"/>
  <c r="J137" i="165" s="1"/>
  <c r="E138" i="165"/>
  <c r="E139" i="165"/>
  <c r="E140" i="165"/>
  <c r="E141" i="165"/>
  <c r="E142" i="165"/>
  <c r="E143" i="165"/>
  <c r="J143" i="165" s="1"/>
  <c r="E144" i="165"/>
  <c r="E145" i="165"/>
  <c r="J145" i="165" s="1"/>
  <c r="E146" i="165"/>
  <c r="E147" i="165"/>
  <c r="E148" i="165"/>
  <c r="E149" i="165"/>
  <c r="E150" i="165"/>
  <c r="E154" i="165"/>
  <c r="J154" i="165" s="1"/>
  <c r="E155" i="165"/>
  <c r="J155" i="165" s="1"/>
  <c r="E157" i="165"/>
  <c r="J157" i="165" s="1"/>
  <c r="E159" i="165"/>
  <c r="J159" i="165" s="1"/>
  <c r="E162" i="165"/>
  <c r="E163" i="165"/>
  <c r="E164" i="165"/>
  <c r="E165" i="165"/>
  <c r="E166" i="165"/>
  <c r="E167" i="165"/>
  <c r="J167" i="165" s="1"/>
  <c r="E168" i="165"/>
  <c r="J168" i="165" s="1"/>
  <c r="E169" i="165"/>
  <c r="E170" i="165"/>
  <c r="E171" i="165"/>
  <c r="E172" i="165"/>
  <c r="E173" i="165"/>
  <c r="E174" i="165"/>
  <c r="E175" i="165"/>
  <c r="J175" i="165" s="1"/>
  <c r="E176" i="165"/>
  <c r="E177" i="165"/>
  <c r="E178" i="165"/>
  <c r="E179" i="165"/>
  <c r="E180" i="165"/>
  <c r="E181" i="165"/>
  <c r="J181" i="165" s="1"/>
  <c r="E182" i="165"/>
  <c r="J182" i="165" s="1"/>
  <c r="E183" i="165"/>
  <c r="J183" i="165" s="1"/>
  <c r="E184" i="165"/>
  <c r="J184" i="165" s="1"/>
  <c r="E185" i="165"/>
  <c r="E186" i="165"/>
  <c r="E187" i="165"/>
  <c r="E188" i="165"/>
  <c r="E189" i="165"/>
  <c r="J189" i="165" s="1"/>
  <c r="E190" i="165"/>
  <c r="J190" i="165" s="1"/>
  <c r="E191" i="165"/>
  <c r="J191" i="165" s="1"/>
  <c r="E192" i="165"/>
  <c r="J192" i="165" s="1"/>
  <c r="E193" i="165"/>
  <c r="E194" i="165"/>
  <c r="E195" i="165"/>
  <c r="E196" i="165"/>
  <c r="E197" i="165"/>
  <c r="J197" i="165" s="1"/>
  <c r="E198" i="165"/>
  <c r="J198" i="165" s="1"/>
  <c r="E199" i="165"/>
  <c r="J199" i="165" s="1"/>
  <c r="E200" i="165"/>
  <c r="J200" i="165" s="1"/>
  <c r="E201" i="165"/>
  <c r="E202" i="165"/>
  <c r="E203" i="165"/>
  <c r="E204" i="165"/>
  <c r="E205" i="165"/>
  <c r="J205" i="165" s="1"/>
  <c r="E206" i="165"/>
  <c r="J206" i="165" s="1"/>
  <c r="E207" i="165"/>
  <c r="J207" i="165" s="1"/>
  <c r="E208" i="165"/>
  <c r="E209" i="165"/>
  <c r="J209" i="165" s="1"/>
  <c r="E214" i="165"/>
  <c r="E215" i="165"/>
  <c r="E216" i="165"/>
  <c r="E217" i="165"/>
  <c r="E218" i="165"/>
  <c r="J218" i="165" s="1"/>
  <c r="E219" i="165"/>
  <c r="J219" i="165" s="1"/>
  <c r="E220" i="165"/>
  <c r="J220" i="165" s="1"/>
  <c r="E221" i="165"/>
  <c r="E222" i="165"/>
  <c r="E223" i="165"/>
  <c r="E224" i="165"/>
  <c r="E225" i="165"/>
  <c r="J225" i="165" s="1"/>
  <c r="E226" i="165"/>
  <c r="J226" i="165" s="1"/>
  <c r="E227" i="165"/>
  <c r="J227" i="165" s="1"/>
  <c r="E228" i="165"/>
  <c r="J228" i="165" s="1"/>
  <c r="E229" i="165"/>
  <c r="E230" i="165"/>
  <c r="E231" i="165"/>
  <c r="E232" i="165"/>
  <c r="E233" i="165"/>
  <c r="J233" i="165" s="1"/>
  <c r="E234" i="165"/>
  <c r="J234" i="165" s="1"/>
  <c r="E235" i="165"/>
  <c r="J235" i="165" s="1"/>
  <c r="E236" i="165"/>
  <c r="J236" i="165" s="1"/>
  <c r="E237" i="165"/>
  <c r="E238" i="165"/>
  <c r="E240" i="165"/>
  <c r="E241" i="165"/>
  <c r="E242" i="165"/>
  <c r="J242" i="165" s="1"/>
  <c r="E243" i="165"/>
  <c r="J243" i="165" s="1"/>
  <c r="E244" i="165"/>
  <c r="J244" i="165" s="1"/>
  <c r="E245" i="165"/>
  <c r="E246" i="165"/>
  <c r="E247" i="165"/>
  <c r="E248" i="165"/>
  <c r="J248" i="165" s="1"/>
  <c r="E249" i="165"/>
  <c r="J249" i="165" s="1"/>
  <c r="E250" i="165"/>
  <c r="E251" i="165"/>
  <c r="E252" i="165"/>
  <c r="J252" i="165" s="1"/>
  <c r="E253" i="165"/>
  <c r="J253" i="165" s="1"/>
  <c r="E254" i="165"/>
  <c r="E255" i="165"/>
  <c r="J255" i="165" s="1"/>
  <c r="E256" i="165"/>
  <c r="E257" i="165"/>
  <c r="E258" i="165"/>
  <c r="J258" i="165" s="1"/>
  <c r="E259" i="165"/>
  <c r="J259" i="165" s="1"/>
  <c r="E239" i="165"/>
  <c r="J239" i="165" s="1"/>
  <c r="G117" i="161"/>
  <c r="G117" i="166" s="1"/>
  <c r="K134" i="161"/>
  <c r="G134" i="161"/>
  <c r="G252" i="161"/>
  <c r="G252" i="166"/>
  <c r="G159" i="161"/>
  <c r="G160" i="161"/>
  <c r="G161" i="161"/>
  <c r="G162" i="161"/>
  <c r="G163" i="161"/>
  <c r="G164" i="161"/>
  <c r="G164" i="166" s="1"/>
  <c r="G165" i="161"/>
  <c r="G166" i="161"/>
  <c r="G166" i="166" s="1"/>
  <c r="G167" i="161"/>
  <c r="G168" i="161"/>
  <c r="G169" i="161"/>
  <c r="G170" i="161"/>
  <c r="G171" i="161"/>
  <c r="G172" i="161"/>
  <c r="G172" i="166" s="1"/>
  <c r="G173" i="161"/>
  <c r="G174" i="161"/>
  <c r="G175" i="161"/>
  <c r="G176" i="161"/>
  <c r="G177" i="161"/>
  <c r="G178" i="161"/>
  <c r="G179" i="161"/>
  <c r="G180" i="161"/>
  <c r="G180" i="166" s="1"/>
  <c r="G181" i="161"/>
  <c r="G182" i="161"/>
  <c r="G182" i="166" s="1"/>
  <c r="G183" i="161"/>
  <c r="G184" i="161"/>
  <c r="G185" i="161"/>
  <c r="G186" i="161"/>
  <c r="G187" i="161"/>
  <c r="G188" i="161"/>
  <c r="G188" i="166" s="1"/>
  <c r="G189" i="161"/>
  <c r="G190" i="161"/>
  <c r="G191" i="161"/>
  <c r="G192" i="161"/>
  <c r="G193" i="161"/>
  <c r="G194" i="161"/>
  <c r="G195" i="161"/>
  <c r="G196" i="161"/>
  <c r="G197" i="161"/>
  <c r="G198" i="161"/>
  <c r="G198" i="166" s="1"/>
  <c r="G199" i="161"/>
  <c r="G200" i="161"/>
  <c r="G201" i="161"/>
  <c r="G202" i="161"/>
  <c r="G202" i="166" s="1"/>
  <c r="G203" i="161"/>
  <c r="G203" i="166" s="1"/>
  <c r="G204" i="161"/>
  <c r="G205" i="161"/>
  <c r="G206" i="161"/>
  <c r="G206" i="166" s="1"/>
  <c r="G207" i="161"/>
  <c r="G208" i="161"/>
  <c r="G209" i="161"/>
  <c r="G210" i="161"/>
  <c r="G211" i="161"/>
  <c r="G212" i="161"/>
  <c r="G213" i="161"/>
  <c r="G214" i="161"/>
  <c r="G214" i="166" s="1"/>
  <c r="G215" i="161"/>
  <c r="G216" i="161"/>
  <c r="G217" i="161"/>
  <c r="G218" i="161"/>
  <c r="G219" i="161"/>
  <c r="G220" i="161"/>
  <c r="G221" i="161"/>
  <c r="G222" i="161"/>
  <c r="G222" i="166" s="1"/>
  <c r="G223" i="161"/>
  <c r="G224" i="161"/>
  <c r="G225" i="161"/>
  <c r="G226" i="161"/>
  <c r="G227" i="161"/>
  <c r="G228" i="161"/>
  <c r="G228" i="166" s="1"/>
  <c r="G229" i="161"/>
  <c r="G230" i="161"/>
  <c r="G230" i="166" s="1"/>
  <c r="G231" i="161"/>
  <c r="G232" i="161"/>
  <c r="G233" i="161"/>
  <c r="G234" i="161"/>
  <c r="G235" i="161"/>
  <c r="G236" i="161"/>
  <c r="G236" i="166" s="1"/>
  <c r="G237" i="161"/>
  <c r="G238" i="161"/>
  <c r="G238" i="166" s="1"/>
  <c r="G239" i="161"/>
  <c r="G240" i="161"/>
  <c r="G241" i="161"/>
  <c r="G242" i="161"/>
  <c r="G243" i="161"/>
  <c r="G244" i="161"/>
  <c r="G244" i="166" s="1"/>
  <c r="G245" i="161"/>
  <c r="G246" i="161"/>
  <c r="G246" i="166" s="1"/>
  <c r="G247" i="161"/>
  <c r="G248" i="161"/>
  <c r="G249" i="161"/>
  <c r="G250" i="161"/>
  <c r="G251" i="161"/>
  <c r="G253" i="161"/>
  <c r="G254" i="161"/>
  <c r="G254" i="166" s="1"/>
  <c r="G255" i="161"/>
  <c r="G158" i="161"/>
  <c r="G158" i="166" s="1"/>
  <c r="E48" i="123"/>
  <c r="G25" i="166"/>
  <c r="G26" i="166"/>
  <c r="G27" i="166"/>
  <c r="G28" i="166"/>
  <c r="G29" i="166"/>
  <c r="G30" i="166"/>
  <c r="G31" i="166"/>
  <c r="G32" i="166"/>
  <c r="G33" i="166"/>
  <c r="G34" i="166"/>
  <c r="G35" i="166"/>
  <c r="G36" i="166"/>
  <c r="G37" i="166"/>
  <c r="G38" i="166"/>
  <c r="G39" i="166"/>
  <c r="G40" i="166"/>
  <c r="G41" i="166"/>
  <c r="G42" i="166"/>
  <c r="G43" i="166"/>
  <c r="G44" i="166"/>
  <c r="G63" i="166"/>
  <c r="G60" i="161"/>
  <c r="G61" i="161"/>
  <c r="G62" i="161"/>
  <c r="G63" i="161"/>
  <c r="G60" i="166"/>
  <c r="G61" i="166"/>
  <c r="G62" i="166"/>
  <c r="G45" i="166"/>
  <c r="G46" i="166"/>
  <c r="G47" i="166"/>
  <c r="G48" i="166"/>
  <c r="G49" i="166"/>
  <c r="G52" i="166"/>
  <c r="G53" i="166"/>
  <c r="G54" i="166"/>
  <c r="G55" i="166"/>
  <c r="G56" i="166"/>
  <c r="G57" i="166"/>
  <c r="G58" i="166"/>
  <c r="G59" i="166"/>
  <c r="G64" i="166"/>
  <c r="G66" i="166"/>
  <c r="G67" i="166"/>
  <c r="G68" i="166"/>
  <c r="G69" i="166"/>
  <c r="G70" i="166"/>
  <c r="G71" i="166"/>
  <c r="G72" i="166"/>
  <c r="G74" i="166"/>
  <c r="G75" i="166"/>
  <c r="G76" i="166"/>
  <c r="G77" i="166"/>
  <c r="G80" i="166"/>
  <c r="G81" i="166"/>
  <c r="G82" i="166"/>
  <c r="G83" i="166"/>
  <c r="G84" i="166"/>
  <c r="G85" i="166"/>
  <c r="G86" i="166"/>
  <c r="G116" i="166"/>
  <c r="G134" i="166"/>
  <c r="G152" i="166"/>
  <c r="G153" i="166"/>
  <c r="G154" i="166"/>
  <c r="G155" i="166"/>
  <c r="G156" i="166"/>
  <c r="G157" i="166"/>
  <c r="G159" i="166"/>
  <c r="G160" i="166"/>
  <c r="G161" i="166"/>
  <c r="G162" i="166"/>
  <c r="G163" i="166"/>
  <c r="G167" i="166"/>
  <c r="G168" i="166"/>
  <c r="G169" i="166"/>
  <c r="G170" i="166"/>
  <c r="G173" i="166"/>
  <c r="G174" i="166"/>
  <c r="G175" i="166"/>
  <c r="G177" i="166"/>
  <c r="G178" i="166"/>
  <c r="G179" i="166"/>
  <c r="G181" i="166"/>
  <c r="G183" i="166"/>
  <c r="G184" i="166"/>
  <c r="G185" i="166"/>
  <c r="G186" i="166"/>
  <c r="G189" i="166"/>
  <c r="G190" i="166"/>
  <c r="G194" i="166"/>
  <c r="G196" i="166"/>
  <c r="G197" i="166"/>
  <c r="G199" i="166"/>
  <c r="G200" i="166"/>
  <c r="G201" i="166"/>
  <c r="G204" i="166"/>
  <c r="G205" i="166"/>
  <c r="G207" i="166"/>
  <c r="G209" i="166"/>
  <c r="G211" i="166"/>
  <c r="G212" i="166"/>
  <c r="G215" i="166"/>
  <c r="G216" i="166"/>
  <c r="G217" i="166"/>
  <c r="G219" i="166"/>
  <c r="G221" i="166"/>
  <c r="G223" i="166"/>
  <c r="G224" i="166"/>
  <c r="G225" i="166"/>
  <c r="G226" i="166"/>
  <c r="G227" i="166"/>
  <c r="G229" i="166"/>
  <c r="G231" i="166"/>
  <c r="G232" i="166"/>
  <c r="G233" i="166"/>
  <c r="G234" i="166"/>
  <c r="G235" i="166"/>
  <c r="G237" i="166"/>
  <c r="G239" i="166"/>
  <c r="G240" i="166"/>
  <c r="G242" i="166"/>
  <c r="G243" i="166"/>
  <c r="G245" i="166"/>
  <c r="G247" i="166"/>
  <c r="G248" i="166"/>
  <c r="G249" i="166"/>
  <c r="G250" i="166"/>
  <c r="G251" i="166"/>
  <c r="G255" i="166"/>
  <c r="G24" i="166"/>
  <c r="F24" i="149"/>
  <c r="F25" i="149"/>
  <c r="H25" i="149" s="1"/>
  <c r="F24" i="150"/>
  <c r="H24" i="150" s="1"/>
  <c r="F25" i="150"/>
  <c r="F24" i="151"/>
  <c r="F25" i="151"/>
  <c r="F24" i="152"/>
  <c r="F25" i="152"/>
  <c r="F24" i="155"/>
  <c r="F25" i="155"/>
  <c r="H25" i="155" s="1"/>
  <c r="F24" i="154"/>
  <c r="H24" i="154" s="1"/>
  <c r="F25" i="154"/>
  <c r="F24" i="156"/>
  <c r="F25" i="156"/>
  <c r="F24" i="157"/>
  <c r="F25" i="157"/>
  <c r="F24" i="158"/>
  <c r="F25" i="158"/>
  <c r="F24" i="159"/>
  <c r="H24" i="159" s="1"/>
  <c r="K24" i="159" s="1"/>
  <c r="F25" i="159"/>
  <c r="F24" i="153"/>
  <c r="F25" i="153"/>
  <c r="F24" i="160"/>
  <c r="F25" i="160"/>
  <c r="H24" i="157"/>
  <c r="G24" i="161"/>
  <c r="G25" i="161"/>
  <c r="G26" i="161"/>
  <c r="G27" i="161"/>
  <c r="G28" i="161"/>
  <c r="G29" i="161"/>
  <c r="G30" i="161"/>
  <c r="G31" i="161"/>
  <c r="G32" i="161"/>
  <c r="G33" i="161"/>
  <c r="G34" i="161"/>
  <c r="G35" i="161"/>
  <c r="G36" i="161"/>
  <c r="G37" i="161"/>
  <c r="G38" i="161"/>
  <c r="G39" i="161"/>
  <c r="G40" i="161"/>
  <c r="G42" i="161"/>
  <c r="G43" i="161"/>
  <c r="G44" i="161"/>
  <c r="G45" i="161"/>
  <c r="G46" i="161"/>
  <c r="G47" i="161"/>
  <c r="G48" i="161"/>
  <c r="G49" i="161"/>
  <c r="G52" i="161"/>
  <c r="G53" i="161"/>
  <c r="G54" i="161"/>
  <c r="G55" i="161"/>
  <c r="G56" i="161"/>
  <c r="G57" i="161"/>
  <c r="G58" i="161"/>
  <c r="G59" i="161"/>
  <c r="G64" i="161"/>
  <c r="G66" i="161"/>
  <c r="G67" i="161"/>
  <c r="G68" i="161"/>
  <c r="G69" i="161"/>
  <c r="G70" i="161"/>
  <c r="G71" i="161"/>
  <c r="G72" i="161"/>
  <c r="G74" i="161"/>
  <c r="G75" i="161"/>
  <c r="G76" i="161"/>
  <c r="G77" i="161"/>
  <c r="G80" i="161"/>
  <c r="G81" i="161"/>
  <c r="G82" i="161"/>
  <c r="G83" i="161"/>
  <c r="G84" i="161"/>
  <c r="G85" i="161"/>
  <c r="G86" i="161"/>
  <c r="G88" i="161"/>
  <c r="G88" i="166" s="1"/>
  <c r="G89" i="161"/>
  <c r="G89" i="166" s="1"/>
  <c r="G90" i="161"/>
  <c r="G90" i="166" s="1"/>
  <c r="G91" i="161"/>
  <c r="G91" i="166" s="1"/>
  <c r="G92" i="161"/>
  <c r="G92" i="166" s="1"/>
  <c r="G93" i="161"/>
  <c r="G93" i="166" s="1"/>
  <c r="G94" i="161"/>
  <c r="G94" i="166" s="1"/>
  <c r="G96" i="161"/>
  <c r="G96" i="166" s="1"/>
  <c r="G97" i="161"/>
  <c r="G97" i="166" s="1"/>
  <c r="G98" i="161"/>
  <c r="G98" i="166" s="1"/>
  <c r="G99" i="161"/>
  <c r="G99" i="166" s="1"/>
  <c r="G101" i="161"/>
  <c r="G101" i="166" s="1"/>
  <c r="G102" i="161"/>
  <c r="G102" i="166" s="1"/>
  <c r="G103" i="161"/>
  <c r="G103" i="166" s="1"/>
  <c r="G104" i="161"/>
  <c r="G104" i="166" s="1"/>
  <c r="G106" i="161"/>
  <c r="G106" i="166" s="1"/>
  <c r="G107" i="161"/>
  <c r="G107" i="166" s="1"/>
  <c r="G109" i="161"/>
  <c r="G109" i="166" s="1"/>
  <c r="G110" i="161"/>
  <c r="G110" i="166" s="1"/>
  <c r="G111" i="161"/>
  <c r="G111" i="166" s="1"/>
  <c r="G112" i="161"/>
  <c r="G112" i="166" s="1"/>
  <c r="G113" i="161"/>
  <c r="G113" i="166" s="1"/>
  <c r="G114" i="161"/>
  <c r="G114" i="166" s="1"/>
  <c r="G116" i="161"/>
  <c r="G118" i="161"/>
  <c r="G118" i="166" s="1"/>
  <c r="G119" i="161"/>
  <c r="G119" i="166" s="1"/>
  <c r="G120" i="161"/>
  <c r="G120" i="166" s="1"/>
  <c r="G121" i="161"/>
  <c r="G121" i="166" s="1"/>
  <c r="G123" i="161"/>
  <c r="G123" i="166" s="1"/>
  <c r="G124" i="161"/>
  <c r="G124" i="166" s="1"/>
  <c r="G126" i="161"/>
  <c r="G126" i="166" s="1"/>
  <c r="G127" i="161"/>
  <c r="G127" i="166" s="1"/>
  <c r="G128" i="161"/>
  <c r="G128" i="166" s="1"/>
  <c r="G129" i="161"/>
  <c r="G129" i="166" s="1"/>
  <c r="G130" i="161"/>
  <c r="G130" i="166" s="1"/>
  <c r="G131" i="161"/>
  <c r="G131" i="166" s="1"/>
  <c r="G132" i="161"/>
  <c r="G132" i="166" s="1"/>
  <c r="G133" i="161"/>
  <c r="G133" i="166" s="1"/>
  <c r="G135" i="161"/>
  <c r="G135" i="166" s="1"/>
  <c r="G136" i="161"/>
  <c r="G136" i="166" s="1"/>
  <c r="G137" i="161"/>
  <c r="G137" i="166" s="1"/>
  <c r="G139" i="161"/>
  <c r="G139" i="166" s="1"/>
  <c r="G140" i="161"/>
  <c r="G140" i="166" s="1"/>
  <c r="G141" i="161"/>
  <c r="G141" i="166" s="1"/>
  <c r="G142" i="161"/>
  <c r="G142" i="166" s="1"/>
  <c r="G143" i="161"/>
  <c r="G143" i="166" s="1"/>
  <c r="G144" i="161"/>
  <c r="G144" i="166" s="1"/>
  <c r="G145" i="161"/>
  <c r="G145" i="166" s="1"/>
  <c r="G146" i="161"/>
  <c r="G146" i="166" s="1"/>
  <c r="G147" i="161"/>
  <c r="G147" i="166" s="1"/>
  <c r="G148" i="161"/>
  <c r="G148" i="166" s="1"/>
  <c r="G149" i="161"/>
  <c r="G149" i="166" s="1"/>
  <c r="G151" i="161"/>
  <c r="G151" i="166" s="1"/>
  <c r="G152" i="161"/>
  <c r="G153" i="161"/>
  <c r="G154" i="161"/>
  <c r="G155" i="161"/>
  <c r="G156" i="161"/>
  <c r="G157" i="161"/>
  <c r="G171" i="166"/>
  <c r="G192" i="166"/>
  <c r="G191" i="166"/>
  <c r="H240" i="150"/>
  <c r="H240" i="151"/>
  <c r="H240" i="152"/>
  <c r="H240" i="155"/>
  <c r="H240" i="154"/>
  <c r="E240" i="166" s="1"/>
  <c r="H240" i="156"/>
  <c r="H240" i="157"/>
  <c r="H240" i="158"/>
  <c r="H240" i="159"/>
  <c r="H240" i="153"/>
  <c r="H240" i="160"/>
  <c r="H240" i="149"/>
  <c r="K225" i="154"/>
  <c r="K225" i="156"/>
  <c r="K225" i="161"/>
  <c r="K225" i="149"/>
  <c r="H225" i="150"/>
  <c r="K225" i="150" s="1"/>
  <c r="H225" i="151"/>
  <c r="K225" i="151" s="1"/>
  <c r="H225" i="152"/>
  <c r="K225" i="152" s="1"/>
  <c r="H225" i="155"/>
  <c r="K225" i="155" s="1"/>
  <c r="H225" i="154"/>
  <c r="H225" i="156"/>
  <c r="H225" i="157"/>
  <c r="K225" i="157" s="1"/>
  <c r="H225" i="158"/>
  <c r="K225" i="158" s="1"/>
  <c r="H225" i="159"/>
  <c r="K225" i="159" s="1"/>
  <c r="H225" i="153"/>
  <c r="K225" i="153" s="1"/>
  <c r="H225" i="160"/>
  <c r="K225" i="160" s="1"/>
  <c r="H225" i="149"/>
  <c r="K241" i="161"/>
  <c r="K238" i="161"/>
  <c r="H238" i="155"/>
  <c r="K238" i="155" s="1"/>
  <c r="H238" i="153"/>
  <c r="K238" i="153" s="1"/>
  <c r="H231" i="159"/>
  <c r="K218" i="158"/>
  <c r="C17" i="150"/>
  <c r="K255" i="161"/>
  <c r="K254" i="161"/>
  <c r="K243" i="161"/>
  <c r="K244" i="161"/>
  <c r="K245" i="161"/>
  <c r="K246" i="161"/>
  <c r="K247" i="161"/>
  <c r="K248" i="161"/>
  <c r="K249" i="161"/>
  <c r="K250" i="161"/>
  <c r="K251" i="161"/>
  <c r="K252" i="161"/>
  <c r="K242" i="161"/>
  <c r="K222" i="161"/>
  <c r="K223" i="161"/>
  <c r="K224" i="161"/>
  <c r="K220" i="161"/>
  <c r="K226" i="161"/>
  <c r="K227" i="161"/>
  <c r="K228" i="161"/>
  <c r="K229" i="161"/>
  <c r="K230" i="161"/>
  <c r="K231" i="161"/>
  <c r="K232" i="161"/>
  <c r="K233" i="161"/>
  <c r="K234" i="161"/>
  <c r="K235" i="161"/>
  <c r="K236" i="161"/>
  <c r="K237" i="161"/>
  <c r="K239" i="161"/>
  <c r="K240" i="161"/>
  <c r="K221" i="161"/>
  <c r="K219" i="161"/>
  <c r="K215" i="161"/>
  <c r="K216" i="161"/>
  <c r="K217" i="161"/>
  <c r="K214" i="161"/>
  <c r="K212" i="161"/>
  <c r="K211" i="161"/>
  <c r="K209" i="161"/>
  <c r="K197" i="161"/>
  <c r="K198" i="161"/>
  <c r="K199" i="161"/>
  <c r="K200" i="161"/>
  <c r="K201" i="161"/>
  <c r="K202" i="161"/>
  <c r="K203" i="161"/>
  <c r="K204" i="161"/>
  <c r="K205" i="161"/>
  <c r="K206" i="161"/>
  <c r="K207" i="161"/>
  <c r="K196" i="161"/>
  <c r="K194" i="161"/>
  <c r="K189" i="161"/>
  <c r="K190" i="161"/>
  <c r="K191" i="161"/>
  <c r="K192" i="161"/>
  <c r="K188" i="161"/>
  <c r="K178" i="161"/>
  <c r="K179" i="161"/>
  <c r="K180" i="161"/>
  <c r="K181" i="161"/>
  <c r="K182" i="161"/>
  <c r="K183" i="161"/>
  <c r="K184" i="161"/>
  <c r="K185" i="161"/>
  <c r="K186" i="161"/>
  <c r="K177" i="161"/>
  <c r="K124" i="161"/>
  <c r="K126" i="161"/>
  <c r="K127" i="161"/>
  <c r="K128" i="161"/>
  <c r="K129" i="161"/>
  <c r="K130" i="161"/>
  <c r="K131" i="161"/>
  <c r="K132" i="161"/>
  <c r="K133" i="161"/>
  <c r="K135" i="161"/>
  <c r="K136" i="161"/>
  <c r="K137" i="161"/>
  <c r="K139" i="161"/>
  <c r="K140" i="161"/>
  <c r="K141" i="161"/>
  <c r="K142" i="161"/>
  <c r="K143" i="161"/>
  <c r="K144" i="161"/>
  <c r="K145" i="161"/>
  <c r="K146" i="161"/>
  <c r="K147" i="161"/>
  <c r="K148" i="161"/>
  <c r="K149" i="161"/>
  <c r="K151" i="161"/>
  <c r="K152" i="161"/>
  <c r="K153" i="161"/>
  <c r="K154" i="161"/>
  <c r="K155" i="161"/>
  <c r="K156" i="161"/>
  <c r="K157" i="161"/>
  <c r="K158" i="161"/>
  <c r="K159" i="161"/>
  <c r="K160" i="161"/>
  <c r="K161" i="161"/>
  <c r="K162" i="161"/>
  <c r="K163" i="161"/>
  <c r="K164" i="161"/>
  <c r="K166" i="161"/>
  <c r="K167" i="161"/>
  <c r="K168" i="161"/>
  <c r="K169" i="161"/>
  <c r="K170" i="161"/>
  <c r="K171" i="161"/>
  <c r="K172" i="161"/>
  <c r="K173" i="161"/>
  <c r="K174" i="161"/>
  <c r="K175" i="161"/>
  <c r="K123" i="161"/>
  <c r="K81" i="161"/>
  <c r="K82" i="161"/>
  <c r="K83" i="161"/>
  <c r="K84" i="161"/>
  <c r="K85" i="161"/>
  <c r="K86" i="161"/>
  <c r="K88" i="161"/>
  <c r="K89" i="161"/>
  <c r="K90" i="161"/>
  <c r="K91" i="161"/>
  <c r="K92" i="161"/>
  <c r="K93" i="161"/>
  <c r="K94" i="161"/>
  <c r="K96" i="161"/>
  <c r="K97" i="161"/>
  <c r="K98" i="161"/>
  <c r="K99" i="161"/>
  <c r="K101" i="161"/>
  <c r="K102" i="161"/>
  <c r="K103" i="161"/>
  <c r="K104" i="161"/>
  <c r="K106" i="161"/>
  <c r="K107" i="161"/>
  <c r="K109" i="161"/>
  <c r="K110" i="161"/>
  <c r="K111" i="161"/>
  <c r="K112" i="161"/>
  <c r="K113" i="161"/>
  <c r="K114" i="161"/>
  <c r="K116" i="161"/>
  <c r="K117" i="161"/>
  <c r="K118" i="161"/>
  <c r="K119" i="161"/>
  <c r="K120" i="161"/>
  <c r="K121" i="161"/>
  <c r="K80" i="161"/>
  <c r="K66" i="161"/>
  <c r="K67" i="161"/>
  <c r="K68" i="161"/>
  <c r="K69" i="161"/>
  <c r="K70" i="161"/>
  <c r="K71" i="161"/>
  <c r="K72" i="161"/>
  <c r="K74" i="161"/>
  <c r="K75" i="161"/>
  <c r="K76" i="161"/>
  <c r="K77" i="161"/>
  <c r="K53" i="161"/>
  <c r="K54" i="161"/>
  <c r="K55" i="161"/>
  <c r="K56" i="161"/>
  <c r="K57" i="161"/>
  <c r="K58" i="161"/>
  <c r="K59" i="161"/>
  <c r="K60" i="161"/>
  <c r="K61" i="161"/>
  <c r="K62" i="161"/>
  <c r="K63" i="161"/>
  <c r="K64" i="161"/>
  <c r="K52" i="161"/>
  <c r="K43" i="161"/>
  <c r="K44" i="161"/>
  <c r="K45" i="161"/>
  <c r="K46" i="161"/>
  <c r="K47" i="161"/>
  <c r="K48" i="161"/>
  <c r="K49" i="161"/>
  <c r="K42" i="161"/>
  <c r="K25" i="161"/>
  <c r="K26" i="161"/>
  <c r="K27" i="161"/>
  <c r="K28" i="161"/>
  <c r="K29" i="161"/>
  <c r="K30" i="161"/>
  <c r="K31" i="161"/>
  <c r="K32" i="161"/>
  <c r="K33" i="161"/>
  <c r="K34" i="161"/>
  <c r="K35" i="161"/>
  <c r="K36" i="161"/>
  <c r="K37" i="161"/>
  <c r="K38" i="161"/>
  <c r="K39" i="161"/>
  <c r="K40" i="161"/>
  <c r="K24" i="161"/>
  <c r="H235" i="151"/>
  <c r="H237" i="154"/>
  <c r="K237" i="154" s="1"/>
  <c r="H236" i="158"/>
  <c r="H202" i="149"/>
  <c r="H203" i="149"/>
  <c r="H204" i="149"/>
  <c r="H202" i="150"/>
  <c r="H203" i="150"/>
  <c r="H204" i="150"/>
  <c r="H202" i="151"/>
  <c r="H203" i="151"/>
  <c r="H204" i="151"/>
  <c r="H202" i="152"/>
  <c r="H203" i="152"/>
  <c r="H204" i="152"/>
  <c r="H202" i="155"/>
  <c r="H203" i="155"/>
  <c r="H204" i="155"/>
  <c r="H202" i="154"/>
  <c r="H203" i="154"/>
  <c r="H204" i="154"/>
  <c r="H202" i="156"/>
  <c r="H203" i="156"/>
  <c r="H204" i="156"/>
  <c r="H202" i="157"/>
  <c r="H203" i="157"/>
  <c r="H204" i="157"/>
  <c r="H202" i="158"/>
  <c r="H203" i="158"/>
  <c r="H204" i="158"/>
  <c r="H202" i="159"/>
  <c r="H203" i="159"/>
  <c r="H204" i="159"/>
  <c r="H202" i="153"/>
  <c r="H203" i="153"/>
  <c r="H204" i="153"/>
  <c r="H202" i="160"/>
  <c r="H203" i="160"/>
  <c r="H204" i="160"/>
  <c r="F192" i="155"/>
  <c r="H192" i="155" s="1"/>
  <c r="F191" i="155"/>
  <c r="H191" i="155" s="1"/>
  <c r="K191" i="155" s="1"/>
  <c r="F190" i="155"/>
  <c r="H190" i="155" s="1"/>
  <c r="K190" i="155" s="1"/>
  <c r="F189" i="155"/>
  <c r="H189" i="155" s="1"/>
  <c r="F192" i="150"/>
  <c r="H192" i="150" s="1"/>
  <c r="F191" i="150"/>
  <c r="H191" i="150" s="1"/>
  <c r="K191" i="150" s="1"/>
  <c r="F190" i="150"/>
  <c r="H190" i="150" s="1"/>
  <c r="K190" i="150" s="1"/>
  <c r="F189" i="150"/>
  <c r="H189" i="150" s="1"/>
  <c r="K189" i="150" s="1"/>
  <c r="E161" i="127"/>
  <c r="E160" i="127"/>
  <c r="E160" i="165" s="1"/>
  <c r="J160" i="165" s="1"/>
  <c r="E158" i="127"/>
  <c r="E158" i="165" s="1"/>
  <c r="J158" i="165" s="1"/>
  <c r="E152" i="127"/>
  <c r="E152" i="165" s="1"/>
  <c r="J152" i="165" s="1"/>
  <c r="E151" i="127"/>
  <c r="E151" i="165" s="1"/>
  <c r="J151" i="165" s="1"/>
  <c r="E161" i="131"/>
  <c r="J161" i="131" s="1"/>
  <c r="E156" i="134"/>
  <c r="E156" i="165" s="1"/>
  <c r="J156" i="165" s="1"/>
  <c r="E153" i="134"/>
  <c r="H24" i="160"/>
  <c r="K24" i="160" s="1"/>
  <c r="H24" i="155"/>
  <c r="H25" i="150"/>
  <c r="F26" i="157"/>
  <c r="H26" i="157" s="1"/>
  <c r="F26" i="159"/>
  <c r="H26" i="159" s="1"/>
  <c r="F26" i="153"/>
  <c r="H26" i="153" s="1"/>
  <c r="F26" i="160"/>
  <c r="H26" i="160" s="1"/>
  <c r="K26" i="160" s="1"/>
  <c r="F26" i="150"/>
  <c r="H26" i="150" s="1"/>
  <c r="F26" i="155"/>
  <c r="H26" i="155" s="1"/>
  <c r="F27" i="153"/>
  <c r="H27" i="153" s="1"/>
  <c r="F27" i="150"/>
  <c r="H27" i="150" s="1"/>
  <c r="F27" i="155"/>
  <c r="H27" i="155" s="1"/>
  <c r="F28" i="153"/>
  <c r="H28" i="153" s="1"/>
  <c r="F28" i="152"/>
  <c r="H28" i="152" s="1"/>
  <c r="K28" i="152" s="1"/>
  <c r="F28" i="150"/>
  <c r="H28" i="150" s="1"/>
  <c r="K28" i="150" s="1"/>
  <c r="F28" i="155"/>
  <c r="H28" i="155" s="1"/>
  <c r="K28" i="155" s="1"/>
  <c r="F29" i="155"/>
  <c r="H29" i="155" s="1"/>
  <c r="K29" i="155" s="1"/>
  <c r="F29" i="153"/>
  <c r="H29" i="153" s="1"/>
  <c r="K29" i="153" s="1"/>
  <c r="F29" i="152"/>
  <c r="H29" i="152" s="1"/>
  <c r="F29" i="150"/>
  <c r="H29" i="150" s="1"/>
  <c r="K29" i="150" s="1"/>
  <c r="F30" i="153"/>
  <c r="H30" i="153" s="1"/>
  <c r="F30" i="152"/>
  <c r="H30" i="152" s="1"/>
  <c r="K30" i="152" s="1"/>
  <c r="F30" i="150"/>
  <c r="H30" i="150" s="1"/>
  <c r="K30" i="150" s="1"/>
  <c r="F30" i="155"/>
  <c r="H30" i="155" s="1"/>
  <c r="K30" i="155" s="1"/>
  <c r="F31" i="153"/>
  <c r="H31" i="153" s="1"/>
  <c r="F31" i="150"/>
  <c r="H31" i="150" s="1"/>
  <c r="K31" i="150" s="1"/>
  <c r="F31" i="155"/>
  <c r="H31" i="155" s="1"/>
  <c r="K31" i="155" s="1"/>
  <c r="F32" i="153"/>
  <c r="H32" i="153" s="1"/>
  <c r="K32" i="153" s="1"/>
  <c r="F32" i="150"/>
  <c r="H32" i="150" s="1"/>
  <c r="F32" i="155"/>
  <c r="H32" i="155" s="1"/>
  <c r="K32" i="155" s="1"/>
  <c r="F33" i="153"/>
  <c r="H33" i="153" s="1"/>
  <c r="K33" i="153" s="1"/>
  <c r="F33" i="150"/>
  <c r="H33" i="150" s="1"/>
  <c r="F33" i="155"/>
  <c r="H33" i="155" s="1"/>
  <c r="K33" i="155" s="1"/>
  <c r="F33" i="151"/>
  <c r="H33" i="151" s="1"/>
  <c r="F34" i="153"/>
  <c r="H34" i="153" s="1"/>
  <c r="F34" i="152"/>
  <c r="H34" i="152" s="1"/>
  <c r="K34" i="152" s="1"/>
  <c r="F34" i="150"/>
  <c r="H34" i="150" s="1"/>
  <c r="K34" i="150" s="1"/>
  <c r="F34" i="155"/>
  <c r="H34" i="155" s="1"/>
  <c r="K34" i="155" s="1"/>
  <c r="F35" i="153"/>
  <c r="H35" i="153" s="1"/>
  <c r="K35" i="153" s="1"/>
  <c r="F35" i="152"/>
  <c r="H35" i="152" s="1"/>
  <c r="F35" i="150"/>
  <c r="H35" i="150" s="1"/>
  <c r="K35" i="150" s="1"/>
  <c r="F35" i="155"/>
  <c r="H35" i="155" s="1"/>
  <c r="K35" i="155" s="1"/>
  <c r="F36" i="153"/>
  <c r="H36" i="153" s="1"/>
  <c r="F36" i="152"/>
  <c r="H36" i="152" s="1"/>
  <c r="F36" i="150"/>
  <c r="H36" i="150" s="1"/>
  <c r="F36" i="155"/>
  <c r="H36" i="155" s="1"/>
  <c r="K36" i="155" s="1"/>
  <c r="F37" i="153"/>
  <c r="H37" i="153" s="1"/>
  <c r="K37" i="153" s="1"/>
  <c r="F37" i="150"/>
  <c r="H37" i="150" s="1"/>
  <c r="K37" i="150" s="1"/>
  <c r="F37" i="155"/>
  <c r="H37" i="155" s="1"/>
  <c r="K37" i="155" s="1"/>
  <c r="F38" i="153"/>
  <c r="H38" i="153" s="1"/>
  <c r="F38" i="150"/>
  <c r="H38" i="150" s="1"/>
  <c r="K38" i="150" s="1"/>
  <c r="F38" i="155"/>
  <c r="H38" i="155" s="1"/>
  <c r="F39" i="153"/>
  <c r="H39" i="153" s="1"/>
  <c r="F39" i="150"/>
  <c r="H39" i="150" s="1"/>
  <c r="K39" i="150" s="1"/>
  <c r="F39" i="155"/>
  <c r="H39" i="155" s="1"/>
  <c r="K39" i="155" s="1"/>
  <c r="F40" i="155"/>
  <c r="H40" i="155" s="1"/>
  <c r="F40" i="153"/>
  <c r="H40" i="153" s="1"/>
  <c r="F40" i="150"/>
  <c r="H40" i="150" s="1"/>
  <c r="F42" i="153"/>
  <c r="H42" i="153" s="1"/>
  <c r="F42" i="150"/>
  <c r="H42" i="150" s="1"/>
  <c r="F42" i="155"/>
  <c r="H42" i="155" s="1"/>
  <c r="F43" i="153"/>
  <c r="H43" i="153" s="1"/>
  <c r="F43" i="150"/>
  <c r="H43" i="150" s="1"/>
  <c r="F43" i="155"/>
  <c r="H43" i="155" s="1"/>
  <c r="F44" i="153"/>
  <c r="H44" i="153" s="1"/>
  <c r="F44" i="150"/>
  <c r="H44" i="150" s="1"/>
  <c r="F44" i="155"/>
  <c r="H44" i="155" s="1"/>
  <c r="F45" i="153"/>
  <c r="H45" i="153" s="1"/>
  <c r="F45" i="150"/>
  <c r="H45" i="150" s="1"/>
  <c r="F45" i="155"/>
  <c r="H45" i="155" s="1"/>
  <c r="F46" i="153"/>
  <c r="H46" i="153" s="1"/>
  <c r="K46" i="153" s="1"/>
  <c r="F46" i="150"/>
  <c r="H46" i="150" s="1"/>
  <c r="F46" i="155"/>
  <c r="H46" i="155" s="1"/>
  <c r="F46" i="151"/>
  <c r="H46" i="151" s="1"/>
  <c r="F47" i="153"/>
  <c r="H47" i="153" s="1"/>
  <c r="F47" i="150"/>
  <c r="H47" i="150" s="1"/>
  <c r="K47" i="150" s="1"/>
  <c r="F47" i="155"/>
  <c r="H47" i="155" s="1"/>
  <c r="F48" i="153"/>
  <c r="H48" i="153" s="1"/>
  <c r="K48" i="153" s="1"/>
  <c r="F48" i="150"/>
  <c r="H48" i="150" s="1"/>
  <c r="K48" i="150" s="1"/>
  <c r="F48" i="155"/>
  <c r="H48" i="155" s="1"/>
  <c r="F48" i="159"/>
  <c r="H48" i="159" s="1"/>
  <c r="F48" i="151"/>
  <c r="H48" i="151" s="1"/>
  <c r="F49" i="153"/>
  <c r="H49" i="153" s="1"/>
  <c r="F49" i="150"/>
  <c r="H49" i="150" s="1"/>
  <c r="F49" i="155"/>
  <c r="H49" i="155" s="1"/>
  <c r="F49" i="151"/>
  <c r="H49" i="151" s="1"/>
  <c r="F52" i="149"/>
  <c r="H52" i="149" s="1"/>
  <c r="K52" i="149" s="1"/>
  <c r="F52" i="150"/>
  <c r="H52" i="150" s="1"/>
  <c r="K52" i="150" s="1"/>
  <c r="F52" i="159"/>
  <c r="H52" i="159" s="1"/>
  <c r="K52" i="159" s="1"/>
  <c r="F52" i="153"/>
  <c r="H52" i="153" s="1"/>
  <c r="K52" i="153" s="1"/>
  <c r="F52" i="160"/>
  <c r="H52" i="160" s="1"/>
  <c r="F52" i="151"/>
  <c r="H52" i="151" s="1"/>
  <c r="K52" i="151" s="1"/>
  <c r="F52" i="152"/>
  <c r="H52" i="152" s="1"/>
  <c r="K52" i="152" s="1"/>
  <c r="F52" i="155"/>
  <c r="H52" i="155" s="1"/>
  <c r="K52" i="155" s="1"/>
  <c r="F53" i="150"/>
  <c r="H53" i="150" s="1"/>
  <c r="F53" i="153"/>
  <c r="H53" i="153" s="1"/>
  <c r="K53" i="153" s="1"/>
  <c r="F53" i="151"/>
  <c r="H53" i="151" s="1"/>
  <c r="K53" i="151" s="1"/>
  <c r="F53" i="155"/>
  <c r="H53" i="155" s="1"/>
  <c r="K53" i="155" s="1"/>
  <c r="F54" i="150"/>
  <c r="H54" i="150" s="1"/>
  <c r="K54" i="150" s="1"/>
  <c r="F54" i="153"/>
  <c r="H54" i="153" s="1"/>
  <c r="K54" i="153" s="1"/>
  <c r="F54" i="151"/>
  <c r="H54" i="151"/>
  <c r="F54" i="155"/>
  <c r="H54" i="155" s="1"/>
  <c r="F55" i="149"/>
  <c r="H55" i="149" s="1"/>
  <c r="K55" i="149" s="1"/>
  <c r="F55" i="150"/>
  <c r="H55" i="150" s="1"/>
  <c r="K55" i="150" s="1"/>
  <c r="F55" i="154"/>
  <c r="H55" i="154" s="1"/>
  <c r="K55" i="154" s="1"/>
  <c r="F55" i="156"/>
  <c r="H55" i="156"/>
  <c r="F55" i="157"/>
  <c r="H55" i="157" s="1"/>
  <c r="K55" i="157" s="1"/>
  <c r="F55" i="159"/>
  <c r="H55" i="159" s="1"/>
  <c r="K55" i="159" s="1"/>
  <c r="F55" i="153"/>
  <c r="H55" i="153" s="1"/>
  <c r="K55" i="153" s="1"/>
  <c r="F55" i="160"/>
  <c r="H55" i="160" s="1"/>
  <c r="K55" i="160" s="1"/>
  <c r="F55" i="151"/>
  <c r="H55" i="151" s="1"/>
  <c r="K55" i="151" s="1"/>
  <c r="F55" i="155"/>
  <c r="H55" i="155" s="1"/>
  <c r="K55" i="155" s="1"/>
  <c r="F56" i="149"/>
  <c r="H56" i="149" s="1"/>
  <c r="K56" i="149" s="1"/>
  <c r="F56" i="150"/>
  <c r="H56" i="150" s="1"/>
  <c r="K56" i="150" s="1"/>
  <c r="F56" i="151"/>
  <c r="H56" i="151" s="1"/>
  <c r="K56" i="151" s="1"/>
  <c r="F56" i="154"/>
  <c r="H56" i="154" s="1"/>
  <c r="F56" i="159"/>
  <c r="H56" i="159" s="1"/>
  <c r="K56" i="159" s="1"/>
  <c r="F56" i="153"/>
  <c r="H56" i="153" s="1"/>
  <c r="K56" i="153" s="1"/>
  <c r="F56" i="160"/>
  <c r="H56" i="160" s="1"/>
  <c r="K56" i="160" s="1"/>
  <c r="F56" i="155"/>
  <c r="H56" i="155" s="1"/>
  <c r="F57" i="149"/>
  <c r="H57" i="149" s="1"/>
  <c r="K57" i="149" s="1"/>
  <c r="F57" i="150"/>
  <c r="H57" i="150" s="1"/>
  <c r="K57" i="150" s="1"/>
  <c r="F57" i="151"/>
  <c r="H57" i="151" s="1"/>
  <c r="K57" i="151" s="1"/>
  <c r="F57" i="159"/>
  <c r="H57" i="159" s="1"/>
  <c r="K57" i="159" s="1"/>
  <c r="F57" i="153"/>
  <c r="H57" i="153" s="1"/>
  <c r="K57" i="153" s="1"/>
  <c r="F57" i="160"/>
  <c r="H57" i="160"/>
  <c r="K57" i="160" s="1"/>
  <c r="F57" i="155"/>
  <c r="H57" i="155" s="1"/>
  <c r="K57" i="155" s="1"/>
  <c r="F58" i="150"/>
  <c r="H58" i="150" s="1"/>
  <c r="K58" i="150" s="1"/>
  <c r="F58" i="153"/>
  <c r="H58" i="153" s="1"/>
  <c r="K58" i="153" s="1"/>
  <c r="F58" i="151"/>
  <c r="H58" i="151" s="1"/>
  <c r="F58" i="155"/>
  <c r="H58" i="155" s="1"/>
  <c r="K58" i="155" s="1"/>
  <c r="F59" i="150"/>
  <c r="H59" i="150" s="1"/>
  <c r="K59" i="150" s="1"/>
  <c r="F59" i="153"/>
  <c r="H59" i="153" s="1"/>
  <c r="K59" i="153" s="1"/>
  <c r="F59" i="151"/>
  <c r="H59" i="151" s="1"/>
  <c r="K59" i="151" s="1"/>
  <c r="F59" i="152"/>
  <c r="H59" i="152" s="1"/>
  <c r="K59" i="152" s="1"/>
  <c r="F59" i="155"/>
  <c r="H59" i="155" s="1"/>
  <c r="K59" i="155" s="1"/>
  <c r="F60" i="150"/>
  <c r="H60" i="150" s="1"/>
  <c r="K60" i="150" s="1"/>
  <c r="F60" i="153"/>
  <c r="H60" i="153" s="1"/>
  <c r="K60" i="153" s="1"/>
  <c r="F60" i="151"/>
  <c r="H60" i="151" s="1"/>
  <c r="K60" i="151" s="1"/>
  <c r="F60" i="155"/>
  <c r="H60" i="155" s="1"/>
  <c r="F61" i="150"/>
  <c r="H61" i="150" s="1"/>
  <c r="K61" i="150" s="1"/>
  <c r="F61" i="153"/>
  <c r="H61" i="153" s="1"/>
  <c r="K61" i="153" s="1"/>
  <c r="F61" i="151"/>
  <c r="H61" i="151" s="1"/>
  <c r="F61" i="155"/>
  <c r="H61" i="155" s="1"/>
  <c r="K61" i="155" s="1"/>
  <c r="F62" i="150"/>
  <c r="H62" i="150" s="1"/>
  <c r="K62" i="150" s="1"/>
  <c r="F62" i="153"/>
  <c r="H62" i="153" s="1"/>
  <c r="F62" i="151"/>
  <c r="H62" i="151" s="1"/>
  <c r="K62" i="151" s="1"/>
  <c r="F62" i="155"/>
  <c r="H62" i="155" s="1"/>
  <c r="K62" i="155" s="1"/>
  <c r="F63" i="150"/>
  <c r="H63" i="150" s="1"/>
  <c r="K63" i="150" s="1"/>
  <c r="F63" i="153"/>
  <c r="H63" i="153" s="1"/>
  <c r="K63" i="153" s="1"/>
  <c r="F63" i="151"/>
  <c r="H63" i="151" s="1"/>
  <c r="K63" i="151" s="1"/>
  <c r="F63" i="152"/>
  <c r="H63" i="152"/>
  <c r="F63" i="155"/>
  <c r="H63" i="155" s="1"/>
  <c r="F64" i="150"/>
  <c r="H64" i="150" s="1"/>
  <c r="K64" i="150" s="1"/>
  <c r="F64" i="153"/>
  <c r="H64" i="153" s="1"/>
  <c r="K64" i="153" s="1"/>
  <c r="F64" i="151"/>
  <c r="H64" i="151" s="1"/>
  <c r="K64" i="151" s="1"/>
  <c r="F64" i="155"/>
  <c r="H64" i="155" s="1"/>
  <c r="K64" i="155" s="1"/>
  <c r="F66" i="150"/>
  <c r="H66" i="150" s="1"/>
  <c r="K66" i="150" s="1"/>
  <c r="F66" i="153"/>
  <c r="H66" i="153" s="1"/>
  <c r="F66" i="151"/>
  <c r="H66" i="151" s="1"/>
  <c r="K66" i="151" s="1"/>
  <c r="F66" i="152"/>
  <c r="H66" i="152" s="1"/>
  <c r="K66" i="152" s="1"/>
  <c r="F66" i="155"/>
  <c r="H66" i="155" s="1"/>
  <c r="K66" i="155" s="1"/>
  <c r="F67" i="150"/>
  <c r="H67" i="150" s="1"/>
  <c r="K67" i="150" s="1"/>
  <c r="F67" i="153"/>
  <c r="H67" i="153" s="1"/>
  <c r="K67" i="153" s="1"/>
  <c r="F67" i="151"/>
  <c r="H67" i="151" s="1"/>
  <c r="K67" i="151" s="1"/>
  <c r="F67" i="155"/>
  <c r="H67" i="155" s="1"/>
  <c r="F68" i="150"/>
  <c r="H68" i="150" s="1"/>
  <c r="K68" i="150" s="1"/>
  <c r="F68" i="153"/>
  <c r="H68" i="153" s="1"/>
  <c r="K68" i="153" s="1"/>
  <c r="F68" i="151"/>
  <c r="H68" i="151" s="1"/>
  <c r="K68" i="151" s="1"/>
  <c r="F68" i="152"/>
  <c r="H68" i="152" s="1"/>
  <c r="K68" i="152" s="1"/>
  <c r="F68" i="155"/>
  <c r="H68" i="155" s="1"/>
  <c r="K68" i="155" s="1"/>
  <c r="F69" i="150"/>
  <c r="H69" i="150" s="1"/>
  <c r="F69" i="153"/>
  <c r="H69" i="153" s="1"/>
  <c r="K69" i="153" s="1"/>
  <c r="F69" i="151"/>
  <c r="H69" i="151" s="1"/>
  <c r="K69" i="151" s="1"/>
  <c r="F69" i="155"/>
  <c r="H69" i="155" s="1"/>
  <c r="K69" i="155" s="1"/>
  <c r="F70" i="150"/>
  <c r="H70" i="150" s="1"/>
  <c r="K70" i="150" s="1"/>
  <c r="F70" i="153"/>
  <c r="H70" i="153" s="1"/>
  <c r="K70" i="153" s="1"/>
  <c r="F70" i="151"/>
  <c r="H70" i="151" s="1"/>
  <c r="K70" i="151" s="1"/>
  <c r="F70" i="155"/>
  <c r="H70" i="155" s="1"/>
  <c r="F71" i="150"/>
  <c r="H71" i="150" s="1"/>
  <c r="K71" i="150" s="1"/>
  <c r="F71" i="153"/>
  <c r="H71" i="153" s="1"/>
  <c r="K71" i="153" s="1"/>
  <c r="F71" i="151"/>
  <c r="H71" i="151" s="1"/>
  <c r="K71" i="151" s="1"/>
  <c r="F71" i="155"/>
  <c r="H71" i="155" s="1"/>
  <c r="K71" i="155" s="1"/>
  <c r="F72" i="150"/>
  <c r="H72" i="150"/>
  <c r="F72" i="153"/>
  <c r="H72" i="153" s="1"/>
  <c r="F72" i="151"/>
  <c r="H72" i="151" s="1"/>
  <c r="K72" i="151" s="1"/>
  <c r="F72" i="155"/>
  <c r="H72" i="155" s="1"/>
  <c r="K72" i="155" s="1"/>
  <c r="F74" i="150"/>
  <c r="H74" i="150" s="1"/>
  <c r="F74" i="153"/>
  <c r="H74" i="153" s="1"/>
  <c r="K74" i="153" s="1"/>
  <c r="F74" i="151"/>
  <c r="H74" i="151" s="1"/>
  <c r="K74" i="151" s="1"/>
  <c r="F74" i="155"/>
  <c r="H74" i="155" s="1"/>
  <c r="K74" i="155" s="1"/>
  <c r="F75" i="150"/>
  <c r="H75" i="150" s="1"/>
  <c r="K75" i="150" s="1"/>
  <c r="F75" i="153"/>
  <c r="H75" i="153" s="1"/>
  <c r="K75" i="153" s="1"/>
  <c r="F75" i="151"/>
  <c r="H75" i="151" s="1"/>
  <c r="K75" i="151" s="1"/>
  <c r="F75" i="155"/>
  <c r="H75" i="155" s="1"/>
  <c r="F76" i="149"/>
  <c r="H76" i="149" s="1"/>
  <c r="K76" i="149" s="1"/>
  <c r="F76" i="150"/>
  <c r="H76" i="150"/>
  <c r="K76" i="150" s="1"/>
  <c r="F76" i="153"/>
  <c r="H76" i="153" s="1"/>
  <c r="F76" i="151"/>
  <c r="H76" i="151" s="1"/>
  <c r="K76" i="151" s="1"/>
  <c r="F76" i="155"/>
  <c r="H76" i="155" s="1"/>
  <c r="K76" i="155" s="1"/>
  <c r="F77" i="149"/>
  <c r="H77" i="149" s="1"/>
  <c r="F77" i="150"/>
  <c r="H77" i="150" s="1"/>
  <c r="K77" i="150" s="1"/>
  <c r="F77" i="153"/>
  <c r="H77" i="153" s="1"/>
  <c r="K77" i="153" s="1"/>
  <c r="F77" i="151"/>
  <c r="H77" i="151" s="1"/>
  <c r="K77" i="151" s="1"/>
  <c r="F77" i="155"/>
  <c r="H77" i="155" s="1"/>
  <c r="F77" i="154"/>
  <c r="H77" i="154" s="1"/>
  <c r="K77" i="154" s="1"/>
  <c r="F80" i="150"/>
  <c r="H80" i="150" s="1"/>
  <c r="F80" i="153"/>
  <c r="H80" i="153"/>
  <c r="F80" i="151"/>
  <c r="H80" i="151" s="1"/>
  <c r="F80" i="155"/>
  <c r="H80" i="155" s="1"/>
  <c r="F81" i="150"/>
  <c r="H81" i="150" s="1"/>
  <c r="F81" i="153"/>
  <c r="H81" i="153" s="1"/>
  <c r="F81" i="151"/>
  <c r="H81" i="151" s="1"/>
  <c r="F81" i="155"/>
  <c r="H81" i="155" s="1"/>
  <c r="F82" i="150"/>
  <c r="H82" i="150" s="1"/>
  <c r="F82" i="153"/>
  <c r="H82" i="153" s="1"/>
  <c r="F82" i="151"/>
  <c r="H82" i="151" s="1"/>
  <c r="F82" i="155"/>
  <c r="H82" i="155" s="1"/>
  <c r="F83" i="150"/>
  <c r="H83" i="150" s="1"/>
  <c r="F83" i="153"/>
  <c r="H83" i="153" s="1"/>
  <c r="F83" i="151"/>
  <c r="H83" i="151" s="1"/>
  <c r="F83" i="155"/>
  <c r="H83" i="155" s="1"/>
  <c r="F84" i="150"/>
  <c r="H84" i="150" s="1"/>
  <c r="F84" i="153"/>
  <c r="H84" i="153" s="1"/>
  <c r="F84" i="151"/>
  <c r="H84" i="151" s="1"/>
  <c r="F84" i="155"/>
  <c r="H84" i="155" s="1"/>
  <c r="F85" i="150"/>
  <c r="H85" i="150" s="1"/>
  <c r="F85" i="153"/>
  <c r="H85" i="153" s="1"/>
  <c r="F85" i="151"/>
  <c r="H85" i="151" s="1"/>
  <c r="F85" i="155"/>
  <c r="H85" i="155" s="1"/>
  <c r="F86" i="150"/>
  <c r="H86" i="150" s="1"/>
  <c r="F86" i="153"/>
  <c r="H86" i="153" s="1"/>
  <c r="F86" i="151"/>
  <c r="H86" i="151" s="1"/>
  <c r="F86" i="155"/>
  <c r="H86" i="155" s="1"/>
  <c r="F88" i="150"/>
  <c r="H88" i="150" s="1"/>
  <c r="F88" i="153"/>
  <c r="H88" i="153" s="1"/>
  <c r="F88" i="151"/>
  <c r="H88" i="151"/>
  <c r="F88" i="155"/>
  <c r="H88" i="155" s="1"/>
  <c r="F89" i="150"/>
  <c r="H89" i="150" s="1"/>
  <c r="F89" i="153"/>
  <c r="H89" i="153" s="1"/>
  <c r="F89" i="151"/>
  <c r="H89" i="151" s="1"/>
  <c r="F89" i="155"/>
  <c r="H89" i="155" s="1"/>
  <c r="F90" i="150"/>
  <c r="H90" i="150" s="1"/>
  <c r="F90" i="159"/>
  <c r="H90" i="159" s="1"/>
  <c r="F90" i="153"/>
  <c r="H90" i="153" s="1"/>
  <c r="F90" i="151"/>
  <c r="H90" i="151" s="1"/>
  <c r="F90" i="155"/>
  <c r="H90" i="155" s="1"/>
  <c r="F91" i="150"/>
  <c r="H91" i="150" s="1"/>
  <c r="F91" i="159"/>
  <c r="H91" i="159" s="1"/>
  <c r="K91" i="159" s="1"/>
  <c r="F91" i="153"/>
  <c r="H91" i="153" s="1"/>
  <c r="F91" i="151"/>
  <c r="H91" i="151" s="1"/>
  <c r="F91" i="155"/>
  <c r="H91" i="155" s="1"/>
  <c r="F92" i="150"/>
  <c r="H92" i="150" s="1"/>
  <c r="F92" i="153"/>
  <c r="H92" i="153" s="1"/>
  <c r="F92" i="151"/>
  <c r="H92" i="151" s="1"/>
  <c r="F92" i="155"/>
  <c r="H92" i="155" s="1"/>
  <c r="F93" i="150"/>
  <c r="H93" i="150" s="1"/>
  <c r="F93" i="153"/>
  <c r="H93" i="153" s="1"/>
  <c r="F93" i="151"/>
  <c r="H93" i="151" s="1"/>
  <c r="F93" i="155"/>
  <c r="H93" i="155" s="1"/>
  <c r="F94" i="150"/>
  <c r="H94" i="150" s="1"/>
  <c r="F94" i="153"/>
  <c r="H94" i="153" s="1"/>
  <c r="F94" i="151"/>
  <c r="H94" i="151" s="1"/>
  <c r="F94" i="155"/>
  <c r="H94" i="155" s="1"/>
  <c r="F96" i="150"/>
  <c r="H96" i="150" s="1"/>
  <c r="F96" i="153"/>
  <c r="H96" i="153"/>
  <c r="F96" i="151"/>
  <c r="H96" i="151" s="1"/>
  <c r="F96" i="155"/>
  <c r="H96" i="155" s="1"/>
  <c r="F97" i="150"/>
  <c r="H97" i="150" s="1"/>
  <c r="F97" i="159"/>
  <c r="H97" i="159" s="1"/>
  <c r="F97" i="153"/>
  <c r="H97" i="153" s="1"/>
  <c r="F97" i="151"/>
  <c r="H97" i="151" s="1"/>
  <c r="F97" i="155"/>
  <c r="H97" i="155"/>
  <c r="F98" i="150"/>
  <c r="H98" i="150" s="1"/>
  <c r="F98" i="153"/>
  <c r="H98" i="153" s="1"/>
  <c r="F98" i="151"/>
  <c r="H98" i="151" s="1"/>
  <c r="F98" i="155"/>
  <c r="H98" i="155" s="1"/>
  <c r="F99" i="150"/>
  <c r="H99" i="150" s="1"/>
  <c r="F99" i="153"/>
  <c r="H99" i="153" s="1"/>
  <c r="F99" i="151"/>
  <c r="H99" i="151" s="1"/>
  <c r="F99" i="155"/>
  <c r="H99" i="155" s="1"/>
  <c r="F101" i="150"/>
  <c r="H101" i="150" s="1"/>
  <c r="F101" i="159"/>
  <c r="H101" i="159" s="1"/>
  <c r="F101" i="153"/>
  <c r="H101" i="153" s="1"/>
  <c r="F101" i="151"/>
  <c r="H101" i="151" s="1"/>
  <c r="F101" i="155"/>
  <c r="H101" i="155" s="1"/>
  <c r="F102" i="150"/>
  <c r="H102" i="150" s="1"/>
  <c r="F102" i="153"/>
  <c r="H102" i="153" s="1"/>
  <c r="F102" i="151"/>
  <c r="H102" i="151" s="1"/>
  <c r="F102" i="155"/>
  <c r="H102" i="155" s="1"/>
  <c r="F103" i="150"/>
  <c r="H103" i="150" s="1"/>
  <c r="F103" i="153"/>
  <c r="H103" i="153" s="1"/>
  <c r="F103" i="151"/>
  <c r="H103" i="151" s="1"/>
  <c r="F103" i="155"/>
  <c r="H103" i="155" s="1"/>
  <c r="F104" i="150"/>
  <c r="H104" i="150" s="1"/>
  <c r="F104" i="153"/>
  <c r="H104" i="153" s="1"/>
  <c r="F104" i="151"/>
  <c r="H104" i="151" s="1"/>
  <c r="F104" i="155"/>
  <c r="H104" i="155" s="1"/>
  <c r="F106" i="150"/>
  <c r="H106" i="150" s="1"/>
  <c r="F106" i="153"/>
  <c r="H106" i="153" s="1"/>
  <c r="F106" i="151"/>
  <c r="H106" i="151" s="1"/>
  <c r="F106" i="155"/>
  <c r="H106" i="155" s="1"/>
  <c r="F107" i="150"/>
  <c r="H107" i="150" s="1"/>
  <c r="F107" i="153"/>
  <c r="H107" i="153" s="1"/>
  <c r="F107" i="151"/>
  <c r="H107" i="151" s="1"/>
  <c r="F107" i="155"/>
  <c r="H107" i="155" s="1"/>
  <c r="F109" i="150"/>
  <c r="H109" i="150" s="1"/>
  <c r="F109" i="153"/>
  <c r="H109" i="153" s="1"/>
  <c r="F109" i="151"/>
  <c r="H109" i="151" s="1"/>
  <c r="F109" i="152"/>
  <c r="H109" i="152" s="1"/>
  <c r="F109" i="155"/>
  <c r="H109" i="155" s="1"/>
  <c r="F110" i="150"/>
  <c r="H110" i="150" s="1"/>
  <c r="F110" i="153"/>
  <c r="H110" i="153" s="1"/>
  <c r="F110" i="151"/>
  <c r="H110" i="151" s="1"/>
  <c r="F110" i="155"/>
  <c r="H110" i="155" s="1"/>
  <c r="F111" i="150"/>
  <c r="H111" i="150" s="1"/>
  <c r="F111" i="153"/>
  <c r="H111" i="153" s="1"/>
  <c r="F111" i="151"/>
  <c r="H111" i="151" s="1"/>
  <c r="F111" i="155"/>
  <c r="H111" i="155" s="1"/>
  <c r="F112" i="150"/>
  <c r="H112" i="150" s="1"/>
  <c r="F112" i="153"/>
  <c r="H112" i="153" s="1"/>
  <c r="F112" i="151"/>
  <c r="H112" i="151" s="1"/>
  <c r="F112" i="155"/>
  <c r="H112" i="155" s="1"/>
  <c r="F113" i="150"/>
  <c r="H113" i="150" s="1"/>
  <c r="F113" i="153"/>
  <c r="H113" i="153" s="1"/>
  <c r="F113" i="151"/>
  <c r="H113" i="151" s="1"/>
  <c r="F113" i="155"/>
  <c r="H113" i="155" s="1"/>
  <c r="F114" i="150"/>
  <c r="H114" i="150" s="1"/>
  <c r="F114" i="153"/>
  <c r="H114" i="153" s="1"/>
  <c r="F114" i="151"/>
  <c r="H114" i="151" s="1"/>
  <c r="F114" i="155"/>
  <c r="H114" i="155" s="1"/>
  <c r="F116" i="150"/>
  <c r="H116" i="150" s="1"/>
  <c r="F116" i="153"/>
  <c r="H116" i="153" s="1"/>
  <c r="F116" i="151"/>
  <c r="H116" i="151" s="1"/>
  <c r="F116" i="155"/>
  <c r="H116" i="155" s="1"/>
  <c r="F117" i="150"/>
  <c r="H117" i="150" s="1"/>
  <c r="F117" i="153"/>
  <c r="H117" i="153" s="1"/>
  <c r="F117" i="151"/>
  <c r="H117" i="151" s="1"/>
  <c r="F117" i="155"/>
  <c r="H117" i="155" s="1"/>
  <c r="F117" i="159"/>
  <c r="H117" i="159" s="1"/>
  <c r="K117" i="159" s="1"/>
  <c r="F118" i="150"/>
  <c r="H118" i="150" s="1"/>
  <c r="F118" i="153"/>
  <c r="H118" i="153" s="1"/>
  <c r="F118" i="151"/>
  <c r="H118" i="151" s="1"/>
  <c r="F118" i="155"/>
  <c r="H118" i="155" s="1"/>
  <c r="F119" i="150"/>
  <c r="H119" i="150" s="1"/>
  <c r="F119" i="153"/>
  <c r="H119" i="153" s="1"/>
  <c r="F119" i="151"/>
  <c r="H119" i="151" s="1"/>
  <c r="F119" i="155"/>
  <c r="H119" i="155" s="1"/>
  <c r="F120" i="150"/>
  <c r="H120" i="150" s="1"/>
  <c r="F120" i="153"/>
  <c r="H120" i="153" s="1"/>
  <c r="F120" i="151"/>
  <c r="H120" i="151" s="1"/>
  <c r="F120" i="155"/>
  <c r="H120" i="155" s="1"/>
  <c r="F121" i="150"/>
  <c r="H121" i="150" s="1"/>
  <c r="F121" i="153"/>
  <c r="H121" i="153" s="1"/>
  <c r="F121" i="151"/>
  <c r="H121" i="151" s="1"/>
  <c r="F121" i="155"/>
  <c r="H121" i="155" s="1"/>
  <c r="F123" i="150"/>
  <c r="H123" i="150" s="1"/>
  <c r="F123" i="153"/>
  <c r="H123" i="153" s="1"/>
  <c r="F123" i="151"/>
  <c r="H123" i="151" s="1"/>
  <c r="F123" i="155"/>
  <c r="H123" i="155" s="1"/>
  <c r="F124" i="150"/>
  <c r="H124" i="150" s="1"/>
  <c r="F124" i="159"/>
  <c r="H124" i="159" s="1"/>
  <c r="F124" i="153"/>
  <c r="H124" i="153" s="1"/>
  <c r="F124" i="151"/>
  <c r="H124" i="151" s="1"/>
  <c r="F124" i="155"/>
  <c r="H124" i="155" s="1"/>
  <c r="F126" i="150"/>
  <c r="H126" i="150" s="1"/>
  <c r="F126" i="153"/>
  <c r="H126" i="153" s="1"/>
  <c r="F126" i="151"/>
  <c r="H126" i="151" s="1"/>
  <c r="F126" i="155"/>
  <c r="H126" i="155" s="1"/>
  <c r="F127" i="150"/>
  <c r="H127" i="150" s="1"/>
  <c r="F127" i="153"/>
  <c r="H127" i="153" s="1"/>
  <c r="F127" i="151"/>
  <c r="H127" i="151" s="1"/>
  <c r="F127" i="155"/>
  <c r="H127" i="155" s="1"/>
  <c r="F128" i="150"/>
  <c r="H128" i="150" s="1"/>
  <c r="F128" i="153"/>
  <c r="H128" i="153" s="1"/>
  <c r="F128" i="151"/>
  <c r="H128" i="151" s="1"/>
  <c r="F128" i="155"/>
  <c r="H128" i="155" s="1"/>
  <c r="F129" i="150"/>
  <c r="H129" i="150" s="1"/>
  <c r="F129" i="153"/>
  <c r="H129" i="153" s="1"/>
  <c r="F129" i="151"/>
  <c r="H129" i="151" s="1"/>
  <c r="F129" i="155"/>
  <c r="H129" i="155" s="1"/>
  <c r="F130" i="150"/>
  <c r="H130" i="150" s="1"/>
  <c r="F130" i="153"/>
  <c r="H130" i="153"/>
  <c r="F130" i="151"/>
  <c r="H130" i="151" s="1"/>
  <c r="F130" i="155"/>
  <c r="H130" i="155" s="1"/>
  <c r="F131" i="150"/>
  <c r="H131" i="150" s="1"/>
  <c r="F131" i="153"/>
  <c r="H131" i="153" s="1"/>
  <c r="F131" i="151"/>
  <c r="H131" i="151" s="1"/>
  <c r="F131" i="155"/>
  <c r="H131" i="155" s="1"/>
  <c r="F132" i="150"/>
  <c r="H132" i="150" s="1"/>
  <c r="F132" i="153"/>
  <c r="H132" i="153" s="1"/>
  <c r="F132" i="151"/>
  <c r="H132" i="151" s="1"/>
  <c r="F132" i="155"/>
  <c r="H132" i="155" s="1"/>
  <c r="F133" i="150"/>
  <c r="H133" i="150" s="1"/>
  <c r="F133" i="153"/>
  <c r="H133" i="153" s="1"/>
  <c r="F133" i="151"/>
  <c r="H133" i="151" s="1"/>
  <c r="F133" i="155"/>
  <c r="H133" i="155" s="1"/>
  <c r="F134" i="150"/>
  <c r="H134" i="150" s="1"/>
  <c r="F134" i="153"/>
  <c r="H134" i="153" s="1"/>
  <c r="F134" i="151"/>
  <c r="H134" i="151" s="1"/>
  <c r="F134" i="155"/>
  <c r="H134" i="155" s="1"/>
  <c r="F135" i="150"/>
  <c r="H135" i="150" s="1"/>
  <c r="F135" i="153"/>
  <c r="H135" i="153" s="1"/>
  <c r="F135" i="151"/>
  <c r="H135" i="151" s="1"/>
  <c r="F135" i="155"/>
  <c r="H135" i="155" s="1"/>
  <c r="F136" i="150"/>
  <c r="H136" i="150" s="1"/>
  <c r="F136" i="153"/>
  <c r="H136" i="153"/>
  <c r="F136" i="151"/>
  <c r="H136" i="151" s="1"/>
  <c r="F136" i="155"/>
  <c r="H136" i="155" s="1"/>
  <c r="F137" i="150"/>
  <c r="H137" i="150" s="1"/>
  <c r="F137" i="153"/>
  <c r="H137" i="153" s="1"/>
  <c r="F137" i="151"/>
  <c r="H137" i="151" s="1"/>
  <c r="F137" i="155"/>
  <c r="H137" i="155" s="1"/>
  <c r="F139" i="150"/>
  <c r="H139" i="150" s="1"/>
  <c r="F139" i="153"/>
  <c r="H139" i="153" s="1"/>
  <c r="F139" i="151"/>
  <c r="H139" i="151" s="1"/>
  <c r="F139" i="155"/>
  <c r="H139" i="155" s="1"/>
  <c r="F140" i="150"/>
  <c r="H140" i="150" s="1"/>
  <c r="F140" i="153"/>
  <c r="H140" i="153" s="1"/>
  <c r="F140" i="151"/>
  <c r="H140" i="151" s="1"/>
  <c r="F140" i="155"/>
  <c r="H140" i="155" s="1"/>
  <c r="F141" i="150"/>
  <c r="H141" i="150" s="1"/>
  <c r="F141" i="153"/>
  <c r="H141" i="153" s="1"/>
  <c r="F141" i="151"/>
  <c r="H141" i="151" s="1"/>
  <c r="F141" i="155"/>
  <c r="H141" i="155" s="1"/>
  <c r="F142" i="150"/>
  <c r="H142" i="150" s="1"/>
  <c r="F142" i="153"/>
  <c r="H142" i="153" s="1"/>
  <c r="F142" i="151"/>
  <c r="H142" i="151"/>
  <c r="F142" i="155"/>
  <c r="H142" i="155" s="1"/>
  <c r="F143" i="150"/>
  <c r="H143" i="150" s="1"/>
  <c r="F143" i="153"/>
  <c r="H143" i="153" s="1"/>
  <c r="F143" i="151"/>
  <c r="H143" i="151" s="1"/>
  <c r="F143" i="155"/>
  <c r="H143" i="155" s="1"/>
  <c r="F144" i="150"/>
  <c r="H144" i="150" s="1"/>
  <c r="F144" i="153"/>
  <c r="H144" i="153" s="1"/>
  <c r="F144" i="151"/>
  <c r="H144" i="151" s="1"/>
  <c r="F144" i="155"/>
  <c r="H144" i="155" s="1"/>
  <c r="F145" i="150"/>
  <c r="H145" i="150" s="1"/>
  <c r="F145" i="153"/>
  <c r="H145" i="153" s="1"/>
  <c r="F145" i="151"/>
  <c r="H145" i="151" s="1"/>
  <c r="F145" i="155"/>
  <c r="H145" i="155" s="1"/>
  <c r="F146" i="150"/>
  <c r="H146" i="150" s="1"/>
  <c r="F146" i="153"/>
  <c r="H146" i="153" s="1"/>
  <c r="F146" i="151"/>
  <c r="H146" i="151" s="1"/>
  <c r="F146" i="155"/>
  <c r="H146" i="155" s="1"/>
  <c r="F147" i="150"/>
  <c r="H147" i="150" s="1"/>
  <c r="F147" i="153"/>
  <c r="H147" i="153" s="1"/>
  <c r="F147" i="151"/>
  <c r="H147" i="151" s="1"/>
  <c r="F147" i="155"/>
  <c r="H147" i="155" s="1"/>
  <c r="F148" i="150"/>
  <c r="H148" i="150" s="1"/>
  <c r="F148" i="153"/>
  <c r="H148" i="153" s="1"/>
  <c r="F148" i="151"/>
  <c r="H148" i="151" s="1"/>
  <c r="F148" i="155"/>
  <c r="H148" i="155" s="1"/>
  <c r="F149" i="150"/>
  <c r="H149" i="150" s="1"/>
  <c r="F149" i="153"/>
  <c r="H149" i="153" s="1"/>
  <c r="F149" i="151"/>
  <c r="H149" i="151"/>
  <c r="F149" i="155"/>
  <c r="H149" i="155" s="1"/>
  <c r="F151" i="149"/>
  <c r="H151" i="149" s="1"/>
  <c r="K151" i="149" s="1"/>
  <c r="F151" i="150"/>
  <c r="H151" i="150"/>
  <c r="K151" i="150" s="1"/>
  <c r="F151" i="151"/>
  <c r="H151" i="151" s="1"/>
  <c r="K151" i="151" s="1"/>
  <c r="F151" i="155"/>
  <c r="H151" i="155" s="1"/>
  <c r="F151" i="154"/>
  <c r="H151" i="154" s="1"/>
  <c r="K151" i="154" s="1"/>
  <c r="F151" i="156"/>
  <c r="H151" i="156" s="1"/>
  <c r="K151" i="156" s="1"/>
  <c r="F151" i="157"/>
  <c r="H151" i="157" s="1"/>
  <c r="K151" i="157" s="1"/>
  <c r="F151" i="159"/>
  <c r="H151" i="159" s="1"/>
  <c r="F151" i="153"/>
  <c r="H151" i="153" s="1"/>
  <c r="K151" i="153" s="1"/>
  <c r="F151" i="160"/>
  <c r="H151" i="160" s="1"/>
  <c r="K151" i="160" s="1"/>
  <c r="F151" i="152"/>
  <c r="H151" i="152"/>
  <c r="K151" i="152" s="1"/>
  <c r="F152" i="149"/>
  <c r="H152" i="149" s="1"/>
  <c r="K152" i="149" s="1"/>
  <c r="F152" i="150"/>
  <c r="H152" i="150" s="1"/>
  <c r="K152" i="150" s="1"/>
  <c r="F152" i="151"/>
  <c r="H152" i="151" s="1"/>
  <c r="K152" i="151" s="1"/>
  <c r="F152" i="156"/>
  <c r="H152" i="156" s="1"/>
  <c r="F152" i="157"/>
  <c r="H152" i="157" s="1"/>
  <c r="K152" i="157" s="1"/>
  <c r="F152" i="159"/>
  <c r="H152" i="159" s="1"/>
  <c r="K152" i="159" s="1"/>
  <c r="F152" i="153"/>
  <c r="H152" i="153" s="1"/>
  <c r="K152" i="153" s="1"/>
  <c r="F152" i="160"/>
  <c r="H152" i="160" s="1"/>
  <c r="F152" i="155"/>
  <c r="H152" i="155" s="1"/>
  <c r="K152" i="155" s="1"/>
  <c r="F152" i="152"/>
  <c r="H152" i="152" s="1"/>
  <c r="K152" i="152" s="1"/>
  <c r="F152" i="154"/>
  <c r="H152" i="154" s="1"/>
  <c r="K152" i="154" s="1"/>
  <c r="F153" i="149"/>
  <c r="H153" i="149" s="1"/>
  <c r="K153" i="149" s="1"/>
  <c r="F153" i="150"/>
  <c r="H153" i="150" s="1"/>
  <c r="K153" i="150" s="1"/>
  <c r="F153" i="151"/>
  <c r="H153" i="151"/>
  <c r="K153" i="151" s="1"/>
  <c r="F153" i="154"/>
  <c r="H153" i="154" s="1"/>
  <c r="F153" i="156"/>
  <c r="H153" i="156" s="1"/>
  <c r="K153" i="156" s="1"/>
  <c r="F153" i="157"/>
  <c r="H153" i="157" s="1"/>
  <c r="K153" i="157" s="1"/>
  <c r="F153" i="159"/>
  <c r="H153" i="159" s="1"/>
  <c r="K153" i="159" s="1"/>
  <c r="F153" i="153"/>
  <c r="H153" i="153" s="1"/>
  <c r="F153" i="152"/>
  <c r="H153" i="152" s="1"/>
  <c r="K153" i="152" s="1"/>
  <c r="F153" i="155"/>
  <c r="H153" i="155" s="1"/>
  <c r="K153" i="155" s="1"/>
  <c r="F153" i="160"/>
  <c r="H153" i="160" s="1"/>
  <c r="K153" i="160" s="1"/>
  <c r="F154" i="150"/>
  <c r="H154" i="150"/>
  <c r="K154" i="150" s="1"/>
  <c r="F154" i="153"/>
  <c r="H154" i="153" s="1"/>
  <c r="K154" i="153" s="1"/>
  <c r="F154" i="151"/>
  <c r="H154" i="151" s="1"/>
  <c r="K154" i="151" s="1"/>
  <c r="F154" i="155"/>
  <c r="H154" i="155" s="1"/>
  <c r="F155" i="150"/>
  <c r="H155" i="150" s="1"/>
  <c r="K155" i="150" s="1"/>
  <c r="F155" i="153"/>
  <c r="H155" i="153"/>
  <c r="K155" i="153" s="1"/>
  <c r="F155" i="151"/>
  <c r="H155" i="151" s="1"/>
  <c r="F155" i="155"/>
  <c r="H155" i="155" s="1"/>
  <c r="K155" i="155" s="1"/>
  <c r="F156" i="149"/>
  <c r="H156" i="149"/>
  <c r="K156" i="149" s="1"/>
  <c r="F156" i="150"/>
  <c r="H156" i="150" s="1"/>
  <c r="F156" i="151"/>
  <c r="H156" i="151"/>
  <c r="F156" i="154"/>
  <c r="H156" i="154" s="1"/>
  <c r="K156" i="154" s="1"/>
  <c r="F156" i="156"/>
  <c r="H156" i="156" s="1"/>
  <c r="K156" i="156" s="1"/>
  <c r="F156" i="157"/>
  <c r="H156" i="157" s="1"/>
  <c r="K156" i="157" s="1"/>
  <c r="F156" i="159"/>
  <c r="H156" i="159" s="1"/>
  <c r="K156" i="159" s="1"/>
  <c r="F156" i="153"/>
  <c r="H156" i="153" s="1"/>
  <c r="K156" i="153" s="1"/>
  <c r="F156" i="160"/>
  <c r="H156" i="160"/>
  <c r="K156" i="160" s="1"/>
  <c r="F156" i="155"/>
  <c r="H156" i="155" s="1"/>
  <c r="F156" i="152"/>
  <c r="H156" i="152" s="1"/>
  <c r="K156" i="152" s="1"/>
  <c r="F157" i="150"/>
  <c r="H157" i="150" s="1"/>
  <c r="K157" i="150" s="1"/>
  <c r="F157" i="153"/>
  <c r="H157" i="153" s="1"/>
  <c r="K157" i="153" s="1"/>
  <c r="F157" i="151"/>
  <c r="H157" i="151" s="1"/>
  <c r="K157" i="151" s="1"/>
  <c r="F157" i="155"/>
  <c r="H157" i="155" s="1"/>
  <c r="K157" i="155" s="1"/>
  <c r="F158" i="149"/>
  <c r="H158" i="149" s="1"/>
  <c r="K158" i="149" s="1"/>
  <c r="F158" i="150"/>
  <c r="H158" i="150" s="1"/>
  <c r="K158" i="150" s="1"/>
  <c r="F158" i="151"/>
  <c r="H158" i="151" s="1"/>
  <c r="F158" i="155"/>
  <c r="H158" i="155"/>
  <c r="K158" i="155" s="1"/>
  <c r="F158" i="156"/>
  <c r="H158" i="156" s="1"/>
  <c r="F158" i="157"/>
  <c r="H158" i="157" s="1"/>
  <c r="K158" i="157" s="1"/>
  <c r="F158" i="159"/>
  <c r="H158" i="159" s="1"/>
  <c r="K158" i="159" s="1"/>
  <c r="F158" i="153"/>
  <c r="H158" i="153" s="1"/>
  <c r="K158" i="153" s="1"/>
  <c r="F158" i="152"/>
  <c r="H158" i="152" s="1"/>
  <c r="K158" i="152" s="1"/>
  <c r="F158" i="154"/>
  <c r="H158" i="154" s="1"/>
  <c r="K158" i="154" s="1"/>
  <c r="F158" i="160"/>
  <c r="H158" i="160" s="1"/>
  <c r="K158" i="160" s="1"/>
  <c r="F159" i="150"/>
  <c r="H159" i="150" s="1"/>
  <c r="K159" i="150" s="1"/>
  <c r="F159" i="153"/>
  <c r="H159" i="153" s="1"/>
  <c r="K159" i="153" s="1"/>
  <c r="F159" i="151"/>
  <c r="H159" i="151" s="1"/>
  <c r="K159" i="151" s="1"/>
  <c r="F159" i="155"/>
  <c r="H159" i="155"/>
  <c r="K159" i="155" s="1"/>
  <c r="F160" i="149"/>
  <c r="H160" i="149" s="1"/>
  <c r="K160" i="149" s="1"/>
  <c r="F160" i="150"/>
  <c r="H160" i="150" s="1"/>
  <c r="F160" i="154"/>
  <c r="H160" i="154" s="1"/>
  <c r="K160" i="154" s="1"/>
  <c r="F160" i="156"/>
  <c r="H160" i="156" s="1"/>
  <c r="F160" i="157"/>
  <c r="H160" i="157" s="1"/>
  <c r="F160" i="159"/>
  <c r="H160" i="159" s="1"/>
  <c r="K160" i="159" s="1"/>
  <c r="F160" i="153"/>
  <c r="H160" i="153"/>
  <c r="K160" i="153" s="1"/>
  <c r="F160" i="160"/>
  <c r="H160" i="160" s="1"/>
  <c r="F160" i="151"/>
  <c r="H160" i="151" s="1"/>
  <c r="F160" i="155"/>
  <c r="H160" i="155" s="1"/>
  <c r="K160" i="155" s="1"/>
  <c r="F160" i="152"/>
  <c r="H160" i="152" s="1"/>
  <c r="K160" i="152" s="1"/>
  <c r="F161" i="149"/>
  <c r="H161" i="149" s="1"/>
  <c r="K161" i="149" s="1"/>
  <c r="F161" i="150"/>
  <c r="H161" i="150" s="1"/>
  <c r="F161" i="154"/>
  <c r="H161" i="154" s="1"/>
  <c r="K161" i="154" s="1"/>
  <c r="F161" i="156"/>
  <c r="H161" i="156" s="1"/>
  <c r="F161" i="157"/>
  <c r="H161" i="157" s="1"/>
  <c r="K161" i="157" s="1"/>
  <c r="F161" i="159"/>
  <c r="H161" i="159" s="1"/>
  <c r="K161" i="159" s="1"/>
  <c r="F161" i="153"/>
  <c r="H161" i="153"/>
  <c r="F161" i="160"/>
  <c r="H161" i="160" s="1"/>
  <c r="F161" i="151"/>
  <c r="H161" i="151" s="1"/>
  <c r="K161" i="151" s="1"/>
  <c r="F161" i="152"/>
  <c r="H161" i="152" s="1"/>
  <c r="K161" i="152" s="1"/>
  <c r="F161" i="155"/>
  <c r="H161" i="155" s="1"/>
  <c r="K161" i="155" s="1"/>
  <c r="F162" i="150"/>
  <c r="H162" i="150" s="1"/>
  <c r="F162" i="153"/>
  <c r="H162" i="153" s="1"/>
  <c r="K162" i="153" s="1"/>
  <c r="F162" i="151"/>
  <c r="H162" i="151" s="1"/>
  <c r="K162" i="151" s="1"/>
  <c r="F162" i="155"/>
  <c r="H162" i="155" s="1"/>
  <c r="F163" i="150"/>
  <c r="H163" i="150" s="1"/>
  <c r="K163" i="150" s="1"/>
  <c r="F163" i="153"/>
  <c r="H163" i="153" s="1"/>
  <c r="K163" i="153" s="1"/>
  <c r="F163" i="151"/>
  <c r="H163" i="151" s="1"/>
  <c r="F163" i="155"/>
  <c r="H163" i="155" s="1"/>
  <c r="K163" i="155" s="1"/>
  <c r="F164" i="150"/>
  <c r="H164" i="150" s="1"/>
  <c r="K164" i="150" s="1"/>
  <c r="F164" i="153"/>
  <c r="H164" i="153" s="1"/>
  <c r="K164" i="153" s="1"/>
  <c r="F164" i="151"/>
  <c r="H164" i="151" s="1"/>
  <c r="F164" i="155"/>
  <c r="H164" i="155" s="1"/>
  <c r="K164" i="155" s="1"/>
  <c r="F166" i="149"/>
  <c r="H166" i="149" s="1"/>
  <c r="F166" i="150"/>
  <c r="H166" i="150" s="1"/>
  <c r="K166" i="150" s="1"/>
  <c r="F166" i="151"/>
  <c r="H166" i="151" s="1"/>
  <c r="F166" i="159"/>
  <c r="H166" i="159" s="1"/>
  <c r="K166" i="159" s="1"/>
  <c r="F166" i="153"/>
  <c r="H166" i="153" s="1"/>
  <c r="F166" i="155"/>
  <c r="H166" i="155" s="1"/>
  <c r="K166" i="155" s="1"/>
  <c r="F167" i="149"/>
  <c r="H167" i="149" s="1"/>
  <c r="K167" i="149" s="1"/>
  <c r="F167" i="150"/>
  <c r="H167" i="150" s="1"/>
  <c r="F167" i="151"/>
  <c r="H167" i="151" s="1"/>
  <c r="K167" i="151" s="1"/>
  <c r="F167" i="159"/>
  <c r="H167" i="159" s="1"/>
  <c r="K167" i="159" s="1"/>
  <c r="F167" i="153"/>
  <c r="H167" i="153" s="1"/>
  <c r="F167" i="155"/>
  <c r="H167" i="155" s="1"/>
  <c r="K167" i="155" s="1"/>
  <c r="F168" i="149"/>
  <c r="H168" i="149" s="1"/>
  <c r="K168" i="149" s="1"/>
  <c r="F168" i="150"/>
  <c r="H168" i="150" s="1"/>
  <c r="K168" i="150" s="1"/>
  <c r="F168" i="151"/>
  <c r="H168" i="151"/>
  <c r="F168" i="159"/>
  <c r="H168" i="159" s="1"/>
  <c r="K168" i="159" s="1"/>
  <c r="F168" i="153"/>
  <c r="H168" i="153" s="1"/>
  <c r="K168" i="153" s="1"/>
  <c r="F168" i="155"/>
  <c r="H168" i="155" s="1"/>
  <c r="K168" i="155" s="1"/>
  <c r="F169" i="150"/>
  <c r="H169" i="150" s="1"/>
  <c r="F169" i="159"/>
  <c r="H169" i="159" s="1"/>
  <c r="F169" i="153"/>
  <c r="H169" i="153" s="1"/>
  <c r="F169" i="151"/>
  <c r="H169" i="151" s="1"/>
  <c r="F169" i="155"/>
  <c r="H169" i="155" s="1"/>
  <c r="F170" i="150"/>
  <c r="H170" i="150" s="1"/>
  <c r="F170" i="159"/>
  <c r="H170" i="159"/>
  <c r="F170" i="153"/>
  <c r="H170" i="153" s="1"/>
  <c r="F170" i="151"/>
  <c r="H170" i="151" s="1"/>
  <c r="F170" i="155"/>
  <c r="H170" i="155" s="1"/>
  <c r="F171" i="150"/>
  <c r="H171" i="150" s="1"/>
  <c r="F171" i="153"/>
  <c r="H171" i="153" s="1"/>
  <c r="F171" i="151"/>
  <c r="H171" i="151" s="1"/>
  <c r="F171" i="155"/>
  <c r="H171" i="155" s="1"/>
  <c r="F172" i="150"/>
  <c r="H172" i="150" s="1"/>
  <c r="F172" i="153"/>
  <c r="H172" i="153" s="1"/>
  <c r="F172" i="151"/>
  <c r="H172" i="151" s="1"/>
  <c r="F172" i="155"/>
  <c r="H172" i="155" s="1"/>
  <c r="F173" i="150"/>
  <c r="H173" i="150" s="1"/>
  <c r="F173" i="153"/>
  <c r="H173" i="153" s="1"/>
  <c r="F173" i="151"/>
  <c r="H173" i="151"/>
  <c r="F173" i="155"/>
  <c r="H173" i="155"/>
  <c r="F174" i="150"/>
  <c r="H174" i="150" s="1"/>
  <c r="F174" i="153"/>
  <c r="H174" i="153" s="1"/>
  <c r="F174" i="151"/>
  <c r="H174" i="151" s="1"/>
  <c r="F174" i="155"/>
  <c r="H174" i="155" s="1"/>
  <c r="F175" i="150"/>
  <c r="H175" i="150" s="1"/>
  <c r="F175" i="159"/>
  <c r="H175" i="159" s="1"/>
  <c r="F175" i="153"/>
  <c r="H175" i="153" s="1"/>
  <c r="F175" i="151"/>
  <c r="H175" i="151" s="1"/>
  <c r="F175" i="155"/>
  <c r="H175" i="155" s="1"/>
  <c r="F177" i="150"/>
  <c r="H177" i="150" s="1"/>
  <c r="F177" i="153"/>
  <c r="H177" i="153" s="1"/>
  <c r="F177" i="151"/>
  <c r="H177" i="151" s="1"/>
  <c r="F177" i="155"/>
  <c r="H177" i="155" s="1"/>
  <c r="F178" i="150"/>
  <c r="H178" i="150" s="1"/>
  <c r="F178" i="153"/>
  <c r="H178" i="153" s="1"/>
  <c r="F178" i="151"/>
  <c r="H178" i="151"/>
  <c r="F178" i="155"/>
  <c r="H178" i="155" s="1"/>
  <c r="F179" i="150"/>
  <c r="H179" i="150" s="1"/>
  <c r="F179" i="153"/>
  <c r="H179" i="153" s="1"/>
  <c r="F179" i="151"/>
  <c r="H179" i="151" s="1"/>
  <c r="F179" i="155"/>
  <c r="H179" i="155" s="1"/>
  <c r="F180" i="150"/>
  <c r="H180" i="150" s="1"/>
  <c r="F180" i="153"/>
  <c r="H180" i="153" s="1"/>
  <c r="F180" i="151"/>
  <c r="H180" i="151" s="1"/>
  <c r="F180" i="155"/>
  <c r="H180" i="155" s="1"/>
  <c r="F181" i="150"/>
  <c r="H181" i="150" s="1"/>
  <c r="F181" i="153"/>
  <c r="H181" i="153" s="1"/>
  <c r="F181" i="151"/>
  <c r="H181" i="151" s="1"/>
  <c r="F181" i="155"/>
  <c r="H181" i="155" s="1"/>
  <c r="F182" i="150"/>
  <c r="H182" i="150" s="1"/>
  <c r="F182" i="153"/>
  <c r="H182" i="153" s="1"/>
  <c r="F182" i="151"/>
  <c r="H182" i="151" s="1"/>
  <c r="F182" i="155"/>
  <c r="H182" i="155" s="1"/>
  <c r="F183" i="150"/>
  <c r="H183" i="150" s="1"/>
  <c r="F183" i="153"/>
  <c r="H183" i="153"/>
  <c r="F183" i="151"/>
  <c r="H183" i="151" s="1"/>
  <c r="F183" i="155"/>
  <c r="H183" i="155" s="1"/>
  <c r="F184" i="150"/>
  <c r="H184" i="150" s="1"/>
  <c r="F184" i="153"/>
  <c r="H184" i="153" s="1"/>
  <c r="F184" i="151"/>
  <c r="H184" i="151" s="1"/>
  <c r="F184" i="155"/>
  <c r="H184" i="155" s="1"/>
  <c r="F185" i="150"/>
  <c r="H185" i="150" s="1"/>
  <c r="F185" i="153"/>
  <c r="H185" i="153" s="1"/>
  <c r="F185" i="151"/>
  <c r="H185" i="151" s="1"/>
  <c r="F185" i="155"/>
  <c r="H185" i="155" s="1"/>
  <c r="F186" i="150"/>
  <c r="H186" i="150" s="1"/>
  <c r="F186" i="153"/>
  <c r="H186" i="153" s="1"/>
  <c r="F186" i="151"/>
  <c r="H186" i="151"/>
  <c r="F186" i="155"/>
  <c r="H186" i="155" s="1"/>
  <c r="F188" i="150"/>
  <c r="H188" i="150" s="1"/>
  <c r="F188" i="153"/>
  <c r="H188" i="153" s="1"/>
  <c r="F188" i="151"/>
  <c r="H188" i="151" s="1"/>
  <c r="F188" i="155"/>
  <c r="H188" i="155" s="1"/>
  <c r="F189" i="149"/>
  <c r="H189" i="149" s="1"/>
  <c r="K189" i="149" s="1"/>
  <c r="F189" i="151"/>
  <c r="H189" i="151" s="1"/>
  <c r="K189" i="151" s="1"/>
  <c r="F189" i="154"/>
  <c r="H189" i="154" s="1"/>
  <c r="F189" i="156"/>
  <c r="H189" i="156" s="1"/>
  <c r="K189" i="156" s="1"/>
  <c r="F189" i="157"/>
  <c r="H189" i="157" s="1"/>
  <c r="K189" i="157" s="1"/>
  <c r="F189" i="159"/>
  <c r="H189" i="159" s="1"/>
  <c r="K189" i="159" s="1"/>
  <c r="F189" i="153"/>
  <c r="H189" i="153" s="1"/>
  <c r="K189" i="153" s="1"/>
  <c r="F189" i="160"/>
  <c r="H189" i="160" s="1"/>
  <c r="K189" i="160" s="1"/>
  <c r="F190" i="151"/>
  <c r="H190" i="151" s="1"/>
  <c r="K190" i="151" s="1"/>
  <c r="F190" i="153"/>
  <c r="H190" i="153" s="1"/>
  <c r="K190" i="153" s="1"/>
  <c r="F191" i="149"/>
  <c r="H191" i="149" s="1"/>
  <c r="K191" i="149" s="1"/>
  <c r="F191" i="151"/>
  <c r="H191" i="151" s="1"/>
  <c r="K191" i="151" s="1"/>
  <c r="F191" i="154"/>
  <c r="H191" i="154" s="1"/>
  <c r="K191" i="154" s="1"/>
  <c r="F191" i="156"/>
  <c r="H191" i="156" s="1"/>
  <c r="F191" i="157"/>
  <c r="H191" i="157" s="1"/>
  <c r="F191" i="159"/>
  <c r="H191" i="159" s="1"/>
  <c r="F191" i="153"/>
  <c r="H191" i="153" s="1"/>
  <c r="K191" i="153" s="1"/>
  <c r="F191" i="160"/>
  <c r="H191" i="160" s="1"/>
  <c r="F192" i="149"/>
  <c r="H192" i="149" s="1"/>
  <c r="F192" i="151"/>
  <c r="H192" i="151" s="1"/>
  <c r="K192" i="151" s="1"/>
  <c r="F192" i="154"/>
  <c r="H192" i="154" s="1"/>
  <c r="K192" i="154" s="1"/>
  <c r="F192" i="156"/>
  <c r="H192" i="156" s="1"/>
  <c r="F192" i="157"/>
  <c r="H192" i="157" s="1"/>
  <c r="K192" i="157" s="1"/>
  <c r="F192" i="159"/>
  <c r="H192" i="159" s="1"/>
  <c r="K192" i="159" s="1"/>
  <c r="F192" i="153"/>
  <c r="H192" i="153" s="1"/>
  <c r="K192" i="153" s="1"/>
  <c r="F192" i="160"/>
  <c r="H192" i="160" s="1"/>
  <c r="F194" i="150"/>
  <c r="H194" i="150" s="1"/>
  <c r="K194" i="150" s="1"/>
  <c r="F194" i="153"/>
  <c r="H194" i="153" s="1"/>
  <c r="K194" i="153" s="1"/>
  <c r="K193" i="153" s="1"/>
  <c r="C12" i="153" s="1"/>
  <c r="F194" i="151"/>
  <c r="H194" i="151" s="1"/>
  <c r="K194" i="151" s="1"/>
  <c r="K193" i="151" s="1"/>
  <c r="C12" i="151" s="1"/>
  <c r="F194" i="155"/>
  <c r="H194" i="155" s="1"/>
  <c r="K194" i="155" s="1"/>
  <c r="K193" i="155" s="1"/>
  <c r="C12" i="155" s="1"/>
  <c r="F196" i="150"/>
  <c r="H196" i="150" s="1"/>
  <c r="F196" i="153"/>
  <c r="H196" i="153" s="1"/>
  <c r="F196" i="151"/>
  <c r="H196" i="151" s="1"/>
  <c r="F196" i="155"/>
  <c r="H196" i="155" s="1"/>
  <c r="F197" i="150"/>
  <c r="H197" i="150" s="1"/>
  <c r="F197" i="153"/>
  <c r="H197" i="153" s="1"/>
  <c r="F197" i="151"/>
  <c r="H197" i="151" s="1"/>
  <c r="F197" i="155"/>
  <c r="H197" i="155" s="1"/>
  <c r="F198" i="150"/>
  <c r="H198" i="150" s="1"/>
  <c r="F198" i="153"/>
  <c r="H198" i="153" s="1"/>
  <c r="F198" i="151"/>
  <c r="H198" i="151" s="1"/>
  <c r="F198" i="155"/>
  <c r="H198" i="155" s="1"/>
  <c r="F199" i="150"/>
  <c r="H199" i="150" s="1"/>
  <c r="F199" i="156"/>
  <c r="H199" i="156" s="1"/>
  <c r="K199" i="156" s="1"/>
  <c r="F199" i="153"/>
  <c r="H199" i="153" s="1"/>
  <c r="F199" i="151"/>
  <c r="H199" i="151" s="1"/>
  <c r="F199" i="155"/>
  <c r="H199" i="155" s="1"/>
  <c r="K199" i="155" s="1"/>
  <c r="F200" i="150"/>
  <c r="H200" i="150" s="1"/>
  <c r="K200" i="150" s="1"/>
  <c r="F200" i="156"/>
  <c r="H200" i="156" s="1"/>
  <c r="F200" i="153"/>
  <c r="H200" i="153" s="1"/>
  <c r="F200" i="151"/>
  <c r="H200" i="151" s="1"/>
  <c r="K200" i="151" s="1"/>
  <c r="F200" i="155"/>
  <c r="H200" i="155" s="1"/>
  <c r="F201" i="150"/>
  <c r="H201" i="150" s="1"/>
  <c r="K201" i="150" s="1"/>
  <c r="F201" i="156"/>
  <c r="H201" i="156" s="1"/>
  <c r="K201" i="156" s="1"/>
  <c r="F201" i="153"/>
  <c r="H201" i="153" s="1"/>
  <c r="F201" i="151"/>
  <c r="H201" i="151" s="1"/>
  <c r="K201" i="151" s="1"/>
  <c r="F201" i="155"/>
  <c r="H201" i="155" s="1"/>
  <c r="F205" i="150"/>
  <c r="H205" i="150" s="1"/>
  <c r="F205" i="153"/>
  <c r="H205" i="153" s="1"/>
  <c r="F205" i="151"/>
  <c r="H205" i="151" s="1"/>
  <c r="F205" i="155"/>
  <c r="H205" i="155" s="1"/>
  <c r="F206" i="150"/>
  <c r="H206" i="150" s="1"/>
  <c r="F206" i="153"/>
  <c r="H206" i="153" s="1"/>
  <c r="F206" i="151"/>
  <c r="H206" i="151" s="1"/>
  <c r="F206" i="155"/>
  <c r="H206" i="155" s="1"/>
  <c r="F207" i="150"/>
  <c r="H207" i="150" s="1"/>
  <c r="F207" i="153"/>
  <c r="H207" i="153" s="1"/>
  <c r="F207" i="160"/>
  <c r="H207" i="160" s="1"/>
  <c r="F207" i="151"/>
  <c r="H207" i="151" s="1"/>
  <c r="F207" i="155"/>
  <c r="H207" i="155" s="1"/>
  <c r="F209" i="150"/>
  <c r="H209" i="150" s="1"/>
  <c r="F209" i="153"/>
  <c r="H209" i="153" s="1"/>
  <c r="F209" i="151"/>
  <c r="H209" i="151" s="1"/>
  <c r="F209" i="155"/>
  <c r="H209" i="155" s="1"/>
  <c r="F214" i="150"/>
  <c r="H214" i="150" s="1"/>
  <c r="F214" i="153"/>
  <c r="H214" i="153" s="1"/>
  <c r="F214" i="155"/>
  <c r="H214" i="155" s="1"/>
  <c r="K214" i="155" s="1"/>
  <c r="K213" i="155" s="1"/>
  <c r="C15" i="155" s="1"/>
  <c r="F215" i="150"/>
  <c r="H215" i="150" s="1"/>
  <c r="K215" i="150" s="1"/>
  <c r="F215" i="153"/>
  <c r="H215" i="153" s="1"/>
  <c r="K215" i="153" s="1"/>
  <c r="F215" i="155"/>
  <c r="H215" i="155" s="1"/>
  <c r="F216" i="150"/>
  <c r="H216" i="150" s="1"/>
  <c r="K216" i="150" s="1"/>
  <c r="F216" i="153"/>
  <c r="H216" i="153" s="1"/>
  <c r="K216" i="153" s="1"/>
  <c r="F216" i="155"/>
  <c r="H216" i="155" s="1"/>
  <c r="F217" i="150"/>
  <c r="H217" i="150" s="1"/>
  <c r="K217" i="150" s="1"/>
  <c r="F217" i="153"/>
  <c r="H217" i="153"/>
  <c r="K217" i="153" s="1"/>
  <c r="F217" i="155"/>
  <c r="H217" i="155" s="1"/>
  <c r="F219" i="150"/>
  <c r="H219" i="150" s="1"/>
  <c r="F219" i="153"/>
  <c r="H219" i="153" s="1"/>
  <c r="F219" i="155"/>
  <c r="H219" i="155" s="1"/>
  <c r="F222" i="150"/>
  <c r="H222" i="150" s="1"/>
  <c r="F222" i="153"/>
  <c r="H222" i="153" s="1"/>
  <c r="F222" i="155"/>
  <c r="H222" i="155" s="1"/>
  <c r="F223" i="150"/>
  <c r="H223" i="150" s="1"/>
  <c r="F223" i="153"/>
  <c r="H223" i="153" s="1"/>
  <c r="F223" i="155"/>
  <c r="H223" i="155" s="1"/>
  <c r="F224" i="150"/>
  <c r="H224" i="150" s="1"/>
  <c r="K224" i="150" s="1"/>
  <c r="F224" i="153"/>
  <c r="H224" i="153" s="1"/>
  <c r="K224" i="153" s="1"/>
  <c r="F224" i="155"/>
  <c r="H224" i="155" s="1"/>
  <c r="F225" i="150"/>
  <c r="F225" i="153"/>
  <c r="F225" i="155"/>
  <c r="F226" i="150"/>
  <c r="H226" i="150" s="1"/>
  <c r="K226" i="150" s="1"/>
  <c r="F226" i="153"/>
  <c r="H226" i="153" s="1"/>
  <c r="K226" i="153" s="1"/>
  <c r="F226" i="155"/>
  <c r="H226" i="155" s="1"/>
  <c r="K226" i="155" s="1"/>
  <c r="F227" i="150"/>
  <c r="H227" i="150" s="1"/>
  <c r="F227" i="153"/>
  <c r="H227" i="153" s="1"/>
  <c r="F227" i="155"/>
  <c r="H227" i="155" s="1"/>
  <c r="K227" i="155" s="1"/>
  <c r="F228" i="150"/>
  <c r="H228" i="150" s="1"/>
  <c r="F228" i="153"/>
  <c r="H228" i="153" s="1"/>
  <c r="K228" i="153" s="1"/>
  <c r="F228" i="155"/>
  <c r="H228" i="155" s="1"/>
  <c r="K228" i="155" s="1"/>
  <c r="F229" i="150"/>
  <c r="H229" i="150" s="1"/>
  <c r="K229" i="150" s="1"/>
  <c r="F229" i="153"/>
  <c r="H229" i="153" s="1"/>
  <c r="F229" i="155"/>
  <c r="H229" i="155" s="1"/>
  <c r="F230" i="150"/>
  <c r="H230" i="150" s="1"/>
  <c r="F230" i="153"/>
  <c r="H230" i="153" s="1"/>
  <c r="K230" i="153" s="1"/>
  <c r="F230" i="155"/>
  <c r="H230" i="155" s="1"/>
  <c r="F231" i="150"/>
  <c r="H231" i="150" s="1"/>
  <c r="K231" i="150" s="1"/>
  <c r="F231" i="155"/>
  <c r="H231" i="155" s="1"/>
  <c r="K231" i="155" s="1"/>
  <c r="F231" i="154"/>
  <c r="H231" i="154" s="1"/>
  <c r="F231" i="153"/>
  <c r="H231" i="153" s="1"/>
  <c r="K231" i="153" s="1"/>
  <c r="F231" i="156"/>
  <c r="H231" i="156" s="1"/>
  <c r="F232" i="150"/>
  <c r="H232" i="150" s="1"/>
  <c r="F232" i="153"/>
  <c r="H232" i="153" s="1"/>
  <c r="K232" i="153" s="1"/>
  <c r="F232" i="155"/>
  <c r="H232" i="155" s="1"/>
  <c r="K232" i="155" s="1"/>
  <c r="F233" i="150"/>
  <c r="H233" i="150" s="1"/>
  <c r="F233" i="153"/>
  <c r="H233" i="153" s="1"/>
  <c r="K233" i="153" s="1"/>
  <c r="F233" i="155"/>
  <c r="H233" i="155" s="1"/>
  <c r="F234" i="150"/>
  <c r="H234" i="150" s="1"/>
  <c r="K234" i="150" s="1"/>
  <c r="F234" i="154"/>
  <c r="H234" i="154" s="1"/>
  <c r="K234" i="154" s="1"/>
  <c r="F234" i="153"/>
  <c r="H234" i="153" s="1"/>
  <c r="K234" i="153" s="1"/>
  <c r="F234" i="155"/>
  <c r="H234" i="155" s="1"/>
  <c r="K234" i="155" s="1"/>
  <c r="F234" i="149"/>
  <c r="H234" i="149" s="1"/>
  <c r="K234" i="149" s="1"/>
  <c r="F234" i="151"/>
  <c r="H234" i="151" s="1"/>
  <c r="K234" i="151" s="1"/>
  <c r="F235" i="150"/>
  <c r="F235" i="153"/>
  <c r="H235" i="153" s="1"/>
  <c r="K235" i="153" s="1"/>
  <c r="F235" i="155"/>
  <c r="H235" i="155" s="1"/>
  <c r="K235" i="155" s="1"/>
  <c r="F236" i="150"/>
  <c r="H236" i="150" s="1"/>
  <c r="F236" i="153"/>
  <c r="F236" i="155"/>
  <c r="H236" i="155" s="1"/>
  <c r="F236" i="151"/>
  <c r="H236" i="151" s="1"/>
  <c r="K236" i="151" s="1"/>
  <c r="F237" i="150"/>
  <c r="H237" i="150" s="1"/>
  <c r="K237" i="150" s="1"/>
  <c r="F237" i="155"/>
  <c r="H237" i="155" s="1"/>
  <c r="K237" i="155" s="1"/>
  <c r="F237" i="154"/>
  <c r="F237" i="153"/>
  <c r="H237" i="153" s="1"/>
  <c r="K237" i="153" s="1"/>
  <c r="F237" i="151"/>
  <c r="H237" i="151" s="1"/>
  <c r="K237" i="151" s="1"/>
  <c r="F238" i="150"/>
  <c r="H238" i="150" s="1"/>
  <c r="K238" i="150" s="1"/>
  <c r="F238" i="155"/>
  <c r="F238" i="154"/>
  <c r="H238" i="154" s="1"/>
  <c r="K238" i="154" s="1"/>
  <c r="F238" i="153"/>
  <c r="F238" i="151"/>
  <c r="H238" i="151" s="1"/>
  <c r="K238" i="151" s="1"/>
  <c r="F239" i="150"/>
  <c r="F239" i="155"/>
  <c r="H239" i="155" s="1"/>
  <c r="F239" i="153"/>
  <c r="H239" i="153" s="1"/>
  <c r="F239" i="151"/>
  <c r="H239" i="151" s="1"/>
  <c r="K239" i="151" s="1"/>
  <c r="F240" i="150"/>
  <c r="F240" i="153"/>
  <c r="F240" i="155"/>
  <c r="F242" i="150"/>
  <c r="H242" i="150" s="1"/>
  <c r="F242" i="153"/>
  <c r="H242" i="153" s="1"/>
  <c r="F242" i="155"/>
  <c r="H242" i="155" s="1"/>
  <c r="F243" i="150"/>
  <c r="H243" i="150" s="1"/>
  <c r="F243" i="155"/>
  <c r="H243" i="155" s="1"/>
  <c r="K243" i="155" s="1"/>
  <c r="F243" i="153"/>
  <c r="H243" i="153" s="1"/>
  <c r="F243" i="149"/>
  <c r="H243" i="149" s="1"/>
  <c r="K243" i="149" s="1"/>
  <c r="F243" i="151"/>
  <c r="H243" i="151" s="1"/>
  <c r="K243" i="151" s="1"/>
  <c r="F244" i="150"/>
  <c r="H244" i="150" s="1"/>
  <c r="K244" i="150" s="1"/>
  <c r="F244" i="155"/>
  <c r="H244" i="155" s="1"/>
  <c r="K244" i="155" s="1"/>
  <c r="F244" i="154"/>
  <c r="H244" i="154" s="1"/>
  <c r="K244" i="154" s="1"/>
  <c r="F244" i="153"/>
  <c r="H244" i="153" s="1"/>
  <c r="K244" i="153" s="1"/>
  <c r="F244" i="149"/>
  <c r="H244" i="149" s="1"/>
  <c r="F244" i="151"/>
  <c r="H244" i="151" s="1"/>
  <c r="K244" i="151" s="1"/>
  <c r="F245" i="150"/>
  <c r="H245" i="150" s="1"/>
  <c r="F245" i="155"/>
  <c r="H245" i="155" s="1"/>
  <c r="K245" i="155" s="1"/>
  <c r="F245" i="153"/>
  <c r="H245" i="153" s="1"/>
  <c r="K245" i="153" s="1"/>
  <c r="F245" i="149"/>
  <c r="H245" i="149" s="1"/>
  <c r="F245" i="151"/>
  <c r="H245" i="151" s="1"/>
  <c r="K245" i="151" s="1"/>
  <c r="F246" i="150"/>
  <c r="H246" i="150" s="1"/>
  <c r="K246" i="150" s="1"/>
  <c r="F246" i="153"/>
  <c r="H246" i="153" s="1"/>
  <c r="K246" i="153" s="1"/>
  <c r="F246" i="155"/>
  <c r="H246" i="155" s="1"/>
  <c r="F247" i="150"/>
  <c r="H247" i="150" s="1"/>
  <c r="K247" i="150" s="1"/>
  <c r="F247" i="153"/>
  <c r="H247" i="153" s="1"/>
  <c r="K247" i="153" s="1"/>
  <c r="F247" i="155"/>
  <c r="H247" i="155" s="1"/>
  <c r="F248" i="150"/>
  <c r="H248" i="150" s="1"/>
  <c r="K248" i="150" s="1"/>
  <c r="F248" i="155"/>
  <c r="H248" i="155" s="1"/>
  <c r="K248" i="155" s="1"/>
  <c r="F248" i="154"/>
  <c r="H248" i="154" s="1"/>
  <c r="F248" i="156"/>
  <c r="H248" i="156" s="1"/>
  <c r="K248" i="156" s="1"/>
  <c r="F248" i="153"/>
  <c r="H248" i="153" s="1"/>
  <c r="K248" i="153" s="1"/>
  <c r="F248" i="160"/>
  <c r="H248" i="160" s="1"/>
  <c r="K248" i="160" s="1"/>
  <c r="F248" i="149"/>
  <c r="H248" i="149" s="1"/>
  <c r="K248" i="149" s="1"/>
  <c r="F248" i="151"/>
  <c r="H248" i="151" s="1"/>
  <c r="F249" i="155"/>
  <c r="H249" i="155" s="1"/>
  <c r="K249" i="155" s="1"/>
  <c r="F249" i="153"/>
  <c r="H249" i="153" s="1"/>
  <c r="K249" i="153" s="1"/>
  <c r="F249" i="150"/>
  <c r="H249" i="150" s="1"/>
  <c r="K249" i="150" s="1"/>
  <c r="F249" i="151"/>
  <c r="H249" i="151" s="1"/>
  <c r="K249" i="151" s="1"/>
  <c r="F250" i="153"/>
  <c r="H250" i="153" s="1"/>
  <c r="K250" i="153" s="1"/>
  <c r="F250" i="150"/>
  <c r="H250" i="150" s="1"/>
  <c r="K250" i="150" s="1"/>
  <c r="F250" i="155"/>
  <c r="H250" i="155" s="1"/>
  <c r="K250" i="155" s="1"/>
  <c r="F251" i="154"/>
  <c r="H251" i="154" s="1"/>
  <c r="F251" i="153"/>
  <c r="H251" i="153" s="1"/>
  <c r="F251" i="150"/>
  <c r="H251" i="150" s="1"/>
  <c r="K251" i="150" s="1"/>
  <c r="F251" i="155"/>
  <c r="H251" i="155" s="1"/>
  <c r="K251" i="155" s="1"/>
  <c r="F251" i="149"/>
  <c r="H251" i="149" s="1"/>
  <c r="K251" i="149" s="1"/>
  <c r="F251" i="151"/>
  <c r="H251" i="151" s="1"/>
  <c r="K251" i="151" s="1"/>
  <c r="F252" i="156"/>
  <c r="H252" i="156" s="1"/>
  <c r="F252" i="153"/>
  <c r="H252" i="153" s="1"/>
  <c r="F252" i="150"/>
  <c r="H252" i="150" s="1"/>
  <c r="K252" i="150" s="1"/>
  <c r="F252" i="155"/>
  <c r="H252" i="155" s="1"/>
  <c r="K252" i="155" s="1"/>
  <c r="F252" i="149"/>
  <c r="H252" i="149" s="1"/>
  <c r="F252" i="151"/>
  <c r="H252" i="151" s="1"/>
  <c r="K252" i="151" s="1"/>
  <c r="F254" i="156"/>
  <c r="H254" i="156" s="1"/>
  <c r="K254" i="156" s="1"/>
  <c r="F254" i="150"/>
  <c r="H254" i="150" s="1"/>
  <c r="K254" i="150" s="1"/>
  <c r="F254" i="155"/>
  <c r="H254" i="155" s="1"/>
  <c r="K254" i="155" s="1"/>
  <c r="F255" i="150"/>
  <c r="H255" i="150" s="1"/>
  <c r="K255" i="150" s="1"/>
  <c r="F255" i="155"/>
  <c r="H255" i="155"/>
  <c r="K255" i="155" s="1"/>
  <c r="J26" i="165"/>
  <c r="J27" i="165"/>
  <c r="J166" i="165"/>
  <c r="J201" i="165"/>
  <c r="J223" i="165"/>
  <c r="J222" i="165" s="1"/>
  <c r="C16" i="165" s="1"/>
  <c r="B16" i="167" s="1"/>
  <c r="J238" i="165"/>
  <c r="J241" i="165"/>
  <c r="J246" i="165"/>
  <c r="J247" i="165"/>
  <c r="J256" i="165"/>
  <c r="E175" i="161"/>
  <c r="F211" i="150"/>
  <c r="H211" i="150" s="1"/>
  <c r="F211" i="153"/>
  <c r="H211" i="153" s="1"/>
  <c r="K211" i="153" s="1"/>
  <c r="F211" i="151"/>
  <c r="H211" i="151" s="1"/>
  <c r="K211" i="151" s="1"/>
  <c r="F211" i="155"/>
  <c r="H211" i="155" s="1"/>
  <c r="K211" i="155" s="1"/>
  <c r="F212" i="150"/>
  <c r="H212" i="150" s="1"/>
  <c r="K212" i="150" s="1"/>
  <c r="F212" i="153"/>
  <c r="H212" i="153" s="1"/>
  <c r="K212" i="153" s="1"/>
  <c r="F212" i="151"/>
  <c r="H212" i="151" s="1"/>
  <c r="K212" i="151" s="1"/>
  <c r="F212" i="155"/>
  <c r="H212" i="155" s="1"/>
  <c r="K212" i="155" s="1"/>
  <c r="F221" i="150"/>
  <c r="H221" i="150" s="1"/>
  <c r="F221" i="153"/>
  <c r="H221" i="153" s="1"/>
  <c r="F221" i="155"/>
  <c r="H221" i="155" s="1"/>
  <c r="K90" i="159"/>
  <c r="K97" i="159"/>
  <c r="K101" i="159"/>
  <c r="K26" i="159"/>
  <c r="F254" i="158"/>
  <c r="H254" i="158" s="1"/>
  <c r="K254" i="158" s="1"/>
  <c r="K32" i="150"/>
  <c r="K33" i="150"/>
  <c r="K36" i="150"/>
  <c r="K40" i="150"/>
  <c r="K38" i="155"/>
  <c r="K40" i="155"/>
  <c r="K30" i="153"/>
  <c r="K31" i="153"/>
  <c r="K34" i="153"/>
  <c r="K36" i="153"/>
  <c r="K38" i="153"/>
  <c r="K39" i="153"/>
  <c r="K40" i="153"/>
  <c r="K29" i="152"/>
  <c r="K35" i="152"/>
  <c r="K36" i="152"/>
  <c r="K28" i="153"/>
  <c r="K245" i="150"/>
  <c r="K248" i="151"/>
  <c r="F244" i="152"/>
  <c r="H244" i="152" s="1"/>
  <c r="K244" i="152" s="1"/>
  <c r="F245" i="152"/>
  <c r="H245" i="152" s="1"/>
  <c r="K245" i="152" s="1"/>
  <c r="F248" i="152"/>
  <c r="H248" i="152" s="1"/>
  <c r="K248" i="152" s="1"/>
  <c r="F249" i="152"/>
  <c r="H249" i="152" s="1"/>
  <c r="K249" i="152" s="1"/>
  <c r="F251" i="152"/>
  <c r="H251" i="152" s="1"/>
  <c r="K251" i="152" s="1"/>
  <c r="F252" i="152"/>
  <c r="H252" i="152" s="1"/>
  <c r="K252" i="152" s="1"/>
  <c r="K246" i="155"/>
  <c r="K247" i="155"/>
  <c r="F245" i="154"/>
  <c r="H245" i="154" s="1"/>
  <c r="K245" i="154" s="1"/>
  <c r="K248" i="154"/>
  <c r="F249" i="154"/>
  <c r="H249" i="154" s="1"/>
  <c r="K249" i="154" s="1"/>
  <c r="K251" i="154"/>
  <c r="F252" i="154"/>
  <c r="H252" i="154" s="1"/>
  <c r="K252" i="154" s="1"/>
  <c r="F244" i="156"/>
  <c r="H244" i="156" s="1"/>
  <c r="K244" i="156" s="1"/>
  <c r="F249" i="156"/>
  <c r="H249" i="156" s="1"/>
  <c r="K249" i="156" s="1"/>
  <c r="K252" i="156"/>
  <c r="F244" i="158"/>
  <c r="H244" i="158" s="1"/>
  <c r="K244" i="158" s="1"/>
  <c r="F245" i="158"/>
  <c r="H245" i="158" s="1"/>
  <c r="K245" i="158" s="1"/>
  <c r="F248" i="158"/>
  <c r="H248" i="158" s="1"/>
  <c r="K248" i="158" s="1"/>
  <c r="F249" i="158"/>
  <c r="H249" i="158" s="1"/>
  <c r="K249" i="158" s="1"/>
  <c r="F251" i="158"/>
  <c r="H251" i="158"/>
  <c r="K251" i="158" s="1"/>
  <c r="F252" i="158"/>
  <c r="H252" i="158"/>
  <c r="K252" i="158" s="1"/>
  <c r="K251" i="153"/>
  <c r="K252" i="153"/>
  <c r="F244" i="160"/>
  <c r="H244" i="160" s="1"/>
  <c r="K244" i="160" s="1"/>
  <c r="F245" i="160"/>
  <c r="H245" i="160" s="1"/>
  <c r="K245" i="160" s="1"/>
  <c r="F249" i="160"/>
  <c r="H249" i="160" s="1"/>
  <c r="K249" i="160" s="1"/>
  <c r="F252" i="160"/>
  <c r="H252" i="160" s="1"/>
  <c r="K252" i="160" s="1"/>
  <c r="F243" i="152"/>
  <c r="H243" i="152" s="1"/>
  <c r="K243" i="152" s="1"/>
  <c r="F243" i="154"/>
  <c r="H243" i="154" s="1"/>
  <c r="K243" i="154" s="1"/>
  <c r="F243" i="156"/>
  <c r="H243" i="156" s="1"/>
  <c r="K243" i="156" s="1"/>
  <c r="F243" i="158"/>
  <c r="H243" i="158" s="1"/>
  <c r="K243" i="158" s="1"/>
  <c r="K243" i="153"/>
  <c r="F243" i="160"/>
  <c r="H243" i="160" s="1"/>
  <c r="K243" i="160" s="1"/>
  <c r="K227" i="150"/>
  <c r="K228" i="150"/>
  <c r="K230" i="150"/>
  <c r="K232" i="150"/>
  <c r="K233" i="150"/>
  <c r="F231" i="152"/>
  <c r="H231" i="152" s="1"/>
  <c r="K231" i="152" s="1"/>
  <c r="F234" i="152"/>
  <c r="H234" i="152" s="1"/>
  <c r="K234" i="152" s="1"/>
  <c r="F236" i="152"/>
  <c r="H236" i="152" s="1"/>
  <c r="F237" i="152"/>
  <c r="H237" i="152" s="1"/>
  <c r="K237" i="152" s="1"/>
  <c r="F238" i="152"/>
  <c r="H238" i="152" s="1"/>
  <c r="K238" i="152" s="1"/>
  <c r="K229" i="155"/>
  <c r="K230" i="155"/>
  <c r="K233" i="155"/>
  <c r="K231" i="154"/>
  <c r="F239" i="154"/>
  <c r="K231" i="156"/>
  <c r="F237" i="156"/>
  <c r="H237" i="156" s="1"/>
  <c r="K237" i="156" s="1"/>
  <c r="F238" i="156"/>
  <c r="H238" i="156" s="1"/>
  <c r="K238" i="156" s="1"/>
  <c r="F231" i="158"/>
  <c r="H231" i="158" s="1"/>
  <c r="K231" i="158" s="1"/>
  <c r="F234" i="158"/>
  <c r="H234" i="158" s="1"/>
  <c r="K234" i="158" s="1"/>
  <c r="F237" i="158"/>
  <c r="H237" i="158" s="1"/>
  <c r="K237" i="158" s="1"/>
  <c r="F238" i="158"/>
  <c r="H238" i="158" s="1"/>
  <c r="K238" i="158" s="1"/>
  <c r="F239" i="158"/>
  <c r="H239" i="158" s="1"/>
  <c r="K227" i="153"/>
  <c r="K229" i="153"/>
  <c r="F234" i="160"/>
  <c r="H234" i="160" s="1"/>
  <c r="K234" i="160" s="1"/>
  <c r="K224" i="155"/>
  <c r="K215" i="155"/>
  <c r="K216" i="155"/>
  <c r="K217" i="155"/>
  <c r="K214" i="150"/>
  <c r="K214" i="153"/>
  <c r="K211" i="150"/>
  <c r="K210" i="150" s="1"/>
  <c r="K210" i="161"/>
  <c r="K200" i="155"/>
  <c r="K201" i="155"/>
  <c r="K200" i="156"/>
  <c r="F200" i="158"/>
  <c r="H200" i="158" s="1"/>
  <c r="K200" i="158" s="1"/>
  <c r="F201" i="158"/>
  <c r="H201" i="158" s="1"/>
  <c r="K201" i="158" s="1"/>
  <c r="K200" i="153"/>
  <c r="K201" i="153"/>
  <c r="K199" i="150"/>
  <c r="K199" i="151"/>
  <c r="F199" i="158"/>
  <c r="H199" i="158"/>
  <c r="K199" i="158" s="1"/>
  <c r="K199" i="153"/>
  <c r="K192" i="150"/>
  <c r="K192" i="155"/>
  <c r="F190" i="154"/>
  <c r="H190" i="154" s="1"/>
  <c r="K190" i="154" s="1"/>
  <c r="K191" i="156"/>
  <c r="K192" i="156"/>
  <c r="K191" i="157"/>
  <c r="F191" i="158"/>
  <c r="H191" i="158" s="1"/>
  <c r="K191" i="158" s="1"/>
  <c r="F192" i="158"/>
  <c r="H192" i="158" s="1"/>
  <c r="K192" i="158" s="1"/>
  <c r="K191" i="159"/>
  <c r="K191" i="160"/>
  <c r="K192" i="160"/>
  <c r="F190" i="149"/>
  <c r="H190" i="149" s="1"/>
  <c r="K192" i="149"/>
  <c r="K189" i="155"/>
  <c r="K189" i="154"/>
  <c r="F189" i="158"/>
  <c r="H189" i="158" s="1"/>
  <c r="K189" i="158" s="1"/>
  <c r="K156" i="150"/>
  <c r="K160" i="150"/>
  <c r="K161" i="150"/>
  <c r="K167" i="150"/>
  <c r="K162" i="150"/>
  <c r="K169" i="150"/>
  <c r="K170" i="150"/>
  <c r="K171" i="150"/>
  <c r="K172" i="150"/>
  <c r="K173" i="150"/>
  <c r="K174" i="150"/>
  <c r="K175" i="150"/>
  <c r="K123" i="150"/>
  <c r="K124" i="150"/>
  <c r="K126" i="150"/>
  <c r="K127" i="150"/>
  <c r="K128" i="150"/>
  <c r="K129" i="150"/>
  <c r="K130" i="150"/>
  <c r="K131" i="150"/>
  <c r="K132" i="150"/>
  <c r="K133" i="150"/>
  <c r="K134" i="150"/>
  <c r="K135" i="150"/>
  <c r="K136" i="150"/>
  <c r="K137" i="150"/>
  <c r="K139" i="150"/>
  <c r="K140" i="150"/>
  <c r="K141" i="150"/>
  <c r="K142" i="150"/>
  <c r="K143" i="150"/>
  <c r="K144" i="150"/>
  <c r="K145" i="150"/>
  <c r="K146" i="150"/>
  <c r="K147" i="150"/>
  <c r="K148" i="150"/>
  <c r="K149" i="150"/>
  <c r="K155" i="151"/>
  <c r="K156" i="151"/>
  <c r="K158" i="151"/>
  <c r="K160" i="151"/>
  <c r="K163" i="151"/>
  <c r="K164" i="151"/>
  <c r="K166" i="151"/>
  <c r="K168" i="151"/>
  <c r="K154" i="155"/>
  <c r="K156" i="155"/>
  <c r="K162" i="155"/>
  <c r="K153" i="154"/>
  <c r="K152" i="156"/>
  <c r="K158" i="156"/>
  <c r="K160" i="156"/>
  <c r="K161" i="156"/>
  <c r="K160" i="157"/>
  <c r="F152" i="158"/>
  <c r="H152" i="158" s="1"/>
  <c r="K152" i="158" s="1"/>
  <c r="F153" i="158"/>
  <c r="H153" i="158" s="1"/>
  <c r="K153" i="158" s="1"/>
  <c r="F156" i="158"/>
  <c r="H156" i="158" s="1"/>
  <c r="K156" i="158" s="1"/>
  <c r="F158" i="158"/>
  <c r="H158" i="158"/>
  <c r="K158" i="158" s="1"/>
  <c r="F160" i="158"/>
  <c r="H160" i="158" s="1"/>
  <c r="K160" i="158" s="1"/>
  <c r="F161" i="158"/>
  <c r="H161" i="158" s="1"/>
  <c r="K161" i="158" s="1"/>
  <c r="K153" i="153"/>
  <c r="K161" i="153"/>
  <c r="K166" i="153"/>
  <c r="K167" i="153"/>
  <c r="K152" i="160"/>
  <c r="K160" i="160"/>
  <c r="K161" i="160"/>
  <c r="K166" i="149"/>
  <c r="K151" i="155"/>
  <c r="F151" i="158"/>
  <c r="H151" i="158" s="1"/>
  <c r="K151" i="159"/>
  <c r="K53" i="150"/>
  <c r="K69" i="150"/>
  <c r="K72" i="150"/>
  <c r="K74" i="150"/>
  <c r="K54" i="151"/>
  <c r="K58" i="151"/>
  <c r="K61" i="151"/>
  <c r="F60" i="152"/>
  <c r="H60" i="152" s="1"/>
  <c r="K60" i="152" s="1"/>
  <c r="F61" i="152"/>
  <c r="H61" i="152" s="1"/>
  <c r="K61" i="152" s="1"/>
  <c r="F62" i="152"/>
  <c r="H62" i="152" s="1"/>
  <c r="K62" i="152" s="1"/>
  <c r="K63" i="152"/>
  <c r="K54" i="155"/>
  <c r="K56" i="155"/>
  <c r="K60" i="155"/>
  <c r="K63" i="155"/>
  <c r="K67" i="155"/>
  <c r="K70" i="155"/>
  <c r="K75" i="155"/>
  <c r="K77" i="155"/>
  <c r="F53" i="154"/>
  <c r="H53" i="154" s="1"/>
  <c r="K53" i="154" s="1"/>
  <c r="F54" i="154"/>
  <c r="H54" i="154" s="1"/>
  <c r="K54" i="154" s="1"/>
  <c r="F52" i="154"/>
  <c r="H52" i="154" s="1"/>
  <c r="K52" i="154" s="1"/>
  <c r="K56" i="154"/>
  <c r="F57" i="154"/>
  <c r="H57" i="154" s="1"/>
  <c r="K57" i="154" s="1"/>
  <c r="K55" i="156"/>
  <c r="F56" i="156"/>
  <c r="H56" i="156" s="1"/>
  <c r="K56" i="156" s="1"/>
  <c r="F57" i="156"/>
  <c r="H57" i="156" s="1"/>
  <c r="K57" i="156" s="1"/>
  <c r="F55" i="158"/>
  <c r="H55" i="158" s="1"/>
  <c r="K55" i="158" s="1"/>
  <c r="F56" i="158"/>
  <c r="H56" i="158" s="1"/>
  <c r="K56" i="158" s="1"/>
  <c r="F57" i="158"/>
  <c r="H57" i="158" s="1"/>
  <c r="K57" i="158" s="1"/>
  <c r="K62" i="153"/>
  <c r="K66" i="153"/>
  <c r="K72" i="153"/>
  <c r="K76" i="153"/>
  <c r="K52" i="160"/>
  <c r="K77" i="149"/>
  <c r="K48" i="151"/>
  <c r="K47" i="155"/>
  <c r="K48" i="155"/>
  <c r="K48" i="159"/>
  <c r="K47" i="153"/>
  <c r="K46" i="151"/>
  <c r="K46" i="155"/>
  <c r="K219" i="150"/>
  <c r="K218" i="150" s="1"/>
  <c r="C16" i="150" s="1"/>
  <c r="K219" i="155"/>
  <c r="K218" i="155" s="1"/>
  <c r="C16" i="155" s="1"/>
  <c r="K209" i="150"/>
  <c r="K208" i="150" s="1"/>
  <c r="C14" i="150" s="1"/>
  <c r="K209" i="151"/>
  <c r="K208" i="151" s="1"/>
  <c r="C14" i="151" s="1"/>
  <c r="K209" i="155"/>
  <c r="K208" i="155" s="1"/>
  <c r="C14" i="155" s="1"/>
  <c r="K177" i="150"/>
  <c r="K178" i="150"/>
  <c r="K179" i="150"/>
  <c r="K180" i="150"/>
  <c r="K181" i="150"/>
  <c r="K182" i="150"/>
  <c r="K183" i="150"/>
  <c r="K184" i="150"/>
  <c r="K185" i="150"/>
  <c r="K186" i="150"/>
  <c r="K177" i="151"/>
  <c r="K178" i="151"/>
  <c r="K179" i="151"/>
  <c r="K180" i="151"/>
  <c r="K181" i="151"/>
  <c r="K182" i="151"/>
  <c r="K183" i="151"/>
  <c r="K184" i="151"/>
  <c r="K185" i="151"/>
  <c r="K186" i="151"/>
  <c r="K177" i="155"/>
  <c r="K178" i="155"/>
  <c r="K179" i="155"/>
  <c r="K180" i="155"/>
  <c r="K181" i="155"/>
  <c r="K182" i="155"/>
  <c r="K183" i="155"/>
  <c r="K184" i="155"/>
  <c r="K185" i="155"/>
  <c r="K186" i="155"/>
  <c r="J24" i="120"/>
  <c r="J26" i="120"/>
  <c r="J27" i="120"/>
  <c r="J55" i="120"/>
  <c r="J56" i="120"/>
  <c r="J151" i="120"/>
  <c r="J152" i="120"/>
  <c r="J153" i="120"/>
  <c r="J156" i="120"/>
  <c r="J158" i="120"/>
  <c r="J160" i="120"/>
  <c r="J161" i="120"/>
  <c r="J166" i="120"/>
  <c r="J167" i="120"/>
  <c r="J168" i="120"/>
  <c r="J189" i="120"/>
  <c r="J191" i="120"/>
  <c r="J199" i="120"/>
  <c r="J200" i="120"/>
  <c r="J201" i="120"/>
  <c r="J223" i="120"/>
  <c r="J222" i="120" s="1"/>
  <c r="C16" i="120" s="1"/>
  <c r="J226" i="120"/>
  <c r="J235" i="120"/>
  <c r="J238" i="120"/>
  <c r="J241" i="120"/>
  <c r="J242" i="120"/>
  <c r="J247" i="120"/>
  <c r="J248" i="120"/>
  <c r="J249" i="120"/>
  <c r="J252" i="120"/>
  <c r="J256" i="120"/>
  <c r="J24" i="121"/>
  <c r="J26" i="121"/>
  <c r="J27" i="121"/>
  <c r="J55" i="121"/>
  <c r="J56" i="121"/>
  <c r="J151" i="121"/>
  <c r="J152" i="121"/>
  <c r="J153" i="121"/>
  <c r="J156" i="121"/>
  <c r="J158" i="121"/>
  <c r="J160" i="121"/>
  <c r="J161" i="121"/>
  <c r="J189" i="121"/>
  <c r="J226" i="121"/>
  <c r="J247" i="121"/>
  <c r="J248" i="121"/>
  <c r="J252" i="121"/>
  <c r="J24" i="128"/>
  <c r="J26" i="128"/>
  <c r="J24" i="127"/>
  <c r="J26" i="127"/>
  <c r="J27" i="127"/>
  <c r="J55" i="127"/>
  <c r="J56" i="127"/>
  <c r="J57" i="127"/>
  <c r="J151" i="127"/>
  <c r="J153" i="127"/>
  <c r="J156" i="127"/>
  <c r="J158" i="127"/>
  <c r="J167" i="127"/>
  <c r="J199" i="127"/>
  <c r="J200" i="127"/>
  <c r="J209" i="127"/>
  <c r="J225" i="127"/>
  <c r="J238" i="127"/>
  <c r="J241" i="127"/>
  <c r="J242" i="127"/>
  <c r="J247" i="127"/>
  <c r="J248" i="127"/>
  <c r="J249" i="127"/>
  <c r="J252" i="127"/>
  <c r="J255" i="127"/>
  <c r="J256" i="127"/>
  <c r="J24" i="129"/>
  <c r="J26" i="129"/>
  <c r="J27" i="129"/>
  <c r="J55" i="129"/>
  <c r="J56" i="129"/>
  <c r="J151" i="129"/>
  <c r="J152" i="129"/>
  <c r="J153" i="129"/>
  <c r="J158" i="129"/>
  <c r="J160" i="129"/>
  <c r="J161" i="129"/>
  <c r="J247" i="129"/>
  <c r="J248" i="129"/>
  <c r="J256" i="129"/>
  <c r="J24" i="131"/>
  <c r="J26" i="131"/>
  <c r="J151" i="131"/>
  <c r="J153" i="131"/>
  <c r="J156" i="131"/>
  <c r="J158" i="131"/>
  <c r="J160" i="131"/>
  <c r="J226" i="131"/>
  <c r="J241" i="131"/>
  <c r="J24" i="162"/>
  <c r="J153" i="162"/>
  <c r="J156" i="162"/>
  <c r="J160" i="162"/>
  <c r="J161" i="162"/>
  <c r="J225" i="162"/>
  <c r="J235" i="162"/>
  <c r="J247" i="162"/>
  <c r="J256" i="162"/>
  <c r="J24" i="133"/>
  <c r="J26" i="133"/>
  <c r="J55" i="133"/>
  <c r="J56" i="133"/>
  <c r="J57" i="133"/>
  <c r="J151" i="133"/>
  <c r="J152" i="133"/>
  <c r="J153" i="133"/>
  <c r="J156" i="133"/>
  <c r="J158" i="133"/>
  <c r="J160" i="133"/>
  <c r="J161" i="133"/>
  <c r="J189" i="133"/>
  <c r="J205" i="133"/>
  <c r="J206" i="133"/>
  <c r="J207" i="133"/>
  <c r="J225" i="133"/>
  <c r="J226" i="133"/>
  <c r="J238" i="133"/>
  <c r="J246" i="133"/>
  <c r="J247" i="133"/>
  <c r="J252" i="133"/>
  <c r="J255" i="133"/>
  <c r="J256" i="133"/>
  <c r="J24" i="138"/>
  <c r="J26" i="138"/>
  <c r="J56" i="138"/>
  <c r="J151" i="138"/>
  <c r="J152" i="138"/>
  <c r="J153" i="138"/>
  <c r="J156" i="138"/>
  <c r="J158" i="138"/>
  <c r="J160" i="138"/>
  <c r="J161" i="138"/>
  <c r="J238" i="138"/>
  <c r="J24" i="135"/>
  <c r="J26" i="135"/>
  <c r="J27" i="135"/>
  <c r="J55" i="135"/>
  <c r="J57" i="135"/>
  <c r="J151" i="135"/>
  <c r="J152" i="135"/>
  <c r="J153" i="135"/>
  <c r="J156" i="135"/>
  <c r="J158" i="135"/>
  <c r="J160" i="135"/>
  <c r="J161" i="135"/>
  <c r="J166" i="135"/>
  <c r="J167" i="135"/>
  <c r="J168" i="135"/>
  <c r="J189" i="135"/>
  <c r="J191" i="135"/>
  <c r="J199" i="135"/>
  <c r="J200" i="135"/>
  <c r="J201" i="135"/>
  <c r="J209" i="135"/>
  <c r="J223" i="135"/>
  <c r="J222" i="135" s="1"/>
  <c r="C16" i="135" s="1"/>
  <c r="J235" i="135"/>
  <c r="J238" i="135"/>
  <c r="J241" i="135"/>
  <c r="J242" i="135"/>
  <c r="J247" i="135"/>
  <c r="J248" i="135"/>
  <c r="J249" i="135"/>
  <c r="J252" i="135"/>
  <c r="J255" i="135"/>
  <c r="J256" i="135"/>
  <c r="J24" i="118"/>
  <c r="J26" i="118"/>
  <c r="J27" i="118"/>
  <c r="J55" i="118"/>
  <c r="J56" i="118"/>
  <c r="J57" i="118"/>
  <c r="J151" i="118"/>
  <c r="J152" i="118"/>
  <c r="J153" i="118"/>
  <c r="J156" i="118"/>
  <c r="J158" i="118"/>
  <c r="J160" i="118"/>
  <c r="J161" i="118"/>
  <c r="J189" i="118"/>
  <c r="J247" i="118"/>
  <c r="J248" i="118"/>
  <c r="J256" i="118"/>
  <c r="J24" i="136"/>
  <c r="J26" i="136"/>
  <c r="J55" i="136"/>
  <c r="J56" i="136"/>
  <c r="J151" i="136"/>
  <c r="J152" i="136"/>
  <c r="J153" i="136"/>
  <c r="J156" i="136"/>
  <c r="J158" i="136"/>
  <c r="J160" i="136"/>
  <c r="J161" i="136"/>
  <c r="J247" i="136"/>
  <c r="J248" i="136"/>
  <c r="J24" i="134"/>
  <c r="J26" i="134"/>
  <c r="J56" i="134"/>
  <c r="J151" i="134"/>
  <c r="J152" i="134"/>
  <c r="J158" i="134"/>
  <c r="J160" i="134"/>
  <c r="J161" i="134"/>
  <c r="J256" i="134"/>
  <c r="J24" i="137"/>
  <c r="J26" i="137"/>
  <c r="J55" i="137"/>
  <c r="J56" i="137"/>
  <c r="J151" i="137"/>
  <c r="J152" i="137"/>
  <c r="J153" i="137"/>
  <c r="J156" i="137"/>
  <c r="J158" i="137"/>
  <c r="J160" i="137"/>
  <c r="J161" i="137"/>
  <c r="J223" i="163"/>
  <c r="J222" i="163" s="1"/>
  <c r="C16" i="163" s="1"/>
  <c r="J223" i="121"/>
  <c r="J222" i="121" s="1"/>
  <c r="C16" i="121" s="1"/>
  <c r="J223" i="122"/>
  <c r="J222" i="122" s="1"/>
  <c r="C16" i="122" s="1"/>
  <c r="J223" i="123"/>
  <c r="J222" i="123" s="1"/>
  <c r="C16" i="123" s="1"/>
  <c r="J223" i="124"/>
  <c r="J222" i="124" s="1"/>
  <c r="C16" i="124" s="1"/>
  <c r="J223" i="126"/>
  <c r="J222" i="126" s="1"/>
  <c r="C16" i="126" s="1"/>
  <c r="J223" i="125"/>
  <c r="J222" i="125" s="1"/>
  <c r="C16" i="125" s="1"/>
  <c r="J223" i="128"/>
  <c r="J222" i="128" s="1"/>
  <c r="C16" i="128" s="1"/>
  <c r="J223" i="127"/>
  <c r="J222" i="127" s="1"/>
  <c r="C16" i="127" s="1"/>
  <c r="J223" i="129"/>
  <c r="J222" i="129" s="1"/>
  <c r="C16" i="129" s="1"/>
  <c r="J223" i="130"/>
  <c r="J222" i="130" s="1"/>
  <c r="C16" i="130" s="1"/>
  <c r="J223" i="131"/>
  <c r="J222" i="131" s="1"/>
  <c r="C16" i="131" s="1"/>
  <c r="J223" i="162"/>
  <c r="J222" i="162" s="1"/>
  <c r="C16" i="162" s="1"/>
  <c r="J223" i="133"/>
  <c r="J222" i="133" s="1"/>
  <c r="C16" i="133" s="1"/>
  <c r="J223" i="138"/>
  <c r="J222" i="138" s="1"/>
  <c r="C16" i="138" s="1"/>
  <c r="J223" i="118"/>
  <c r="J222" i="118" s="1"/>
  <c r="C16" i="118" s="1"/>
  <c r="J223" i="136"/>
  <c r="J222" i="136" s="1"/>
  <c r="C16" i="136" s="1"/>
  <c r="J223" i="134"/>
  <c r="J222" i="134" s="1"/>
  <c r="C16" i="134" s="1"/>
  <c r="J223" i="137"/>
  <c r="J222" i="137" s="1"/>
  <c r="C16" i="137" s="1"/>
  <c r="J223" i="77"/>
  <c r="J222" i="77" s="1"/>
  <c r="C16" i="77" s="1"/>
  <c r="J209" i="163"/>
  <c r="J164" i="163"/>
  <c r="J164" i="120"/>
  <c r="J164" i="121"/>
  <c r="J164" i="122"/>
  <c r="J164" i="123"/>
  <c r="J164" i="124"/>
  <c r="J164" i="126"/>
  <c r="J164" i="125"/>
  <c r="J164" i="128"/>
  <c r="J164" i="127"/>
  <c r="J164" i="129"/>
  <c r="J164" i="130"/>
  <c r="J164" i="131"/>
  <c r="J164" i="162"/>
  <c r="J164" i="133"/>
  <c r="J164" i="138"/>
  <c r="J164" i="135"/>
  <c r="J164" i="118"/>
  <c r="J164" i="136"/>
  <c r="J164" i="134"/>
  <c r="J164" i="137"/>
  <c r="J164" i="77"/>
  <c r="J58" i="163"/>
  <c r="J58" i="120"/>
  <c r="J58" i="121"/>
  <c r="J58" i="122"/>
  <c r="J58" i="123"/>
  <c r="J58" i="124"/>
  <c r="J58" i="126"/>
  <c r="J58" i="125"/>
  <c r="J58" i="128"/>
  <c r="J58" i="127"/>
  <c r="J58" i="129"/>
  <c r="J58" i="130"/>
  <c r="J58" i="131"/>
  <c r="J58" i="162"/>
  <c r="J58" i="133"/>
  <c r="J58" i="138"/>
  <c r="J58" i="135"/>
  <c r="J58" i="118"/>
  <c r="J58" i="136"/>
  <c r="J58" i="134"/>
  <c r="J58" i="137"/>
  <c r="J58" i="77"/>
  <c r="E42" i="120"/>
  <c r="J42" i="120" s="1"/>
  <c r="J46" i="120"/>
  <c r="E48" i="120"/>
  <c r="J48" i="120" s="1"/>
  <c r="E42" i="121"/>
  <c r="J42" i="121" s="1"/>
  <c r="E48" i="121"/>
  <c r="J48" i="121" s="1"/>
  <c r="E42" i="128"/>
  <c r="J42" i="128" s="1"/>
  <c r="E48" i="128"/>
  <c r="J48" i="128" s="1"/>
  <c r="E42" i="127"/>
  <c r="J42" i="127" s="1"/>
  <c r="E48" i="127"/>
  <c r="J48" i="127" s="1"/>
  <c r="E42" i="129"/>
  <c r="J42" i="129" s="1"/>
  <c r="E48" i="129"/>
  <c r="J48" i="129" s="1"/>
  <c r="E42" i="131"/>
  <c r="J42" i="131" s="1"/>
  <c r="J46" i="131"/>
  <c r="E48" i="131"/>
  <c r="J48" i="131" s="1"/>
  <c r="E42" i="162"/>
  <c r="J42" i="162" s="1"/>
  <c r="J46" i="133"/>
  <c r="E42" i="138"/>
  <c r="J42" i="138" s="1"/>
  <c r="J46" i="138"/>
  <c r="E48" i="138"/>
  <c r="J48" i="138" s="1"/>
  <c r="E42" i="135"/>
  <c r="J42" i="135" s="1"/>
  <c r="J46" i="135"/>
  <c r="E48" i="135"/>
  <c r="J48" i="135" s="1"/>
  <c r="E42" i="118"/>
  <c r="J42" i="118" s="1"/>
  <c r="J46" i="118"/>
  <c r="E48" i="118"/>
  <c r="J48" i="118" s="1"/>
  <c r="E42" i="136"/>
  <c r="J42" i="136" s="1"/>
  <c r="J46" i="136"/>
  <c r="E48" i="136"/>
  <c r="J48" i="136" s="1"/>
  <c r="E42" i="134"/>
  <c r="J42" i="134" s="1"/>
  <c r="E48" i="134"/>
  <c r="J48" i="134" s="1"/>
  <c r="E42" i="137"/>
  <c r="J42" i="137" s="1"/>
  <c r="J46" i="137"/>
  <c r="E48" i="137"/>
  <c r="J48" i="137" s="1"/>
  <c r="J25" i="165"/>
  <c r="J28" i="165"/>
  <c r="J29" i="165"/>
  <c r="J32" i="165"/>
  <c r="J33" i="165"/>
  <c r="J34" i="165"/>
  <c r="J35" i="165"/>
  <c r="J36" i="165"/>
  <c r="J37" i="165"/>
  <c r="J40" i="165"/>
  <c r="J26" i="162"/>
  <c r="J26" i="130"/>
  <c r="J26" i="125"/>
  <c r="J26" i="126"/>
  <c r="J26" i="124"/>
  <c r="J26" i="123"/>
  <c r="J26" i="122"/>
  <c r="J26" i="163"/>
  <c r="J26" i="77"/>
  <c r="C6" i="77"/>
  <c r="C6" i="163"/>
  <c r="C6" i="120"/>
  <c r="C6" i="121"/>
  <c r="C6" i="122"/>
  <c r="C6" i="123"/>
  <c r="C6" i="124"/>
  <c r="C6" i="126"/>
  <c r="C6" i="125"/>
  <c r="C6" i="128"/>
  <c r="C6" i="127"/>
  <c r="C6" i="129"/>
  <c r="C6" i="130"/>
  <c r="C6" i="131"/>
  <c r="C6" i="162"/>
  <c r="C6" i="133"/>
  <c r="C6" i="138"/>
  <c r="C6" i="135"/>
  <c r="C6" i="118"/>
  <c r="C6" i="136"/>
  <c r="C6" i="134"/>
  <c r="C6" i="137"/>
  <c r="C6" i="165"/>
  <c r="B6" i="167" s="1"/>
  <c r="J46" i="165"/>
  <c r="J100" i="165"/>
  <c r="J108" i="165"/>
  <c r="J115" i="165"/>
  <c r="J229" i="165"/>
  <c r="F26" i="156"/>
  <c r="H26" i="156" s="1"/>
  <c r="F26" i="158"/>
  <c r="H26" i="158" s="1"/>
  <c r="H24" i="153"/>
  <c r="F73" i="150"/>
  <c r="H73" i="150" s="1"/>
  <c r="F105" i="150"/>
  <c r="H105" i="150" s="1"/>
  <c r="F125" i="150"/>
  <c r="H125" i="150" s="1"/>
  <c r="F138" i="150"/>
  <c r="H138" i="150" s="1"/>
  <c r="F176" i="150"/>
  <c r="H176" i="150"/>
  <c r="F73" i="151"/>
  <c r="H73" i="151" s="1"/>
  <c r="F105" i="151"/>
  <c r="H105" i="151" s="1"/>
  <c r="F125" i="151"/>
  <c r="H125" i="151" s="1"/>
  <c r="F138" i="151"/>
  <c r="H138" i="151" s="1"/>
  <c r="F176" i="151"/>
  <c r="H176" i="151"/>
  <c r="F73" i="155"/>
  <c r="H73" i="155" s="1"/>
  <c r="F105" i="155"/>
  <c r="H105" i="155" s="1"/>
  <c r="F125" i="155"/>
  <c r="H125" i="155" s="1"/>
  <c r="F138" i="155"/>
  <c r="H138" i="155" s="1"/>
  <c r="F176" i="155"/>
  <c r="H176" i="155" s="1"/>
  <c r="F88" i="159"/>
  <c r="H88" i="159" s="1"/>
  <c r="K88" i="159" s="1"/>
  <c r="F73" i="153"/>
  <c r="H73" i="153" s="1"/>
  <c r="F105" i="153"/>
  <c r="H105" i="153" s="1"/>
  <c r="F125" i="153"/>
  <c r="H125" i="153" s="1"/>
  <c r="F138" i="153"/>
  <c r="H138" i="153" s="1"/>
  <c r="F176" i="153"/>
  <c r="H176" i="153" s="1"/>
  <c r="H128" i="160"/>
  <c r="F205" i="160"/>
  <c r="H205" i="160" s="1"/>
  <c r="F206" i="160"/>
  <c r="H206" i="160" s="1"/>
  <c r="F221" i="160"/>
  <c r="H221" i="160" s="1"/>
  <c r="F222" i="160"/>
  <c r="H222" i="160" s="1"/>
  <c r="H196" i="149"/>
  <c r="F46" i="149"/>
  <c r="H46" i="149" s="1"/>
  <c r="K46" i="149" s="1"/>
  <c r="F46" i="160"/>
  <c r="H46" i="160" s="1"/>
  <c r="K46" i="160" s="1"/>
  <c r="F46" i="159"/>
  <c r="H46" i="159" s="1"/>
  <c r="K46" i="159" s="1"/>
  <c r="F46" i="158"/>
  <c r="H46" i="158" s="1"/>
  <c r="K46" i="158" s="1"/>
  <c r="F46" i="157"/>
  <c r="H46" i="157" s="1"/>
  <c r="K46" i="157" s="1"/>
  <c r="F46" i="156"/>
  <c r="F46" i="154"/>
  <c r="H46" i="154" s="1"/>
  <c r="K46" i="154" s="1"/>
  <c r="F46" i="152"/>
  <c r="H46" i="152" s="1"/>
  <c r="K46" i="152" s="1"/>
  <c r="K46" i="150"/>
  <c r="F48" i="149"/>
  <c r="H48" i="149" s="1"/>
  <c r="F49" i="149"/>
  <c r="H49" i="149" s="1"/>
  <c r="F50" i="149"/>
  <c r="F51" i="149"/>
  <c r="F53" i="149"/>
  <c r="H53" i="149" s="1"/>
  <c r="F54" i="149"/>
  <c r="H54" i="149" s="1"/>
  <c r="F58" i="149"/>
  <c r="H58" i="149" s="1"/>
  <c r="F59" i="149"/>
  <c r="H59" i="149" s="1"/>
  <c r="F60" i="149"/>
  <c r="H60" i="149" s="1"/>
  <c r="F61" i="149"/>
  <c r="H61" i="149" s="1"/>
  <c r="F62" i="149"/>
  <c r="H62" i="149" s="1"/>
  <c r="F63" i="149"/>
  <c r="H63" i="149" s="1"/>
  <c r="F64" i="149"/>
  <c r="H64" i="149" s="1"/>
  <c r="F65" i="149"/>
  <c r="F66" i="149"/>
  <c r="H66" i="149" s="1"/>
  <c r="F67" i="149"/>
  <c r="H67" i="149" s="1"/>
  <c r="F68" i="149"/>
  <c r="H68" i="149" s="1"/>
  <c r="F69" i="149"/>
  <c r="H69" i="149" s="1"/>
  <c r="F70" i="149"/>
  <c r="H70" i="149" s="1"/>
  <c r="F71" i="149"/>
  <c r="H71" i="149" s="1"/>
  <c r="F72" i="149"/>
  <c r="H72" i="149" s="1"/>
  <c r="F73" i="149"/>
  <c r="H73" i="149" s="1"/>
  <c r="F74" i="149"/>
  <c r="H74" i="149" s="1"/>
  <c r="F75" i="149"/>
  <c r="H75" i="149" s="1"/>
  <c r="F78" i="149"/>
  <c r="F79" i="149"/>
  <c r="F80" i="149"/>
  <c r="H80" i="149" s="1"/>
  <c r="F81" i="149"/>
  <c r="H81" i="149" s="1"/>
  <c r="F82" i="149"/>
  <c r="H82" i="149" s="1"/>
  <c r="F83" i="149"/>
  <c r="H83" i="149" s="1"/>
  <c r="F84" i="149"/>
  <c r="H84" i="149" s="1"/>
  <c r="F85" i="149"/>
  <c r="H85" i="149" s="1"/>
  <c r="F86" i="149"/>
  <c r="H86" i="149" s="1"/>
  <c r="F87" i="149"/>
  <c r="F88" i="149"/>
  <c r="H88" i="149" s="1"/>
  <c r="F89" i="149"/>
  <c r="H89" i="149" s="1"/>
  <c r="F90" i="149"/>
  <c r="H90" i="149" s="1"/>
  <c r="F91" i="149"/>
  <c r="H91" i="149" s="1"/>
  <c r="F92" i="149"/>
  <c r="H92" i="149" s="1"/>
  <c r="F93" i="149"/>
  <c r="H93" i="149" s="1"/>
  <c r="F94" i="149"/>
  <c r="H94" i="149" s="1"/>
  <c r="F95" i="149"/>
  <c r="F96" i="149"/>
  <c r="H96" i="149" s="1"/>
  <c r="F97" i="149"/>
  <c r="H97" i="149" s="1"/>
  <c r="F98" i="149"/>
  <c r="H98" i="149" s="1"/>
  <c r="F99" i="149"/>
  <c r="H99" i="149" s="1"/>
  <c r="F100" i="149"/>
  <c r="F101" i="149"/>
  <c r="H101" i="149" s="1"/>
  <c r="F102" i="149"/>
  <c r="H102" i="149" s="1"/>
  <c r="F103" i="149"/>
  <c r="H103" i="149" s="1"/>
  <c r="F104" i="149"/>
  <c r="H104" i="149" s="1"/>
  <c r="F105" i="149"/>
  <c r="H105" i="149" s="1"/>
  <c r="F106" i="149"/>
  <c r="H106" i="149" s="1"/>
  <c r="F107" i="149"/>
  <c r="H107" i="149" s="1"/>
  <c r="F108" i="149"/>
  <c r="F109" i="149"/>
  <c r="H109" i="149" s="1"/>
  <c r="F110" i="149"/>
  <c r="H110" i="149" s="1"/>
  <c r="F111" i="149"/>
  <c r="H111" i="149" s="1"/>
  <c r="F112" i="149"/>
  <c r="H112" i="149" s="1"/>
  <c r="F113" i="149"/>
  <c r="H113" i="149" s="1"/>
  <c r="F114" i="149"/>
  <c r="H114" i="149" s="1"/>
  <c r="F115" i="149"/>
  <c r="F116" i="149"/>
  <c r="H116" i="149" s="1"/>
  <c r="F117" i="149"/>
  <c r="H117" i="149" s="1"/>
  <c r="F118" i="149"/>
  <c r="H118" i="149" s="1"/>
  <c r="F119" i="149"/>
  <c r="H119" i="149" s="1"/>
  <c r="F120" i="149"/>
  <c r="H120" i="149" s="1"/>
  <c r="F121" i="149"/>
  <c r="H121" i="149" s="1"/>
  <c r="F122" i="149"/>
  <c r="F123" i="149"/>
  <c r="H123" i="149" s="1"/>
  <c r="F124" i="149"/>
  <c r="H124" i="149" s="1"/>
  <c r="F125" i="149"/>
  <c r="H125" i="149" s="1"/>
  <c r="F126" i="149"/>
  <c r="H126" i="149" s="1"/>
  <c r="F127" i="149"/>
  <c r="H127" i="149" s="1"/>
  <c r="F128" i="149"/>
  <c r="H128" i="149" s="1"/>
  <c r="F129" i="149"/>
  <c r="H129" i="149" s="1"/>
  <c r="F130" i="149"/>
  <c r="H130" i="149" s="1"/>
  <c r="F131" i="149"/>
  <c r="H131" i="149" s="1"/>
  <c r="F132" i="149"/>
  <c r="H132" i="149" s="1"/>
  <c r="F133" i="149"/>
  <c r="H133" i="149" s="1"/>
  <c r="F134" i="149"/>
  <c r="H134" i="149" s="1"/>
  <c r="F135" i="149"/>
  <c r="H135" i="149" s="1"/>
  <c r="F136" i="149"/>
  <c r="H136" i="149" s="1"/>
  <c r="F137" i="149"/>
  <c r="H137" i="149" s="1"/>
  <c r="F138" i="149"/>
  <c r="H138" i="149" s="1"/>
  <c r="F139" i="149"/>
  <c r="H139" i="149" s="1"/>
  <c r="F140" i="149"/>
  <c r="H140" i="149" s="1"/>
  <c r="F141" i="149"/>
  <c r="H141" i="149" s="1"/>
  <c r="F142" i="149"/>
  <c r="H142" i="149" s="1"/>
  <c r="F143" i="149"/>
  <c r="H143" i="149" s="1"/>
  <c r="F144" i="149"/>
  <c r="H144" i="149" s="1"/>
  <c r="F145" i="149"/>
  <c r="H145" i="149" s="1"/>
  <c r="F146" i="149"/>
  <c r="H146" i="149" s="1"/>
  <c r="F147" i="149"/>
  <c r="H147" i="149" s="1"/>
  <c r="F148" i="149"/>
  <c r="H148" i="149" s="1"/>
  <c r="F149" i="149"/>
  <c r="H149" i="149" s="1"/>
  <c r="F150" i="149"/>
  <c r="F154" i="149"/>
  <c r="H154" i="149" s="1"/>
  <c r="F155" i="149"/>
  <c r="H155" i="149" s="1"/>
  <c r="F157" i="149"/>
  <c r="H157" i="149" s="1"/>
  <c r="F159" i="149"/>
  <c r="H159" i="149" s="1"/>
  <c r="F162" i="149"/>
  <c r="H162" i="149" s="1"/>
  <c r="F163" i="149"/>
  <c r="H163" i="149" s="1"/>
  <c r="F164" i="149"/>
  <c r="H164" i="149" s="1"/>
  <c r="F165" i="149"/>
  <c r="F169" i="149"/>
  <c r="H169" i="149" s="1"/>
  <c r="F170" i="149"/>
  <c r="H170" i="149" s="1"/>
  <c r="F171" i="149"/>
  <c r="H171" i="149" s="1"/>
  <c r="F172" i="149"/>
  <c r="H172" i="149" s="1"/>
  <c r="F173" i="149"/>
  <c r="H173" i="149" s="1"/>
  <c r="F174" i="149"/>
  <c r="H174" i="149" s="1"/>
  <c r="F175" i="149"/>
  <c r="H175" i="149" s="1"/>
  <c r="F176" i="149"/>
  <c r="H176" i="149" s="1"/>
  <c r="F177" i="149"/>
  <c r="H177" i="149" s="1"/>
  <c r="F178" i="149"/>
  <c r="H178" i="149" s="1"/>
  <c r="F179" i="149"/>
  <c r="H179" i="149" s="1"/>
  <c r="F180" i="149"/>
  <c r="H180" i="149" s="1"/>
  <c r="F181" i="149"/>
  <c r="H181" i="149" s="1"/>
  <c r="F182" i="149"/>
  <c r="H182" i="149" s="1"/>
  <c r="F183" i="149"/>
  <c r="H183" i="149" s="1"/>
  <c r="F184" i="149"/>
  <c r="H184" i="149" s="1"/>
  <c r="F185" i="149"/>
  <c r="H185" i="149" s="1"/>
  <c r="F186" i="149"/>
  <c r="H186" i="149" s="1"/>
  <c r="F187" i="149"/>
  <c r="F188" i="149"/>
  <c r="H188" i="149" s="1"/>
  <c r="F193" i="149"/>
  <c r="F194" i="149"/>
  <c r="H194" i="149" s="1"/>
  <c r="F195" i="149"/>
  <c r="F196" i="149"/>
  <c r="F197" i="149"/>
  <c r="H197" i="149" s="1"/>
  <c r="F198" i="149"/>
  <c r="H198" i="149" s="1"/>
  <c r="F199" i="149"/>
  <c r="H199" i="149" s="1"/>
  <c r="F200" i="149"/>
  <c r="H200" i="149" s="1"/>
  <c r="F201" i="149"/>
  <c r="H201" i="149" s="1"/>
  <c r="F205" i="149"/>
  <c r="H205" i="149" s="1"/>
  <c r="F206" i="149"/>
  <c r="H206" i="149" s="1"/>
  <c r="F207" i="149"/>
  <c r="H207" i="149" s="1"/>
  <c r="F208" i="149"/>
  <c r="F209" i="149"/>
  <c r="H209" i="149" s="1"/>
  <c r="F210" i="149"/>
  <c r="F211" i="149"/>
  <c r="H211" i="149" s="1"/>
  <c r="F212" i="149"/>
  <c r="H212" i="149" s="1"/>
  <c r="F213" i="149"/>
  <c r="F214" i="149"/>
  <c r="H214" i="149" s="1"/>
  <c r="F215" i="149"/>
  <c r="H215" i="149" s="1"/>
  <c r="F216" i="149"/>
  <c r="H216" i="149" s="1"/>
  <c r="F217" i="149"/>
  <c r="H217" i="149" s="1"/>
  <c r="F218" i="149"/>
  <c r="F219" i="149"/>
  <c r="H219" i="149" s="1"/>
  <c r="F220" i="149"/>
  <c r="F221" i="149"/>
  <c r="H221" i="149" s="1"/>
  <c r="F222" i="149"/>
  <c r="H222" i="149" s="1"/>
  <c r="F223" i="149"/>
  <c r="H223" i="149" s="1"/>
  <c r="F224" i="149"/>
  <c r="H224" i="149" s="1"/>
  <c r="F225" i="149"/>
  <c r="F226" i="149"/>
  <c r="H226" i="149" s="1"/>
  <c r="F227" i="149"/>
  <c r="H227" i="149" s="1"/>
  <c r="F228" i="149"/>
  <c r="H228" i="149" s="1"/>
  <c r="F229" i="149"/>
  <c r="H229" i="149" s="1"/>
  <c r="F230" i="149"/>
  <c r="H230" i="149" s="1"/>
  <c r="F231" i="149"/>
  <c r="H231" i="149" s="1"/>
  <c r="F232" i="149"/>
  <c r="H232" i="149" s="1"/>
  <c r="F233" i="149"/>
  <c r="H233" i="149" s="1"/>
  <c r="F235" i="149"/>
  <c r="H235" i="149" s="1"/>
  <c r="F236" i="149"/>
  <c r="H236" i="149" s="1"/>
  <c r="F237" i="149"/>
  <c r="H237" i="149" s="1"/>
  <c r="K237" i="149" s="1"/>
  <c r="F238" i="149"/>
  <c r="H238" i="149" s="1"/>
  <c r="K238" i="149" s="1"/>
  <c r="F239" i="149"/>
  <c r="H239" i="149" s="1"/>
  <c r="F240" i="149"/>
  <c r="F241" i="149"/>
  <c r="F242" i="149"/>
  <c r="H242" i="149" s="1"/>
  <c r="F246" i="149"/>
  <c r="H246" i="149" s="1"/>
  <c r="F247" i="149"/>
  <c r="H247" i="149" s="1"/>
  <c r="F249" i="149"/>
  <c r="H249" i="149" s="1"/>
  <c r="F250" i="149"/>
  <c r="H250" i="149" s="1"/>
  <c r="F253" i="149"/>
  <c r="F254" i="149"/>
  <c r="H254" i="149" s="1"/>
  <c r="F255" i="149"/>
  <c r="H255" i="149" s="1"/>
  <c r="F30" i="160"/>
  <c r="H30" i="160" s="1"/>
  <c r="K30" i="160" s="1"/>
  <c r="F32" i="160"/>
  <c r="H32" i="160" s="1"/>
  <c r="K32" i="160" s="1"/>
  <c r="F34" i="160"/>
  <c r="H34" i="160" s="1"/>
  <c r="K34" i="160" s="1"/>
  <c r="F38" i="160"/>
  <c r="H38" i="160" s="1"/>
  <c r="K38" i="160" s="1"/>
  <c r="F40" i="160"/>
  <c r="H40" i="160" s="1"/>
  <c r="K40" i="160" s="1"/>
  <c r="F42" i="160"/>
  <c r="H42" i="160" s="1"/>
  <c r="E43" i="160"/>
  <c r="F43" i="160" s="1"/>
  <c r="E44" i="160"/>
  <c r="E45" i="160"/>
  <c r="F48" i="160"/>
  <c r="H48" i="160" s="1"/>
  <c r="K48" i="160" s="1"/>
  <c r="F50" i="160"/>
  <c r="F54" i="160"/>
  <c r="H54" i="160" s="1"/>
  <c r="K54" i="160" s="1"/>
  <c r="F58" i="160"/>
  <c r="H58" i="160" s="1"/>
  <c r="K58" i="160" s="1"/>
  <c r="F62" i="160"/>
  <c r="H62" i="160" s="1"/>
  <c r="K62" i="160" s="1"/>
  <c r="F64" i="160"/>
  <c r="H64" i="160" s="1"/>
  <c r="K64" i="160" s="1"/>
  <c r="F66" i="160"/>
  <c r="H66" i="160" s="1"/>
  <c r="K66" i="160" s="1"/>
  <c r="F70" i="160"/>
  <c r="H70" i="160" s="1"/>
  <c r="K70" i="160" s="1"/>
  <c r="F72" i="160"/>
  <c r="H72" i="160" s="1"/>
  <c r="K72" i="160" s="1"/>
  <c r="F74" i="160"/>
  <c r="H74" i="160" s="1"/>
  <c r="K74" i="160" s="1"/>
  <c r="F78" i="160"/>
  <c r="F80" i="160"/>
  <c r="H80" i="160" s="1"/>
  <c r="F82" i="160"/>
  <c r="H82" i="160" s="1"/>
  <c r="F86" i="160"/>
  <c r="H86" i="160" s="1"/>
  <c r="F88" i="160"/>
  <c r="H88" i="160" s="1"/>
  <c r="F90" i="160"/>
  <c r="H90" i="160" s="1"/>
  <c r="F94" i="160"/>
  <c r="H94" i="160" s="1"/>
  <c r="F96" i="160"/>
  <c r="H96" i="160" s="1"/>
  <c r="F98" i="160"/>
  <c r="H98" i="160" s="1"/>
  <c r="F102" i="160"/>
  <c r="H102" i="160" s="1"/>
  <c r="F104" i="160"/>
  <c r="H104" i="160" s="1"/>
  <c r="F106" i="160"/>
  <c r="H106" i="160" s="1"/>
  <c r="F110" i="160"/>
  <c r="H110" i="160" s="1"/>
  <c r="F112" i="160"/>
  <c r="H112" i="160" s="1"/>
  <c r="F114" i="160"/>
  <c r="H114" i="160" s="1"/>
  <c r="F118" i="160"/>
  <c r="H118" i="160" s="1"/>
  <c r="F120" i="160"/>
  <c r="H120" i="160" s="1"/>
  <c r="F122" i="160"/>
  <c r="F126" i="160"/>
  <c r="H126" i="160" s="1"/>
  <c r="F128" i="160"/>
  <c r="F130" i="160"/>
  <c r="H130" i="160" s="1"/>
  <c r="F134" i="160"/>
  <c r="H134" i="160" s="1"/>
  <c r="F136" i="160"/>
  <c r="H136" i="160" s="1"/>
  <c r="F138" i="160"/>
  <c r="H138" i="160" s="1"/>
  <c r="F142" i="160"/>
  <c r="H142" i="160" s="1"/>
  <c r="F144" i="160"/>
  <c r="H144" i="160" s="1"/>
  <c r="F146" i="160"/>
  <c r="H146" i="160" s="1"/>
  <c r="F150" i="160"/>
  <c r="F154" i="160"/>
  <c r="H154" i="160" s="1"/>
  <c r="K154" i="160" s="1"/>
  <c r="F162" i="160"/>
  <c r="H162" i="160" s="1"/>
  <c r="K162" i="160" s="1"/>
  <c r="F166" i="160"/>
  <c r="H166" i="160" s="1"/>
  <c r="K166" i="160" s="1"/>
  <c r="F168" i="160"/>
  <c r="H168" i="160" s="1"/>
  <c r="K168" i="160" s="1"/>
  <c r="F170" i="160"/>
  <c r="H170" i="160" s="1"/>
  <c r="F174" i="160"/>
  <c r="H174" i="160" s="1"/>
  <c r="F176" i="160"/>
  <c r="H176" i="160" s="1"/>
  <c r="F178" i="160"/>
  <c r="H178" i="160" s="1"/>
  <c r="F182" i="160"/>
  <c r="H182" i="160" s="1"/>
  <c r="F184" i="160"/>
  <c r="H184" i="160" s="1"/>
  <c r="F186" i="160"/>
  <c r="H186" i="160" s="1"/>
  <c r="F190" i="160"/>
  <c r="H190" i="160" s="1"/>
  <c r="K190" i="160" s="1"/>
  <c r="F194" i="160"/>
  <c r="H194" i="160" s="1"/>
  <c r="K194" i="160" s="1"/>
  <c r="K193" i="160" s="1"/>
  <c r="C12" i="160" s="1"/>
  <c r="F198" i="160"/>
  <c r="H198" i="160" s="1"/>
  <c r="F200" i="160"/>
  <c r="H200" i="160" s="1"/>
  <c r="K200" i="160" s="1"/>
  <c r="F209" i="160"/>
  <c r="H209" i="160" s="1"/>
  <c r="F211" i="160"/>
  <c r="H211" i="160" s="1"/>
  <c r="K211" i="160" s="1"/>
  <c r="F213" i="160"/>
  <c r="F217" i="160"/>
  <c r="H217" i="160" s="1"/>
  <c r="K217" i="160" s="1"/>
  <c r="F219" i="160"/>
  <c r="H219" i="160" s="1"/>
  <c r="F225" i="160"/>
  <c r="F227" i="160"/>
  <c r="H227" i="160" s="1"/>
  <c r="K227" i="160" s="1"/>
  <c r="F229" i="160"/>
  <c r="H229" i="160" s="1"/>
  <c r="K229" i="160" s="1"/>
  <c r="F233" i="160"/>
  <c r="H233" i="160" s="1"/>
  <c r="K233" i="160" s="1"/>
  <c r="F235" i="160"/>
  <c r="F237" i="160"/>
  <c r="H237" i="160" s="1"/>
  <c r="K237" i="160" s="1"/>
  <c r="F241" i="160"/>
  <c r="F251" i="160"/>
  <c r="H251" i="160" s="1"/>
  <c r="K251" i="160" s="1"/>
  <c r="E253" i="160"/>
  <c r="F253" i="160" s="1"/>
  <c r="E254" i="160"/>
  <c r="F254" i="160" s="1"/>
  <c r="H254" i="160" s="1"/>
  <c r="K254" i="160" s="1"/>
  <c r="E255" i="160"/>
  <c r="F87" i="153"/>
  <c r="F95" i="153"/>
  <c r="F218" i="153"/>
  <c r="F29" i="159"/>
  <c r="H29" i="159" s="1"/>
  <c r="K29" i="159" s="1"/>
  <c r="F30" i="159"/>
  <c r="H30" i="159" s="1"/>
  <c r="K30" i="159" s="1"/>
  <c r="F31" i="159"/>
  <c r="H31" i="159" s="1"/>
  <c r="K31" i="159" s="1"/>
  <c r="F32" i="159"/>
  <c r="H32" i="159" s="1"/>
  <c r="K32" i="159" s="1"/>
  <c r="F37" i="159"/>
  <c r="H37" i="159" s="1"/>
  <c r="K37" i="159" s="1"/>
  <c r="F38" i="159"/>
  <c r="H38" i="159" s="1"/>
  <c r="K38" i="159" s="1"/>
  <c r="F39" i="159"/>
  <c r="H39" i="159" s="1"/>
  <c r="K39" i="159" s="1"/>
  <c r="E43" i="159"/>
  <c r="E44" i="159"/>
  <c r="E45" i="159"/>
  <c r="F45" i="159" s="1"/>
  <c r="F47" i="159"/>
  <c r="H47" i="159" s="1"/>
  <c r="K47" i="159" s="1"/>
  <c r="F53" i="159"/>
  <c r="H53" i="159" s="1"/>
  <c r="K53" i="159" s="1"/>
  <c r="F54" i="159"/>
  <c r="H54" i="159" s="1"/>
  <c r="K54" i="159" s="1"/>
  <c r="F61" i="159"/>
  <c r="H61" i="159" s="1"/>
  <c r="K61" i="159" s="1"/>
  <c r="F62" i="159"/>
  <c r="H62" i="159" s="1"/>
  <c r="K62" i="159" s="1"/>
  <c r="F63" i="159"/>
  <c r="H63" i="159" s="1"/>
  <c r="K63" i="159" s="1"/>
  <c r="F64" i="159"/>
  <c r="H64" i="159" s="1"/>
  <c r="K64" i="159" s="1"/>
  <c r="F69" i="159"/>
  <c r="H69" i="159" s="1"/>
  <c r="K69" i="159" s="1"/>
  <c r="F70" i="159"/>
  <c r="H70" i="159" s="1"/>
  <c r="K70" i="159" s="1"/>
  <c r="F71" i="159"/>
  <c r="H71" i="159" s="1"/>
  <c r="K71" i="159" s="1"/>
  <c r="F78" i="159"/>
  <c r="F79" i="159"/>
  <c r="F80" i="159"/>
  <c r="H80" i="159" s="1"/>
  <c r="F85" i="159"/>
  <c r="H85" i="159" s="1"/>
  <c r="K85" i="159" s="1"/>
  <c r="F86" i="159"/>
  <c r="H86" i="159" s="1"/>
  <c r="K86" i="159" s="1"/>
  <c r="F87" i="159"/>
  <c r="F93" i="159"/>
  <c r="H93" i="159" s="1"/>
  <c r="K93" i="159" s="1"/>
  <c r="F94" i="159"/>
  <c r="H94" i="159" s="1"/>
  <c r="K94" i="159" s="1"/>
  <c r="F95" i="159"/>
  <c r="F96" i="159"/>
  <c r="H96" i="159" s="1"/>
  <c r="K96" i="159" s="1"/>
  <c r="F102" i="159"/>
  <c r="H102" i="159" s="1"/>
  <c r="K102" i="159" s="1"/>
  <c r="F103" i="159"/>
  <c r="H103" i="159" s="1"/>
  <c r="K103" i="159" s="1"/>
  <c r="F110" i="159"/>
  <c r="H110" i="159" s="1"/>
  <c r="K110" i="159" s="1"/>
  <c r="F111" i="159"/>
  <c r="H111" i="159" s="1"/>
  <c r="K111" i="159" s="1"/>
  <c r="F112" i="159"/>
  <c r="H112" i="159" s="1"/>
  <c r="K112" i="159" s="1"/>
  <c r="F118" i="159"/>
  <c r="H118" i="159" s="1"/>
  <c r="F119" i="159"/>
  <c r="H119" i="159" s="1"/>
  <c r="F120" i="159"/>
  <c r="H120" i="159" s="1"/>
  <c r="F125" i="159"/>
  <c r="H125" i="159" s="1"/>
  <c r="F126" i="159"/>
  <c r="H126" i="159" s="1"/>
  <c r="F127" i="159"/>
  <c r="H127" i="159" s="1"/>
  <c r="F128" i="159"/>
  <c r="H128" i="159" s="1"/>
  <c r="F133" i="159"/>
  <c r="H133" i="159" s="1"/>
  <c r="F134" i="159"/>
  <c r="H134" i="159" s="1"/>
  <c r="F135" i="159"/>
  <c r="H135" i="159" s="1"/>
  <c r="F142" i="159"/>
  <c r="H142" i="159" s="1"/>
  <c r="F143" i="159"/>
  <c r="H143" i="159" s="1"/>
  <c r="F144" i="159"/>
  <c r="H144" i="159" s="1"/>
  <c r="F149" i="159"/>
  <c r="H149" i="159" s="1"/>
  <c r="F150" i="159"/>
  <c r="F157" i="159"/>
  <c r="H157" i="159" s="1"/>
  <c r="K157" i="159" s="1"/>
  <c r="F159" i="159"/>
  <c r="H159" i="159" s="1"/>
  <c r="K159" i="159" s="1"/>
  <c r="F165" i="159"/>
  <c r="F174" i="159"/>
  <c r="H174" i="159" s="1"/>
  <c r="F176" i="159"/>
  <c r="H176" i="159" s="1"/>
  <c r="F181" i="159"/>
  <c r="H181" i="159" s="1"/>
  <c r="F182" i="159"/>
  <c r="H182" i="159" s="1"/>
  <c r="F183" i="159"/>
  <c r="H183" i="159" s="1"/>
  <c r="F184" i="159"/>
  <c r="H184" i="159" s="1"/>
  <c r="F190" i="159"/>
  <c r="H190" i="159" s="1"/>
  <c r="K190" i="159" s="1"/>
  <c r="F197" i="159"/>
  <c r="H197" i="159" s="1"/>
  <c r="F198" i="159"/>
  <c r="H198" i="159" s="1"/>
  <c r="F199" i="159"/>
  <c r="H199" i="159" s="1"/>
  <c r="K199" i="159" s="1"/>
  <c r="F209" i="159"/>
  <c r="H209" i="159" s="1"/>
  <c r="F210" i="159"/>
  <c r="F211" i="159"/>
  <c r="H211" i="159" s="1"/>
  <c r="K211" i="159" s="1"/>
  <c r="F216" i="159"/>
  <c r="H216" i="159" s="1"/>
  <c r="K216" i="159" s="1"/>
  <c r="F217" i="159"/>
  <c r="H217" i="159" s="1"/>
  <c r="K217" i="159" s="1"/>
  <c r="F218" i="159"/>
  <c r="F219" i="159"/>
  <c r="H219" i="159" s="1"/>
  <c r="F224" i="159"/>
  <c r="H224" i="159" s="1"/>
  <c r="K224" i="159" s="1"/>
  <c r="F225" i="159"/>
  <c r="F226" i="159"/>
  <c r="F227" i="159"/>
  <c r="F232" i="159"/>
  <c r="H232" i="159" s="1"/>
  <c r="F233" i="159"/>
  <c r="F234" i="159"/>
  <c r="F241" i="159"/>
  <c r="F242" i="159"/>
  <c r="H242" i="159" s="1"/>
  <c r="F243" i="159"/>
  <c r="H243" i="159" s="1"/>
  <c r="K243" i="159" s="1"/>
  <c r="F248" i="159"/>
  <c r="H248" i="159" s="1"/>
  <c r="K248" i="159" s="1"/>
  <c r="F249" i="159"/>
  <c r="H249" i="159" s="1"/>
  <c r="K249" i="159" s="1"/>
  <c r="F250" i="159"/>
  <c r="H250" i="159" s="1"/>
  <c r="K250" i="159" s="1"/>
  <c r="F251" i="159"/>
  <c r="H251" i="159" s="1"/>
  <c r="K251" i="159" s="1"/>
  <c r="E253" i="159"/>
  <c r="F253" i="159" s="1"/>
  <c r="E254" i="159"/>
  <c r="E255" i="159"/>
  <c r="E256" i="159"/>
  <c r="H25" i="158"/>
  <c r="F27" i="158"/>
  <c r="H27" i="158" s="1"/>
  <c r="F30" i="158"/>
  <c r="H30" i="158" s="1"/>
  <c r="K30" i="158" s="1"/>
  <c r="F31" i="158"/>
  <c r="H31" i="158" s="1"/>
  <c r="K31" i="158" s="1"/>
  <c r="F33" i="158"/>
  <c r="H33" i="158" s="1"/>
  <c r="K33" i="158" s="1"/>
  <c r="F35" i="158"/>
  <c r="H35" i="158" s="1"/>
  <c r="K35" i="158" s="1"/>
  <c r="F38" i="158"/>
  <c r="H38" i="158" s="1"/>
  <c r="K38" i="158" s="1"/>
  <c r="F39" i="158"/>
  <c r="H39" i="158" s="1"/>
  <c r="K39" i="158" s="1"/>
  <c r="E43" i="158"/>
  <c r="E44" i="158"/>
  <c r="F44" i="158" s="1"/>
  <c r="H44" i="158" s="1"/>
  <c r="E45" i="158"/>
  <c r="F50" i="158"/>
  <c r="F52" i="158"/>
  <c r="H52" i="158" s="1"/>
  <c r="K52" i="158" s="1"/>
  <c r="F54" i="158"/>
  <c r="H54" i="158" s="1"/>
  <c r="K54" i="158" s="1"/>
  <c r="F58" i="158"/>
  <c r="H58" i="158" s="1"/>
  <c r="K58" i="158" s="1"/>
  <c r="F60" i="158"/>
  <c r="H60" i="158" s="1"/>
  <c r="K60" i="158" s="1"/>
  <c r="F62" i="158"/>
  <c r="H62" i="158" s="1"/>
  <c r="K62" i="158" s="1"/>
  <c r="F64" i="158"/>
  <c r="H64" i="158" s="1"/>
  <c r="K64" i="158" s="1"/>
  <c r="F66" i="158"/>
  <c r="H66" i="158" s="1"/>
  <c r="K66" i="158" s="1"/>
  <c r="F68" i="158"/>
  <c r="H68" i="158" s="1"/>
  <c r="K68" i="158" s="1"/>
  <c r="F70" i="158"/>
  <c r="H70" i="158" s="1"/>
  <c r="K70" i="158" s="1"/>
  <c r="F72" i="158"/>
  <c r="H72" i="158" s="1"/>
  <c r="K72" i="158" s="1"/>
  <c r="F74" i="158"/>
  <c r="H74" i="158" s="1"/>
  <c r="K74" i="158" s="1"/>
  <c r="F76" i="158"/>
  <c r="H76" i="158" s="1"/>
  <c r="K76" i="158" s="1"/>
  <c r="F78" i="158"/>
  <c r="F80" i="158"/>
  <c r="H80" i="158" s="1"/>
  <c r="F82" i="158"/>
  <c r="H82" i="158" s="1"/>
  <c r="F84" i="158"/>
  <c r="H84" i="158" s="1"/>
  <c r="F86" i="158"/>
  <c r="H86" i="158" s="1"/>
  <c r="F88" i="158"/>
  <c r="H88" i="158" s="1"/>
  <c r="F90" i="158"/>
  <c r="H90" i="158" s="1"/>
  <c r="F92" i="158"/>
  <c r="H92" i="158" s="1"/>
  <c r="F94" i="158"/>
  <c r="H94" i="158" s="1"/>
  <c r="F96" i="158"/>
  <c r="H96" i="158" s="1"/>
  <c r="F98" i="158"/>
  <c r="H98" i="158" s="1"/>
  <c r="F102" i="158"/>
  <c r="H102" i="158" s="1"/>
  <c r="F104" i="158"/>
  <c r="H104" i="158" s="1"/>
  <c r="F106" i="158"/>
  <c r="H106" i="158" s="1"/>
  <c r="F108" i="158"/>
  <c r="F110" i="158"/>
  <c r="H110" i="158" s="1"/>
  <c r="F112" i="158"/>
  <c r="H112" i="158" s="1"/>
  <c r="F114" i="158"/>
  <c r="H114" i="158" s="1"/>
  <c r="F116" i="158"/>
  <c r="H116" i="158" s="1"/>
  <c r="F118" i="158"/>
  <c r="H118" i="158" s="1"/>
  <c r="F120" i="158"/>
  <c r="H120" i="158" s="1"/>
  <c r="F122" i="158"/>
  <c r="F124" i="158"/>
  <c r="H124" i="158" s="1"/>
  <c r="F126" i="158"/>
  <c r="H126" i="158" s="1"/>
  <c r="F128" i="158"/>
  <c r="H128" i="158" s="1"/>
  <c r="F130" i="158"/>
  <c r="H130" i="158" s="1"/>
  <c r="F132" i="158"/>
  <c r="H132" i="158" s="1"/>
  <c r="F134" i="158"/>
  <c r="H134" i="158" s="1"/>
  <c r="F136" i="158"/>
  <c r="H136" i="158" s="1"/>
  <c r="F138" i="158"/>
  <c r="H138" i="158" s="1"/>
  <c r="F140" i="158"/>
  <c r="H140" i="158" s="1"/>
  <c r="F142" i="158"/>
  <c r="H142" i="158" s="1"/>
  <c r="F144" i="158"/>
  <c r="H144" i="158" s="1"/>
  <c r="F146" i="158"/>
  <c r="H146" i="158" s="1"/>
  <c r="F148" i="158"/>
  <c r="H148" i="158" s="1"/>
  <c r="F150" i="158"/>
  <c r="F154" i="158"/>
  <c r="H154" i="158" s="1"/>
  <c r="K154" i="158" s="1"/>
  <c r="F162" i="158"/>
  <c r="H162" i="158" s="1"/>
  <c r="K162" i="158" s="1"/>
  <c r="F164" i="158"/>
  <c r="H164" i="158" s="1"/>
  <c r="K164" i="158" s="1"/>
  <c r="F166" i="158"/>
  <c r="H166" i="158" s="1"/>
  <c r="K166" i="158" s="1"/>
  <c r="F168" i="158"/>
  <c r="H168" i="158" s="1"/>
  <c r="K168" i="158" s="1"/>
  <c r="F170" i="158"/>
  <c r="H170" i="158" s="1"/>
  <c r="F172" i="158"/>
  <c r="H172" i="158" s="1"/>
  <c r="F174" i="158"/>
  <c r="H174" i="158" s="1"/>
  <c r="F176" i="158"/>
  <c r="H176" i="158" s="1"/>
  <c r="F178" i="158"/>
  <c r="H178" i="158" s="1"/>
  <c r="F180" i="158"/>
  <c r="H180" i="158" s="1"/>
  <c r="F182" i="158"/>
  <c r="H182" i="158" s="1"/>
  <c r="F184" i="158"/>
  <c r="H184" i="158" s="1"/>
  <c r="F186" i="158"/>
  <c r="H186" i="158" s="1"/>
  <c r="F188" i="158"/>
  <c r="H188" i="158" s="1"/>
  <c r="F190" i="158"/>
  <c r="H190" i="158" s="1"/>
  <c r="K190" i="158" s="1"/>
  <c r="F194" i="158"/>
  <c r="H194" i="158" s="1"/>
  <c r="K194" i="158" s="1"/>
  <c r="K193" i="158" s="1"/>
  <c r="C12" i="158" s="1"/>
  <c r="F196" i="158"/>
  <c r="H196" i="158" s="1"/>
  <c r="F198" i="158"/>
  <c r="H198" i="158" s="1"/>
  <c r="F205" i="158"/>
  <c r="H205" i="158" s="1"/>
  <c r="F207" i="158"/>
  <c r="H207" i="158" s="1"/>
  <c r="F209" i="158"/>
  <c r="H209" i="158" s="1"/>
  <c r="F211" i="158"/>
  <c r="H211" i="158" s="1"/>
  <c r="K211" i="158" s="1"/>
  <c r="F213" i="158"/>
  <c r="F215" i="158"/>
  <c r="H215" i="158" s="1"/>
  <c r="K215" i="158" s="1"/>
  <c r="F217" i="158"/>
  <c r="H217" i="158" s="1"/>
  <c r="K217" i="158" s="1"/>
  <c r="F221" i="158"/>
  <c r="H221" i="158" s="1"/>
  <c r="F223" i="158"/>
  <c r="H223" i="158" s="1"/>
  <c r="F225" i="158"/>
  <c r="F227" i="158"/>
  <c r="H227" i="158" s="1"/>
  <c r="K227" i="158" s="1"/>
  <c r="F229" i="158"/>
  <c r="H229" i="158" s="1"/>
  <c r="K229" i="158" s="1"/>
  <c r="F233" i="158"/>
  <c r="H233" i="158" s="1"/>
  <c r="K233" i="158" s="1"/>
  <c r="F235" i="158"/>
  <c r="H235" i="158" s="1"/>
  <c r="F241" i="158"/>
  <c r="F247" i="158"/>
  <c r="H247" i="158" s="1"/>
  <c r="K247" i="158" s="1"/>
  <c r="F253" i="158"/>
  <c r="F255" i="158"/>
  <c r="H255" i="158" s="1"/>
  <c r="K255" i="158" s="1"/>
  <c r="H25" i="157"/>
  <c r="F30" i="157"/>
  <c r="H30" i="157" s="1"/>
  <c r="K30" i="157" s="1"/>
  <c r="F32" i="157"/>
  <c r="H32" i="157" s="1"/>
  <c r="K32" i="157" s="1"/>
  <c r="F38" i="157"/>
  <c r="H38" i="157" s="1"/>
  <c r="K38" i="157" s="1"/>
  <c r="F40" i="157"/>
  <c r="H40" i="157" s="1"/>
  <c r="K40" i="157" s="1"/>
  <c r="F42" i="157"/>
  <c r="H42" i="157" s="1"/>
  <c r="E43" i="157"/>
  <c r="E44" i="157"/>
  <c r="F44" i="157" s="1"/>
  <c r="H44" i="157" s="1"/>
  <c r="E45" i="157"/>
  <c r="F45" i="157" s="1"/>
  <c r="F48" i="157"/>
  <c r="H48" i="157" s="1"/>
  <c r="K48" i="157" s="1"/>
  <c r="F49" i="157"/>
  <c r="H49" i="157" s="1"/>
  <c r="F50" i="157"/>
  <c r="F54" i="157"/>
  <c r="H54" i="157" s="1"/>
  <c r="K54" i="157" s="1"/>
  <c r="F56" i="157"/>
  <c r="H56" i="157" s="1"/>
  <c r="K56" i="157" s="1"/>
  <c r="F57" i="157"/>
  <c r="H57" i="157" s="1"/>
  <c r="K57" i="157" s="1"/>
  <c r="F58" i="157"/>
  <c r="H58" i="157" s="1"/>
  <c r="K58" i="157" s="1"/>
  <c r="F62" i="157"/>
  <c r="H62" i="157" s="1"/>
  <c r="K62" i="157" s="1"/>
  <c r="F64" i="157"/>
  <c r="H64" i="157" s="1"/>
  <c r="K64" i="157" s="1"/>
  <c r="F65" i="157"/>
  <c r="F66" i="157"/>
  <c r="H66" i="157" s="1"/>
  <c r="K66" i="157" s="1"/>
  <c r="F70" i="157"/>
  <c r="H70" i="157" s="1"/>
  <c r="K70" i="157" s="1"/>
  <c r="F72" i="157"/>
  <c r="H72" i="157" s="1"/>
  <c r="K72" i="157" s="1"/>
  <c r="F74" i="157"/>
  <c r="H74" i="157" s="1"/>
  <c r="K74" i="157" s="1"/>
  <c r="F78" i="157"/>
  <c r="F80" i="157"/>
  <c r="H80" i="157" s="1"/>
  <c r="F81" i="157"/>
  <c r="H81" i="157" s="1"/>
  <c r="F82" i="157"/>
  <c r="H82" i="157" s="1"/>
  <c r="F86" i="157"/>
  <c r="H86" i="157" s="1"/>
  <c r="F88" i="157"/>
  <c r="H88" i="157" s="1"/>
  <c r="F89" i="157"/>
  <c r="H89" i="157" s="1"/>
  <c r="F90" i="157"/>
  <c r="H90" i="157" s="1"/>
  <c r="F94" i="157"/>
  <c r="H94" i="157" s="1"/>
  <c r="F96" i="157"/>
  <c r="H96" i="157" s="1"/>
  <c r="F97" i="157"/>
  <c r="H97" i="157" s="1"/>
  <c r="F98" i="157"/>
  <c r="H98" i="157" s="1"/>
  <c r="F102" i="157"/>
  <c r="H102" i="157" s="1"/>
  <c r="F104" i="157"/>
  <c r="H104" i="157" s="1"/>
  <c r="F105" i="157"/>
  <c r="H105" i="157" s="1"/>
  <c r="F106" i="157"/>
  <c r="H106" i="157" s="1"/>
  <c r="F110" i="157"/>
  <c r="H110" i="157" s="1"/>
  <c r="F112" i="157"/>
  <c r="H112" i="157" s="1"/>
  <c r="F113" i="157"/>
  <c r="H113" i="157" s="1"/>
  <c r="F114" i="157"/>
  <c r="H114" i="157" s="1"/>
  <c r="F118" i="157"/>
  <c r="H118" i="157" s="1"/>
  <c r="F120" i="157"/>
  <c r="H120" i="157" s="1"/>
  <c r="F121" i="157"/>
  <c r="H121" i="157" s="1"/>
  <c r="F122" i="157"/>
  <c r="F126" i="157"/>
  <c r="H126" i="157" s="1"/>
  <c r="F128" i="157"/>
  <c r="H128" i="157" s="1"/>
  <c r="F129" i="157"/>
  <c r="H129" i="157" s="1"/>
  <c r="F130" i="157"/>
  <c r="H130" i="157" s="1"/>
  <c r="F134" i="157"/>
  <c r="H134" i="157" s="1"/>
  <c r="F136" i="157"/>
  <c r="H136" i="157" s="1"/>
  <c r="F138" i="157"/>
  <c r="H138" i="157" s="1"/>
  <c r="F142" i="157"/>
  <c r="H142" i="157" s="1"/>
  <c r="F144" i="157"/>
  <c r="H144" i="157" s="1"/>
  <c r="F145" i="157"/>
  <c r="H145" i="157" s="1"/>
  <c r="F146" i="157"/>
  <c r="H146" i="157" s="1"/>
  <c r="F150" i="157"/>
  <c r="F154" i="157"/>
  <c r="H154" i="157" s="1"/>
  <c r="K154" i="157" s="1"/>
  <c r="F162" i="157"/>
  <c r="H162" i="157" s="1"/>
  <c r="K162" i="157" s="1"/>
  <c r="F166" i="157"/>
  <c r="H166" i="157" s="1"/>
  <c r="K166" i="157" s="1"/>
  <c r="F168" i="157"/>
  <c r="H168" i="157" s="1"/>
  <c r="K168" i="157" s="1"/>
  <c r="F169" i="157"/>
  <c r="H169" i="157" s="1"/>
  <c r="F170" i="157"/>
  <c r="H170" i="157" s="1"/>
  <c r="F174" i="157"/>
  <c r="H174" i="157" s="1"/>
  <c r="F176" i="157"/>
  <c r="H176" i="157" s="1"/>
  <c r="F177" i="157"/>
  <c r="H177" i="157" s="1"/>
  <c r="F178" i="157"/>
  <c r="H178" i="157" s="1"/>
  <c r="F182" i="157"/>
  <c r="H182" i="157" s="1"/>
  <c r="F184" i="157"/>
  <c r="H184" i="157" s="1"/>
  <c r="F185" i="157"/>
  <c r="H185" i="157" s="1"/>
  <c r="F186" i="157"/>
  <c r="H186" i="157" s="1"/>
  <c r="F190" i="157"/>
  <c r="H190" i="157" s="1"/>
  <c r="K190" i="157" s="1"/>
  <c r="F193" i="157"/>
  <c r="F194" i="157"/>
  <c r="H194" i="157" s="1"/>
  <c r="K194" i="157" s="1"/>
  <c r="K193" i="157" s="1"/>
  <c r="C12" i="157" s="1"/>
  <c r="F198" i="157"/>
  <c r="H198" i="157" s="1"/>
  <c r="F200" i="157"/>
  <c r="H200" i="157" s="1"/>
  <c r="K200" i="157" s="1"/>
  <c r="F205" i="157"/>
  <c r="H205" i="157" s="1"/>
  <c r="F209" i="157"/>
  <c r="H209" i="157" s="1"/>
  <c r="F211" i="157"/>
  <c r="H211" i="157" s="1"/>
  <c r="K211" i="157" s="1"/>
  <c r="F212" i="157"/>
  <c r="H212" i="157" s="1"/>
  <c r="K212" i="157" s="1"/>
  <c r="K210" i="157" s="1"/>
  <c r="F213" i="157"/>
  <c r="F217" i="157"/>
  <c r="H217" i="157" s="1"/>
  <c r="K217" i="157" s="1"/>
  <c r="F219" i="157"/>
  <c r="H219" i="157" s="1"/>
  <c r="F220" i="157"/>
  <c r="F221" i="157"/>
  <c r="H221" i="157" s="1"/>
  <c r="F225" i="157"/>
  <c r="F227" i="157"/>
  <c r="H227" i="157" s="1"/>
  <c r="K227" i="157" s="1"/>
  <c r="F228" i="157"/>
  <c r="H228" i="157" s="1"/>
  <c r="K228" i="157" s="1"/>
  <c r="F229" i="157"/>
  <c r="H229" i="157" s="1"/>
  <c r="K229" i="157" s="1"/>
  <c r="F233" i="157"/>
  <c r="H233" i="157" s="1"/>
  <c r="K233" i="157" s="1"/>
  <c r="F235" i="157"/>
  <c r="F236" i="157"/>
  <c r="F237" i="157"/>
  <c r="H237" i="157" s="1"/>
  <c r="K237" i="157" s="1"/>
  <c r="F241" i="157"/>
  <c r="F243" i="157"/>
  <c r="H243" i="157" s="1"/>
  <c r="K243" i="157" s="1"/>
  <c r="F244" i="157"/>
  <c r="H244" i="157" s="1"/>
  <c r="K244" i="157" s="1"/>
  <c r="F245" i="157"/>
  <c r="H245" i="157" s="1"/>
  <c r="K245" i="157" s="1"/>
  <c r="F249" i="157"/>
  <c r="H249" i="157" s="1"/>
  <c r="K249" i="157" s="1"/>
  <c r="F251" i="157"/>
  <c r="H251" i="157" s="1"/>
  <c r="K251" i="157" s="1"/>
  <c r="F252" i="157"/>
  <c r="H252" i="157" s="1"/>
  <c r="K252" i="157" s="1"/>
  <c r="F253" i="157"/>
  <c r="F30" i="156"/>
  <c r="H30" i="156" s="1"/>
  <c r="K30" i="156" s="1"/>
  <c r="F31" i="156"/>
  <c r="H31" i="156" s="1"/>
  <c r="K31" i="156" s="1"/>
  <c r="F39" i="156"/>
  <c r="H39" i="156" s="1"/>
  <c r="K39" i="156" s="1"/>
  <c r="E43" i="156"/>
  <c r="E44" i="156"/>
  <c r="F44" i="156" s="1"/>
  <c r="H44" i="156" s="1"/>
  <c r="E45" i="156"/>
  <c r="H46" i="156"/>
  <c r="K46" i="156" s="1"/>
  <c r="F47" i="156"/>
  <c r="H47" i="156" s="1"/>
  <c r="K47" i="156" s="1"/>
  <c r="F54" i="156"/>
  <c r="H54" i="156" s="1"/>
  <c r="K54" i="156" s="1"/>
  <c r="F62" i="156"/>
  <c r="H62" i="156" s="1"/>
  <c r="K62" i="156" s="1"/>
  <c r="F63" i="156"/>
  <c r="H63" i="156" s="1"/>
  <c r="K63" i="156" s="1"/>
  <c r="F70" i="156"/>
  <c r="H70" i="156" s="1"/>
  <c r="K70" i="156" s="1"/>
  <c r="F71" i="156"/>
  <c r="H71" i="156" s="1"/>
  <c r="K71" i="156" s="1"/>
  <c r="F78" i="156"/>
  <c r="F79" i="156"/>
  <c r="F86" i="156"/>
  <c r="H86" i="156" s="1"/>
  <c r="F87" i="156"/>
  <c r="F94" i="156"/>
  <c r="H94" i="156" s="1"/>
  <c r="F95" i="156"/>
  <c r="F102" i="156"/>
  <c r="H102" i="156" s="1"/>
  <c r="F103" i="156"/>
  <c r="H103" i="156" s="1"/>
  <c r="F110" i="156"/>
  <c r="H110" i="156" s="1"/>
  <c r="F111" i="156"/>
  <c r="H111" i="156" s="1"/>
  <c r="F118" i="156"/>
  <c r="H118" i="156" s="1"/>
  <c r="F119" i="156"/>
  <c r="H119" i="156" s="1"/>
  <c r="F126" i="156"/>
  <c r="H126" i="156" s="1"/>
  <c r="F127" i="156"/>
  <c r="H127" i="156" s="1"/>
  <c r="F134" i="156"/>
  <c r="H134" i="156" s="1"/>
  <c r="F135" i="156"/>
  <c r="H135" i="156" s="1"/>
  <c r="F142" i="156"/>
  <c r="H142" i="156" s="1"/>
  <c r="F143" i="156"/>
  <c r="H143" i="156" s="1"/>
  <c r="F150" i="156"/>
  <c r="F159" i="156"/>
  <c r="H159" i="156" s="1"/>
  <c r="K159" i="156" s="1"/>
  <c r="F166" i="156"/>
  <c r="H166" i="156" s="1"/>
  <c r="K166" i="156" s="1"/>
  <c r="F167" i="156"/>
  <c r="H167" i="156" s="1"/>
  <c r="K167" i="156" s="1"/>
  <c r="F174" i="156"/>
  <c r="H174" i="156" s="1"/>
  <c r="F175" i="156"/>
  <c r="H175" i="156" s="1"/>
  <c r="F182" i="156"/>
  <c r="H182" i="156" s="1"/>
  <c r="F183" i="156"/>
  <c r="H183" i="156" s="1"/>
  <c r="F190" i="156"/>
  <c r="H190" i="156" s="1"/>
  <c r="K190" i="156" s="1"/>
  <c r="F198" i="156"/>
  <c r="H198" i="156" s="1"/>
  <c r="F209" i="156"/>
  <c r="H209" i="156" s="1"/>
  <c r="F210" i="156"/>
  <c r="F217" i="156"/>
  <c r="H217" i="156" s="1"/>
  <c r="K217" i="156" s="1"/>
  <c r="F218" i="156"/>
  <c r="F225" i="156"/>
  <c r="F226" i="156"/>
  <c r="H226" i="156" s="1"/>
  <c r="K226" i="156" s="1"/>
  <c r="F233" i="156"/>
  <c r="H233" i="156" s="1"/>
  <c r="K233" i="156" s="1"/>
  <c r="F234" i="156"/>
  <c r="H234" i="156" s="1"/>
  <c r="K234" i="156" s="1"/>
  <c r="F241" i="156"/>
  <c r="F242" i="156"/>
  <c r="H242" i="156" s="1"/>
  <c r="F250" i="156"/>
  <c r="H250" i="156" s="1"/>
  <c r="K250" i="156" s="1"/>
  <c r="H24" i="156"/>
  <c r="F50" i="154"/>
  <c r="F58" i="154"/>
  <c r="H58" i="154" s="1"/>
  <c r="K58" i="154" s="1"/>
  <c r="F61" i="154"/>
  <c r="H61" i="154" s="1"/>
  <c r="K61" i="154" s="1"/>
  <c r="F62" i="154"/>
  <c r="H62" i="154" s="1"/>
  <c r="K62" i="154" s="1"/>
  <c r="F66" i="154"/>
  <c r="H66" i="154" s="1"/>
  <c r="K66" i="154" s="1"/>
  <c r="F69" i="154"/>
  <c r="H69" i="154" s="1"/>
  <c r="K69" i="154" s="1"/>
  <c r="F70" i="154"/>
  <c r="H70" i="154" s="1"/>
  <c r="K70" i="154" s="1"/>
  <c r="F74" i="154"/>
  <c r="H74" i="154" s="1"/>
  <c r="K74" i="154" s="1"/>
  <c r="F78" i="154"/>
  <c r="F82" i="154"/>
  <c r="H82" i="154" s="1"/>
  <c r="F85" i="154"/>
  <c r="H85" i="154" s="1"/>
  <c r="F86" i="154"/>
  <c r="H86" i="154" s="1"/>
  <c r="F90" i="154"/>
  <c r="H90" i="154" s="1"/>
  <c r="F93" i="154"/>
  <c r="H93" i="154" s="1"/>
  <c r="F94" i="154"/>
  <c r="H94" i="154" s="1"/>
  <c r="F98" i="154"/>
  <c r="H98" i="154" s="1"/>
  <c r="F101" i="154"/>
  <c r="H101" i="154" s="1"/>
  <c r="F102" i="154"/>
  <c r="H102" i="154" s="1"/>
  <c r="F106" i="154"/>
  <c r="H106" i="154" s="1"/>
  <c r="F110" i="154"/>
  <c r="H110" i="154" s="1"/>
  <c r="F114" i="154"/>
  <c r="H114" i="154" s="1"/>
  <c r="F117" i="154"/>
  <c r="H117" i="154" s="1"/>
  <c r="F118" i="154"/>
  <c r="H118" i="154" s="1"/>
  <c r="F122" i="154"/>
  <c r="F125" i="154"/>
  <c r="H125" i="154" s="1"/>
  <c r="F126" i="154"/>
  <c r="H126" i="154" s="1"/>
  <c r="F130" i="154"/>
  <c r="H130" i="154" s="1"/>
  <c r="F133" i="154"/>
  <c r="H133" i="154" s="1"/>
  <c r="F134" i="154"/>
  <c r="H134" i="154" s="1"/>
  <c r="F138" i="154"/>
  <c r="H138" i="154" s="1"/>
  <c r="F142" i="154"/>
  <c r="H142" i="154" s="1"/>
  <c r="F146" i="154"/>
  <c r="H146" i="154" s="1"/>
  <c r="F149" i="154"/>
  <c r="H149" i="154" s="1"/>
  <c r="F150" i="154"/>
  <c r="F154" i="154"/>
  <c r="H154" i="154" s="1"/>
  <c r="K154" i="154" s="1"/>
  <c r="F157" i="154"/>
  <c r="H157" i="154" s="1"/>
  <c r="K157" i="154" s="1"/>
  <c r="F162" i="154"/>
  <c r="H162" i="154" s="1"/>
  <c r="K162" i="154" s="1"/>
  <c r="F165" i="154"/>
  <c r="F166" i="154"/>
  <c r="H166" i="154" s="1"/>
  <c r="K166" i="154" s="1"/>
  <c r="F170" i="154"/>
  <c r="H170" i="154" s="1"/>
  <c r="F174" i="154"/>
  <c r="H174" i="154" s="1"/>
  <c r="F178" i="154"/>
  <c r="H178" i="154" s="1"/>
  <c r="F181" i="154"/>
  <c r="H181" i="154" s="1"/>
  <c r="F182" i="154"/>
  <c r="H182" i="154" s="1"/>
  <c r="F186" i="154"/>
  <c r="H186" i="154" s="1"/>
  <c r="F194" i="154"/>
  <c r="H194" i="154" s="1"/>
  <c r="K194" i="154" s="1"/>
  <c r="K193" i="154" s="1"/>
  <c r="C12" i="154" s="1"/>
  <c r="F197" i="154"/>
  <c r="H197" i="154" s="1"/>
  <c r="F198" i="154"/>
  <c r="H198" i="154" s="1"/>
  <c r="F205" i="154"/>
  <c r="H205" i="154" s="1"/>
  <c r="F209" i="154"/>
  <c r="H209" i="154" s="1"/>
  <c r="F213" i="154"/>
  <c r="F216" i="154"/>
  <c r="H216" i="154" s="1"/>
  <c r="K216" i="154" s="1"/>
  <c r="F217" i="154"/>
  <c r="H217" i="154" s="1"/>
  <c r="K217" i="154" s="1"/>
  <c r="F221" i="154"/>
  <c r="H221" i="154" s="1"/>
  <c r="F224" i="154"/>
  <c r="H224" i="154" s="1"/>
  <c r="K224" i="154" s="1"/>
  <c r="F225" i="154"/>
  <c r="F229" i="154"/>
  <c r="H229" i="154" s="1"/>
  <c r="K229" i="154" s="1"/>
  <c r="F232" i="154"/>
  <c r="H232" i="154" s="1"/>
  <c r="K232" i="154" s="1"/>
  <c r="F233" i="154"/>
  <c r="H233" i="154" s="1"/>
  <c r="K233" i="154" s="1"/>
  <c r="F241" i="154"/>
  <c r="F51" i="155"/>
  <c r="F78" i="155"/>
  <c r="F115" i="155"/>
  <c r="F150" i="155"/>
  <c r="F187" i="155"/>
  <c r="F195" i="155"/>
  <c r="F241" i="155"/>
  <c r="F78" i="150"/>
  <c r="F115" i="150"/>
  <c r="F150" i="150"/>
  <c r="F187" i="150"/>
  <c r="F195" i="150"/>
  <c r="F241" i="150"/>
  <c r="E47" i="149"/>
  <c r="E34" i="151"/>
  <c r="F34" i="151" s="1"/>
  <c r="E35" i="151"/>
  <c r="F35" i="151" s="1"/>
  <c r="E36" i="151"/>
  <c r="F36" i="151" s="1"/>
  <c r="E37" i="151"/>
  <c r="F37" i="151" s="1"/>
  <c r="E38" i="151"/>
  <c r="E39" i="151"/>
  <c r="F39" i="151" s="1"/>
  <c r="E40" i="151"/>
  <c r="E42" i="151"/>
  <c r="E43" i="151"/>
  <c r="E44" i="151"/>
  <c r="E45" i="151"/>
  <c r="F45" i="151" s="1"/>
  <c r="F65" i="151"/>
  <c r="F195" i="151"/>
  <c r="F208" i="151"/>
  <c r="F220" i="151"/>
  <c r="F222" i="151"/>
  <c r="H222" i="151" s="1"/>
  <c r="F240" i="151"/>
  <c r="F31" i="152"/>
  <c r="H31" i="152" s="1"/>
  <c r="K31" i="152" s="1"/>
  <c r="E42" i="152"/>
  <c r="F42" i="152" s="1"/>
  <c r="H42" i="152" s="1"/>
  <c r="E43" i="152"/>
  <c r="F43" i="152" s="1"/>
  <c r="H43" i="152" s="1"/>
  <c r="E44" i="152"/>
  <c r="E45" i="152"/>
  <c r="F47" i="152"/>
  <c r="H47" i="152" s="1"/>
  <c r="K47" i="152" s="1"/>
  <c r="F54" i="152"/>
  <c r="H54" i="152" s="1"/>
  <c r="K54" i="152" s="1"/>
  <c r="F55" i="152"/>
  <c r="H55" i="152"/>
  <c r="F70" i="152"/>
  <c r="H70" i="152" s="1"/>
  <c r="K70" i="152" s="1"/>
  <c r="F71" i="152"/>
  <c r="H71" i="152" s="1"/>
  <c r="K71" i="152" s="1"/>
  <c r="F72" i="152"/>
  <c r="H72" i="152" s="1"/>
  <c r="K72" i="152" s="1"/>
  <c r="F75" i="152"/>
  <c r="H75" i="152" s="1"/>
  <c r="K75" i="152" s="1"/>
  <c r="F79" i="152"/>
  <c r="F87" i="152"/>
  <c r="F88" i="152"/>
  <c r="H88" i="152" s="1"/>
  <c r="F91" i="152"/>
  <c r="H91" i="152" s="1"/>
  <c r="F92" i="152"/>
  <c r="H92" i="152" s="1"/>
  <c r="F99" i="152"/>
  <c r="H99" i="152" s="1"/>
  <c r="F100" i="152"/>
  <c r="F103" i="152"/>
  <c r="H103" i="152" s="1"/>
  <c r="F107" i="152"/>
  <c r="H107" i="152" s="1"/>
  <c r="F111" i="152"/>
  <c r="H111" i="152" s="1"/>
  <c r="F115" i="152"/>
  <c r="F116" i="152"/>
  <c r="H116" i="152" s="1"/>
  <c r="F118" i="152"/>
  <c r="H118" i="152" s="1"/>
  <c r="F119" i="152"/>
  <c r="H119" i="152" s="1"/>
  <c r="F123" i="152"/>
  <c r="H123" i="152" s="1"/>
  <c r="F132" i="152"/>
  <c r="H132" i="152" s="1"/>
  <c r="F135" i="152"/>
  <c r="H135" i="152" s="1"/>
  <c r="F136" i="152"/>
  <c r="H136" i="152" s="1"/>
  <c r="F139" i="152"/>
  <c r="H139" i="152" s="1"/>
  <c r="F143" i="152"/>
  <c r="H143" i="152" s="1"/>
  <c r="F147" i="152"/>
  <c r="H147" i="152" s="1"/>
  <c r="F155" i="152"/>
  <c r="H155" i="152" s="1"/>
  <c r="K155" i="152" s="1"/>
  <c r="F163" i="152"/>
  <c r="H163" i="152" s="1"/>
  <c r="K163" i="152" s="1"/>
  <c r="F167" i="152"/>
  <c r="H167" i="152" s="1"/>
  <c r="K167" i="152" s="1"/>
  <c r="F171" i="152"/>
  <c r="H171" i="152" s="1"/>
  <c r="F172" i="152"/>
  <c r="H172" i="152" s="1"/>
  <c r="F175" i="152"/>
  <c r="H175" i="152" s="1"/>
  <c r="F179" i="152"/>
  <c r="H179" i="152" s="1"/>
  <c r="F180" i="152"/>
  <c r="H180" i="152" s="1"/>
  <c r="F183" i="152"/>
  <c r="H183" i="152" s="1"/>
  <c r="F195" i="152"/>
  <c r="F198" i="152"/>
  <c r="H198" i="152" s="1"/>
  <c r="F199" i="152"/>
  <c r="H199" i="152" s="1"/>
  <c r="K199" i="152" s="1"/>
  <c r="F200" i="152"/>
  <c r="H200" i="152" s="1"/>
  <c r="K200" i="152" s="1"/>
  <c r="F210" i="152"/>
  <c r="F214" i="152"/>
  <c r="H214" i="152" s="1"/>
  <c r="K214" i="152" s="1"/>
  <c r="F215" i="152"/>
  <c r="H215" i="152" s="1"/>
  <c r="K215" i="152" s="1"/>
  <c r="F218" i="152"/>
  <c r="F219" i="152"/>
  <c r="H219" i="152" s="1"/>
  <c r="F222" i="152"/>
  <c r="H222" i="152" s="1"/>
  <c r="F226" i="152"/>
  <c r="H226" i="152" s="1"/>
  <c r="K226" i="152" s="1"/>
  <c r="F230" i="152"/>
  <c r="H230" i="152" s="1"/>
  <c r="K230" i="152" s="1"/>
  <c r="F239" i="152"/>
  <c r="H239" i="152" s="1"/>
  <c r="F246" i="152"/>
  <c r="H246" i="152" s="1"/>
  <c r="K246" i="152" s="1"/>
  <c r="F247" i="152"/>
  <c r="H247" i="152" s="1"/>
  <c r="K247" i="152" s="1"/>
  <c r="F250" i="152"/>
  <c r="H250" i="152" s="1"/>
  <c r="K250" i="152" s="1"/>
  <c r="F131" i="152"/>
  <c r="H131" i="152" s="1"/>
  <c r="F187" i="152"/>
  <c r="F206" i="152"/>
  <c r="H206" i="152" s="1"/>
  <c r="F235" i="151"/>
  <c r="F26" i="149"/>
  <c r="H26" i="149" s="1"/>
  <c r="F27" i="149"/>
  <c r="H27" i="149" s="1"/>
  <c r="F28" i="149"/>
  <c r="H28" i="149" s="1"/>
  <c r="K28" i="149" s="1"/>
  <c r="F29" i="149"/>
  <c r="H29" i="149" s="1"/>
  <c r="K29" i="149" s="1"/>
  <c r="F30" i="149"/>
  <c r="H30" i="149" s="1"/>
  <c r="K30" i="149" s="1"/>
  <c r="F31" i="149"/>
  <c r="H31" i="149" s="1"/>
  <c r="K31" i="149" s="1"/>
  <c r="F32" i="149"/>
  <c r="H32" i="149" s="1"/>
  <c r="F33" i="149"/>
  <c r="H33" i="149" s="1"/>
  <c r="K33" i="149" s="1"/>
  <c r="F34" i="149"/>
  <c r="H34" i="149" s="1"/>
  <c r="F35" i="149"/>
  <c r="H35" i="149" s="1"/>
  <c r="K35" i="149" s="1"/>
  <c r="F36" i="149"/>
  <c r="H36" i="149" s="1"/>
  <c r="F37" i="149"/>
  <c r="H37" i="149" s="1"/>
  <c r="F38" i="149"/>
  <c r="H38" i="149" s="1"/>
  <c r="K38" i="149" s="1"/>
  <c r="F39" i="149"/>
  <c r="H39" i="149" s="1"/>
  <c r="K39" i="149" s="1"/>
  <c r="F40" i="149"/>
  <c r="H40" i="149" s="1"/>
  <c r="F42" i="149"/>
  <c r="H42" i="149" s="1"/>
  <c r="F43" i="149"/>
  <c r="H43" i="149" s="1"/>
  <c r="F44" i="149"/>
  <c r="H44" i="149" s="1"/>
  <c r="F45" i="149"/>
  <c r="H45" i="149" s="1"/>
  <c r="F50" i="150"/>
  <c r="F51" i="150"/>
  <c r="F65" i="150"/>
  <c r="F79" i="150"/>
  <c r="F87" i="150"/>
  <c r="F95" i="150"/>
  <c r="F100" i="150"/>
  <c r="F108" i="150"/>
  <c r="F122" i="150"/>
  <c r="F165" i="150"/>
  <c r="F193" i="150"/>
  <c r="F208" i="150"/>
  <c r="F210" i="150"/>
  <c r="F213" i="150"/>
  <c r="F218" i="150"/>
  <c r="F220" i="150"/>
  <c r="F253" i="150"/>
  <c r="H25" i="151"/>
  <c r="F26" i="151"/>
  <c r="H26" i="151" s="1"/>
  <c r="F27" i="151"/>
  <c r="H27" i="151" s="1"/>
  <c r="F28" i="151"/>
  <c r="H28" i="151" s="1"/>
  <c r="K28" i="151" s="1"/>
  <c r="F29" i="151"/>
  <c r="H29" i="151" s="1"/>
  <c r="K29" i="151" s="1"/>
  <c r="F30" i="151"/>
  <c r="H30" i="151" s="1"/>
  <c r="K30" i="151" s="1"/>
  <c r="F31" i="151"/>
  <c r="H31" i="151" s="1"/>
  <c r="K31" i="151" s="1"/>
  <c r="F32" i="151"/>
  <c r="H32" i="151" s="1"/>
  <c r="K32" i="151" s="1"/>
  <c r="F47" i="151"/>
  <c r="H47" i="151" s="1"/>
  <c r="K47" i="151" s="1"/>
  <c r="F50" i="151"/>
  <c r="F51" i="151"/>
  <c r="F78" i="151"/>
  <c r="F79" i="151"/>
  <c r="F87" i="151"/>
  <c r="F95" i="151"/>
  <c r="F100" i="151"/>
  <c r="F108" i="151"/>
  <c r="F115" i="151"/>
  <c r="F122" i="151"/>
  <c r="F150" i="151"/>
  <c r="F165" i="151"/>
  <c r="F210" i="151"/>
  <c r="F213" i="151"/>
  <c r="F214" i="151"/>
  <c r="H214" i="151" s="1"/>
  <c r="K214" i="151" s="1"/>
  <c r="F215" i="151"/>
  <c r="H215" i="151" s="1"/>
  <c r="K215" i="151" s="1"/>
  <c r="F217" i="151"/>
  <c r="H217" i="151" s="1"/>
  <c r="K217" i="151" s="1"/>
  <c r="F218" i="151"/>
  <c r="F221" i="151"/>
  <c r="H221" i="151" s="1"/>
  <c r="F223" i="151"/>
  <c r="H223" i="151" s="1"/>
  <c r="F225" i="151"/>
  <c r="F226" i="151"/>
  <c r="H226" i="151" s="1"/>
  <c r="K226" i="151" s="1"/>
  <c r="F228" i="151"/>
  <c r="H228" i="151" s="1"/>
  <c r="K228" i="151" s="1"/>
  <c r="F229" i="151"/>
  <c r="H229" i="151" s="1"/>
  <c r="K229" i="151" s="1"/>
  <c r="F230" i="151"/>
  <c r="H230" i="151" s="1"/>
  <c r="K230" i="151" s="1"/>
  <c r="F231" i="151"/>
  <c r="H231" i="151" s="1"/>
  <c r="K231" i="151" s="1"/>
  <c r="F232" i="151"/>
  <c r="H232" i="151" s="1"/>
  <c r="K232" i="151" s="1"/>
  <c r="F233" i="151"/>
  <c r="H233" i="151" s="1"/>
  <c r="K233" i="151" s="1"/>
  <c r="F241" i="151"/>
  <c r="F242" i="151"/>
  <c r="H242" i="151" s="1"/>
  <c r="F246" i="151"/>
  <c r="H246" i="151" s="1"/>
  <c r="K246" i="151" s="1"/>
  <c r="F247" i="151"/>
  <c r="H247" i="151" s="1"/>
  <c r="K247" i="151" s="1"/>
  <c r="F250" i="151"/>
  <c r="H250" i="151" s="1"/>
  <c r="K250" i="151" s="1"/>
  <c r="F253" i="151"/>
  <c r="F254" i="151"/>
  <c r="H254" i="151" s="1"/>
  <c r="K254" i="151" s="1"/>
  <c r="F255" i="151"/>
  <c r="H255" i="151" s="1"/>
  <c r="K255" i="151" s="1"/>
  <c r="H25" i="152"/>
  <c r="F26" i="152"/>
  <c r="H26" i="152" s="1"/>
  <c r="F27" i="152"/>
  <c r="H27" i="152" s="1"/>
  <c r="F32" i="152"/>
  <c r="H32" i="152" s="1"/>
  <c r="K32" i="152" s="1"/>
  <c r="F33" i="152"/>
  <c r="H33" i="152" s="1"/>
  <c r="K33" i="152" s="1"/>
  <c r="F37" i="152"/>
  <c r="H37" i="152" s="1"/>
  <c r="K37" i="152" s="1"/>
  <c r="F38" i="152"/>
  <c r="H38" i="152" s="1"/>
  <c r="K38" i="152" s="1"/>
  <c r="F39" i="152"/>
  <c r="H39" i="152" s="1"/>
  <c r="K39" i="152" s="1"/>
  <c r="F40" i="152"/>
  <c r="H40" i="152" s="1"/>
  <c r="K40" i="152" s="1"/>
  <c r="F48" i="152"/>
  <c r="H48" i="152" s="1"/>
  <c r="K48" i="152" s="1"/>
  <c r="F49" i="152"/>
  <c r="H49" i="152" s="1"/>
  <c r="F50" i="152"/>
  <c r="F53" i="152"/>
  <c r="H53" i="152" s="1"/>
  <c r="K53" i="152" s="1"/>
  <c r="F56" i="152"/>
  <c r="H56" i="152" s="1"/>
  <c r="K56" i="152" s="1"/>
  <c r="F57" i="152"/>
  <c r="H57" i="152" s="1"/>
  <c r="K57" i="152" s="1"/>
  <c r="F58" i="152"/>
  <c r="H58" i="152" s="1"/>
  <c r="K58" i="152" s="1"/>
  <c r="F64" i="152"/>
  <c r="H64" i="152" s="1"/>
  <c r="K64" i="152" s="1"/>
  <c r="F65" i="152"/>
  <c r="F69" i="152"/>
  <c r="H69" i="152" s="1"/>
  <c r="K69" i="152" s="1"/>
  <c r="F73" i="152"/>
  <c r="H73" i="152" s="1"/>
  <c r="F74" i="152"/>
  <c r="H74" i="152" s="1"/>
  <c r="K74" i="152" s="1"/>
  <c r="F76" i="152"/>
  <c r="H76" i="152" s="1"/>
  <c r="K76" i="152" s="1"/>
  <c r="F77" i="152"/>
  <c r="H77" i="152" s="1"/>
  <c r="K77" i="152" s="1"/>
  <c r="F78" i="152"/>
  <c r="F80" i="152"/>
  <c r="H80" i="152" s="1"/>
  <c r="F81" i="152"/>
  <c r="H81" i="152" s="1"/>
  <c r="F82" i="152"/>
  <c r="H82" i="152" s="1"/>
  <c r="F85" i="152"/>
  <c r="H85" i="152" s="1"/>
  <c r="F86" i="152"/>
  <c r="H86" i="152" s="1"/>
  <c r="F89" i="152"/>
  <c r="H89" i="152" s="1"/>
  <c r="F90" i="152"/>
  <c r="H90" i="152" s="1"/>
  <c r="F93" i="152"/>
  <c r="H93" i="152" s="1"/>
  <c r="F94" i="152"/>
  <c r="H94" i="152" s="1"/>
  <c r="F95" i="152"/>
  <c r="F96" i="152"/>
  <c r="H96" i="152" s="1"/>
  <c r="F97" i="152"/>
  <c r="H97" i="152" s="1"/>
  <c r="F98" i="152"/>
  <c r="H98" i="152" s="1"/>
  <c r="F101" i="152"/>
  <c r="H101" i="152" s="1"/>
  <c r="F102" i="152"/>
  <c r="H102" i="152" s="1"/>
  <c r="F104" i="152"/>
  <c r="H104" i="152" s="1"/>
  <c r="F105" i="152"/>
  <c r="H105" i="152" s="1"/>
  <c r="F106" i="152"/>
  <c r="H106" i="152" s="1"/>
  <c r="F110" i="152"/>
  <c r="H110" i="152" s="1"/>
  <c r="F112" i="152"/>
  <c r="H112" i="152" s="1"/>
  <c r="F113" i="152"/>
  <c r="H113" i="152" s="1"/>
  <c r="F114" i="152"/>
  <c r="H114" i="152" s="1"/>
  <c r="F117" i="152"/>
  <c r="H117" i="152" s="1"/>
  <c r="F120" i="152"/>
  <c r="H120" i="152" s="1"/>
  <c r="F121" i="152"/>
  <c r="H121" i="152" s="1"/>
  <c r="F122" i="152"/>
  <c r="F124" i="152"/>
  <c r="H124" i="152" s="1"/>
  <c r="F125" i="152"/>
  <c r="H125" i="152" s="1"/>
  <c r="F126" i="152"/>
  <c r="H126" i="152" s="1"/>
  <c r="F127" i="152"/>
  <c r="H127" i="152" s="1"/>
  <c r="F128" i="152"/>
  <c r="H128" i="152" s="1"/>
  <c r="F129" i="152"/>
  <c r="H129" i="152" s="1"/>
  <c r="F130" i="152"/>
  <c r="H130" i="152" s="1"/>
  <c r="F133" i="152"/>
  <c r="H133" i="152" s="1"/>
  <c r="F137" i="152"/>
  <c r="H137" i="152" s="1"/>
  <c r="F138" i="152"/>
  <c r="H138" i="152" s="1"/>
  <c r="F140" i="152"/>
  <c r="H140" i="152" s="1"/>
  <c r="F141" i="152"/>
  <c r="H141" i="152" s="1"/>
  <c r="F142" i="152"/>
  <c r="H142" i="152" s="1"/>
  <c r="F144" i="152"/>
  <c r="H144" i="152" s="1"/>
  <c r="F145" i="152"/>
  <c r="H145" i="152" s="1"/>
  <c r="F146" i="152"/>
  <c r="H146" i="152" s="1"/>
  <c r="F149" i="152"/>
  <c r="H149" i="152" s="1"/>
  <c r="F150" i="152"/>
  <c r="F154" i="152"/>
  <c r="H154" i="152" s="1"/>
  <c r="K154" i="152" s="1"/>
  <c r="F157" i="152"/>
  <c r="H157" i="152" s="1"/>
  <c r="K157" i="152" s="1"/>
  <c r="F162" i="152"/>
  <c r="H162" i="152" s="1"/>
  <c r="K162" i="152" s="1"/>
  <c r="F165" i="152"/>
  <c r="F166" i="152"/>
  <c r="H166" i="152" s="1"/>
  <c r="K166" i="152" s="1"/>
  <c r="F168" i="152"/>
  <c r="H168" i="152" s="1"/>
  <c r="K168" i="152" s="1"/>
  <c r="F169" i="152"/>
  <c r="H169" i="152" s="1"/>
  <c r="F170" i="152"/>
  <c r="H170" i="152" s="1"/>
  <c r="F173" i="152"/>
  <c r="H173" i="152" s="1"/>
  <c r="F174" i="152"/>
  <c r="H174" i="152" s="1"/>
  <c r="F176" i="152"/>
  <c r="H176" i="152" s="1"/>
  <c r="F177" i="152"/>
  <c r="H177" i="152" s="1"/>
  <c r="F178" i="152"/>
  <c r="H178" i="152" s="1"/>
  <c r="F181" i="152"/>
  <c r="H181" i="152" s="1"/>
  <c r="F184" i="152"/>
  <c r="H184" i="152" s="1"/>
  <c r="F185" i="152"/>
  <c r="H185" i="152" s="1"/>
  <c r="F186" i="152"/>
  <c r="H186" i="152" s="1"/>
  <c r="F189" i="152"/>
  <c r="H189" i="152" s="1"/>
  <c r="K189" i="152" s="1"/>
  <c r="F190" i="152"/>
  <c r="H190" i="152" s="1"/>
  <c r="K190" i="152" s="1"/>
  <c r="F192" i="152"/>
  <c r="H192" i="152" s="1"/>
  <c r="F193" i="152"/>
  <c r="F194" i="152"/>
  <c r="H194" i="152" s="1"/>
  <c r="K194" i="152" s="1"/>
  <c r="K193" i="152" s="1"/>
  <c r="C12" i="152" s="1"/>
  <c r="F197" i="152"/>
  <c r="H197" i="152" s="1"/>
  <c r="F201" i="152"/>
  <c r="H201" i="152" s="1"/>
  <c r="K201" i="152" s="1"/>
  <c r="F205" i="152"/>
  <c r="H205" i="152" s="1"/>
  <c r="F208" i="152"/>
  <c r="F209" i="152"/>
  <c r="H209" i="152" s="1"/>
  <c r="F211" i="152"/>
  <c r="H211" i="152" s="1"/>
  <c r="K211" i="152" s="1"/>
  <c r="F212" i="152"/>
  <c r="H212" i="152" s="1"/>
  <c r="K212" i="152" s="1"/>
  <c r="F213" i="152"/>
  <c r="F216" i="152"/>
  <c r="H216" i="152" s="1"/>
  <c r="K216" i="152" s="1"/>
  <c r="F217" i="152"/>
  <c r="H217" i="152" s="1"/>
  <c r="K217" i="152" s="1"/>
  <c r="F220" i="152"/>
  <c r="F221" i="152"/>
  <c r="H221" i="152" s="1"/>
  <c r="F224" i="152"/>
  <c r="H224" i="152" s="1"/>
  <c r="K224" i="152" s="1"/>
  <c r="F225" i="152"/>
  <c r="F227" i="152"/>
  <c r="H227" i="152" s="1"/>
  <c r="K227" i="152" s="1"/>
  <c r="F228" i="152"/>
  <c r="H228" i="152" s="1"/>
  <c r="K228" i="152" s="1"/>
  <c r="F229" i="152"/>
  <c r="H229" i="152" s="1"/>
  <c r="K229" i="152" s="1"/>
  <c r="F232" i="152"/>
  <c r="H232" i="152" s="1"/>
  <c r="K232" i="152" s="1"/>
  <c r="F233" i="152"/>
  <c r="H233" i="152" s="1"/>
  <c r="K233" i="152" s="1"/>
  <c r="F235" i="152"/>
  <c r="F240" i="152"/>
  <c r="F241" i="152"/>
  <c r="F242" i="152"/>
  <c r="H242" i="152" s="1"/>
  <c r="F253" i="152"/>
  <c r="F254" i="152"/>
  <c r="H254" i="152" s="1"/>
  <c r="K254" i="152" s="1"/>
  <c r="F255" i="152"/>
  <c r="H255" i="152" s="1"/>
  <c r="K255" i="152" s="1"/>
  <c r="F50" i="155"/>
  <c r="F65" i="155"/>
  <c r="F79" i="155"/>
  <c r="F87" i="155"/>
  <c r="F95" i="155"/>
  <c r="F100" i="155"/>
  <c r="F108" i="155"/>
  <c r="F122" i="155"/>
  <c r="F165" i="155"/>
  <c r="F193" i="155"/>
  <c r="F208" i="155"/>
  <c r="F210" i="155"/>
  <c r="F213" i="155"/>
  <c r="F218" i="155"/>
  <c r="F220" i="155"/>
  <c r="F253" i="155"/>
  <c r="H25" i="154"/>
  <c r="F26" i="154"/>
  <c r="H26" i="154" s="1"/>
  <c r="F27" i="154"/>
  <c r="H27" i="154" s="1"/>
  <c r="F28" i="154"/>
  <c r="H28" i="154" s="1"/>
  <c r="K28" i="154" s="1"/>
  <c r="F29" i="154"/>
  <c r="H29" i="154" s="1"/>
  <c r="K29" i="154" s="1"/>
  <c r="F30" i="154"/>
  <c r="H30" i="154" s="1"/>
  <c r="F31" i="154"/>
  <c r="H31" i="154" s="1"/>
  <c r="K31" i="154" s="1"/>
  <c r="F32" i="154"/>
  <c r="H32" i="154" s="1"/>
  <c r="K32" i="154" s="1"/>
  <c r="F33" i="154"/>
  <c r="H33" i="154" s="1"/>
  <c r="K33" i="154" s="1"/>
  <c r="F34" i="154"/>
  <c r="H34" i="154" s="1"/>
  <c r="K34" i="154" s="1"/>
  <c r="F35" i="154"/>
  <c r="H35" i="154" s="1"/>
  <c r="K35" i="154" s="1"/>
  <c r="F36" i="154"/>
  <c r="H36" i="154" s="1"/>
  <c r="K36" i="154" s="1"/>
  <c r="F37" i="154"/>
  <c r="H37" i="154" s="1"/>
  <c r="K37" i="154" s="1"/>
  <c r="F38" i="154"/>
  <c r="H38" i="154" s="1"/>
  <c r="K38" i="154" s="1"/>
  <c r="F39" i="154"/>
  <c r="H39" i="154" s="1"/>
  <c r="K39" i="154" s="1"/>
  <c r="F40" i="154"/>
  <c r="H40" i="154" s="1"/>
  <c r="K40" i="154" s="1"/>
  <c r="F42" i="154"/>
  <c r="H42" i="154" s="1"/>
  <c r="F43" i="154"/>
  <c r="H43" i="154" s="1"/>
  <c r="F44" i="154"/>
  <c r="H44" i="154" s="1"/>
  <c r="F45" i="154"/>
  <c r="H45" i="154" s="1"/>
  <c r="F47" i="154"/>
  <c r="H47" i="154" s="1"/>
  <c r="K47" i="154" s="1"/>
  <c r="F48" i="154"/>
  <c r="H48" i="154" s="1"/>
  <c r="K48" i="154" s="1"/>
  <c r="F49" i="154"/>
  <c r="H49" i="154" s="1"/>
  <c r="F51" i="154"/>
  <c r="F59" i="154"/>
  <c r="H59" i="154" s="1"/>
  <c r="K59" i="154" s="1"/>
  <c r="F60" i="154"/>
  <c r="H60" i="154" s="1"/>
  <c r="K60" i="154" s="1"/>
  <c r="F63" i="154"/>
  <c r="H63" i="154" s="1"/>
  <c r="K63" i="154" s="1"/>
  <c r="F64" i="154"/>
  <c r="H64" i="154" s="1"/>
  <c r="K64" i="154" s="1"/>
  <c r="F65" i="154"/>
  <c r="F67" i="154"/>
  <c r="H67" i="154" s="1"/>
  <c r="K67" i="154" s="1"/>
  <c r="F68" i="154"/>
  <c r="H68" i="154" s="1"/>
  <c r="K68" i="154" s="1"/>
  <c r="F71" i="154"/>
  <c r="H71" i="154" s="1"/>
  <c r="K71" i="154" s="1"/>
  <c r="F72" i="154"/>
  <c r="H72" i="154" s="1"/>
  <c r="K72" i="154" s="1"/>
  <c r="F73" i="154"/>
  <c r="H73" i="154" s="1"/>
  <c r="F75" i="154"/>
  <c r="H75" i="154" s="1"/>
  <c r="K75" i="154" s="1"/>
  <c r="F76" i="154"/>
  <c r="H76" i="154" s="1"/>
  <c r="K76" i="154" s="1"/>
  <c r="F79" i="154"/>
  <c r="F80" i="154"/>
  <c r="H80" i="154" s="1"/>
  <c r="F81" i="154"/>
  <c r="H81" i="154" s="1"/>
  <c r="F83" i="154"/>
  <c r="H83" i="154" s="1"/>
  <c r="F84" i="154"/>
  <c r="H84" i="154" s="1"/>
  <c r="F87" i="154"/>
  <c r="F88" i="154"/>
  <c r="H88" i="154" s="1"/>
  <c r="F89" i="154"/>
  <c r="H89" i="154" s="1"/>
  <c r="F91" i="154"/>
  <c r="H91" i="154" s="1"/>
  <c r="F92" i="154"/>
  <c r="H92" i="154" s="1"/>
  <c r="F95" i="154"/>
  <c r="F96" i="154"/>
  <c r="H96" i="154" s="1"/>
  <c r="F97" i="154"/>
  <c r="H97" i="154" s="1"/>
  <c r="F99" i="154"/>
  <c r="H99" i="154" s="1"/>
  <c r="F100" i="154"/>
  <c r="F103" i="154"/>
  <c r="H103" i="154" s="1"/>
  <c r="F104" i="154"/>
  <c r="H104" i="154" s="1"/>
  <c r="F105" i="154"/>
  <c r="H105" i="154" s="1"/>
  <c r="F107" i="154"/>
  <c r="H107" i="154" s="1"/>
  <c r="F108" i="154"/>
  <c r="F109" i="154"/>
  <c r="H109" i="154" s="1"/>
  <c r="F111" i="154"/>
  <c r="H111" i="154" s="1"/>
  <c r="F112" i="154"/>
  <c r="H112" i="154" s="1"/>
  <c r="F113" i="154"/>
  <c r="H113" i="154" s="1"/>
  <c r="F115" i="154"/>
  <c r="F116" i="154"/>
  <c r="H116" i="154" s="1"/>
  <c r="F119" i="154"/>
  <c r="H119" i="154" s="1"/>
  <c r="F120" i="154"/>
  <c r="H120" i="154" s="1"/>
  <c r="F121" i="154"/>
  <c r="H121" i="154" s="1"/>
  <c r="F123" i="154"/>
  <c r="H123" i="154" s="1"/>
  <c r="F124" i="154"/>
  <c r="H124" i="154" s="1"/>
  <c r="F127" i="154"/>
  <c r="H127" i="154" s="1"/>
  <c r="F128" i="154"/>
  <c r="H128" i="154" s="1"/>
  <c r="F129" i="154"/>
  <c r="H129" i="154" s="1"/>
  <c r="F131" i="154"/>
  <c r="H131" i="154" s="1"/>
  <c r="F132" i="154"/>
  <c r="H132" i="154" s="1"/>
  <c r="F135" i="154"/>
  <c r="H135" i="154" s="1"/>
  <c r="F136" i="154"/>
  <c r="H136" i="154" s="1"/>
  <c r="F137" i="154"/>
  <c r="H137" i="154" s="1"/>
  <c r="F139" i="154"/>
  <c r="H139" i="154" s="1"/>
  <c r="F140" i="154"/>
  <c r="H140" i="154" s="1"/>
  <c r="F141" i="154"/>
  <c r="H141" i="154" s="1"/>
  <c r="F143" i="154"/>
  <c r="H143" i="154" s="1"/>
  <c r="F144" i="154"/>
  <c r="H144" i="154" s="1"/>
  <c r="F145" i="154"/>
  <c r="H145" i="154" s="1"/>
  <c r="F147" i="154"/>
  <c r="H147" i="154" s="1"/>
  <c r="F148" i="154"/>
  <c r="H148" i="154" s="1"/>
  <c r="F155" i="154"/>
  <c r="H155" i="154" s="1"/>
  <c r="K155" i="154" s="1"/>
  <c r="F159" i="154"/>
  <c r="H159" i="154" s="1"/>
  <c r="K159" i="154" s="1"/>
  <c r="F163" i="154"/>
  <c r="H163" i="154" s="1"/>
  <c r="K163" i="154" s="1"/>
  <c r="F164" i="154"/>
  <c r="H164" i="154" s="1"/>
  <c r="K164" i="154" s="1"/>
  <c r="F167" i="154"/>
  <c r="H167" i="154" s="1"/>
  <c r="K167" i="154" s="1"/>
  <c r="F168" i="154"/>
  <c r="H168" i="154" s="1"/>
  <c r="K168" i="154" s="1"/>
  <c r="F169" i="154"/>
  <c r="H169" i="154" s="1"/>
  <c r="F171" i="154"/>
  <c r="H171" i="154" s="1"/>
  <c r="F172" i="154"/>
  <c r="H172" i="154" s="1"/>
  <c r="F173" i="154"/>
  <c r="H173" i="154" s="1"/>
  <c r="F175" i="154"/>
  <c r="H175" i="154" s="1"/>
  <c r="F176" i="154"/>
  <c r="H176" i="154" s="1"/>
  <c r="F177" i="154"/>
  <c r="H177" i="154" s="1"/>
  <c r="F179" i="154"/>
  <c r="H179" i="154" s="1"/>
  <c r="F180" i="154"/>
  <c r="H180" i="154" s="1"/>
  <c r="F183" i="154"/>
  <c r="H183" i="154" s="1"/>
  <c r="F184" i="154"/>
  <c r="H184" i="154" s="1"/>
  <c r="F185" i="154"/>
  <c r="H185" i="154" s="1"/>
  <c r="F187" i="154"/>
  <c r="F188" i="154"/>
  <c r="H188" i="154" s="1"/>
  <c r="F193" i="154"/>
  <c r="F195" i="154"/>
  <c r="F196" i="154"/>
  <c r="H196" i="154" s="1"/>
  <c r="F199" i="154"/>
  <c r="H199" i="154" s="1"/>
  <c r="K199" i="154" s="1"/>
  <c r="F200" i="154"/>
  <c r="H200" i="154" s="1"/>
  <c r="K200" i="154" s="1"/>
  <c r="F201" i="154"/>
  <c r="H201" i="154" s="1"/>
  <c r="K201" i="154" s="1"/>
  <c r="F206" i="154"/>
  <c r="H206" i="154" s="1"/>
  <c r="F207" i="154"/>
  <c r="H207" i="154" s="1"/>
  <c r="F208" i="154"/>
  <c r="F210" i="154"/>
  <c r="F211" i="154"/>
  <c r="H211" i="154" s="1"/>
  <c r="K211" i="154" s="1"/>
  <c r="F212" i="154"/>
  <c r="H212" i="154" s="1"/>
  <c r="K212" i="154" s="1"/>
  <c r="F214" i="154"/>
  <c r="H214" i="154" s="1"/>
  <c r="K214" i="154" s="1"/>
  <c r="F215" i="154"/>
  <c r="H215" i="154" s="1"/>
  <c r="K215" i="154" s="1"/>
  <c r="F218" i="154"/>
  <c r="F219" i="154"/>
  <c r="H219" i="154" s="1"/>
  <c r="F220" i="154"/>
  <c r="F222" i="154"/>
  <c r="H222" i="154" s="1"/>
  <c r="F223" i="154"/>
  <c r="H223" i="154" s="1"/>
  <c r="F226" i="154"/>
  <c r="H226" i="154" s="1"/>
  <c r="K226" i="154" s="1"/>
  <c r="F227" i="154"/>
  <c r="H227" i="154" s="1"/>
  <c r="K227" i="154" s="1"/>
  <c r="F228" i="154"/>
  <c r="H228" i="154" s="1"/>
  <c r="K228" i="154" s="1"/>
  <c r="F230" i="154"/>
  <c r="H230" i="154" s="1"/>
  <c r="K230" i="154" s="1"/>
  <c r="F235" i="154"/>
  <c r="H235" i="154" s="1"/>
  <c r="F236" i="154"/>
  <c r="H236" i="154" s="1"/>
  <c r="F240" i="154"/>
  <c r="F242" i="154"/>
  <c r="H242" i="154" s="1"/>
  <c r="F246" i="154"/>
  <c r="H246" i="154" s="1"/>
  <c r="K246" i="154" s="1"/>
  <c r="F247" i="154"/>
  <c r="H247" i="154" s="1"/>
  <c r="K247" i="154" s="1"/>
  <c r="F250" i="154"/>
  <c r="H250" i="154" s="1"/>
  <c r="K250" i="154" s="1"/>
  <c r="F253" i="154"/>
  <c r="F254" i="154"/>
  <c r="H254" i="154" s="1"/>
  <c r="K254" i="154" s="1"/>
  <c r="F255" i="154"/>
  <c r="H255" i="154" s="1"/>
  <c r="K255" i="154" s="1"/>
  <c r="F27" i="157"/>
  <c r="H27" i="157" s="1"/>
  <c r="F28" i="157"/>
  <c r="H28" i="157" s="1"/>
  <c r="K28" i="157" s="1"/>
  <c r="F29" i="157"/>
  <c r="H29" i="157" s="1"/>
  <c r="K29" i="157" s="1"/>
  <c r="F31" i="157"/>
  <c r="H31" i="157" s="1"/>
  <c r="K31" i="157" s="1"/>
  <c r="F35" i="157"/>
  <c r="H35" i="157" s="1"/>
  <c r="K35" i="157" s="1"/>
  <c r="F36" i="157"/>
  <c r="H36" i="157" s="1"/>
  <c r="K36" i="157" s="1"/>
  <c r="F37" i="157"/>
  <c r="H37" i="157" s="1"/>
  <c r="K37" i="157" s="1"/>
  <c r="F39" i="157"/>
  <c r="H39" i="157" s="1"/>
  <c r="K39" i="157" s="1"/>
  <c r="F47" i="157"/>
  <c r="H47" i="157" s="1"/>
  <c r="K47" i="157" s="1"/>
  <c r="F51" i="157"/>
  <c r="F52" i="157"/>
  <c r="H52" i="157" s="1"/>
  <c r="K52" i="157" s="1"/>
  <c r="F53" i="157"/>
  <c r="H53" i="157" s="1"/>
  <c r="K53" i="157" s="1"/>
  <c r="F59" i="157"/>
  <c r="H59" i="157" s="1"/>
  <c r="K59" i="157" s="1"/>
  <c r="F60" i="157"/>
  <c r="H60" i="157" s="1"/>
  <c r="K60" i="157" s="1"/>
  <c r="F61" i="157"/>
  <c r="H61" i="157" s="1"/>
  <c r="K61" i="157" s="1"/>
  <c r="F63" i="157"/>
  <c r="H63" i="157" s="1"/>
  <c r="K63" i="157" s="1"/>
  <c r="F67" i="157"/>
  <c r="H67" i="157" s="1"/>
  <c r="K67" i="157" s="1"/>
  <c r="F68" i="157"/>
  <c r="H68" i="157" s="1"/>
  <c r="K68" i="157" s="1"/>
  <c r="F69" i="157"/>
  <c r="H69" i="157" s="1"/>
  <c r="K69" i="157" s="1"/>
  <c r="F71" i="157"/>
  <c r="H71" i="157" s="1"/>
  <c r="K71" i="157" s="1"/>
  <c r="F73" i="157"/>
  <c r="H73" i="157" s="1"/>
  <c r="F75" i="157"/>
  <c r="H75" i="157" s="1"/>
  <c r="K75" i="157" s="1"/>
  <c r="F76" i="157"/>
  <c r="H76" i="157" s="1"/>
  <c r="K76" i="157" s="1"/>
  <c r="F77" i="157"/>
  <c r="H77" i="157" s="1"/>
  <c r="K77" i="157" s="1"/>
  <c r="F79" i="157"/>
  <c r="F83" i="157"/>
  <c r="H83" i="157" s="1"/>
  <c r="F84" i="157"/>
  <c r="H84" i="157" s="1"/>
  <c r="F85" i="157"/>
  <c r="H85" i="157" s="1"/>
  <c r="F87" i="157"/>
  <c r="F91" i="157"/>
  <c r="H91" i="157" s="1"/>
  <c r="F92" i="157"/>
  <c r="H92" i="157" s="1"/>
  <c r="F93" i="157"/>
  <c r="H93" i="157" s="1"/>
  <c r="F95" i="157"/>
  <c r="F99" i="157"/>
  <c r="H99" i="157" s="1"/>
  <c r="F100" i="157"/>
  <c r="F101" i="157"/>
  <c r="H101" i="157" s="1"/>
  <c r="F103" i="157"/>
  <c r="H103" i="157" s="1"/>
  <c r="F107" i="157"/>
  <c r="H107" i="157" s="1"/>
  <c r="F108" i="157"/>
  <c r="F109" i="157"/>
  <c r="H109" i="157" s="1"/>
  <c r="F111" i="157"/>
  <c r="H111" i="157" s="1"/>
  <c r="F115" i="157"/>
  <c r="F116" i="157"/>
  <c r="H116" i="157" s="1"/>
  <c r="F117" i="157"/>
  <c r="H117" i="157" s="1"/>
  <c r="F119" i="157"/>
  <c r="H119" i="157" s="1"/>
  <c r="F123" i="157"/>
  <c r="H123" i="157" s="1"/>
  <c r="F124" i="157"/>
  <c r="H124" i="157" s="1"/>
  <c r="F125" i="157"/>
  <c r="H125" i="157" s="1"/>
  <c r="F127" i="157"/>
  <c r="H127" i="157" s="1"/>
  <c r="F131" i="157"/>
  <c r="H131" i="157" s="1"/>
  <c r="F132" i="157"/>
  <c r="H132" i="157" s="1"/>
  <c r="F133" i="157"/>
  <c r="H133" i="157" s="1"/>
  <c r="F135" i="157"/>
  <c r="H135" i="157" s="1"/>
  <c r="F137" i="157"/>
  <c r="H137" i="157" s="1"/>
  <c r="F139" i="157"/>
  <c r="H139" i="157" s="1"/>
  <c r="F140" i="157"/>
  <c r="H140" i="157" s="1"/>
  <c r="F141" i="157"/>
  <c r="H141" i="157" s="1"/>
  <c r="F143" i="157"/>
  <c r="H143" i="157" s="1"/>
  <c r="F147" i="157"/>
  <c r="H147" i="157" s="1"/>
  <c r="F148" i="157"/>
  <c r="H148" i="157" s="1"/>
  <c r="F149" i="157"/>
  <c r="H149" i="157" s="1"/>
  <c r="F155" i="157"/>
  <c r="H155" i="157" s="1"/>
  <c r="K155" i="157" s="1"/>
  <c r="F157" i="157"/>
  <c r="H157" i="157" s="1"/>
  <c r="K157" i="157" s="1"/>
  <c r="F159" i="157"/>
  <c r="H159" i="157" s="1"/>
  <c r="K159" i="157" s="1"/>
  <c r="F163" i="157"/>
  <c r="H163" i="157" s="1"/>
  <c r="K163" i="157" s="1"/>
  <c r="F164" i="157"/>
  <c r="H164" i="157" s="1"/>
  <c r="K164" i="157" s="1"/>
  <c r="F165" i="157"/>
  <c r="F167" i="157"/>
  <c r="H167" i="157" s="1"/>
  <c r="K167" i="157" s="1"/>
  <c r="F171" i="157"/>
  <c r="H171" i="157" s="1"/>
  <c r="F172" i="157"/>
  <c r="H172" i="157" s="1"/>
  <c r="F173" i="157"/>
  <c r="H173" i="157" s="1"/>
  <c r="F175" i="157"/>
  <c r="H175" i="157" s="1"/>
  <c r="F179" i="157"/>
  <c r="H179" i="157" s="1"/>
  <c r="F180" i="157"/>
  <c r="H180" i="157" s="1"/>
  <c r="F181" i="157"/>
  <c r="H181" i="157" s="1"/>
  <c r="F183" i="157"/>
  <c r="H183" i="157" s="1"/>
  <c r="F187" i="157"/>
  <c r="F188" i="157"/>
  <c r="H188" i="157" s="1"/>
  <c r="F195" i="157"/>
  <c r="F196" i="157"/>
  <c r="H196" i="157" s="1"/>
  <c r="F197" i="157"/>
  <c r="H197" i="157" s="1"/>
  <c r="F199" i="157"/>
  <c r="H199" i="157" s="1"/>
  <c r="K199" i="157" s="1"/>
  <c r="F201" i="157"/>
  <c r="H201" i="157" s="1"/>
  <c r="K201" i="157" s="1"/>
  <c r="F206" i="157"/>
  <c r="H206" i="157" s="1"/>
  <c r="F207" i="157"/>
  <c r="H207" i="157" s="1"/>
  <c r="F208" i="157"/>
  <c r="F210" i="157"/>
  <c r="F214" i="157"/>
  <c r="H214" i="157" s="1"/>
  <c r="K214" i="157" s="1"/>
  <c r="F215" i="157"/>
  <c r="H215" i="157" s="1"/>
  <c r="K215" i="157" s="1"/>
  <c r="F216" i="157"/>
  <c r="H216" i="157" s="1"/>
  <c r="K216" i="157" s="1"/>
  <c r="F218" i="157"/>
  <c r="F222" i="157"/>
  <c r="H222" i="157" s="1"/>
  <c r="F223" i="157"/>
  <c r="H223" i="157" s="1"/>
  <c r="F224" i="157"/>
  <c r="H224" i="157" s="1"/>
  <c r="K224" i="157" s="1"/>
  <c r="F226" i="157"/>
  <c r="H226" i="157" s="1"/>
  <c r="K226" i="157" s="1"/>
  <c r="F230" i="157"/>
  <c r="H230" i="157" s="1"/>
  <c r="K230" i="157" s="1"/>
  <c r="F231" i="157"/>
  <c r="H231" i="157" s="1"/>
  <c r="K231" i="157" s="1"/>
  <c r="F232" i="157"/>
  <c r="H232" i="157" s="1"/>
  <c r="K232" i="157" s="1"/>
  <c r="F234" i="157"/>
  <c r="H234" i="157" s="1"/>
  <c r="K234" i="157" s="1"/>
  <c r="F238" i="157"/>
  <c r="H238" i="157" s="1"/>
  <c r="K238" i="157" s="1"/>
  <c r="F239" i="157"/>
  <c r="F240" i="157"/>
  <c r="F242" i="157"/>
  <c r="H242" i="157" s="1"/>
  <c r="F246" i="157"/>
  <c r="H246" i="157" s="1"/>
  <c r="K246" i="157" s="1"/>
  <c r="F247" i="157"/>
  <c r="H247" i="157" s="1"/>
  <c r="K247" i="157" s="1"/>
  <c r="F248" i="157"/>
  <c r="H248" i="157" s="1"/>
  <c r="K248" i="157" s="1"/>
  <c r="F250" i="157"/>
  <c r="H250" i="157" s="1"/>
  <c r="K250" i="157" s="1"/>
  <c r="F254" i="157"/>
  <c r="H254" i="157" s="1"/>
  <c r="K254" i="157" s="1"/>
  <c r="F255" i="157"/>
  <c r="H255" i="157" s="1"/>
  <c r="K255" i="157" s="1"/>
  <c r="F28" i="158"/>
  <c r="H28" i="158" s="1"/>
  <c r="K28" i="158" s="1"/>
  <c r="F29" i="158"/>
  <c r="H29" i="158" s="1"/>
  <c r="K29" i="158" s="1"/>
  <c r="F32" i="158"/>
  <c r="H32" i="158" s="1"/>
  <c r="K32" i="158" s="1"/>
  <c r="F34" i="158"/>
  <c r="H34" i="158" s="1"/>
  <c r="K34" i="158" s="1"/>
  <c r="F36" i="158"/>
  <c r="H36" i="158" s="1"/>
  <c r="K36" i="158" s="1"/>
  <c r="F37" i="158"/>
  <c r="H37" i="158" s="1"/>
  <c r="K37" i="158" s="1"/>
  <c r="F40" i="158"/>
  <c r="H40" i="158" s="1"/>
  <c r="K40" i="158" s="1"/>
  <c r="F42" i="158"/>
  <c r="H42" i="158" s="1"/>
  <c r="F47" i="158"/>
  <c r="H47" i="158" s="1"/>
  <c r="K47" i="158" s="1"/>
  <c r="F48" i="158"/>
  <c r="H48" i="158" s="1"/>
  <c r="K48" i="158" s="1"/>
  <c r="F49" i="158"/>
  <c r="H49" i="158" s="1"/>
  <c r="F51" i="158"/>
  <c r="F53" i="158"/>
  <c r="H53" i="158" s="1"/>
  <c r="K53" i="158" s="1"/>
  <c r="F59" i="158"/>
  <c r="H59" i="158" s="1"/>
  <c r="K59" i="158" s="1"/>
  <c r="F61" i="158"/>
  <c r="H61" i="158" s="1"/>
  <c r="K61" i="158" s="1"/>
  <c r="F63" i="158"/>
  <c r="H63" i="158" s="1"/>
  <c r="K63" i="158" s="1"/>
  <c r="F65" i="158"/>
  <c r="F67" i="158"/>
  <c r="H67" i="158" s="1"/>
  <c r="K67" i="158" s="1"/>
  <c r="F69" i="158"/>
  <c r="H69" i="158" s="1"/>
  <c r="K69" i="158" s="1"/>
  <c r="F71" i="158"/>
  <c r="H71" i="158" s="1"/>
  <c r="K71" i="158" s="1"/>
  <c r="F73" i="158"/>
  <c r="H73" i="158" s="1"/>
  <c r="F75" i="158"/>
  <c r="H75" i="158" s="1"/>
  <c r="K75" i="158" s="1"/>
  <c r="F77" i="158"/>
  <c r="H77" i="158" s="1"/>
  <c r="K77" i="158" s="1"/>
  <c r="F79" i="158"/>
  <c r="F81" i="158"/>
  <c r="H81" i="158" s="1"/>
  <c r="F83" i="158"/>
  <c r="H83" i="158" s="1"/>
  <c r="F85" i="158"/>
  <c r="H85" i="158" s="1"/>
  <c r="F87" i="158"/>
  <c r="F89" i="158"/>
  <c r="H89" i="158" s="1"/>
  <c r="F91" i="158"/>
  <c r="H91" i="158" s="1"/>
  <c r="F93" i="158"/>
  <c r="H93" i="158" s="1"/>
  <c r="F95" i="158"/>
  <c r="F97" i="158"/>
  <c r="H97" i="158" s="1"/>
  <c r="F99" i="158"/>
  <c r="H99" i="158" s="1"/>
  <c r="F101" i="158"/>
  <c r="H101" i="158" s="1"/>
  <c r="F103" i="158"/>
  <c r="H103" i="158" s="1"/>
  <c r="F105" i="158"/>
  <c r="H105" i="158" s="1"/>
  <c r="F107" i="158"/>
  <c r="H107" i="158" s="1"/>
  <c r="F109" i="158"/>
  <c r="H109" i="158" s="1"/>
  <c r="F111" i="158"/>
  <c r="H111" i="158" s="1"/>
  <c r="F113" i="158"/>
  <c r="H113" i="158" s="1"/>
  <c r="F115" i="158"/>
  <c r="F117" i="158"/>
  <c r="H117" i="158" s="1"/>
  <c r="F119" i="158"/>
  <c r="H119" i="158" s="1"/>
  <c r="F121" i="158"/>
  <c r="H121" i="158" s="1"/>
  <c r="F123" i="158"/>
  <c r="H123" i="158" s="1"/>
  <c r="F125" i="158"/>
  <c r="H125" i="158" s="1"/>
  <c r="F127" i="158"/>
  <c r="H127" i="158" s="1"/>
  <c r="F129" i="158"/>
  <c r="H129" i="158" s="1"/>
  <c r="F131" i="158"/>
  <c r="H131" i="158" s="1"/>
  <c r="F133" i="158"/>
  <c r="H133" i="158" s="1"/>
  <c r="F135" i="158"/>
  <c r="H135" i="158" s="1"/>
  <c r="F137" i="158"/>
  <c r="H137" i="158" s="1"/>
  <c r="F139" i="158"/>
  <c r="H139" i="158" s="1"/>
  <c r="F141" i="158"/>
  <c r="H141" i="158" s="1"/>
  <c r="F143" i="158"/>
  <c r="H143" i="158" s="1"/>
  <c r="F145" i="158"/>
  <c r="H145" i="158" s="1"/>
  <c r="F147" i="158"/>
  <c r="H147" i="158" s="1"/>
  <c r="F149" i="158"/>
  <c r="H149" i="158" s="1"/>
  <c r="F155" i="158"/>
  <c r="H155" i="158" s="1"/>
  <c r="K155" i="158" s="1"/>
  <c r="F157" i="158"/>
  <c r="H157" i="158" s="1"/>
  <c r="K157" i="158" s="1"/>
  <c r="F159" i="158"/>
  <c r="H159" i="158" s="1"/>
  <c r="K159" i="158" s="1"/>
  <c r="F163" i="158"/>
  <c r="H163" i="158" s="1"/>
  <c r="K163" i="158" s="1"/>
  <c r="F165" i="158"/>
  <c r="F167" i="158"/>
  <c r="H167" i="158" s="1"/>
  <c r="K167" i="158" s="1"/>
  <c r="F169" i="158"/>
  <c r="H169" i="158" s="1"/>
  <c r="F171" i="158"/>
  <c r="H171" i="158" s="1"/>
  <c r="F173" i="158"/>
  <c r="H173" i="158" s="1"/>
  <c r="F175" i="158"/>
  <c r="H175" i="158" s="1"/>
  <c r="F177" i="158"/>
  <c r="H177" i="158" s="1"/>
  <c r="F179" i="158"/>
  <c r="H179" i="158" s="1"/>
  <c r="F181" i="158"/>
  <c r="H181" i="158" s="1"/>
  <c r="F183" i="158"/>
  <c r="H183" i="158" s="1"/>
  <c r="F185" i="158"/>
  <c r="H185" i="158" s="1"/>
  <c r="F187" i="158"/>
  <c r="F193" i="158"/>
  <c r="F195" i="158"/>
  <c r="F197" i="158"/>
  <c r="H197" i="158" s="1"/>
  <c r="F206" i="158"/>
  <c r="H206" i="158" s="1"/>
  <c r="F208" i="158"/>
  <c r="F210" i="158"/>
  <c r="F212" i="158"/>
  <c r="H212" i="158" s="1"/>
  <c r="K212" i="158" s="1"/>
  <c r="F214" i="158"/>
  <c r="H214" i="158" s="1"/>
  <c r="K214" i="158" s="1"/>
  <c r="F216" i="158"/>
  <c r="H216" i="158" s="1"/>
  <c r="K216" i="158" s="1"/>
  <c r="F218" i="158"/>
  <c r="F219" i="158"/>
  <c r="H219" i="158" s="1"/>
  <c r="F220" i="158"/>
  <c r="F222" i="158"/>
  <c r="H222" i="158" s="1"/>
  <c r="F224" i="158"/>
  <c r="H224" i="158" s="1"/>
  <c r="K224" i="158" s="1"/>
  <c r="F226" i="158"/>
  <c r="H226" i="158" s="1"/>
  <c r="K226" i="158" s="1"/>
  <c r="F228" i="158"/>
  <c r="H228" i="158" s="1"/>
  <c r="K228" i="158" s="1"/>
  <c r="F230" i="158"/>
  <c r="H230" i="158" s="1"/>
  <c r="K230" i="158" s="1"/>
  <c r="F232" i="158"/>
  <c r="H232" i="158" s="1"/>
  <c r="K232" i="158" s="1"/>
  <c r="F236" i="158"/>
  <c r="F240" i="158"/>
  <c r="F242" i="158"/>
  <c r="H242" i="158" s="1"/>
  <c r="F246" i="158"/>
  <c r="H246" i="158" s="1"/>
  <c r="K246" i="158" s="1"/>
  <c r="F250" i="158"/>
  <c r="H250" i="158" s="1"/>
  <c r="K250" i="158" s="1"/>
  <c r="H25" i="159"/>
  <c r="K25" i="159" s="1"/>
  <c r="F27" i="159"/>
  <c r="H27" i="159" s="1"/>
  <c r="F28" i="159"/>
  <c r="H28" i="159" s="1"/>
  <c r="K28" i="159" s="1"/>
  <c r="F33" i="159"/>
  <c r="H33" i="159" s="1"/>
  <c r="K33" i="159" s="1"/>
  <c r="F34" i="159"/>
  <c r="H34" i="159" s="1"/>
  <c r="K34" i="159" s="1"/>
  <c r="F35" i="159"/>
  <c r="H35" i="159" s="1"/>
  <c r="K35" i="159" s="1"/>
  <c r="F36" i="159"/>
  <c r="H36" i="159" s="1"/>
  <c r="K36" i="159" s="1"/>
  <c r="F40" i="159"/>
  <c r="H40" i="159" s="1"/>
  <c r="K40" i="159" s="1"/>
  <c r="F42" i="159"/>
  <c r="H42" i="159" s="1"/>
  <c r="F49" i="159"/>
  <c r="H49" i="159" s="1"/>
  <c r="F50" i="159"/>
  <c r="F51" i="159"/>
  <c r="F58" i="159"/>
  <c r="H58" i="159" s="1"/>
  <c r="K58" i="159" s="1"/>
  <c r="F59" i="159"/>
  <c r="H59" i="159" s="1"/>
  <c r="K59" i="159" s="1"/>
  <c r="F60" i="159"/>
  <c r="H60" i="159" s="1"/>
  <c r="K60" i="159" s="1"/>
  <c r="F65" i="159"/>
  <c r="F66" i="159"/>
  <c r="H66" i="159" s="1"/>
  <c r="K66" i="159" s="1"/>
  <c r="F67" i="159"/>
  <c r="H67" i="159" s="1"/>
  <c r="K67" i="159" s="1"/>
  <c r="F68" i="159"/>
  <c r="H68" i="159" s="1"/>
  <c r="K68" i="159" s="1"/>
  <c r="F72" i="159"/>
  <c r="H72" i="159" s="1"/>
  <c r="K72" i="159" s="1"/>
  <c r="F73" i="159"/>
  <c r="H73" i="159" s="1"/>
  <c r="F74" i="159"/>
  <c r="H74" i="159" s="1"/>
  <c r="K74" i="159" s="1"/>
  <c r="F75" i="159"/>
  <c r="H75" i="159" s="1"/>
  <c r="K75" i="159" s="1"/>
  <c r="F76" i="159"/>
  <c r="H76" i="159" s="1"/>
  <c r="K76" i="159" s="1"/>
  <c r="F77" i="159"/>
  <c r="H77" i="159" s="1"/>
  <c r="K77" i="159" s="1"/>
  <c r="F81" i="159"/>
  <c r="H81" i="159" s="1"/>
  <c r="F82" i="159"/>
  <c r="H82" i="159" s="1"/>
  <c r="F83" i="159"/>
  <c r="H83" i="159" s="1"/>
  <c r="K83" i="159" s="1"/>
  <c r="F84" i="159"/>
  <c r="H84" i="159" s="1"/>
  <c r="K84" i="159" s="1"/>
  <c r="F89" i="159"/>
  <c r="H89" i="159" s="1"/>
  <c r="K89" i="159" s="1"/>
  <c r="F92" i="159"/>
  <c r="H92" i="159" s="1"/>
  <c r="K92" i="159" s="1"/>
  <c r="F98" i="159"/>
  <c r="H98" i="159" s="1"/>
  <c r="K98" i="159" s="1"/>
  <c r="F99" i="159"/>
  <c r="H99" i="159" s="1"/>
  <c r="K99" i="159" s="1"/>
  <c r="F100" i="159"/>
  <c r="F104" i="159"/>
  <c r="H104" i="159" s="1"/>
  <c r="K104" i="159" s="1"/>
  <c r="F105" i="159"/>
  <c r="H105" i="159" s="1"/>
  <c r="K105" i="159" s="1"/>
  <c r="F106" i="159"/>
  <c r="H106" i="159" s="1"/>
  <c r="K106" i="159" s="1"/>
  <c r="F107" i="159"/>
  <c r="H107" i="159" s="1"/>
  <c r="K107" i="159" s="1"/>
  <c r="F108" i="159"/>
  <c r="F109" i="159"/>
  <c r="H109" i="159" s="1"/>
  <c r="K109" i="159" s="1"/>
  <c r="F113" i="159"/>
  <c r="H113" i="159" s="1"/>
  <c r="K113" i="159" s="1"/>
  <c r="F114" i="159"/>
  <c r="H114" i="159" s="1"/>
  <c r="K114" i="159" s="1"/>
  <c r="F115" i="159"/>
  <c r="F116" i="159"/>
  <c r="H116" i="159" s="1"/>
  <c r="K116" i="159" s="1"/>
  <c r="F121" i="159"/>
  <c r="H121" i="159" s="1"/>
  <c r="F122" i="159"/>
  <c r="F123" i="159"/>
  <c r="H123" i="159" s="1"/>
  <c r="F129" i="159"/>
  <c r="H129" i="159" s="1"/>
  <c r="F130" i="159"/>
  <c r="H130" i="159" s="1"/>
  <c r="F131" i="159"/>
  <c r="H131" i="159" s="1"/>
  <c r="F132" i="159"/>
  <c r="H132" i="159" s="1"/>
  <c r="F136" i="159"/>
  <c r="H136" i="159" s="1"/>
  <c r="F137" i="159"/>
  <c r="H137" i="159" s="1"/>
  <c r="F138" i="159"/>
  <c r="H138" i="159" s="1"/>
  <c r="F139" i="159"/>
  <c r="H139" i="159" s="1"/>
  <c r="F140" i="159"/>
  <c r="H140" i="159" s="1"/>
  <c r="F141" i="159"/>
  <c r="H141" i="159" s="1"/>
  <c r="F145" i="159"/>
  <c r="H145" i="159" s="1"/>
  <c r="F146" i="159"/>
  <c r="H146" i="159" s="1"/>
  <c r="F147" i="159"/>
  <c r="H147" i="159" s="1"/>
  <c r="F148" i="159"/>
  <c r="H148" i="159" s="1"/>
  <c r="F154" i="159"/>
  <c r="H154" i="159" s="1"/>
  <c r="K154" i="159" s="1"/>
  <c r="F155" i="159"/>
  <c r="H155" i="159" s="1"/>
  <c r="K155" i="159" s="1"/>
  <c r="F162" i="159"/>
  <c r="H162" i="159" s="1"/>
  <c r="K162" i="159" s="1"/>
  <c r="F163" i="159"/>
  <c r="H163" i="159" s="1"/>
  <c r="K163" i="159" s="1"/>
  <c r="F164" i="159"/>
  <c r="H164" i="159" s="1"/>
  <c r="K164" i="159" s="1"/>
  <c r="F171" i="159"/>
  <c r="H171" i="159" s="1"/>
  <c r="F172" i="159"/>
  <c r="H172" i="159" s="1"/>
  <c r="F173" i="159"/>
  <c r="H173" i="159" s="1"/>
  <c r="F177" i="159"/>
  <c r="H177" i="159" s="1"/>
  <c r="F178" i="159"/>
  <c r="H178" i="159" s="1"/>
  <c r="F179" i="159"/>
  <c r="H179" i="159" s="1"/>
  <c r="F180" i="159"/>
  <c r="H180" i="159" s="1"/>
  <c r="F185" i="159"/>
  <c r="H185" i="159" s="1"/>
  <c r="F186" i="159"/>
  <c r="H186" i="159" s="1"/>
  <c r="F187" i="159"/>
  <c r="F188" i="159"/>
  <c r="H188" i="159" s="1"/>
  <c r="F193" i="159"/>
  <c r="F194" i="159"/>
  <c r="H194" i="159" s="1"/>
  <c r="K194" i="159" s="1"/>
  <c r="K193" i="159" s="1"/>
  <c r="C12" i="159" s="1"/>
  <c r="F195" i="159"/>
  <c r="F196" i="159"/>
  <c r="H196" i="159" s="1"/>
  <c r="F200" i="159"/>
  <c r="H200" i="159" s="1"/>
  <c r="K200" i="159" s="1"/>
  <c r="F201" i="159"/>
  <c r="H201" i="159" s="1"/>
  <c r="K201" i="159" s="1"/>
  <c r="F205" i="159"/>
  <c r="H205" i="159" s="1"/>
  <c r="F206" i="159"/>
  <c r="H206" i="159" s="1"/>
  <c r="F207" i="159"/>
  <c r="H207" i="159" s="1"/>
  <c r="F208" i="159"/>
  <c r="F212" i="159"/>
  <c r="H212" i="159" s="1"/>
  <c r="K212" i="159" s="1"/>
  <c r="F213" i="159"/>
  <c r="F214" i="159"/>
  <c r="H214" i="159" s="1"/>
  <c r="K214" i="159" s="1"/>
  <c r="F215" i="159"/>
  <c r="H215" i="159" s="1"/>
  <c r="K215" i="159" s="1"/>
  <c r="F220" i="159"/>
  <c r="F221" i="159"/>
  <c r="H221" i="159" s="1"/>
  <c r="F222" i="159"/>
  <c r="H222" i="159" s="1"/>
  <c r="F223" i="159"/>
  <c r="H223" i="159" s="1"/>
  <c r="F228" i="159"/>
  <c r="H228" i="159" s="1"/>
  <c r="F229" i="159"/>
  <c r="H229" i="159" s="1"/>
  <c r="F230" i="159"/>
  <c r="H230" i="159" s="1"/>
  <c r="F231" i="159"/>
  <c r="F235" i="159"/>
  <c r="F236" i="159"/>
  <c r="F237" i="159"/>
  <c r="H237" i="159" s="1"/>
  <c r="K237" i="159" s="1"/>
  <c r="F238" i="159"/>
  <c r="H238" i="159" s="1"/>
  <c r="K238" i="159" s="1"/>
  <c r="F239" i="159"/>
  <c r="F240" i="159"/>
  <c r="F244" i="159"/>
  <c r="H244" i="159" s="1"/>
  <c r="K244" i="159" s="1"/>
  <c r="F245" i="159"/>
  <c r="H245" i="159" s="1"/>
  <c r="K245" i="159" s="1"/>
  <c r="F246" i="159"/>
  <c r="H246" i="159" s="1"/>
  <c r="K246" i="159" s="1"/>
  <c r="F247" i="159"/>
  <c r="H247" i="159" s="1"/>
  <c r="K247" i="159" s="1"/>
  <c r="F252" i="159"/>
  <c r="H252" i="159" s="1"/>
  <c r="K252" i="159" s="1"/>
  <c r="H25" i="153"/>
  <c r="F50" i="153"/>
  <c r="F51" i="153"/>
  <c r="F65" i="153"/>
  <c r="F78" i="153"/>
  <c r="F79" i="153"/>
  <c r="F100" i="153"/>
  <c r="F108" i="153"/>
  <c r="F115" i="153"/>
  <c r="F122" i="153"/>
  <c r="F150" i="153"/>
  <c r="F165" i="153"/>
  <c r="F187" i="153"/>
  <c r="F193" i="153"/>
  <c r="F195" i="153"/>
  <c r="F208" i="153"/>
  <c r="F210" i="153"/>
  <c r="F213" i="153"/>
  <c r="F220" i="153"/>
  <c r="F241" i="153"/>
  <c r="F253" i="153"/>
  <c r="F254" i="153"/>
  <c r="H254" i="153" s="1"/>
  <c r="K254" i="153" s="1"/>
  <c r="F255" i="153"/>
  <c r="H255" i="153" s="1"/>
  <c r="K255" i="153" s="1"/>
  <c r="H25" i="160"/>
  <c r="K25" i="160" s="1"/>
  <c r="F27" i="160"/>
  <c r="H27" i="160" s="1"/>
  <c r="F28" i="160"/>
  <c r="H28" i="160" s="1"/>
  <c r="K28" i="160" s="1"/>
  <c r="F29" i="160"/>
  <c r="H29" i="160" s="1"/>
  <c r="K29" i="160" s="1"/>
  <c r="F31" i="160"/>
  <c r="H31" i="160" s="1"/>
  <c r="K31" i="160" s="1"/>
  <c r="F33" i="160"/>
  <c r="H33" i="160" s="1"/>
  <c r="K33" i="160" s="1"/>
  <c r="F35" i="160"/>
  <c r="H35" i="160" s="1"/>
  <c r="K35" i="160" s="1"/>
  <c r="F36" i="160"/>
  <c r="H36" i="160" s="1"/>
  <c r="K36" i="160" s="1"/>
  <c r="F37" i="160"/>
  <c r="H37" i="160" s="1"/>
  <c r="K37" i="160" s="1"/>
  <c r="F39" i="160"/>
  <c r="H39" i="160" s="1"/>
  <c r="K39" i="160" s="1"/>
  <c r="F45" i="160"/>
  <c r="F47" i="160"/>
  <c r="H47" i="160" s="1"/>
  <c r="K47" i="160" s="1"/>
  <c r="F49" i="160"/>
  <c r="H49" i="160" s="1"/>
  <c r="F51" i="160"/>
  <c r="F53" i="160"/>
  <c r="H53" i="160" s="1"/>
  <c r="K53" i="160" s="1"/>
  <c r="F59" i="160"/>
  <c r="H59" i="160" s="1"/>
  <c r="K59" i="160" s="1"/>
  <c r="F60" i="160"/>
  <c r="H60" i="160" s="1"/>
  <c r="K60" i="160" s="1"/>
  <c r="F61" i="160"/>
  <c r="H61" i="160" s="1"/>
  <c r="K61" i="160" s="1"/>
  <c r="F63" i="160"/>
  <c r="H63" i="160" s="1"/>
  <c r="K63" i="160" s="1"/>
  <c r="F65" i="160"/>
  <c r="F67" i="160"/>
  <c r="H67" i="160" s="1"/>
  <c r="K67" i="160" s="1"/>
  <c r="F68" i="160"/>
  <c r="H68" i="160" s="1"/>
  <c r="K68" i="160" s="1"/>
  <c r="F69" i="160"/>
  <c r="H69" i="160" s="1"/>
  <c r="K69" i="160" s="1"/>
  <c r="F71" i="160"/>
  <c r="H71" i="160" s="1"/>
  <c r="K71" i="160" s="1"/>
  <c r="F73" i="160"/>
  <c r="H73" i="160" s="1"/>
  <c r="F75" i="160"/>
  <c r="H75" i="160" s="1"/>
  <c r="K75" i="160" s="1"/>
  <c r="F76" i="160"/>
  <c r="H76" i="160" s="1"/>
  <c r="K76" i="160" s="1"/>
  <c r="F77" i="160"/>
  <c r="H77" i="160" s="1"/>
  <c r="K77" i="160" s="1"/>
  <c r="F79" i="160"/>
  <c r="F81" i="160"/>
  <c r="H81" i="160" s="1"/>
  <c r="F83" i="160"/>
  <c r="H83" i="160" s="1"/>
  <c r="F84" i="160"/>
  <c r="H84" i="160" s="1"/>
  <c r="F85" i="160"/>
  <c r="H85" i="160" s="1"/>
  <c r="F87" i="160"/>
  <c r="F89" i="160"/>
  <c r="H89" i="160" s="1"/>
  <c r="F91" i="160"/>
  <c r="H91" i="160" s="1"/>
  <c r="F92" i="160"/>
  <c r="H92" i="160" s="1"/>
  <c r="F93" i="160"/>
  <c r="H93" i="160" s="1"/>
  <c r="F95" i="160"/>
  <c r="F97" i="160"/>
  <c r="H97" i="160" s="1"/>
  <c r="F99" i="160"/>
  <c r="H99" i="160" s="1"/>
  <c r="F100" i="160"/>
  <c r="F101" i="160"/>
  <c r="H101" i="160" s="1"/>
  <c r="F103" i="160"/>
  <c r="H103" i="160" s="1"/>
  <c r="F105" i="160"/>
  <c r="H105" i="160" s="1"/>
  <c r="F107" i="160"/>
  <c r="H107" i="160" s="1"/>
  <c r="F108" i="160"/>
  <c r="F109" i="160"/>
  <c r="H109" i="160" s="1"/>
  <c r="F111" i="160"/>
  <c r="H111" i="160" s="1"/>
  <c r="F113" i="160"/>
  <c r="H113" i="160" s="1"/>
  <c r="F115" i="160"/>
  <c r="F116" i="160"/>
  <c r="H116" i="160" s="1"/>
  <c r="F117" i="160"/>
  <c r="H117" i="160" s="1"/>
  <c r="F119" i="160"/>
  <c r="H119" i="160" s="1"/>
  <c r="F121" i="160"/>
  <c r="H121" i="160" s="1"/>
  <c r="F123" i="160"/>
  <c r="H123" i="160" s="1"/>
  <c r="F124" i="160"/>
  <c r="H124" i="160" s="1"/>
  <c r="F125" i="160"/>
  <c r="H125" i="160" s="1"/>
  <c r="F127" i="160"/>
  <c r="H127" i="160" s="1"/>
  <c r="F129" i="160"/>
  <c r="H129" i="160" s="1"/>
  <c r="F131" i="160"/>
  <c r="H131" i="160" s="1"/>
  <c r="F132" i="160"/>
  <c r="H132" i="160" s="1"/>
  <c r="F133" i="160"/>
  <c r="H133" i="160" s="1"/>
  <c r="F135" i="160"/>
  <c r="H135" i="160" s="1"/>
  <c r="F137" i="160"/>
  <c r="H137" i="160" s="1"/>
  <c r="F139" i="160"/>
  <c r="H139" i="160" s="1"/>
  <c r="F140" i="160"/>
  <c r="H140" i="160" s="1"/>
  <c r="F141" i="160"/>
  <c r="H141" i="160" s="1"/>
  <c r="F143" i="160"/>
  <c r="H143" i="160" s="1"/>
  <c r="F145" i="160"/>
  <c r="H145" i="160" s="1"/>
  <c r="F147" i="160"/>
  <c r="H147" i="160" s="1"/>
  <c r="F148" i="160"/>
  <c r="H148" i="160" s="1"/>
  <c r="F149" i="160"/>
  <c r="H149" i="160" s="1"/>
  <c r="F155" i="160"/>
  <c r="H155" i="160" s="1"/>
  <c r="K155" i="160" s="1"/>
  <c r="F157" i="160"/>
  <c r="H157" i="160" s="1"/>
  <c r="K157" i="160" s="1"/>
  <c r="F159" i="160"/>
  <c r="H159" i="160" s="1"/>
  <c r="K159" i="160" s="1"/>
  <c r="F163" i="160"/>
  <c r="H163" i="160" s="1"/>
  <c r="K163" i="160" s="1"/>
  <c r="F164" i="160"/>
  <c r="H164" i="160" s="1"/>
  <c r="K164" i="160" s="1"/>
  <c r="F165" i="160"/>
  <c r="F167" i="160"/>
  <c r="H167" i="160" s="1"/>
  <c r="K167" i="160" s="1"/>
  <c r="F169" i="160"/>
  <c r="H169" i="160" s="1"/>
  <c r="F171" i="160"/>
  <c r="H171" i="160" s="1"/>
  <c r="F172" i="160"/>
  <c r="H172" i="160" s="1"/>
  <c r="F173" i="160"/>
  <c r="H173" i="160" s="1"/>
  <c r="F175" i="160"/>
  <c r="H175" i="160" s="1"/>
  <c r="F177" i="160"/>
  <c r="H177" i="160" s="1"/>
  <c r="F179" i="160"/>
  <c r="H179" i="160" s="1"/>
  <c r="F180" i="160"/>
  <c r="H180" i="160" s="1"/>
  <c r="F181" i="160"/>
  <c r="H181" i="160" s="1"/>
  <c r="F183" i="160"/>
  <c r="H183" i="160" s="1"/>
  <c r="F185" i="160"/>
  <c r="H185" i="160" s="1"/>
  <c r="F187" i="160"/>
  <c r="F188" i="160"/>
  <c r="H188" i="160" s="1"/>
  <c r="F193" i="160"/>
  <c r="F195" i="160"/>
  <c r="F196" i="160"/>
  <c r="H196" i="160" s="1"/>
  <c r="F197" i="160"/>
  <c r="H197" i="160" s="1"/>
  <c r="F199" i="160"/>
  <c r="H199" i="160" s="1"/>
  <c r="K199" i="160" s="1"/>
  <c r="F201" i="160"/>
  <c r="H201" i="160" s="1"/>
  <c r="K201" i="160" s="1"/>
  <c r="F208" i="160"/>
  <c r="F210" i="160"/>
  <c r="F212" i="160"/>
  <c r="H212" i="160" s="1"/>
  <c r="K212" i="160" s="1"/>
  <c r="F214" i="160"/>
  <c r="H214" i="160" s="1"/>
  <c r="K214" i="160" s="1"/>
  <c r="F215" i="160"/>
  <c r="H215" i="160" s="1"/>
  <c r="K215" i="160" s="1"/>
  <c r="F216" i="160"/>
  <c r="H216" i="160" s="1"/>
  <c r="K216" i="160" s="1"/>
  <c r="F218" i="160"/>
  <c r="F220" i="160"/>
  <c r="F223" i="160"/>
  <c r="H223" i="160" s="1"/>
  <c r="F224" i="160"/>
  <c r="H224" i="160" s="1"/>
  <c r="K224" i="160" s="1"/>
  <c r="F226" i="160"/>
  <c r="H226" i="160" s="1"/>
  <c r="K226" i="160" s="1"/>
  <c r="F228" i="160"/>
  <c r="H228" i="160" s="1"/>
  <c r="K228" i="160" s="1"/>
  <c r="F230" i="160"/>
  <c r="H230" i="160" s="1"/>
  <c r="K230" i="160" s="1"/>
  <c r="F231" i="160"/>
  <c r="H231" i="160" s="1"/>
  <c r="K231" i="160" s="1"/>
  <c r="F232" i="160"/>
  <c r="H232" i="160" s="1"/>
  <c r="K232" i="160" s="1"/>
  <c r="F236" i="160"/>
  <c r="H236" i="160" s="1"/>
  <c r="F238" i="160"/>
  <c r="H238" i="160" s="1"/>
  <c r="K238" i="160" s="1"/>
  <c r="F239" i="160"/>
  <c r="H239" i="160" s="1"/>
  <c r="F240" i="160"/>
  <c r="F242" i="160"/>
  <c r="H242" i="160" s="1"/>
  <c r="F246" i="160"/>
  <c r="H246" i="160" s="1"/>
  <c r="K246" i="160" s="1"/>
  <c r="F247" i="160"/>
  <c r="H247" i="160" s="1"/>
  <c r="K247" i="160" s="1"/>
  <c r="F250" i="160"/>
  <c r="H250" i="160" s="1"/>
  <c r="K250" i="160" s="1"/>
  <c r="H25" i="156"/>
  <c r="F27" i="156"/>
  <c r="H27" i="156" s="1"/>
  <c r="F28" i="156"/>
  <c r="H28" i="156" s="1"/>
  <c r="K28" i="156" s="1"/>
  <c r="F29" i="156"/>
  <c r="H29" i="156" s="1"/>
  <c r="K29" i="156" s="1"/>
  <c r="F32" i="156"/>
  <c r="H32" i="156" s="1"/>
  <c r="K32" i="156" s="1"/>
  <c r="F33" i="156"/>
  <c r="H33" i="156" s="1"/>
  <c r="K33" i="156" s="1"/>
  <c r="F34" i="156"/>
  <c r="H34" i="156" s="1"/>
  <c r="K34" i="156" s="1"/>
  <c r="F35" i="156"/>
  <c r="H35" i="156" s="1"/>
  <c r="K35" i="156" s="1"/>
  <c r="F36" i="156"/>
  <c r="H36" i="156" s="1"/>
  <c r="K36" i="156" s="1"/>
  <c r="F37" i="156"/>
  <c r="H37" i="156" s="1"/>
  <c r="K37" i="156" s="1"/>
  <c r="F40" i="156"/>
  <c r="H40" i="156" s="1"/>
  <c r="K40" i="156" s="1"/>
  <c r="F42" i="156"/>
  <c r="H42" i="156" s="1"/>
  <c r="F45" i="156"/>
  <c r="F48" i="156"/>
  <c r="H48" i="156" s="1"/>
  <c r="K48" i="156" s="1"/>
  <c r="F49" i="156"/>
  <c r="H49" i="156" s="1"/>
  <c r="F50" i="156"/>
  <c r="F51" i="156"/>
  <c r="F52" i="156"/>
  <c r="H52" i="156" s="1"/>
  <c r="K52" i="156" s="1"/>
  <c r="F53" i="156"/>
  <c r="H53" i="156" s="1"/>
  <c r="K53" i="156" s="1"/>
  <c r="F58" i="156"/>
  <c r="H58" i="156" s="1"/>
  <c r="K58" i="156" s="1"/>
  <c r="F59" i="156"/>
  <c r="H59" i="156" s="1"/>
  <c r="K59" i="156" s="1"/>
  <c r="F60" i="156"/>
  <c r="H60" i="156" s="1"/>
  <c r="K60" i="156" s="1"/>
  <c r="F61" i="156"/>
  <c r="H61" i="156" s="1"/>
  <c r="K61" i="156" s="1"/>
  <c r="F64" i="156"/>
  <c r="H64" i="156" s="1"/>
  <c r="K64" i="156" s="1"/>
  <c r="F65" i="156"/>
  <c r="F66" i="156"/>
  <c r="H66" i="156" s="1"/>
  <c r="K66" i="156" s="1"/>
  <c r="F67" i="156"/>
  <c r="H67" i="156" s="1"/>
  <c r="K67" i="156" s="1"/>
  <c r="F68" i="156"/>
  <c r="H68" i="156" s="1"/>
  <c r="K68" i="156" s="1"/>
  <c r="F69" i="156"/>
  <c r="H69" i="156" s="1"/>
  <c r="K69" i="156" s="1"/>
  <c r="F72" i="156"/>
  <c r="H72" i="156" s="1"/>
  <c r="K72" i="156" s="1"/>
  <c r="F73" i="156"/>
  <c r="H73" i="156" s="1"/>
  <c r="F74" i="156"/>
  <c r="H74" i="156" s="1"/>
  <c r="K74" i="156" s="1"/>
  <c r="F75" i="156"/>
  <c r="H75" i="156" s="1"/>
  <c r="K75" i="156" s="1"/>
  <c r="F76" i="156"/>
  <c r="H76" i="156" s="1"/>
  <c r="K76" i="156" s="1"/>
  <c r="F77" i="156"/>
  <c r="H77" i="156" s="1"/>
  <c r="K77" i="156" s="1"/>
  <c r="F80" i="156"/>
  <c r="H80" i="156" s="1"/>
  <c r="F81" i="156"/>
  <c r="H81" i="156" s="1"/>
  <c r="F82" i="156"/>
  <c r="H82" i="156" s="1"/>
  <c r="F83" i="156"/>
  <c r="H83" i="156" s="1"/>
  <c r="F84" i="156"/>
  <c r="H84" i="156" s="1"/>
  <c r="F85" i="156"/>
  <c r="H85" i="156" s="1"/>
  <c r="F88" i="156"/>
  <c r="H88" i="156" s="1"/>
  <c r="F89" i="156"/>
  <c r="H89" i="156" s="1"/>
  <c r="F90" i="156"/>
  <c r="H90" i="156" s="1"/>
  <c r="F91" i="156"/>
  <c r="H91" i="156" s="1"/>
  <c r="F92" i="156"/>
  <c r="H92" i="156" s="1"/>
  <c r="F93" i="156"/>
  <c r="H93" i="156" s="1"/>
  <c r="F96" i="156"/>
  <c r="H96" i="156" s="1"/>
  <c r="F97" i="156"/>
  <c r="H97" i="156" s="1"/>
  <c r="F98" i="156"/>
  <c r="H98" i="156" s="1"/>
  <c r="F99" i="156"/>
  <c r="H99" i="156" s="1"/>
  <c r="F100" i="156"/>
  <c r="F101" i="156"/>
  <c r="H101" i="156" s="1"/>
  <c r="F104" i="156"/>
  <c r="H104" i="156" s="1"/>
  <c r="F105" i="156"/>
  <c r="H105" i="156" s="1"/>
  <c r="F106" i="156"/>
  <c r="H106" i="156" s="1"/>
  <c r="F107" i="156"/>
  <c r="H107" i="156" s="1"/>
  <c r="F108" i="156"/>
  <c r="F109" i="156"/>
  <c r="H109" i="156" s="1"/>
  <c r="F112" i="156"/>
  <c r="H112" i="156" s="1"/>
  <c r="F113" i="156"/>
  <c r="H113" i="156" s="1"/>
  <c r="F114" i="156"/>
  <c r="H114" i="156" s="1"/>
  <c r="F115" i="156"/>
  <c r="F116" i="156"/>
  <c r="H116" i="156" s="1"/>
  <c r="F117" i="156"/>
  <c r="H117" i="156" s="1"/>
  <c r="F120" i="156"/>
  <c r="H120" i="156" s="1"/>
  <c r="F121" i="156"/>
  <c r="H121" i="156" s="1"/>
  <c r="F122" i="156"/>
  <c r="F123" i="156"/>
  <c r="H123" i="156" s="1"/>
  <c r="F124" i="156"/>
  <c r="H124" i="156" s="1"/>
  <c r="F125" i="156"/>
  <c r="H125" i="156" s="1"/>
  <c r="F128" i="156"/>
  <c r="H128" i="156" s="1"/>
  <c r="F129" i="156"/>
  <c r="H129" i="156" s="1"/>
  <c r="F130" i="156"/>
  <c r="H130" i="156" s="1"/>
  <c r="F131" i="156"/>
  <c r="H131" i="156" s="1"/>
  <c r="F132" i="156"/>
  <c r="H132" i="156" s="1"/>
  <c r="F133" i="156"/>
  <c r="H133" i="156" s="1"/>
  <c r="F136" i="156"/>
  <c r="H136" i="156" s="1"/>
  <c r="F137" i="156"/>
  <c r="H137" i="156" s="1"/>
  <c r="F138" i="156"/>
  <c r="H138" i="156" s="1"/>
  <c r="F139" i="156"/>
  <c r="H139" i="156" s="1"/>
  <c r="F140" i="156"/>
  <c r="H140" i="156" s="1"/>
  <c r="F141" i="156"/>
  <c r="H141" i="156" s="1"/>
  <c r="F144" i="156"/>
  <c r="H144" i="156" s="1"/>
  <c r="F145" i="156"/>
  <c r="H145" i="156" s="1"/>
  <c r="F146" i="156"/>
  <c r="H146" i="156" s="1"/>
  <c r="F147" i="156"/>
  <c r="H147" i="156" s="1"/>
  <c r="F148" i="156"/>
  <c r="H148" i="156" s="1"/>
  <c r="F149" i="156"/>
  <c r="H149" i="156" s="1"/>
  <c r="F154" i="156"/>
  <c r="H154" i="156" s="1"/>
  <c r="K154" i="156" s="1"/>
  <c r="F155" i="156"/>
  <c r="H155" i="156" s="1"/>
  <c r="K155" i="156" s="1"/>
  <c r="F157" i="156"/>
  <c r="H157" i="156" s="1"/>
  <c r="K157" i="156" s="1"/>
  <c r="F162" i="156"/>
  <c r="H162" i="156" s="1"/>
  <c r="K162" i="156" s="1"/>
  <c r="F163" i="156"/>
  <c r="H163" i="156" s="1"/>
  <c r="K163" i="156" s="1"/>
  <c r="F164" i="156"/>
  <c r="H164" i="156" s="1"/>
  <c r="K164" i="156" s="1"/>
  <c r="F165" i="156"/>
  <c r="F168" i="156"/>
  <c r="H168" i="156" s="1"/>
  <c r="K168" i="156" s="1"/>
  <c r="F169" i="156"/>
  <c r="H169" i="156" s="1"/>
  <c r="F170" i="156"/>
  <c r="H170" i="156" s="1"/>
  <c r="F171" i="156"/>
  <c r="H171" i="156" s="1"/>
  <c r="F172" i="156"/>
  <c r="H172" i="156" s="1"/>
  <c r="F173" i="156"/>
  <c r="H173" i="156" s="1"/>
  <c r="F176" i="156"/>
  <c r="H176" i="156" s="1"/>
  <c r="F177" i="156"/>
  <c r="H177" i="156" s="1"/>
  <c r="F178" i="156"/>
  <c r="H178" i="156" s="1"/>
  <c r="F179" i="156"/>
  <c r="H179" i="156" s="1"/>
  <c r="F180" i="156"/>
  <c r="H180" i="156" s="1"/>
  <c r="F181" i="156"/>
  <c r="H181" i="156" s="1"/>
  <c r="F184" i="156"/>
  <c r="H184" i="156" s="1"/>
  <c r="F185" i="156"/>
  <c r="H185" i="156" s="1"/>
  <c r="F186" i="156"/>
  <c r="H186" i="156" s="1"/>
  <c r="F187" i="156"/>
  <c r="F188" i="156"/>
  <c r="H188" i="156" s="1"/>
  <c r="F193" i="156"/>
  <c r="F194" i="156"/>
  <c r="H194" i="156" s="1"/>
  <c r="K194" i="156" s="1"/>
  <c r="K193" i="156" s="1"/>
  <c r="C12" i="156" s="1"/>
  <c r="F195" i="156"/>
  <c r="F196" i="156"/>
  <c r="H196" i="156" s="1"/>
  <c r="F197" i="156"/>
  <c r="H197" i="156" s="1"/>
  <c r="F205" i="156"/>
  <c r="H205" i="156" s="1"/>
  <c r="F206" i="156"/>
  <c r="H206" i="156" s="1"/>
  <c r="F207" i="156"/>
  <c r="H207" i="156" s="1"/>
  <c r="F208" i="156"/>
  <c r="F211" i="156"/>
  <c r="H211" i="156" s="1"/>
  <c r="K211" i="156" s="1"/>
  <c r="F212" i="156"/>
  <c r="H212" i="156" s="1"/>
  <c r="K212" i="156" s="1"/>
  <c r="F213" i="156"/>
  <c r="F214" i="156"/>
  <c r="H214" i="156" s="1"/>
  <c r="K214" i="156" s="1"/>
  <c r="F215" i="156"/>
  <c r="H215" i="156" s="1"/>
  <c r="K215" i="156" s="1"/>
  <c r="F216" i="156"/>
  <c r="H216" i="156" s="1"/>
  <c r="K216" i="156" s="1"/>
  <c r="F219" i="156"/>
  <c r="H219" i="156" s="1"/>
  <c r="F220" i="156"/>
  <c r="F221" i="156"/>
  <c r="H221" i="156" s="1"/>
  <c r="F222" i="156"/>
  <c r="H222" i="156" s="1"/>
  <c r="F223" i="156"/>
  <c r="H223" i="156" s="1"/>
  <c r="F224" i="156"/>
  <c r="H224" i="156" s="1"/>
  <c r="K224" i="156" s="1"/>
  <c r="F227" i="156"/>
  <c r="H227" i="156" s="1"/>
  <c r="K227" i="156" s="1"/>
  <c r="F228" i="156"/>
  <c r="H228" i="156" s="1"/>
  <c r="K228" i="156" s="1"/>
  <c r="F229" i="156"/>
  <c r="H229" i="156" s="1"/>
  <c r="K229" i="156" s="1"/>
  <c r="F230" i="156"/>
  <c r="H230" i="156" s="1"/>
  <c r="K230" i="156" s="1"/>
  <c r="F232" i="156"/>
  <c r="H232" i="156" s="1"/>
  <c r="K232" i="156" s="1"/>
  <c r="F235" i="156"/>
  <c r="H235" i="156" s="1"/>
  <c r="F236" i="156"/>
  <c r="F239" i="156"/>
  <c r="F240" i="156"/>
  <c r="F245" i="156"/>
  <c r="H245" i="156" s="1"/>
  <c r="K245" i="156" s="1"/>
  <c r="F246" i="156"/>
  <c r="H246" i="156" s="1"/>
  <c r="K246" i="156" s="1"/>
  <c r="F247" i="156"/>
  <c r="H247" i="156" s="1"/>
  <c r="K247" i="156" s="1"/>
  <c r="F251" i="156"/>
  <c r="H251" i="156" s="1"/>
  <c r="K251" i="156" s="1"/>
  <c r="F253" i="156"/>
  <c r="F255" i="156"/>
  <c r="H255" i="156" s="1"/>
  <c r="K255" i="156" s="1"/>
  <c r="H24" i="149"/>
  <c r="H24" i="151"/>
  <c r="H24" i="152"/>
  <c r="H24" i="158"/>
  <c r="K218" i="161"/>
  <c r="C16" i="161" s="1"/>
  <c r="K208" i="161"/>
  <c r="C14" i="161" s="1"/>
  <c r="K193" i="161"/>
  <c r="C12" i="161" s="1"/>
  <c r="K242" i="160"/>
  <c r="K240" i="160"/>
  <c r="K223" i="160"/>
  <c r="K222" i="160"/>
  <c r="K221" i="160"/>
  <c r="K219" i="160"/>
  <c r="K218" i="160" s="1"/>
  <c r="C16" i="160" s="1"/>
  <c r="K209" i="160"/>
  <c r="K208" i="160" s="1"/>
  <c r="C14" i="160" s="1"/>
  <c r="K207" i="160"/>
  <c r="K206" i="160"/>
  <c r="K205" i="160"/>
  <c r="K198" i="160"/>
  <c r="K197" i="160"/>
  <c r="K196" i="160"/>
  <c r="K188" i="160"/>
  <c r="K186" i="160"/>
  <c r="K185" i="160"/>
  <c r="K184" i="160"/>
  <c r="K183" i="160"/>
  <c r="K182" i="160"/>
  <c r="K181" i="160"/>
  <c r="K180" i="160"/>
  <c r="K179" i="160"/>
  <c r="K178" i="160"/>
  <c r="K177" i="160"/>
  <c r="K175" i="160"/>
  <c r="K174" i="160"/>
  <c r="K173" i="160"/>
  <c r="K172" i="160"/>
  <c r="K171" i="160"/>
  <c r="K170" i="160"/>
  <c r="K169" i="160"/>
  <c r="K149" i="160"/>
  <c r="K148" i="160"/>
  <c r="K147" i="160"/>
  <c r="K146" i="160"/>
  <c r="K145" i="160"/>
  <c r="K144" i="160"/>
  <c r="K143" i="160"/>
  <c r="K142" i="160"/>
  <c r="K141" i="160"/>
  <c r="K140" i="160"/>
  <c r="K139" i="160"/>
  <c r="K137" i="160"/>
  <c r="K136" i="160"/>
  <c r="K135" i="160"/>
  <c r="K134" i="160"/>
  <c r="K133" i="160"/>
  <c r="K132" i="160"/>
  <c r="K131" i="160"/>
  <c r="K130" i="160"/>
  <c r="K129" i="160"/>
  <c r="K128" i="160"/>
  <c r="K127" i="160"/>
  <c r="K126" i="160"/>
  <c r="K124" i="160"/>
  <c r="K123" i="160"/>
  <c r="K121" i="160"/>
  <c r="K120" i="160"/>
  <c r="K119" i="160"/>
  <c r="K118" i="160"/>
  <c r="K117" i="160"/>
  <c r="K116" i="160"/>
  <c r="K114" i="160"/>
  <c r="K113" i="160"/>
  <c r="K112" i="160"/>
  <c r="K111" i="160"/>
  <c r="K110" i="160"/>
  <c r="K109" i="160"/>
  <c r="K107" i="160"/>
  <c r="K106" i="160"/>
  <c r="K104" i="160"/>
  <c r="K103" i="160"/>
  <c r="K102" i="160"/>
  <c r="K101" i="160"/>
  <c r="K99" i="160"/>
  <c r="K98" i="160"/>
  <c r="K97" i="160"/>
  <c r="K96" i="160"/>
  <c r="K94" i="160"/>
  <c r="K93" i="160"/>
  <c r="K92" i="160"/>
  <c r="K91" i="160"/>
  <c r="K90" i="160"/>
  <c r="K89" i="160"/>
  <c r="K88" i="160"/>
  <c r="K86" i="160"/>
  <c r="K85" i="160"/>
  <c r="K84" i="160"/>
  <c r="K83" i="160"/>
  <c r="K82" i="160"/>
  <c r="K81" i="160"/>
  <c r="K80" i="160"/>
  <c r="K49" i="160"/>
  <c r="K45" i="160"/>
  <c r="K44" i="160"/>
  <c r="K43" i="160"/>
  <c r="K42" i="160"/>
  <c r="K27" i="160"/>
  <c r="K242" i="153"/>
  <c r="K240" i="153"/>
  <c r="K223" i="153"/>
  <c r="K222" i="153"/>
  <c r="K221" i="153"/>
  <c r="K219" i="153"/>
  <c r="K218" i="153" s="1"/>
  <c r="C16" i="153" s="1"/>
  <c r="K209" i="153"/>
  <c r="K208" i="153" s="1"/>
  <c r="C14" i="153" s="1"/>
  <c r="K207" i="153"/>
  <c r="K206" i="153"/>
  <c r="K205" i="153"/>
  <c r="K198" i="153"/>
  <c r="K197" i="153"/>
  <c r="K196" i="153"/>
  <c r="K188" i="153"/>
  <c r="K186" i="153"/>
  <c r="K185" i="153"/>
  <c r="K184" i="153"/>
  <c r="K183" i="153"/>
  <c r="K182" i="153"/>
  <c r="K181" i="153"/>
  <c r="K180" i="153"/>
  <c r="K179" i="153"/>
  <c r="K178" i="153"/>
  <c r="K177" i="153"/>
  <c r="K175" i="153"/>
  <c r="K174" i="153"/>
  <c r="K173" i="153"/>
  <c r="K172" i="153"/>
  <c r="K171" i="153"/>
  <c r="K170" i="153"/>
  <c r="K169" i="153"/>
  <c r="K149" i="153"/>
  <c r="K148" i="153"/>
  <c r="K147" i="153"/>
  <c r="K146" i="153"/>
  <c r="K145" i="153"/>
  <c r="K144" i="153"/>
  <c r="K143" i="153"/>
  <c r="K142" i="153"/>
  <c r="K141" i="153"/>
  <c r="K140" i="153"/>
  <c r="K139" i="153"/>
  <c r="K137" i="153"/>
  <c r="K136" i="153"/>
  <c r="K135" i="153"/>
  <c r="K134" i="153"/>
  <c r="K133" i="153"/>
  <c r="K132" i="153"/>
  <c r="K131" i="153"/>
  <c r="K130" i="153"/>
  <c r="K129" i="153"/>
  <c r="K128" i="153"/>
  <c r="K127" i="153"/>
  <c r="K126" i="153"/>
  <c r="K124" i="153"/>
  <c r="K123" i="153"/>
  <c r="K121" i="153"/>
  <c r="K120" i="153"/>
  <c r="K119" i="153"/>
  <c r="K118" i="153"/>
  <c r="K117" i="153"/>
  <c r="K116" i="153"/>
  <c r="K114" i="153"/>
  <c r="K113" i="153"/>
  <c r="K112" i="153"/>
  <c r="K111" i="153"/>
  <c r="K110" i="153"/>
  <c r="K109" i="153"/>
  <c r="K107" i="153"/>
  <c r="K106" i="153"/>
  <c r="K104" i="153"/>
  <c r="K103" i="153"/>
  <c r="K102" i="153"/>
  <c r="K101" i="153"/>
  <c r="K99" i="153"/>
  <c r="K98" i="153"/>
  <c r="K97" i="153"/>
  <c r="K96" i="153"/>
  <c r="K94" i="153"/>
  <c r="K93" i="153"/>
  <c r="K92" i="153"/>
  <c r="K91" i="153"/>
  <c r="K90" i="153"/>
  <c r="K89" i="153"/>
  <c r="K88" i="153"/>
  <c r="K86" i="153"/>
  <c r="K85" i="153"/>
  <c r="K84" i="153"/>
  <c r="K83" i="153"/>
  <c r="K82" i="153"/>
  <c r="K81" i="153"/>
  <c r="K80" i="153"/>
  <c r="K49" i="153"/>
  <c r="K45" i="153"/>
  <c r="K44" i="153"/>
  <c r="K43" i="153"/>
  <c r="K42" i="153"/>
  <c r="K27" i="153"/>
  <c r="K26" i="153"/>
  <c r="K25" i="153"/>
  <c r="K24" i="153"/>
  <c r="K242" i="159"/>
  <c r="K240" i="159"/>
  <c r="K223" i="159"/>
  <c r="K222" i="159"/>
  <c r="K221" i="159"/>
  <c r="K219" i="159"/>
  <c r="K218" i="159" s="1"/>
  <c r="C16" i="159" s="1"/>
  <c r="K209" i="159"/>
  <c r="K208" i="159" s="1"/>
  <c r="C14" i="159" s="1"/>
  <c r="K207" i="159"/>
  <c r="K206" i="159"/>
  <c r="K205" i="159"/>
  <c r="K198" i="159"/>
  <c r="K197" i="159"/>
  <c r="K196" i="159"/>
  <c r="K188" i="159"/>
  <c r="K186" i="159"/>
  <c r="K185" i="159"/>
  <c r="K184" i="159"/>
  <c r="K183" i="159"/>
  <c r="K182" i="159"/>
  <c r="K181" i="159"/>
  <c r="K180" i="159"/>
  <c r="K179" i="159"/>
  <c r="K178" i="159"/>
  <c r="K177" i="159"/>
  <c r="K175" i="159"/>
  <c r="K174" i="159"/>
  <c r="K173" i="159"/>
  <c r="K172" i="159"/>
  <c r="K171" i="159"/>
  <c r="K170" i="159"/>
  <c r="K169" i="159"/>
  <c r="K149" i="159"/>
  <c r="K148" i="159"/>
  <c r="K147" i="159"/>
  <c r="K146" i="159"/>
  <c r="K145" i="159"/>
  <c r="K144" i="159"/>
  <c r="K143" i="159"/>
  <c r="K142" i="159"/>
  <c r="K141" i="159"/>
  <c r="K140" i="159"/>
  <c r="K139" i="159"/>
  <c r="K137" i="159"/>
  <c r="K136" i="159"/>
  <c r="K135" i="159"/>
  <c r="K134" i="159"/>
  <c r="K133" i="159"/>
  <c r="K132" i="159"/>
  <c r="K131" i="159"/>
  <c r="K130" i="159"/>
  <c r="K129" i="159"/>
  <c r="K128" i="159"/>
  <c r="K127" i="159"/>
  <c r="K126" i="159"/>
  <c r="K124" i="159"/>
  <c r="K123" i="159"/>
  <c r="K121" i="159"/>
  <c r="K120" i="159"/>
  <c r="K119" i="159"/>
  <c r="K118" i="159"/>
  <c r="K82" i="159"/>
  <c r="K81" i="159"/>
  <c r="K80" i="159"/>
  <c r="K49" i="159"/>
  <c r="K45" i="159"/>
  <c r="K44" i="159"/>
  <c r="K43" i="159"/>
  <c r="K42" i="159"/>
  <c r="K27" i="159"/>
  <c r="K242" i="158"/>
  <c r="K240" i="158"/>
  <c r="K223" i="158"/>
  <c r="K222" i="158"/>
  <c r="K221" i="158"/>
  <c r="K219" i="158"/>
  <c r="C16" i="158" s="1"/>
  <c r="K209" i="158"/>
  <c r="K208" i="158" s="1"/>
  <c r="C14" i="158" s="1"/>
  <c r="K207" i="158"/>
  <c r="K206" i="158"/>
  <c r="K205" i="158"/>
  <c r="K198" i="158"/>
  <c r="K197" i="158"/>
  <c r="K196" i="158"/>
  <c r="K188" i="158"/>
  <c r="K186" i="158"/>
  <c r="K185" i="158"/>
  <c r="K184" i="158"/>
  <c r="K183" i="158"/>
  <c r="K182" i="158"/>
  <c r="K181" i="158"/>
  <c r="K180" i="158"/>
  <c r="K179" i="158"/>
  <c r="K178" i="158"/>
  <c r="K177" i="158"/>
  <c r="K175" i="158"/>
  <c r="K174" i="158"/>
  <c r="K173" i="158"/>
  <c r="K172" i="158"/>
  <c r="K171" i="158"/>
  <c r="K170" i="158"/>
  <c r="K169" i="158"/>
  <c r="K149" i="158"/>
  <c r="K148" i="158"/>
  <c r="K147" i="158"/>
  <c r="K146" i="158"/>
  <c r="K145" i="158"/>
  <c r="K144" i="158"/>
  <c r="K143" i="158"/>
  <c r="K142" i="158"/>
  <c r="K141" i="158"/>
  <c r="K140" i="158"/>
  <c r="K139" i="158"/>
  <c r="K137" i="158"/>
  <c r="K136" i="158"/>
  <c r="K135" i="158"/>
  <c r="K134" i="158"/>
  <c r="K133" i="158"/>
  <c r="K132" i="158"/>
  <c r="K131" i="158"/>
  <c r="K130" i="158"/>
  <c r="K129" i="158"/>
  <c r="K128" i="158"/>
  <c r="K127" i="158"/>
  <c r="K126" i="158"/>
  <c r="K124" i="158"/>
  <c r="K123" i="158"/>
  <c r="K121" i="158"/>
  <c r="K120" i="158"/>
  <c r="K119" i="158"/>
  <c r="K118" i="158"/>
  <c r="K117" i="158"/>
  <c r="K116" i="158"/>
  <c r="K114" i="158"/>
  <c r="K113" i="158"/>
  <c r="K112" i="158"/>
  <c r="K111" i="158"/>
  <c r="K110" i="158"/>
  <c r="K109" i="158"/>
  <c r="K107" i="158"/>
  <c r="K106" i="158"/>
  <c r="K104" i="158"/>
  <c r="K103" i="158"/>
  <c r="K102" i="158"/>
  <c r="K101" i="158"/>
  <c r="K99" i="158"/>
  <c r="K98" i="158"/>
  <c r="K97" i="158"/>
  <c r="K96" i="158"/>
  <c r="K94" i="158"/>
  <c r="K93" i="158"/>
  <c r="K92" i="158"/>
  <c r="K91" i="158"/>
  <c r="K90" i="158"/>
  <c r="K89" i="158"/>
  <c r="K88" i="158"/>
  <c r="K86" i="158"/>
  <c r="K85" i="158"/>
  <c r="K84" i="158"/>
  <c r="K83" i="158"/>
  <c r="K82" i="158"/>
  <c r="K81" i="158"/>
  <c r="K80" i="158"/>
  <c r="K49" i="158"/>
  <c r="K45" i="158"/>
  <c r="K44" i="158"/>
  <c r="K43" i="158"/>
  <c r="K42" i="158"/>
  <c r="K27" i="158"/>
  <c r="K26" i="158"/>
  <c r="K25" i="158"/>
  <c r="K24" i="158"/>
  <c r="K242" i="157"/>
  <c r="K240" i="157"/>
  <c r="K223" i="157"/>
  <c r="K222" i="157"/>
  <c r="K221" i="157"/>
  <c r="K219" i="157"/>
  <c r="K218" i="157" s="1"/>
  <c r="C16" i="157" s="1"/>
  <c r="K209" i="157"/>
  <c r="K208" i="157" s="1"/>
  <c r="C14" i="157" s="1"/>
  <c r="K207" i="157"/>
  <c r="K206" i="157"/>
  <c r="K205" i="157"/>
  <c r="K198" i="157"/>
  <c r="K197" i="157"/>
  <c r="K196" i="157"/>
  <c r="K188" i="157"/>
  <c r="K186" i="157"/>
  <c r="K185" i="157"/>
  <c r="K184" i="157"/>
  <c r="K183" i="157"/>
  <c r="K182" i="157"/>
  <c r="K181" i="157"/>
  <c r="K180" i="157"/>
  <c r="K179" i="157"/>
  <c r="K178" i="157"/>
  <c r="K177" i="157"/>
  <c r="K175" i="157"/>
  <c r="K174" i="157"/>
  <c r="K173" i="157"/>
  <c r="K172" i="157"/>
  <c r="K171" i="157"/>
  <c r="K170" i="157"/>
  <c r="K169" i="157"/>
  <c r="K149" i="157"/>
  <c r="K148" i="157"/>
  <c r="K147" i="157"/>
  <c r="K146" i="157"/>
  <c r="K145" i="157"/>
  <c r="K144" i="157"/>
  <c r="K143" i="157"/>
  <c r="K142" i="157"/>
  <c r="K141" i="157"/>
  <c r="K140" i="157"/>
  <c r="K139" i="157"/>
  <c r="K137" i="157"/>
  <c r="K136" i="157"/>
  <c r="K135" i="157"/>
  <c r="K134" i="157"/>
  <c r="K133" i="157"/>
  <c r="K132" i="157"/>
  <c r="K131" i="157"/>
  <c r="K130" i="157"/>
  <c r="K129" i="157"/>
  <c r="K128" i="157"/>
  <c r="K127" i="157"/>
  <c r="K126" i="157"/>
  <c r="K124" i="157"/>
  <c r="K123" i="157"/>
  <c r="K121" i="157"/>
  <c r="K120" i="157"/>
  <c r="K119" i="157"/>
  <c r="K118" i="157"/>
  <c r="K117" i="157"/>
  <c r="K116" i="157"/>
  <c r="K114" i="157"/>
  <c r="K113" i="157"/>
  <c r="K112" i="157"/>
  <c r="K111" i="157"/>
  <c r="K110" i="157"/>
  <c r="K109" i="157"/>
  <c r="K107" i="157"/>
  <c r="K106" i="157"/>
  <c r="K104" i="157"/>
  <c r="K103" i="157"/>
  <c r="K102" i="157"/>
  <c r="K101" i="157"/>
  <c r="K99" i="157"/>
  <c r="K98" i="157"/>
  <c r="K97" i="157"/>
  <c r="K96" i="157"/>
  <c r="K94" i="157"/>
  <c r="K93" i="157"/>
  <c r="K92" i="157"/>
  <c r="K91" i="157"/>
  <c r="K90" i="157"/>
  <c r="K89" i="157"/>
  <c r="K88" i="157"/>
  <c r="K86" i="157"/>
  <c r="K85" i="157"/>
  <c r="K84" i="157"/>
  <c r="K83" i="157"/>
  <c r="K82" i="157"/>
  <c r="K81" i="157"/>
  <c r="K80" i="157"/>
  <c r="K49" i="157"/>
  <c r="K45" i="157"/>
  <c r="K44" i="157"/>
  <c r="K43" i="157"/>
  <c r="K42" i="157"/>
  <c r="K27" i="157"/>
  <c r="K26" i="157"/>
  <c r="K25" i="157"/>
  <c r="K24" i="157"/>
  <c r="K242" i="156"/>
  <c r="K240" i="156"/>
  <c r="K223" i="156"/>
  <c r="K222" i="156"/>
  <c r="K221" i="156"/>
  <c r="K219" i="156"/>
  <c r="K218" i="156" s="1"/>
  <c r="C16" i="156" s="1"/>
  <c r="K209" i="156"/>
  <c r="K208" i="156" s="1"/>
  <c r="C14" i="156" s="1"/>
  <c r="K207" i="156"/>
  <c r="K206" i="156"/>
  <c r="K205" i="156"/>
  <c r="K198" i="156"/>
  <c r="K197" i="156"/>
  <c r="K196" i="156"/>
  <c r="K188" i="156"/>
  <c r="K186" i="156"/>
  <c r="K185" i="156"/>
  <c r="K184" i="156"/>
  <c r="K183" i="156"/>
  <c r="K182" i="156"/>
  <c r="K181" i="156"/>
  <c r="K180" i="156"/>
  <c r="K179" i="156"/>
  <c r="K178" i="156"/>
  <c r="K177" i="156"/>
  <c r="K175" i="156"/>
  <c r="K174" i="156"/>
  <c r="K173" i="156"/>
  <c r="K172" i="156"/>
  <c r="K171" i="156"/>
  <c r="K170" i="156"/>
  <c r="K169" i="156"/>
  <c r="K149" i="156"/>
  <c r="K148" i="156"/>
  <c r="K147" i="156"/>
  <c r="K146" i="156"/>
  <c r="K145" i="156"/>
  <c r="K144" i="156"/>
  <c r="K143" i="156"/>
  <c r="K142" i="156"/>
  <c r="K141" i="156"/>
  <c r="K140" i="156"/>
  <c r="K139" i="156"/>
  <c r="K137" i="156"/>
  <c r="K136" i="156"/>
  <c r="K135" i="156"/>
  <c r="K134" i="156"/>
  <c r="K133" i="156"/>
  <c r="K132" i="156"/>
  <c r="K131" i="156"/>
  <c r="K130" i="156"/>
  <c r="K129" i="156"/>
  <c r="K128" i="156"/>
  <c r="K127" i="156"/>
  <c r="K126" i="156"/>
  <c r="K124" i="156"/>
  <c r="K123" i="156"/>
  <c r="K121" i="156"/>
  <c r="K120" i="156"/>
  <c r="K119" i="156"/>
  <c r="K118" i="156"/>
  <c r="K117" i="156"/>
  <c r="K116" i="156"/>
  <c r="K114" i="156"/>
  <c r="K113" i="156"/>
  <c r="K112" i="156"/>
  <c r="K111" i="156"/>
  <c r="K110" i="156"/>
  <c r="K109" i="156"/>
  <c r="K107" i="156"/>
  <c r="K106" i="156"/>
  <c r="K104" i="156"/>
  <c r="K103" i="156"/>
  <c r="K102" i="156"/>
  <c r="K101" i="156"/>
  <c r="K99" i="156"/>
  <c r="K98" i="156"/>
  <c r="K97" i="156"/>
  <c r="K96" i="156"/>
  <c r="K94" i="156"/>
  <c r="K93" i="156"/>
  <c r="K92" i="156"/>
  <c r="K91" i="156"/>
  <c r="K90" i="156"/>
  <c r="K89" i="156"/>
  <c r="K88" i="156"/>
  <c r="K86" i="156"/>
  <c r="K85" i="156"/>
  <c r="K84" i="156"/>
  <c r="K83" i="156"/>
  <c r="K82" i="156"/>
  <c r="K81" i="156"/>
  <c r="K80" i="156"/>
  <c r="K49" i="156"/>
  <c r="K45" i="156"/>
  <c r="K44" i="156"/>
  <c r="K43" i="156"/>
  <c r="K42" i="156"/>
  <c r="K27" i="156"/>
  <c r="K26" i="156"/>
  <c r="K25" i="156"/>
  <c r="K24" i="156"/>
  <c r="K242" i="154"/>
  <c r="K240" i="154"/>
  <c r="K223" i="154"/>
  <c r="K222" i="154"/>
  <c r="K221" i="154"/>
  <c r="K219" i="154"/>
  <c r="K218" i="154" s="1"/>
  <c r="C16" i="154" s="1"/>
  <c r="K209" i="154"/>
  <c r="K208" i="154" s="1"/>
  <c r="C14" i="154" s="1"/>
  <c r="K207" i="154"/>
  <c r="K206" i="154"/>
  <c r="K205" i="154"/>
  <c r="K198" i="154"/>
  <c r="K197" i="154"/>
  <c r="K196" i="154"/>
  <c r="K188" i="154"/>
  <c r="K186" i="154"/>
  <c r="K185" i="154"/>
  <c r="K184" i="154"/>
  <c r="K183" i="154"/>
  <c r="K182" i="154"/>
  <c r="K181" i="154"/>
  <c r="K180" i="154"/>
  <c r="K179" i="154"/>
  <c r="K178" i="154"/>
  <c r="K177" i="154"/>
  <c r="K175" i="154"/>
  <c r="K174" i="154"/>
  <c r="K173" i="154"/>
  <c r="K172" i="154"/>
  <c r="K171" i="154"/>
  <c r="K170" i="154"/>
  <c r="K169" i="154"/>
  <c r="K149" i="154"/>
  <c r="K148" i="154"/>
  <c r="K147" i="154"/>
  <c r="K146" i="154"/>
  <c r="K145" i="154"/>
  <c r="K144" i="154"/>
  <c r="K143" i="154"/>
  <c r="K142" i="154"/>
  <c r="K141" i="154"/>
  <c r="K140" i="154"/>
  <c r="K139" i="154"/>
  <c r="K137" i="154"/>
  <c r="K136" i="154"/>
  <c r="K135" i="154"/>
  <c r="K134" i="154"/>
  <c r="K133" i="154"/>
  <c r="K132" i="154"/>
  <c r="K131" i="154"/>
  <c r="K130" i="154"/>
  <c r="K129" i="154"/>
  <c r="K128" i="154"/>
  <c r="K127" i="154"/>
  <c r="K126" i="154"/>
  <c r="K124" i="154"/>
  <c r="K123" i="154"/>
  <c r="K121" i="154"/>
  <c r="K120" i="154"/>
  <c r="K119" i="154"/>
  <c r="K118" i="154"/>
  <c r="K117" i="154"/>
  <c r="K116" i="154"/>
  <c r="K114" i="154"/>
  <c r="K113" i="154"/>
  <c r="K112" i="154"/>
  <c r="K111" i="154"/>
  <c r="K110" i="154"/>
  <c r="K109" i="154"/>
  <c r="K107" i="154"/>
  <c r="K106" i="154"/>
  <c r="K104" i="154"/>
  <c r="K103" i="154"/>
  <c r="K102" i="154"/>
  <c r="K101" i="154"/>
  <c r="K99" i="154"/>
  <c r="K98" i="154"/>
  <c r="K97" i="154"/>
  <c r="K96" i="154"/>
  <c r="K94" i="154"/>
  <c r="K93" i="154"/>
  <c r="K92" i="154"/>
  <c r="K91" i="154"/>
  <c r="K90" i="154"/>
  <c r="K89" i="154"/>
  <c r="K88" i="154"/>
  <c r="K86" i="154"/>
  <c r="K85" i="154"/>
  <c r="K84" i="154"/>
  <c r="K83" i="154"/>
  <c r="K82" i="154"/>
  <c r="K81" i="154"/>
  <c r="K80" i="154"/>
  <c r="K49" i="154"/>
  <c r="K45" i="154"/>
  <c r="K44" i="154"/>
  <c r="K43" i="154"/>
  <c r="K42" i="154"/>
  <c r="K27" i="154"/>
  <c r="K26" i="154"/>
  <c r="K25" i="154"/>
  <c r="K24" i="154"/>
  <c r="K242" i="155"/>
  <c r="K240" i="155"/>
  <c r="K223" i="155"/>
  <c r="K222" i="155"/>
  <c r="K221" i="155"/>
  <c r="K207" i="155"/>
  <c r="K206" i="155"/>
  <c r="K205" i="155"/>
  <c r="K198" i="155"/>
  <c r="K197" i="155"/>
  <c r="K196" i="155"/>
  <c r="K188" i="155"/>
  <c r="K175" i="155"/>
  <c r="K174" i="155"/>
  <c r="K173" i="155"/>
  <c r="K172" i="155"/>
  <c r="K171" i="155"/>
  <c r="K170" i="155"/>
  <c r="K169" i="155"/>
  <c r="K149" i="155"/>
  <c r="K148" i="155"/>
  <c r="K147" i="155"/>
  <c r="K146" i="155"/>
  <c r="K145" i="155"/>
  <c r="K144" i="155"/>
  <c r="K143" i="155"/>
  <c r="K142" i="155"/>
  <c r="K141" i="155"/>
  <c r="K140" i="155"/>
  <c r="K139" i="155"/>
  <c r="K137" i="155"/>
  <c r="K136" i="155"/>
  <c r="K135" i="155"/>
  <c r="K134" i="155"/>
  <c r="K133" i="155"/>
  <c r="K132" i="155"/>
  <c r="K131" i="155"/>
  <c r="K130" i="155"/>
  <c r="K129" i="155"/>
  <c r="K128" i="155"/>
  <c r="K127" i="155"/>
  <c r="K126" i="155"/>
  <c r="K124" i="155"/>
  <c r="K123" i="155"/>
  <c r="K121" i="155"/>
  <c r="K120" i="155"/>
  <c r="K119" i="155"/>
  <c r="K118" i="155"/>
  <c r="K117" i="155"/>
  <c r="K116" i="155"/>
  <c r="K114" i="155"/>
  <c r="K113" i="155"/>
  <c r="K112" i="155"/>
  <c r="K111" i="155"/>
  <c r="K110" i="155"/>
  <c r="K109" i="155"/>
  <c r="K107" i="155"/>
  <c r="K106" i="155"/>
  <c r="K104" i="155"/>
  <c r="K103" i="155"/>
  <c r="K102" i="155"/>
  <c r="K101" i="155"/>
  <c r="K99" i="155"/>
  <c r="K98" i="155"/>
  <c r="K97" i="155"/>
  <c r="K96" i="155"/>
  <c r="K94" i="155"/>
  <c r="K93" i="155"/>
  <c r="K92" i="155"/>
  <c r="K91" i="155"/>
  <c r="K90" i="155"/>
  <c r="K89" i="155"/>
  <c r="K88" i="155"/>
  <c r="K86" i="155"/>
  <c r="K85" i="155"/>
  <c r="K84" i="155"/>
  <c r="K83" i="155"/>
  <c r="K82" i="155"/>
  <c r="K81" i="155"/>
  <c r="K80" i="155"/>
  <c r="K49" i="155"/>
  <c r="K45" i="155"/>
  <c r="K44" i="155"/>
  <c r="K43" i="155"/>
  <c r="K42" i="155"/>
  <c r="K27" i="155"/>
  <c r="K26" i="155"/>
  <c r="K25" i="155"/>
  <c r="K24" i="155"/>
  <c r="K242" i="152"/>
  <c r="K240" i="152"/>
  <c r="K223" i="152"/>
  <c r="K222" i="152"/>
  <c r="K221" i="152"/>
  <c r="K219" i="152"/>
  <c r="K218" i="152" s="1"/>
  <c r="C16" i="152" s="1"/>
  <c r="K209" i="152"/>
  <c r="K208" i="152" s="1"/>
  <c r="C14" i="152" s="1"/>
  <c r="K207" i="152"/>
  <c r="K206" i="152"/>
  <c r="K205" i="152"/>
  <c r="K198" i="152"/>
  <c r="K197" i="152"/>
  <c r="K196" i="152"/>
  <c r="K188" i="152"/>
  <c r="K186" i="152"/>
  <c r="K185" i="152"/>
  <c r="K184" i="152"/>
  <c r="K183" i="152"/>
  <c r="K182" i="152"/>
  <c r="K181" i="152"/>
  <c r="K180" i="152"/>
  <c r="K179" i="152"/>
  <c r="K178" i="152"/>
  <c r="K177" i="152"/>
  <c r="K175" i="152"/>
  <c r="K174" i="152"/>
  <c r="K173" i="152"/>
  <c r="K172" i="152"/>
  <c r="K171" i="152"/>
  <c r="K170" i="152"/>
  <c r="K169" i="152"/>
  <c r="K149" i="152"/>
  <c r="K148" i="152"/>
  <c r="K147" i="152"/>
  <c r="K146" i="152"/>
  <c r="K145" i="152"/>
  <c r="K144" i="152"/>
  <c r="K143" i="152"/>
  <c r="K142" i="152"/>
  <c r="K141" i="152"/>
  <c r="K140" i="152"/>
  <c r="K139" i="152"/>
  <c r="K137" i="152"/>
  <c r="K136" i="152"/>
  <c r="K135" i="152"/>
  <c r="K134" i="152"/>
  <c r="K133" i="152"/>
  <c r="K132" i="152"/>
  <c r="K131" i="152"/>
  <c r="K130" i="152"/>
  <c r="K129" i="152"/>
  <c r="K128" i="152"/>
  <c r="K127" i="152"/>
  <c r="K126" i="152"/>
  <c r="K124" i="152"/>
  <c r="K123" i="152"/>
  <c r="K121" i="152"/>
  <c r="K120" i="152"/>
  <c r="K119" i="152"/>
  <c r="K118" i="152"/>
  <c r="K117" i="152"/>
  <c r="K116" i="152"/>
  <c r="K114" i="152"/>
  <c r="K113" i="152"/>
  <c r="K112" i="152"/>
  <c r="K111" i="152"/>
  <c r="K110" i="152"/>
  <c r="K109" i="152"/>
  <c r="K107" i="152"/>
  <c r="K106" i="152"/>
  <c r="K104" i="152"/>
  <c r="K103" i="152"/>
  <c r="K102" i="152"/>
  <c r="K101" i="152"/>
  <c r="K99" i="152"/>
  <c r="K98" i="152"/>
  <c r="K97" i="152"/>
  <c r="K96" i="152"/>
  <c r="K94" i="152"/>
  <c r="K93" i="152"/>
  <c r="K92" i="152"/>
  <c r="K91" i="152"/>
  <c r="K90" i="152"/>
  <c r="K89" i="152"/>
  <c r="K88" i="152"/>
  <c r="K86" i="152"/>
  <c r="K85" i="152"/>
  <c r="K84" i="152"/>
  <c r="K83" i="152"/>
  <c r="K82" i="152"/>
  <c r="K81" i="152"/>
  <c r="K80" i="152"/>
  <c r="K49" i="152"/>
  <c r="K45" i="152"/>
  <c r="K44" i="152"/>
  <c r="K43" i="152"/>
  <c r="K42" i="152"/>
  <c r="K27" i="152"/>
  <c r="K26" i="152"/>
  <c r="K25" i="152"/>
  <c r="K24" i="152"/>
  <c r="K242" i="151"/>
  <c r="K240" i="151"/>
  <c r="K223" i="151"/>
  <c r="K222" i="151"/>
  <c r="K221" i="151"/>
  <c r="K219" i="151"/>
  <c r="K218" i="151" s="1"/>
  <c r="C16" i="151" s="1"/>
  <c r="K207" i="151"/>
  <c r="K206" i="151"/>
  <c r="K205" i="151"/>
  <c r="K198" i="151"/>
  <c r="K197" i="151"/>
  <c r="K196" i="151"/>
  <c r="K188" i="151"/>
  <c r="K175" i="151"/>
  <c r="K174" i="151"/>
  <c r="K173" i="151"/>
  <c r="K172" i="151"/>
  <c r="K171" i="151"/>
  <c r="K170" i="151"/>
  <c r="K169" i="151"/>
  <c r="K149" i="151"/>
  <c r="K148" i="151"/>
  <c r="K147" i="151"/>
  <c r="K146" i="151"/>
  <c r="K145" i="151"/>
  <c r="K144" i="151"/>
  <c r="K143" i="151"/>
  <c r="K142" i="151"/>
  <c r="K141" i="151"/>
  <c r="K140" i="151"/>
  <c r="K139" i="151"/>
  <c r="K137" i="151"/>
  <c r="K136" i="151"/>
  <c r="K135" i="151"/>
  <c r="K134" i="151"/>
  <c r="K133" i="151"/>
  <c r="K132" i="151"/>
  <c r="K131" i="151"/>
  <c r="K130" i="151"/>
  <c r="K129" i="151"/>
  <c r="K128" i="151"/>
  <c r="K127" i="151"/>
  <c r="K126" i="151"/>
  <c r="K124" i="151"/>
  <c r="K123" i="151"/>
  <c r="K121" i="151"/>
  <c r="K120" i="151"/>
  <c r="K119" i="151"/>
  <c r="K118" i="151"/>
  <c r="K117" i="151"/>
  <c r="K116" i="151"/>
  <c r="K114" i="151"/>
  <c r="K113" i="151"/>
  <c r="K112" i="151"/>
  <c r="K111" i="151"/>
  <c r="K110" i="151"/>
  <c r="K109" i="151"/>
  <c r="K107" i="151"/>
  <c r="K106" i="151"/>
  <c r="K104" i="151"/>
  <c r="K103" i="151"/>
  <c r="K102" i="151"/>
  <c r="K101" i="151"/>
  <c r="K99" i="151"/>
  <c r="K98" i="151"/>
  <c r="K97" i="151"/>
  <c r="K96" i="151"/>
  <c r="K94" i="151"/>
  <c r="K93" i="151"/>
  <c r="K92" i="151"/>
  <c r="K91" i="151"/>
  <c r="K90" i="151"/>
  <c r="K89" i="151"/>
  <c r="K88" i="151"/>
  <c r="K86" i="151"/>
  <c r="K85" i="151"/>
  <c r="K84" i="151"/>
  <c r="K83" i="151"/>
  <c r="K82" i="151"/>
  <c r="K81" i="151"/>
  <c r="K80" i="151"/>
  <c r="K49" i="151"/>
  <c r="K45" i="151"/>
  <c r="K44" i="151"/>
  <c r="K43" i="151"/>
  <c r="K42" i="151"/>
  <c r="K27" i="151"/>
  <c r="K26" i="151"/>
  <c r="K25" i="151"/>
  <c r="K24" i="151"/>
  <c r="K242" i="150"/>
  <c r="K240" i="150"/>
  <c r="K223" i="150"/>
  <c r="K222" i="150"/>
  <c r="K221" i="150"/>
  <c r="K207" i="150"/>
  <c r="K206" i="150"/>
  <c r="K205" i="150"/>
  <c r="K198" i="150"/>
  <c r="K197" i="150"/>
  <c r="K196" i="150"/>
  <c r="K193" i="150"/>
  <c r="C12" i="150" s="1"/>
  <c r="K188" i="150"/>
  <c r="K121" i="150"/>
  <c r="K120" i="150"/>
  <c r="K119" i="150"/>
  <c r="K118" i="150"/>
  <c r="K117" i="150"/>
  <c r="K116" i="150"/>
  <c r="K114" i="150"/>
  <c r="K113" i="150"/>
  <c r="K112" i="150"/>
  <c r="K111" i="150"/>
  <c r="K110" i="150"/>
  <c r="K109" i="150"/>
  <c r="K107" i="150"/>
  <c r="K106" i="150"/>
  <c r="K104" i="150"/>
  <c r="K103" i="150"/>
  <c r="K102" i="150"/>
  <c r="K101" i="150"/>
  <c r="K99" i="150"/>
  <c r="K98" i="150"/>
  <c r="K97" i="150"/>
  <c r="K96" i="150"/>
  <c r="K94" i="150"/>
  <c r="K93" i="150"/>
  <c r="K92" i="150"/>
  <c r="K91" i="150"/>
  <c r="K90" i="150"/>
  <c r="K89" i="150"/>
  <c r="K88" i="150"/>
  <c r="K86" i="150"/>
  <c r="K85" i="150"/>
  <c r="K84" i="150"/>
  <c r="K83" i="150"/>
  <c r="K82" i="150"/>
  <c r="K81" i="150"/>
  <c r="K80" i="150"/>
  <c r="K49" i="150"/>
  <c r="K45" i="150"/>
  <c r="K44" i="150"/>
  <c r="K43" i="150"/>
  <c r="K42" i="150"/>
  <c r="K27" i="150"/>
  <c r="K26" i="150"/>
  <c r="K25" i="150"/>
  <c r="K24" i="150"/>
  <c r="F47" i="149"/>
  <c r="F100" i="158"/>
  <c r="F33" i="157"/>
  <c r="H33" i="157" s="1"/>
  <c r="K33" i="157" s="1"/>
  <c r="F34" i="157"/>
  <c r="H34" i="157" s="1"/>
  <c r="K34" i="157" s="1"/>
  <c r="F38" i="156"/>
  <c r="H38" i="156" s="1"/>
  <c r="K38" i="156" s="1"/>
  <c r="F207" i="152"/>
  <c r="H207" i="152" s="1"/>
  <c r="F191" i="152"/>
  <c r="H191" i="152" s="1"/>
  <c r="K191" i="152" s="1"/>
  <c r="F159" i="152"/>
  <c r="H159" i="152" s="1"/>
  <c r="K159" i="152" s="1"/>
  <c r="F188" i="152"/>
  <c r="H188" i="152" s="1"/>
  <c r="F187" i="151"/>
  <c r="F216" i="151"/>
  <c r="H216" i="151" s="1"/>
  <c r="K216" i="151" s="1"/>
  <c r="F224" i="151"/>
  <c r="H224" i="151" s="1"/>
  <c r="K224" i="151" s="1"/>
  <c r="F193" i="151"/>
  <c r="F148" i="152"/>
  <c r="H148" i="152" s="1"/>
  <c r="F84" i="152"/>
  <c r="H84" i="152" s="1"/>
  <c r="F223" i="152"/>
  <c r="H223" i="152" s="1"/>
  <c r="F182" i="152"/>
  <c r="H182" i="152" s="1"/>
  <c r="F164" i="152"/>
  <c r="H164" i="152" s="1"/>
  <c r="K164" i="152" s="1"/>
  <c r="F108" i="152"/>
  <c r="F44" i="152"/>
  <c r="H44" i="152" s="1"/>
  <c r="F134" i="152"/>
  <c r="H134" i="152" s="1"/>
  <c r="F196" i="152"/>
  <c r="H196" i="152" s="1"/>
  <c r="F83" i="152"/>
  <c r="H83" i="152" s="1"/>
  <c r="F67" i="152"/>
  <c r="H67" i="152" s="1"/>
  <c r="K67" i="152" s="1"/>
  <c r="F51" i="152"/>
  <c r="F227" i="151"/>
  <c r="H227" i="151" s="1"/>
  <c r="K227" i="151" s="1"/>
  <c r="F219" i="151"/>
  <c r="H219" i="151" s="1"/>
  <c r="F40" i="151"/>
  <c r="H40" i="151" s="1"/>
  <c r="K40" i="151" s="1"/>
  <c r="K210" i="151"/>
  <c r="J43" i="165"/>
  <c r="J44" i="165"/>
  <c r="J45" i="165"/>
  <c r="J52" i="165"/>
  <c r="J53" i="165"/>
  <c r="J54" i="165"/>
  <c r="J58" i="165"/>
  <c r="J59" i="165"/>
  <c r="J60" i="165"/>
  <c r="J61" i="165"/>
  <c r="J62" i="165"/>
  <c r="J66" i="165"/>
  <c r="J67" i="165"/>
  <c r="J68" i="165"/>
  <c r="J69" i="165"/>
  <c r="J70" i="165"/>
  <c r="J74" i="165"/>
  <c r="J75" i="165"/>
  <c r="J76" i="165"/>
  <c r="J77" i="165"/>
  <c r="J82" i="165"/>
  <c r="J83" i="165"/>
  <c r="J84" i="165"/>
  <c r="J85" i="165"/>
  <c r="J86" i="165"/>
  <c r="J90" i="165"/>
  <c r="J91" i="165"/>
  <c r="J92" i="165"/>
  <c r="J93" i="165"/>
  <c r="J94" i="165"/>
  <c r="J98" i="165"/>
  <c r="J99" i="165"/>
  <c r="J101" i="165"/>
  <c r="J102" i="165"/>
  <c r="J106" i="165"/>
  <c r="J107" i="165"/>
  <c r="J109" i="165"/>
  <c r="J110" i="165"/>
  <c r="J112" i="165"/>
  <c r="J114" i="165"/>
  <c r="J116" i="165"/>
  <c r="J117" i="165"/>
  <c r="J118" i="165"/>
  <c r="J123" i="165"/>
  <c r="J124" i="165"/>
  <c r="J126" i="165"/>
  <c r="J130" i="165"/>
  <c r="J131" i="165"/>
  <c r="J132" i="165"/>
  <c r="J133" i="165"/>
  <c r="J134" i="165"/>
  <c r="J139" i="165"/>
  <c r="J140" i="165"/>
  <c r="J141" i="165"/>
  <c r="J142" i="165"/>
  <c r="J144" i="165"/>
  <c r="J146" i="165"/>
  <c r="J147" i="165"/>
  <c r="J148" i="165"/>
  <c r="J149" i="165"/>
  <c r="J162" i="165"/>
  <c r="J163" i="165"/>
  <c r="J164" i="165"/>
  <c r="J169" i="165"/>
  <c r="J170" i="165"/>
  <c r="J171" i="165"/>
  <c r="J172" i="165"/>
  <c r="J173" i="165"/>
  <c r="J174" i="165"/>
  <c r="J177" i="165"/>
  <c r="J178" i="165"/>
  <c r="J179" i="165"/>
  <c r="J180" i="165"/>
  <c r="J185" i="165"/>
  <c r="J186" i="165"/>
  <c r="J188" i="165"/>
  <c r="J194" i="165"/>
  <c r="J193" i="165" s="1"/>
  <c r="C12" i="165" s="1"/>
  <c r="B12" i="167" s="1"/>
  <c r="J196" i="165"/>
  <c r="J215" i="165"/>
  <c r="J216" i="165"/>
  <c r="J221" i="165"/>
  <c r="J230" i="165"/>
  <c r="J231" i="165"/>
  <c r="J232" i="165"/>
  <c r="J237" i="165"/>
  <c r="J240" i="165"/>
  <c r="J250" i="165"/>
  <c r="J251" i="165"/>
  <c r="J254" i="165"/>
  <c r="E48" i="162"/>
  <c r="J48" i="162" s="1"/>
  <c r="E48" i="163"/>
  <c r="E42" i="163"/>
  <c r="G215" i="121"/>
  <c r="G216" i="121"/>
  <c r="G217" i="121"/>
  <c r="G218" i="121"/>
  <c r="G219" i="121"/>
  <c r="G220" i="121"/>
  <c r="G221" i="121"/>
  <c r="G222" i="121"/>
  <c r="G223" i="121"/>
  <c r="G224" i="121"/>
  <c r="G225" i="121"/>
  <c r="G226" i="121"/>
  <c r="G227" i="121"/>
  <c r="G228" i="121"/>
  <c r="G230" i="121"/>
  <c r="G231" i="121"/>
  <c r="G232" i="121"/>
  <c r="G233" i="121"/>
  <c r="G234" i="121"/>
  <c r="G235" i="121"/>
  <c r="G236" i="121"/>
  <c r="G237" i="121"/>
  <c r="G238" i="121"/>
  <c r="G239" i="121"/>
  <c r="G240" i="121"/>
  <c r="G241" i="121"/>
  <c r="G242" i="121"/>
  <c r="G243" i="121"/>
  <c r="G244" i="121"/>
  <c r="G245" i="121"/>
  <c r="G246" i="121"/>
  <c r="G247" i="121"/>
  <c r="G248" i="121"/>
  <c r="G249" i="121"/>
  <c r="G250" i="121"/>
  <c r="G251" i="121"/>
  <c r="G252" i="121"/>
  <c r="G253" i="121"/>
  <c r="G254" i="121"/>
  <c r="G255" i="121"/>
  <c r="G256" i="121"/>
  <c r="G257" i="121"/>
  <c r="G215" i="122"/>
  <c r="G216" i="122"/>
  <c r="G217" i="122"/>
  <c r="G218" i="122"/>
  <c r="G219" i="122"/>
  <c r="G220" i="122"/>
  <c r="G221" i="122"/>
  <c r="G222" i="122"/>
  <c r="G223" i="122"/>
  <c r="G224" i="122"/>
  <c r="G225" i="122"/>
  <c r="G226" i="122"/>
  <c r="G227" i="122"/>
  <c r="G228" i="122"/>
  <c r="G230" i="122"/>
  <c r="G231" i="122"/>
  <c r="G232" i="122"/>
  <c r="G233" i="122"/>
  <c r="G234" i="122"/>
  <c r="G235" i="122"/>
  <c r="G236" i="122"/>
  <c r="G237" i="122"/>
  <c r="G238" i="122"/>
  <c r="G239" i="122"/>
  <c r="G240" i="122"/>
  <c r="G241" i="122"/>
  <c r="G242" i="122"/>
  <c r="G243" i="122"/>
  <c r="G244" i="122"/>
  <c r="G245" i="122"/>
  <c r="G246" i="122"/>
  <c r="G247" i="122"/>
  <c r="G248" i="122"/>
  <c r="G249" i="122"/>
  <c r="G250" i="122"/>
  <c r="G251" i="122"/>
  <c r="G252" i="122"/>
  <c r="G253" i="122"/>
  <c r="G254" i="122"/>
  <c r="G255" i="122"/>
  <c r="G256" i="122"/>
  <c r="G257" i="122"/>
  <c r="G215" i="123"/>
  <c r="G216" i="123"/>
  <c r="G217" i="123"/>
  <c r="G218" i="123"/>
  <c r="G219" i="123"/>
  <c r="G220" i="123"/>
  <c r="G221" i="123"/>
  <c r="G222" i="123"/>
  <c r="G223" i="123"/>
  <c r="G224" i="123"/>
  <c r="G225" i="123"/>
  <c r="G226" i="123"/>
  <c r="G227" i="123"/>
  <c r="G228" i="123"/>
  <c r="G230" i="123"/>
  <c r="G231" i="123"/>
  <c r="G232" i="123"/>
  <c r="G233" i="123"/>
  <c r="G234" i="123"/>
  <c r="G235" i="123"/>
  <c r="G236" i="123"/>
  <c r="G237" i="123"/>
  <c r="G238" i="123"/>
  <c r="G239" i="123"/>
  <c r="G240" i="123"/>
  <c r="G241" i="123"/>
  <c r="G242" i="123"/>
  <c r="G243" i="123"/>
  <c r="G244" i="123"/>
  <c r="G245" i="123"/>
  <c r="G246" i="123"/>
  <c r="G247" i="123"/>
  <c r="G248" i="123"/>
  <c r="G249" i="123"/>
  <c r="G250" i="123"/>
  <c r="G251" i="123"/>
  <c r="G252" i="123"/>
  <c r="G253" i="123"/>
  <c r="G254" i="123"/>
  <c r="G255" i="123"/>
  <c r="G256" i="123"/>
  <c r="G257" i="123"/>
  <c r="G215" i="124"/>
  <c r="G216" i="124"/>
  <c r="G217" i="124"/>
  <c r="G218" i="124"/>
  <c r="G219" i="124"/>
  <c r="G220" i="124"/>
  <c r="G221" i="124"/>
  <c r="G222" i="124"/>
  <c r="G223" i="124"/>
  <c r="G224" i="124"/>
  <c r="G225" i="124"/>
  <c r="G226" i="124"/>
  <c r="G227" i="124"/>
  <c r="G228" i="124"/>
  <c r="G230" i="124"/>
  <c r="G231" i="124"/>
  <c r="G232" i="124"/>
  <c r="G233" i="124"/>
  <c r="G234" i="124"/>
  <c r="G235" i="124"/>
  <c r="G236" i="124"/>
  <c r="G237" i="124"/>
  <c r="G238" i="124"/>
  <c r="G239" i="124"/>
  <c r="G240" i="124"/>
  <c r="G241" i="124"/>
  <c r="G242" i="124"/>
  <c r="G243" i="124"/>
  <c r="G244" i="124"/>
  <c r="G245" i="124"/>
  <c r="G246" i="124"/>
  <c r="G247" i="124"/>
  <c r="G248" i="124"/>
  <c r="G249" i="124"/>
  <c r="G250" i="124"/>
  <c r="G251" i="124"/>
  <c r="G252" i="124"/>
  <c r="G253" i="124"/>
  <c r="G254" i="124"/>
  <c r="G255" i="124"/>
  <c r="G256" i="124"/>
  <c r="G257" i="124"/>
  <c r="G257" i="126"/>
  <c r="G215" i="125"/>
  <c r="G216" i="125"/>
  <c r="G217" i="125"/>
  <c r="G218" i="125"/>
  <c r="G219" i="125"/>
  <c r="G220" i="125"/>
  <c r="G221" i="125"/>
  <c r="G222" i="125"/>
  <c r="G223" i="125"/>
  <c r="G224" i="125"/>
  <c r="G225" i="125"/>
  <c r="G226" i="125"/>
  <c r="G227" i="125"/>
  <c r="G228" i="125"/>
  <c r="G230" i="125"/>
  <c r="G231" i="125"/>
  <c r="G232" i="125"/>
  <c r="G233" i="125"/>
  <c r="G234" i="125"/>
  <c r="G235" i="125"/>
  <c r="G236" i="125"/>
  <c r="G237" i="125"/>
  <c r="G238" i="125"/>
  <c r="G239" i="125"/>
  <c r="G240" i="125"/>
  <c r="G241" i="125"/>
  <c r="G242" i="125"/>
  <c r="G243" i="125"/>
  <c r="G244" i="125"/>
  <c r="G245" i="125"/>
  <c r="G246" i="125"/>
  <c r="G247" i="125"/>
  <c r="G248" i="125"/>
  <c r="G249" i="125"/>
  <c r="G250" i="125"/>
  <c r="G251" i="125"/>
  <c r="G252" i="125"/>
  <c r="G253" i="125"/>
  <c r="G254" i="125"/>
  <c r="G255" i="125"/>
  <c r="G256" i="125"/>
  <c r="G257" i="125"/>
  <c r="G215" i="128"/>
  <c r="G216" i="128"/>
  <c r="G217" i="128"/>
  <c r="G218" i="128"/>
  <c r="G219" i="128"/>
  <c r="G220" i="128"/>
  <c r="G221" i="128"/>
  <c r="G222" i="128"/>
  <c r="G223" i="128"/>
  <c r="G224" i="128"/>
  <c r="G225" i="128"/>
  <c r="G226" i="128"/>
  <c r="G227" i="128"/>
  <c r="G228" i="128"/>
  <c r="G230" i="128"/>
  <c r="G231" i="128"/>
  <c r="G232" i="128"/>
  <c r="G233" i="128"/>
  <c r="G234" i="128"/>
  <c r="G235" i="128"/>
  <c r="G236" i="128"/>
  <c r="G237" i="128"/>
  <c r="G238" i="128"/>
  <c r="G239" i="128"/>
  <c r="G240" i="128"/>
  <c r="G241" i="128"/>
  <c r="G242" i="128"/>
  <c r="G243" i="128"/>
  <c r="G244" i="128"/>
  <c r="G245" i="128"/>
  <c r="G246" i="128"/>
  <c r="G247" i="128"/>
  <c r="G248" i="128"/>
  <c r="G249" i="128"/>
  <c r="G250" i="128"/>
  <c r="G251" i="128"/>
  <c r="G252" i="128"/>
  <c r="G253" i="128"/>
  <c r="G254" i="128"/>
  <c r="G255" i="128"/>
  <c r="G256" i="128"/>
  <c r="G257" i="128"/>
  <c r="G215" i="127"/>
  <c r="G216" i="127"/>
  <c r="G217" i="127"/>
  <c r="G218" i="127"/>
  <c r="G219" i="127"/>
  <c r="G220" i="127"/>
  <c r="G221" i="127"/>
  <c r="G222" i="127"/>
  <c r="G223" i="127"/>
  <c r="G224" i="127"/>
  <c r="G225" i="127"/>
  <c r="G226" i="127"/>
  <c r="G227" i="127"/>
  <c r="G228" i="127"/>
  <c r="G230" i="127"/>
  <c r="G231" i="127"/>
  <c r="G232" i="127"/>
  <c r="G233" i="127"/>
  <c r="G234" i="127"/>
  <c r="G235" i="127"/>
  <c r="G236" i="127"/>
  <c r="G237" i="127"/>
  <c r="G238" i="127"/>
  <c r="G239" i="127"/>
  <c r="G240" i="127"/>
  <c r="G241" i="127"/>
  <c r="G242" i="127"/>
  <c r="G243" i="127"/>
  <c r="G244" i="127"/>
  <c r="G245" i="127"/>
  <c r="G246" i="127"/>
  <c r="G247" i="127"/>
  <c r="G248" i="127"/>
  <c r="G249" i="127"/>
  <c r="G250" i="127"/>
  <c r="G251" i="127"/>
  <c r="G252" i="127"/>
  <c r="G253" i="127"/>
  <c r="G254" i="127"/>
  <c r="G255" i="127"/>
  <c r="G256" i="127"/>
  <c r="G257" i="127"/>
  <c r="G215" i="129"/>
  <c r="G216" i="129"/>
  <c r="G217" i="129"/>
  <c r="G218" i="129"/>
  <c r="G219" i="129"/>
  <c r="G220" i="129"/>
  <c r="G221" i="129"/>
  <c r="G222" i="129"/>
  <c r="G223" i="129"/>
  <c r="G224" i="129"/>
  <c r="G225" i="129"/>
  <c r="G226" i="129"/>
  <c r="G227" i="129"/>
  <c r="G228" i="129"/>
  <c r="G230" i="129"/>
  <c r="G231" i="129"/>
  <c r="G232" i="129"/>
  <c r="G233" i="129"/>
  <c r="G234" i="129"/>
  <c r="G235" i="129"/>
  <c r="G236" i="129"/>
  <c r="G237" i="129"/>
  <c r="G238" i="129"/>
  <c r="G239" i="129"/>
  <c r="G240" i="129"/>
  <c r="G241" i="129"/>
  <c r="G242" i="129"/>
  <c r="G243" i="129"/>
  <c r="G244" i="129"/>
  <c r="G245" i="129"/>
  <c r="G246" i="129"/>
  <c r="G247" i="129"/>
  <c r="G248" i="129"/>
  <c r="G249" i="129"/>
  <c r="G250" i="129"/>
  <c r="G251" i="129"/>
  <c r="G252" i="129"/>
  <c r="G253" i="129"/>
  <c r="G254" i="129"/>
  <c r="G255" i="129"/>
  <c r="G256" i="129"/>
  <c r="G257" i="129"/>
  <c r="G215" i="131"/>
  <c r="G216" i="131"/>
  <c r="G217" i="131"/>
  <c r="G218" i="131"/>
  <c r="G219" i="131"/>
  <c r="G220" i="131"/>
  <c r="G221" i="131"/>
  <c r="G222" i="131"/>
  <c r="G223" i="131"/>
  <c r="G224" i="131"/>
  <c r="G225" i="131"/>
  <c r="G226" i="131"/>
  <c r="G227" i="131"/>
  <c r="G228" i="131"/>
  <c r="G230" i="131"/>
  <c r="G231" i="131"/>
  <c r="G232" i="131"/>
  <c r="G233" i="131"/>
  <c r="G234" i="131"/>
  <c r="G235" i="131"/>
  <c r="G236" i="131"/>
  <c r="G237" i="131"/>
  <c r="G238" i="131"/>
  <c r="G239" i="131"/>
  <c r="G240" i="131"/>
  <c r="G241" i="131"/>
  <c r="G242" i="131"/>
  <c r="G243" i="131"/>
  <c r="G244" i="131"/>
  <c r="G245" i="131"/>
  <c r="G246" i="131"/>
  <c r="G247" i="131"/>
  <c r="G248" i="131"/>
  <c r="G249" i="131"/>
  <c r="G250" i="131"/>
  <c r="G251" i="131"/>
  <c r="G252" i="131"/>
  <c r="G253" i="131"/>
  <c r="G254" i="131"/>
  <c r="G255" i="131"/>
  <c r="G256" i="131"/>
  <c r="G257" i="131"/>
  <c r="G215" i="162"/>
  <c r="G216" i="162"/>
  <c r="G217" i="162"/>
  <c r="G218" i="162"/>
  <c r="G219" i="162"/>
  <c r="G220" i="162"/>
  <c r="G221" i="162"/>
  <c r="G222" i="162"/>
  <c r="G223" i="162"/>
  <c r="G224" i="162"/>
  <c r="G225" i="162"/>
  <c r="G226" i="162"/>
  <c r="G227" i="162"/>
  <c r="G228" i="162"/>
  <c r="G230" i="162"/>
  <c r="G231" i="162"/>
  <c r="G232" i="162"/>
  <c r="G233" i="162"/>
  <c r="G234" i="162"/>
  <c r="G235" i="162"/>
  <c r="G236" i="162"/>
  <c r="G237" i="162"/>
  <c r="G238" i="162"/>
  <c r="G239" i="162"/>
  <c r="G240" i="162"/>
  <c r="G241" i="162"/>
  <c r="G242" i="162"/>
  <c r="G243" i="162"/>
  <c r="G244" i="162"/>
  <c r="G245" i="162"/>
  <c r="G246" i="162"/>
  <c r="G247" i="162"/>
  <c r="G248" i="162"/>
  <c r="G249" i="162"/>
  <c r="G250" i="162"/>
  <c r="G251" i="162"/>
  <c r="G252" i="162"/>
  <c r="G253" i="162"/>
  <c r="G254" i="162"/>
  <c r="G255" i="162"/>
  <c r="G256" i="162"/>
  <c r="G257" i="162"/>
  <c r="G215" i="133"/>
  <c r="G216" i="133"/>
  <c r="G217" i="133"/>
  <c r="G218" i="133"/>
  <c r="G219" i="133"/>
  <c r="G220" i="133"/>
  <c r="G221" i="133"/>
  <c r="G222" i="133"/>
  <c r="G223" i="133"/>
  <c r="G224" i="133"/>
  <c r="G225" i="133"/>
  <c r="G226" i="133"/>
  <c r="G227" i="133"/>
  <c r="G228" i="133"/>
  <c r="G230" i="133"/>
  <c r="G231" i="133"/>
  <c r="G232" i="133"/>
  <c r="G233" i="133"/>
  <c r="G234" i="133"/>
  <c r="G235" i="133"/>
  <c r="G236" i="133"/>
  <c r="G237" i="133"/>
  <c r="G238" i="133"/>
  <c r="G239" i="133"/>
  <c r="G240" i="133"/>
  <c r="G241" i="133"/>
  <c r="G242" i="133"/>
  <c r="G243" i="133"/>
  <c r="G244" i="133"/>
  <c r="G245" i="133"/>
  <c r="G246" i="133"/>
  <c r="G247" i="133"/>
  <c r="G248" i="133"/>
  <c r="G249" i="133"/>
  <c r="G250" i="133"/>
  <c r="G251" i="133"/>
  <c r="G252" i="133"/>
  <c r="G253" i="133"/>
  <c r="G254" i="133"/>
  <c r="G255" i="133"/>
  <c r="G256" i="133"/>
  <c r="G257" i="133"/>
  <c r="G215" i="138"/>
  <c r="G216" i="138"/>
  <c r="G217" i="138"/>
  <c r="G218" i="138"/>
  <c r="G219" i="138"/>
  <c r="G220" i="138"/>
  <c r="G221" i="138"/>
  <c r="G222" i="138"/>
  <c r="G223" i="138"/>
  <c r="G224" i="138"/>
  <c r="G225" i="138"/>
  <c r="G226" i="138"/>
  <c r="G227" i="138"/>
  <c r="G228" i="138"/>
  <c r="G230" i="138"/>
  <c r="G231" i="138"/>
  <c r="G232" i="138"/>
  <c r="G233" i="138"/>
  <c r="G234" i="138"/>
  <c r="G235" i="138"/>
  <c r="G236" i="138"/>
  <c r="G237" i="138"/>
  <c r="G238" i="138"/>
  <c r="G239" i="138"/>
  <c r="G240" i="138"/>
  <c r="G241" i="138"/>
  <c r="G242" i="138"/>
  <c r="G243" i="138"/>
  <c r="G244" i="138"/>
  <c r="G245" i="138"/>
  <c r="G246" i="138"/>
  <c r="G247" i="138"/>
  <c r="G248" i="138"/>
  <c r="G249" i="138"/>
  <c r="G250" i="138"/>
  <c r="G251" i="138"/>
  <c r="G252" i="138"/>
  <c r="G253" i="138"/>
  <c r="G254" i="138"/>
  <c r="G255" i="138"/>
  <c r="G256" i="138"/>
  <c r="G257" i="138"/>
  <c r="G215" i="135"/>
  <c r="G216" i="135"/>
  <c r="G217" i="135"/>
  <c r="G218" i="135"/>
  <c r="G219" i="135"/>
  <c r="G220" i="135"/>
  <c r="G221" i="135"/>
  <c r="G222" i="135"/>
  <c r="G223" i="135"/>
  <c r="G224" i="135"/>
  <c r="G225" i="135"/>
  <c r="G226" i="135"/>
  <c r="G227" i="135"/>
  <c r="G228" i="135"/>
  <c r="G230" i="135"/>
  <c r="G231" i="135"/>
  <c r="G232" i="135"/>
  <c r="G233" i="135"/>
  <c r="G234" i="135"/>
  <c r="G235" i="135"/>
  <c r="G236" i="135"/>
  <c r="G237" i="135"/>
  <c r="G238" i="135"/>
  <c r="G239" i="135"/>
  <c r="G240" i="135"/>
  <c r="G241" i="135"/>
  <c r="G242" i="135"/>
  <c r="G243" i="135"/>
  <c r="G244" i="135"/>
  <c r="G245" i="135"/>
  <c r="G246" i="135"/>
  <c r="G247" i="135"/>
  <c r="G248" i="135"/>
  <c r="G249" i="135"/>
  <c r="G250" i="135"/>
  <c r="G251" i="135"/>
  <c r="G252" i="135"/>
  <c r="G253" i="135"/>
  <c r="G254" i="135"/>
  <c r="G255" i="135"/>
  <c r="G256" i="135"/>
  <c r="G257" i="135"/>
  <c r="G215" i="118"/>
  <c r="G216" i="118"/>
  <c r="G217" i="118"/>
  <c r="G218" i="118"/>
  <c r="G219" i="118"/>
  <c r="G220" i="118"/>
  <c r="G221" i="118"/>
  <c r="G222" i="118"/>
  <c r="G223" i="118"/>
  <c r="G224" i="118"/>
  <c r="G225" i="118"/>
  <c r="G226" i="118"/>
  <c r="G227" i="118"/>
  <c r="G228" i="118"/>
  <c r="G230" i="118"/>
  <c r="G231" i="118"/>
  <c r="G232" i="118"/>
  <c r="G233" i="118"/>
  <c r="G234" i="118"/>
  <c r="G235" i="118"/>
  <c r="G236" i="118"/>
  <c r="G237" i="118"/>
  <c r="G238" i="118"/>
  <c r="G239" i="118"/>
  <c r="G240" i="118"/>
  <c r="G241" i="118"/>
  <c r="G242" i="118"/>
  <c r="G243" i="118"/>
  <c r="G244" i="118"/>
  <c r="G245" i="118"/>
  <c r="G246" i="118"/>
  <c r="G247" i="118"/>
  <c r="G248" i="118"/>
  <c r="G249" i="118"/>
  <c r="G250" i="118"/>
  <c r="G251" i="118"/>
  <c r="G252" i="118"/>
  <c r="G253" i="118"/>
  <c r="G254" i="118"/>
  <c r="G255" i="118"/>
  <c r="G256" i="118"/>
  <c r="G257" i="118"/>
  <c r="G215" i="136"/>
  <c r="G216" i="136"/>
  <c r="G217" i="136"/>
  <c r="G218" i="136"/>
  <c r="G219" i="136"/>
  <c r="G220" i="136"/>
  <c r="G221" i="136"/>
  <c r="G222" i="136"/>
  <c r="G223" i="136"/>
  <c r="G224" i="136"/>
  <c r="G225" i="136"/>
  <c r="G226" i="136"/>
  <c r="G227" i="136"/>
  <c r="G228" i="136"/>
  <c r="G230" i="136"/>
  <c r="G231" i="136"/>
  <c r="G232" i="136"/>
  <c r="G233" i="136"/>
  <c r="G234" i="136"/>
  <c r="G235" i="136"/>
  <c r="G236" i="136"/>
  <c r="G237" i="136"/>
  <c r="G238" i="136"/>
  <c r="G239" i="136"/>
  <c r="G240" i="136"/>
  <c r="G241" i="136"/>
  <c r="G242" i="136"/>
  <c r="G243" i="136"/>
  <c r="G244" i="136"/>
  <c r="G245" i="136"/>
  <c r="G246" i="136"/>
  <c r="G247" i="136"/>
  <c r="G248" i="136"/>
  <c r="G249" i="136"/>
  <c r="G250" i="136"/>
  <c r="G251" i="136"/>
  <c r="G252" i="136"/>
  <c r="G253" i="136"/>
  <c r="G254" i="136"/>
  <c r="G255" i="136"/>
  <c r="G256" i="136"/>
  <c r="G257" i="136"/>
  <c r="G215" i="134"/>
  <c r="G216" i="134"/>
  <c r="G217" i="134"/>
  <c r="G218" i="134"/>
  <c r="G219" i="134"/>
  <c r="G220" i="134"/>
  <c r="G221" i="134"/>
  <c r="G222" i="134"/>
  <c r="G223" i="134"/>
  <c r="G224" i="134"/>
  <c r="G225" i="134"/>
  <c r="G226" i="134"/>
  <c r="G227" i="134"/>
  <c r="G228" i="134"/>
  <c r="G230" i="134"/>
  <c r="G231" i="134"/>
  <c r="G232" i="134"/>
  <c r="G233" i="134"/>
  <c r="G234" i="134"/>
  <c r="G235" i="134"/>
  <c r="G236" i="134"/>
  <c r="G237" i="134"/>
  <c r="G238" i="134"/>
  <c r="G239" i="134"/>
  <c r="G240" i="134"/>
  <c r="G241" i="134"/>
  <c r="G242" i="134"/>
  <c r="G243" i="134"/>
  <c r="G244" i="134"/>
  <c r="G245" i="134"/>
  <c r="G246" i="134"/>
  <c r="G247" i="134"/>
  <c r="G248" i="134"/>
  <c r="G249" i="134"/>
  <c r="G250" i="134"/>
  <c r="G251" i="134"/>
  <c r="G252" i="134"/>
  <c r="G253" i="134"/>
  <c r="G254" i="134"/>
  <c r="G255" i="134"/>
  <c r="G256" i="134"/>
  <c r="G257" i="134"/>
  <c r="G215" i="137"/>
  <c r="G216" i="137"/>
  <c r="G217" i="137"/>
  <c r="G218" i="137"/>
  <c r="G219" i="137"/>
  <c r="G220" i="137"/>
  <c r="G221" i="137"/>
  <c r="G222" i="137"/>
  <c r="G223" i="137"/>
  <c r="G224" i="137"/>
  <c r="G225" i="137"/>
  <c r="G226" i="137"/>
  <c r="G227" i="137"/>
  <c r="G228" i="137"/>
  <c r="G230" i="137"/>
  <c r="G231" i="137"/>
  <c r="G232" i="137"/>
  <c r="G233" i="137"/>
  <c r="G234" i="137"/>
  <c r="G235" i="137"/>
  <c r="G236" i="137"/>
  <c r="G237" i="137"/>
  <c r="G238" i="137"/>
  <c r="G239" i="137"/>
  <c r="G240" i="137"/>
  <c r="G241" i="137"/>
  <c r="G242" i="137"/>
  <c r="G243" i="137"/>
  <c r="G244" i="137"/>
  <c r="G245" i="137"/>
  <c r="G246" i="137"/>
  <c r="G247" i="137"/>
  <c r="G248" i="137"/>
  <c r="G249" i="137"/>
  <c r="G250" i="137"/>
  <c r="G251" i="137"/>
  <c r="G252" i="137"/>
  <c r="G253" i="137"/>
  <c r="G254" i="137"/>
  <c r="G255" i="137"/>
  <c r="G256" i="137"/>
  <c r="G257" i="137"/>
  <c r="G215" i="120"/>
  <c r="G216" i="120"/>
  <c r="G217" i="120"/>
  <c r="G218" i="120"/>
  <c r="G219" i="120"/>
  <c r="G220" i="120"/>
  <c r="G221" i="120"/>
  <c r="G222" i="120"/>
  <c r="G223" i="120"/>
  <c r="G224" i="120"/>
  <c r="G225" i="120"/>
  <c r="G226" i="120"/>
  <c r="G227" i="120"/>
  <c r="G228" i="120"/>
  <c r="G230" i="120"/>
  <c r="G231" i="120"/>
  <c r="G232" i="120"/>
  <c r="G233" i="120"/>
  <c r="G234" i="120"/>
  <c r="G235" i="120"/>
  <c r="G236" i="120"/>
  <c r="G237" i="120"/>
  <c r="G238" i="120"/>
  <c r="G239" i="120"/>
  <c r="G240" i="120"/>
  <c r="G241" i="120"/>
  <c r="G242" i="120"/>
  <c r="G243" i="120"/>
  <c r="G244" i="120"/>
  <c r="G245" i="120"/>
  <c r="G246" i="120"/>
  <c r="G247" i="120"/>
  <c r="G248" i="120"/>
  <c r="G249" i="120"/>
  <c r="G250" i="120"/>
  <c r="G251" i="120"/>
  <c r="G252" i="120"/>
  <c r="G253" i="120"/>
  <c r="G254" i="120"/>
  <c r="G255" i="120"/>
  <c r="G256" i="120"/>
  <c r="G257" i="120"/>
  <c r="G166" i="165"/>
  <c r="G215" i="163"/>
  <c r="G216" i="163"/>
  <c r="G217" i="163"/>
  <c r="G218" i="163"/>
  <c r="G219" i="163"/>
  <c r="G220" i="163"/>
  <c r="G221" i="163"/>
  <c r="G222" i="163"/>
  <c r="G223" i="163"/>
  <c r="G224" i="163"/>
  <c r="G225" i="163"/>
  <c r="G226" i="163"/>
  <c r="G227" i="163"/>
  <c r="G228" i="163"/>
  <c r="G230" i="163"/>
  <c r="G231" i="163"/>
  <c r="G232" i="163"/>
  <c r="G233" i="163"/>
  <c r="G234" i="163"/>
  <c r="G235" i="163"/>
  <c r="G236" i="163"/>
  <c r="G237" i="163"/>
  <c r="G238" i="163"/>
  <c r="G239" i="163"/>
  <c r="G240" i="163"/>
  <c r="G241" i="163"/>
  <c r="G242" i="163"/>
  <c r="G243" i="163"/>
  <c r="G244" i="163"/>
  <c r="G245" i="163"/>
  <c r="G246" i="163"/>
  <c r="G247" i="163"/>
  <c r="G248" i="163"/>
  <c r="G249" i="163"/>
  <c r="G250" i="163"/>
  <c r="G251" i="163"/>
  <c r="G252" i="163"/>
  <c r="G253" i="163"/>
  <c r="G254" i="163"/>
  <c r="G255" i="163"/>
  <c r="G256" i="163"/>
  <c r="G257" i="163"/>
  <c r="E48" i="122"/>
  <c r="E48" i="124"/>
  <c r="E48" i="125"/>
  <c r="E42" i="122"/>
  <c r="E42" i="124"/>
  <c r="J42" i="124" s="1"/>
  <c r="E42" i="125"/>
  <c r="E48" i="126"/>
  <c r="E42" i="126"/>
  <c r="J42" i="126" s="1"/>
  <c r="J256" i="138"/>
  <c r="J255" i="138"/>
  <c r="J254" i="138"/>
  <c r="J253" i="138"/>
  <c r="J252" i="138"/>
  <c r="J251" i="138"/>
  <c r="J250" i="138"/>
  <c r="J249" i="138"/>
  <c r="J248" i="138"/>
  <c r="J247" i="138"/>
  <c r="J246" i="138"/>
  <c r="J244" i="138"/>
  <c r="J243" i="138"/>
  <c r="J242" i="138"/>
  <c r="J241" i="138"/>
  <c r="J240" i="138"/>
  <c r="J239" i="138"/>
  <c r="J237" i="138"/>
  <c r="J236" i="138"/>
  <c r="J235" i="138"/>
  <c r="J234" i="138"/>
  <c r="J233" i="138"/>
  <c r="J232" i="138"/>
  <c r="J231" i="138"/>
  <c r="J230" i="138"/>
  <c r="J228" i="138"/>
  <c r="J227" i="138"/>
  <c r="J226" i="138"/>
  <c r="J225" i="138"/>
  <c r="J221" i="138"/>
  <c r="J220" i="138"/>
  <c r="J219" i="138"/>
  <c r="J218" i="138"/>
  <c r="J216" i="138"/>
  <c r="J215" i="138"/>
  <c r="J209" i="138"/>
  <c r="J207" i="138"/>
  <c r="J206" i="138"/>
  <c r="J205" i="138"/>
  <c r="J201" i="138"/>
  <c r="J200" i="138"/>
  <c r="J199" i="138"/>
  <c r="J198" i="138"/>
  <c r="J197" i="138"/>
  <c r="J196" i="138"/>
  <c r="J194" i="138"/>
  <c r="J193" i="138" s="1"/>
  <c r="C12" i="138" s="1"/>
  <c r="J192" i="138"/>
  <c r="J191" i="138"/>
  <c r="J190" i="138"/>
  <c r="J189" i="138"/>
  <c r="J188" i="138"/>
  <c r="J186" i="138"/>
  <c r="J185" i="138"/>
  <c r="J184" i="138"/>
  <c r="J183" i="138"/>
  <c r="J182" i="138"/>
  <c r="J181" i="138"/>
  <c r="J180" i="138"/>
  <c r="J179" i="138"/>
  <c r="J178" i="138"/>
  <c r="J177" i="138"/>
  <c r="J175" i="138"/>
  <c r="J174" i="138"/>
  <c r="J173" i="138"/>
  <c r="J172" i="138"/>
  <c r="J171" i="138"/>
  <c r="J170" i="138"/>
  <c r="J169" i="138"/>
  <c r="J168" i="138"/>
  <c r="J167" i="138"/>
  <c r="J166" i="138"/>
  <c r="J163" i="138"/>
  <c r="J162" i="138"/>
  <c r="J159" i="138"/>
  <c r="J157" i="138"/>
  <c r="J155" i="138"/>
  <c r="J154" i="138"/>
  <c r="J149" i="138"/>
  <c r="J148" i="138"/>
  <c r="J147" i="138"/>
  <c r="J146" i="138"/>
  <c r="J145" i="138"/>
  <c r="J144" i="138"/>
  <c r="J143" i="138"/>
  <c r="J142" i="138"/>
  <c r="J141" i="138"/>
  <c r="J140" i="138"/>
  <c r="J139" i="138"/>
  <c r="J137" i="138"/>
  <c r="J136" i="138"/>
  <c r="J135" i="138"/>
  <c r="J134" i="138"/>
  <c r="J133" i="138"/>
  <c r="J132" i="138"/>
  <c r="J131" i="138"/>
  <c r="J130" i="138"/>
  <c r="J129" i="138"/>
  <c r="J128" i="138"/>
  <c r="J127" i="138"/>
  <c r="J126" i="138"/>
  <c r="J124" i="138"/>
  <c r="J123" i="138"/>
  <c r="J121" i="138"/>
  <c r="J120" i="138"/>
  <c r="J119" i="138"/>
  <c r="J118" i="138"/>
  <c r="J117" i="138"/>
  <c r="J116" i="138"/>
  <c r="J114" i="138"/>
  <c r="J113" i="138"/>
  <c r="J112" i="138"/>
  <c r="J111" i="138"/>
  <c r="J110" i="138"/>
  <c r="J109" i="138"/>
  <c r="J107" i="138"/>
  <c r="J106" i="138"/>
  <c r="J104" i="138"/>
  <c r="J103" i="138"/>
  <c r="J102" i="138"/>
  <c r="J101" i="138"/>
  <c r="J99" i="138"/>
  <c r="J98" i="138"/>
  <c r="J97" i="138"/>
  <c r="J96" i="138"/>
  <c r="J94" i="138"/>
  <c r="J93" i="138"/>
  <c r="J92" i="138"/>
  <c r="J91" i="138"/>
  <c r="J90" i="138"/>
  <c r="J89" i="138"/>
  <c r="J88" i="138"/>
  <c r="J86" i="138"/>
  <c r="J85" i="138"/>
  <c r="J84" i="138"/>
  <c r="J83" i="138"/>
  <c r="J82" i="138"/>
  <c r="J81" i="138"/>
  <c r="J80" i="138"/>
  <c r="J77" i="138"/>
  <c r="J76" i="138"/>
  <c r="J75" i="138"/>
  <c r="J74" i="138"/>
  <c r="J72" i="138"/>
  <c r="J71" i="138"/>
  <c r="J70" i="138"/>
  <c r="J69" i="138"/>
  <c r="J68" i="138"/>
  <c r="J67" i="138"/>
  <c r="J66" i="138"/>
  <c r="J64" i="138"/>
  <c r="J63" i="138"/>
  <c r="J62" i="138"/>
  <c r="J61" i="138"/>
  <c r="J60" i="138"/>
  <c r="J59" i="138"/>
  <c r="J57" i="138"/>
  <c r="J55" i="138"/>
  <c r="J54" i="138"/>
  <c r="J53" i="138"/>
  <c r="J52" i="138"/>
  <c r="J49" i="138"/>
  <c r="J47" i="138"/>
  <c r="J45" i="138"/>
  <c r="J44" i="138"/>
  <c r="J43" i="138"/>
  <c r="J40" i="138"/>
  <c r="J39" i="138"/>
  <c r="J38" i="138"/>
  <c r="J37" i="138"/>
  <c r="J36" i="138"/>
  <c r="J35" i="138"/>
  <c r="J34" i="138"/>
  <c r="J33" i="138"/>
  <c r="J32" i="138"/>
  <c r="J31" i="138"/>
  <c r="J30" i="138"/>
  <c r="J29" i="138"/>
  <c r="J28" i="138"/>
  <c r="J27" i="138"/>
  <c r="J25" i="138"/>
  <c r="G25" i="77"/>
  <c r="G26" i="77"/>
  <c r="G27" i="77"/>
  <c r="G28" i="77"/>
  <c r="G29" i="77"/>
  <c r="G30" i="77"/>
  <c r="G31" i="77"/>
  <c r="G32" i="77"/>
  <c r="G33" i="77"/>
  <c r="G34" i="77"/>
  <c r="G35" i="77"/>
  <c r="G36" i="77"/>
  <c r="G37" i="77"/>
  <c r="G38" i="77"/>
  <c r="G39" i="77"/>
  <c r="G40" i="77"/>
  <c r="G41" i="77"/>
  <c r="G42" i="77"/>
  <c r="G43" i="77"/>
  <c r="G44" i="77"/>
  <c r="G45" i="77"/>
  <c r="G46" i="77"/>
  <c r="G47" i="77"/>
  <c r="G48" i="77"/>
  <c r="G49" i="77"/>
  <c r="G50" i="77"/>
  <c r="G51" i="77"/>
  <c r="G52" i="77"/>
  <c r="G53" i="77"/>
  <c r="G54" i="77"/>
  <c r="G55" i="77"/>
  <c r="G56" i="77"/>
  <c r="G57" i="77"/>
  <c r="G58" i="77"/>
  <c r="G59" i="77"/>
  <c r="G60" i="77"/>
  <c r="G61" i="77"/>
  <c r="G62" i="77"/>
  <c r="G63" i="77"/>
  <c r="G64" i="77"/>
  <c r="G65" i="77"/>
  <c r="G66" i="77"/>
  <c r="G67" i="77"/>
  <c r="G68" i="77"/>
  <c r="G69" i="77"/>
  <c r="G70" i="77"/>
  <c r="G71" i="77"/>
  <c r="G72" i="77"/>
  <c r="G73" i="77"/>
  <c r="G74" i="77"/>
  <c r="G75" i="77"/>
  <c r="G76" i="77"/>
  <c r="G77" i="77"/>
  <c r="G78" i="77"/>
  <c r="G79" i="77"/>
  <c r="G80" i="77"/>
  <c r="G81" i="77"/>
  <c r="G82" i="77"/>
  <c r="G83" i="77"/>
  <c r="G84" i="77"/>
  <c r="G85" i="77"/>
  <c r="G86" i="77"/>
  <c r="G87" i="77"/>
  <c r="G88" i="77"/>
  <c r="G89" i="77"/>
  <c r="G90" i="77"/>
  <c r="G91" i="77"/>
  <c r="G92" i="77"/>
  <c r="G93" i="77"/>
  <c r="G94" i="77"/>
  <c r="G95" i="77"/>
  <c r="G96" i="77"/>
  <c r="G97" i="77"/>
  <c r="G98" i="77"/>
  <c r="G99" i="77"/>
  <c r="G100" i="77"/>
  <c r="G101" i="77"/>
  <c r="G102" i="77"/>
  <c r="G103" i="77"/>
  <c r="G104" i="77"/>
  <c r="G105" i="77"/>
  <c r="G106" i="77"/>
  <c r="G107" i="77"/>
  <c r="G108" i="77"/>
  <c r="G109" i="77"/>
  <c r="G110" i="77"/>
  <c r="G111" i="77"/>
  <c r="G112" i="77"/>
  <c r="G113" i="77"/>
  <c r="G114" i="77"/>
  <c r="G115" i="77"/>
  <c r="G116" i="77"/>
  <c r="G117" i="77"/>
  <c r="G118" i="77"/>
  <c r="G119" i="77"/>
  <c r="G120" i="77"/>
  <c r="G121" i="77"/>
  <c r="G122" i="77"/>
  <c r="G123" i="77"/>
  <c r="G124" i="77"/>
  <c r="G125" i="77"/>
  <c r="G126" i="77"/>
  <c r="G127" i="77"/>
  <c r="G128" i="77"/>
  <c r="G129" i="77"/>
  <c r="G130" i="77"/>
  <c r="G131" i="77"/>
  <c r="G132" i="77"/>
  <c r="G133" i="77"/>
  <c r="G134" i="77"/>
  <c r="G135" i="77"/>
  <c r="G136" i="77"/>
  <c r="G137" i="77"/>
  <c r="G138" i="77"/>
  <c r="G139" i="77"/>
  <c r="G140" i="77"/>
  <c r="G141" i="77"/>
  <c r="G142" i="77"/>
  <c r="G143" i="77"/>
  <c r="G144" i="77"/>
  <c r="G145" i="77"/>
  <c r="G146" i="77"/>
  <c r="G147" i="77"/>
  <c r="G148" i="77"/>
  <c r="G149" i="77"/>
  <c r="G150" i="77"/>
  <c r="G151" i="77"/>
  <c r="G152" i="77"/>
  <c r="G153" i="77"/>
  <c r="G154" i="77"/>
  <c r="G155" i="77"/>
  <c r="G156" i="77"/>
  <c r="G157" i="77"/>
  <c r="G158" i="77"/>
  <c r="G159" i="77"/>
  <c r="G160" i="77"/>
  <c r="G161" i="77"/>
  <c r="G162" i="77"/>
  <c r="G163" i="77"/>
  <c r="G164" i="77"/>
  <c r="G165" i="77"/>
  <c r="G166" i="77"/>
  <c r="G167" i="77"/>
  <c r="G168" i="77"/>
  <c r="G169" i="77"/>
  <c r="G170" i="77"/>
  <c r="G171" i="77"/>
  <c r="G172" i="77"/>
  <c r="G173" i="77"/>
  <c r="G174" i="77"/>
  <c r="G175" i="77"/>
  <c r="G176" i="77"/>
  <c r="G177" i="77"/>
  <c r="G178" i="77"/>
  <c r="G179" i="77"/>
  <c r="G180" i="77"/>
  <c r="G181" i="77"/>
  <c r="G182" i="77"/>
  <c r="G183" i="77"/>
  <c r="G184" i="77"/>
  <c r="G185" i="77"/>
  <c r="G186" i="77"/>
  <c r="G187" i="77"/>
  <c r="G188" i="77"/>
  <c r="G189" i="77"/>
  <c r="G190" i="77"/>
  <c r="G191" i="77"/>
  <c r="G192" i="77"/>
  <c r="G193" i="77"/>
  <c r="G194" i="77"/>
  <c r="G195" i="77"/>
  <c r="G196" i="77"/>
  <c r="G197" i="77"/>
  <c r="G198" i="77"/>
  <c r="G199" i="77"/>
  <c r="G200" i="77"/>
  <c r="G201" i="77"/>
  <c r="G205" i="77"/>
  <c r="G206" i="77"/>
  <c r="G207" i="77"/>
  <c r="G208" i="77"/>
  <c r="G209" i="77"/>
  <c r="G214" i="77"/>
  <c r="G215" i="77"/>
  <c r="G216" i="77"/>
  <c r="G217" i="77"/>
  <c r="G218" i="77"/>
  <c r="G219" i="77"/>
  <c r="G220" i="77"/>
  <c r="G221" i="77"/>
  <c r="G222" i="77"/>
  <c r="G223" i="77"/>
  <c r="G224" i="77"/>
  <c r="G225" i="77"/>
  <c r="G226" i="77"/>
  <c r="G227" i="77"/>
  <c r="G228" i="77"/>
  <c r="G230" i="77"/>
  <c r="G231" i="77"/>
  <c r="G232" i="77"/>
  <c r="G233" i="77"/>
  <c r="G234" i="77"/>
  <c r="G235" i="77"/>
  <c r="G236" i="77"/>
  <c r="G237" i="77"/>
  <c r="G238" i="77"/>
  <c r="G239" i="77"/>
  <c r="G240" i="77"/>
  <c r="G241" i="77"/>
  <c r="G242" i="77"/>
  <c r="G243" i="77"/>
  <c r="G244" i="77"/>
  <c r="G245" i="77"/>
  <c r="G246" i="77"/>
  <c r="G247" i="77"/>
  <c r="G248" i="77"/>
  <c r="G249" i="77"/>
  <c r="G250" i="77"/>
  <c r="G251" i="77"/>
  <c r="G252" i="77"/>
  <c r="G253" i="77"/>
  <c r="G254" i="77"/>
  <c r="G255" i="77"/>
  <c r="G256" i="77"/>
  <c r="G258" i="77"/>
  <c r="G259" i="77"/>
  <c r="G258" i="163"/>
  <c r="G259" i="163"/>
  <c r="G258" i="120"/>
  <c r="G259" i="120"/>
  <c r="G258" i="121"/>
  <c r="G259" i="121"/>
  <c r="G258" i="122"/>
  <c r="G259" i="122"/>
  <c r="G258" i="123"/>
  <c r="G259" i="123"/>
  <c r="G258" i="124"/>
  <c r="G259" i="124"/>
  <c r="G258" i="126"/>
  <c r="G259" i="126"/>
  <c r="G258" i="125"/>
  <c r="G259" i="125"/>
  <c r="G258" i="128"/>
  <c r="G259" i="128"/>
  <c r="G258" i="127"/>
  <c r="G259" i="127"/>
  <c r="G258" i="129"/>
  <c r="G259" i="129"/>
  <c r="G25" i="130"/>
  <c r="G26" i="130"/>
  <c r="G27" i="130"/>
  <c r="G28" i="130"/>
  <c r="G29" i="130"/>
  <c r="G30" i="130"/>
  <c r="G31" i="130"/>
  <c r="G32" i="130"/>
  <c r="G33" i="130"/>
  <c r="G34" i="130"/>
  <c r="G35" i="130"/>
  <c r="G36" i="130"/>
  <c r="G37" i="130"/>
  <c r="G38" i="130"/>
  <c r="G39" i="130"/>
  <c r="G40" i="130"/>
  <c r="G41" i="130"/>
  <c r="G42" i="130"/>
  <c r="G43" i="130"/>
  <c r="G44" i="130"/>
  <c r="G45" i="130"/>
  <c r="G46" i="130"/>
  <c r="G47" i="130"/>
  <c r="G48" i="130"/>
  <c r="G49" i="130"/>
  <c r="G50" i="130"/>
  <c r="G51" i="130"/>
  <c r="G52" i="130"/>
  <c r="G53" i="130"/>
  <c r="G54" i="130"/>
  <c r="G55" i="130"/>
  <c r="G56" i="130"/>
  <c r="G57" i="130"/>
  <c r="G58" i="130"/>
  <c r="G59" i="130"/>
  <c r="G60" i="130"/>
  <c r="G61" i="130"/>
  <c r="G62" i="130"/>
  <c r="G63" i="130"/>
  <c r="G64" i="130"/>
  <c r="G65" i="130"/>
  <c r="G66" i="130"/>
  <c r="G67" i="130"/>
  <c r="G68" i="130"/>
  <c r="G69" i="130"/>
  <c r="G70" i="130"/>
  <c r="G71" i="130"/>
  <c r="G72" i="130"/>
  <c r="G73" i="130"/>
  <c r="G74" i="130"/>
  <c r="G75" i="130"/>
  <c r="G76" i="130"/>
  <c r="G77" i="130"/>
  <c r="G78" i="130"/>
  <c r="G79" i="130"/>
  <c r="G80" i="130"/>
  <c r="G81" i="130"/>
  <c r="G82" i="130"/>
  <c r="G83" i="130"/>
  <c r="G84" i="130"/>
  <c r="G85" i="130"/>
  <c r="G86" i="130"/>
  <c r="G87" i="130"/>
  <c r="G88" i="130"/>
  <c r="G89" i="130"/>
  <c r="G90" i="130"/>
  <c r="G91" i="130"/>
  <c r="G92" i="130"/>
  <c r="G93" i="130"/>
  <c r="G94" i="130"/>
  <c r="G95" i="130"/>
  <c r="G96" i="130"/>
  <c r="G97" i="130"/>
  <c r="G98" i="130"/>
  <c r="G99" i="130"/>
  <c r="G100" i="130"/>
  <c r="G101" i="130"/>
  <c r="G102" i="130"/>
  <c r="G103" i="130"/>
  <c r="G104" i="130"/>
  <c r="G105" i="130"/>
  <c r="G106" i="130"/>
  <c r="G107" i="130"/>
  <c r="G108" i="130"/>
  <c r="G109" i="130"/>
  <c r="G110" i="130"/>
  <c r="G111" i="130"/>
  <c r="G112" i="130"/>
  <c r="G113" i="130"/>
  <c r="G114" i="130"/>
  <c r="G115" i="130"/>
  <c r="G116" i="130"/>
  <c r="G117" i="130"/>
  <c r="G118" i="130"/>
  <c r="G119" i="130"/>
  <c r="G120" i="130"/>
  <c r="G121" i="130"/>
  <c r="G122" i="130"/>
  <c r="G123" i="130"/>
  <c r="G124" i="130"/>
  <c r="G125" i="130"/>
  <c r="G126" i="130"/>
  <c r="G127" i="130"/>
  <c r="G128" i="130"/>
  <c r="G129" i="130"/>
  <c r="G130" i="130"/>
  <c r="G131" i="130"/>
  <c r="G132" i="130"/>
  <c r="G133" i="130"/>
  <c r="G134" i="130"/>
  <c r="G135" i="130"/>
  <c r="G136" i="130"/>
  <c r="G137" i="130"/>
  <c r="G138" i="130"/>
  <c r="G139" i="130"/>
  <c r="G140" i="130"/>
  <c r="G141" i="130"/>
  <c r="G142" i="130"/>
  <c r="G143" i="130"/>
  <c r="G144" i="130"/>
  <c r="G145" i="130"/>
  <c r="G146" i="130"/>
  <c r="G147" i="130"/>
  <c r="G148" i="130"/>
  <c r="G149" i="130"/>
  <c r="G150" i="130"/>
  <c r="G151" i="130"/>
  <c r="G152" i="130"/>
  <c r="G153" i="130"/>
  <c r="G154" i="130"/>
  <c r="G155" i="130"/>
  <c r="G156" i="130"/>
  <c r="G157" i="130"/>
  <c r="G158" i="130"/>
  <c r="G159" i="130"/>
  <c r="G160" i="130"/>
  <c r="G161" i="130"/>
  <c r="G162" i="130"/>
  <c r="G163" i="130"/>
  <c r="G164" i="130"/>
  <c r="G165" i="130"/>
  <c r="G166" i="130"/>
  <c r="G167" i="130"/>
  <c r="G168" i="130"/>
  <c r="G169" i="130"/>
  <c r="G170" i="130"/>
  <c r="G171" i="130"/>
  <c r="G172" i="130"/>
  <c r="G173" i="130"/>
  <c r="G174" i="130"/>
  <c r="G175" i="130"/>
  <c r="G176" i="130"/>
  <c r="G177" i="130"/>
  <c r="G178" i="130"/>
  <c r="G179" i="130"/>
  <c r="G180" i="130"/>
  <c r="G181" i="130"/>
  <c r="G182" i="130"/>
  <c r="G183" i="130"/>
  <c r="G184" i="130"/>
  <c r="G185" i="130"/>
  <c r="G186" i="130"/>
  <c r="G187" i="130"/>
  <c r="G188" i="130"/>
  <c r="G189" i="130"/>
  <c r="G190" i="130"/>
  <c r="G191" i="130"/>
  <c r="G192" i="130"/>
  <c r="G193" i="130"/>
  <c r="G194" i="130"/>
  <c r="G195" i="130"/>
  <c r="G196" i="130"/>
  <c r="G197" i="130"/>
  <c r="G198" i="130"/>
  <c r="G199" i="130"/>
  <c r="G200" i="130"/>
  <c r="G201" i="130"/>
  <c r="G205" i="130"/>
  <c r="G206" i="130"/>
  <c r="G207" i="130"/>
  <c r="G208" i="130"/>
  <c r="G209" i="130"/>
  <c r="G214" i="130"/>
  <c r="G215" i="130"/>
  <c r="G216" i="130"/>
  <c r="G217" i="130"/>
  <c r="G218" i="130"/>
  <c r="G219" i="130"/>
  <c r="G220" i="130"/>
  <c r="G221" i="130"/>
  <c r="G222" i="130"/>
  <c r="G223" i="130"/>
  <c r="G224" i="130"/>
  <c r="G225" i="130"/>
  <c r="G226" i="130"/>
  <c r="G227" i="130"/>
  <c r="G228" i="130"/>
  <c r="G230" i="130"/>
  <c r="G231" i="130"/>
  <c r="G232" i="130"/>
  <c r="G233" i="130"/>
  <c r="G234" i="130"/>
  <c r="G235" i="130"/>
  <c r="G236" i="130"/>
  <c r="G237" i="130"/>
  <c r="G238" i="130"/>
  <c r="G239" i="130"/>
  <c r="G240" i="130"/>
  <c r="G241" i="130"/>
  <c r="G242" i="130"/>
  <c r="G243" i="130"/>
  <c r="G244" i="130"/>
  <c r="G245" i="130"/>
  <c r="G246" i="130"/>
  <c r="G247" i="130"/>
  <c r="G248" i="130"/>
  <c r="G249" i="130"/>
  <c r="G250" i="130"/>
  <c r="G251" i="130"/>
  <c r="G252" i="130"/>
  <c r="G253" i="130"/>
  <c r="G254" i="130"/>
  <c r="G255" i="130"/>
  <c r="G256" i="130"/>
  <c r="G258" i="130"/>
  <c r="G259" i="130"/>
  <c r="G258" i="131"/>
  <c r="G259" i="131"/>
  <c r="G258" i="162"/>
  <c r="G259" i="162"/>
  <c r="G258" i="133"/>
  <c r="G259" i="133"/>
  <c r="G258" i="138"/>
  <c r="G259" i="138"/>
  <c r="G258" i="135"/>
  <c r="G259" i="135"/>
  <c r="G258" i="118"/>
  <c r="G259" i="118"/>
  <c r="G258" i="136"/>
  <c r="G259" i="136"/>
  <c r="G258" i="134"/>
  <c r="G259" i="134"/>
  <c r="G258" i="137"/>
  <c r="G259" i="137"/>
  <c r="G24" i="130"/>
  <c r="G24" i="77"/>
  <c r="J259" i="137"/>
  <c r="J258" i="137"/>
  <c r="J256" i="137"/>
  <c r="J255" i="137"/>
  <c r="J254" i="137"/>
  <c r="J253" i="137"/>
  <c r="J252" i="137"/>
  <c r="J251" i="137"/>
  <c r="J250" i="137"/>
  <c r="J249" i="137"/>
  <c r="J248" i="137"/>
  <c r="J247" i="137"/>
  <c r="J246" i="137"/>
  <c r="J244" i="137"/>
  <c r="J243" i="137"/>
  <c r="J242" i="137"/>
  <c r="J241" i="137"/>
  <c r="J240" i="137"/>
  <c r="J239" i="137"/>
  <c r="J238" i="137"/>
  <c r="J237" i="137"/>
  <c r="J236" i="137"/>
  <c r="J235" i="137"/>
  <c r="J234" i="137"/>
  <c r="J233" i="137"/>
  <c r="J232" i="137"/>
  <c r="J231" i="137"/>
  <c r="J230" i="137"/>
  <c r="J228" i="137"/>
  <c r="J227" i="137"/>
  <c r="J226" i="137"/>
  <c r="J225" i="137"/>
  <c r="J221" i="137"/>
  <c r="J220" i="137"/>
  <c r="J219" i="137"/>
  <c r="J218" i="137"/>
  <c r="J216" i="137"/>
  <c r="J215" i="137"/>
  <c r="J209" i="137"/>
  <c r="J207" i="137"/>
  <c r="J206" i="137"/>
  <c r="J205" i="137"/>
  <c r="J201" i="137"/>
  <c r="J200" i="137"/>
  <c r="J199" i="137"/>
  <c r="J198" i="137"/>
  <c r="J197" i="137"/>
  <c r="J196" i="137"/>
  <c r="J194" i="137"/>
  <c r="J193" i="137" s="1"/>
  <c r="C12" i="137" s="1"/>
  <c r="J192" i="137"/>
  <c r="J191" i="137"/>
  <c r="J190" i="137"/>
  <c r="J189" i="137"/>
  <c r="J188" i="137"/>
  <c r="J186" i="137"/>
  <c r="J185" i="137"/>
  <c r="J184" i="137"/>
  <c r="J183" i="137"/>
  <c r="J182" i="137"/>
  <c r="J181" i="137"/>
  <c r="J180" i="137"/>
  <c r="J179" i="137"/>
  <c r="J178" i="137"/>
  <c r="J177" i="137"/>
  <c r="J175" i="137"/>
  <c r="J174" i="137"/>
  <c r="J173" i="137"/>
  <c r="J172" i="137"/>
  <c r="J171" i="137"/>
  <c r="J170" i="137"/>
  <c r="J169" i="137"/>
  <c r="J168" i="137"/>
  <c r="J167" i="137"/>
  <c r="J166" i="137"/>
  <c r="J163" i="137"/>
  <c r="J162" i="137"/>
  <c r="J159" i="137"/>
  <c r="J157" i="137"/>
  <c r="J155" i="137"/>
  <c r="J154" i="137"/>
  <c r="J149" i="137"/>
  <c r="J148" i="137"/>
  <c r="J147" i="137"/>
  <c r="J146" i="137"/>
  <c r="J145" i="137"/>
  <c r="J144" i="137"/>
  <c r="J143" i="137"/>
  <c r="J142" i="137"/>
  <c r="J141" i="137"/>
  <c r="J140" i="137"/>
  <c r="J139" i="137"/>
  <c r="J137" i="137"/>
  <c r="J136" i="137"/>
  <c r="J135" i="137"/>
  <c r="J134" i="137"/>
  <c r="J133" i="137"/>
  <c r="J132" i="137"/>
  <c r="J131" i="137"/>
  <c r="J130" i="137"/>
  <c r="J129" i="137"/>
  <c r="J128" i="137"/>
  <c r="J127" i="137"/>
  <c r="J126" i="137"/>
  <c r="J124" i="137"/>
  <c r="J123" i="137"/>
  <c r="J121" i="137"/>
  <c r="J120" i="137"/>
  <c r="J119" i="137"/>
  <c r="J118" i="137"/>
  <c r="J117" i="137"/>
  <c r="J116" i="137"/>
  <c r="J114" i="137"/>
  <c r="J113" i="137"/>
  <c r="J112" i="137"/>
  <c r="J111" i="137"/>
  <c r="J110" i="137"/>
  <c r="J109" i="137"/>
  <c r="J107" i="137"/>
  <c r="J106" i="137"/>
  <c r="J104" i="137"/>
  <c r="J103" i="137"/>
  <c r="J102" i="137"/>
  <c r="J101" i="137"/>
  <c r="J99" i="137"/>
  <c r="J98" i="137"/>
  <c r="J97" i="137"/>
  <c r="J96" i="137"/>
  <c r="J94" i="137"/>
  <c r="J93" i="137"/>
  <c r="J92" i="137"/>
  <c r="J91" i="137"/>
  <c r="J90" i="137"/>
  <c r="J89" i="137"/>
  <c r="J88" i="137"/>
  <c r="J86" i="137"/>
  <c r="J85" i="137"/>
  <c r="J84" i="137"/>
  <c r="J83" i="137"/>
  <c r="J82" i="137"/>
  <c r="J81" i="137"/>
  <c r="J80" i="137"/>
  <c r="J77" i="137"/>
  <c r="J76" i="137"/>
  <c r="J75" i="137"/>
  <c r="J74" i="137"/>
  <c r="J72" i="137"/>
  <c r="J71" i="137"/>
  <c r="J70" i="137"/>
  <c r="J69" i="137"/>
  <c r="J68" i="137"/>
  <c r="J67" i="137"/>
  <c r="J66" i="137"/>
  <c r="J64" i="137"/>
  <c r="J63" i="137"/>
  <c r="J62" i="137"/>
  <c r="J61" i="137"/>
  <c r="J60" i="137"/>
  <c r="J59" i="137"/>
  <c r="J57" i="137"/>
  <c r="J54" i="137"/>
  <c r="J53" i="137"/>
  <c r="J52" i="137"/>
  <c r="J49" i="137"/>
  <c r="J47" i="137"/>
  <c r="J45" i="137"/>
  <c r="J44" i="137"/>
  <c r="J43" i="137"/>
  <c r="J40" i="137"/>
  <c r="J39" i="137"/>
  <c r="J38" i="137"/>
  <c r="J37" i="137"/>
  <c r="J36" i="137"/>
  <c r="J35" i="137"/>
  <c r="J34" i="137"/>
  <c r="J33" i="137"/>
  <c r="J32" i="137"/>
  <c r="J31" i="137"/>
  <c r="J30" i="137"/>
  <c r="J29" i="137"/>
  <c r="J28" i="137"/>
  <c r="J27" i="137"/>
  <c r="J25" i="137"/>
  <c r="J259" i="134"/>
  <c r="J258" i="134"/>
  <c r="J255" i="134"/>
  <c r="J254" i="134"/>
  <c r="J253" i="134"/>
  <c r="J252" i="134"/>
  <c r="J251" i="134"/>
  <c r="J250" i="134"/>
  <c r="J249" i="134"/>
  <c r="J248" i="134"/>
  <c r="J247" i="134"/>
  <c r="J246" i="134"/>
  <c r="J244" i="134"/>
  <c r="J243" i="134"/>
  <c r="J242" i="134"/>
  <c r="J241" i="134"/>
  <c r="J240" i="134"/>
  <c r="J239" i="134"/>
  <c r="J238" i="134"/>
  <c r="J237" i="134"/>
  <c r="J236" i="134"/>
  <c r="J235" i="134"/>
  <c r="J234" i="134"/>
  <c r="J233" i="134"/>
  <c r="J232" i="134"/>
  <c r="J231" i="134"/>
  <c r="J230" i="134"/>
  <c r="J228" i="134"/>
  <c r="J227" i="134"/>
  <c r="J226" i="134"/>
  <c r="J225" i="134"/>
  <c r="J221" i="134"/>
  <c r="J220" i="134"/>
  <c r="J219" i="134"/>
  <c r="J218" i="134"/>
  <c r="J216" i="134"/>
  <c r="J215" i="134"/>
  <c r="J209" i="134"/>
  <c r="J207" i="134"/>
  <c r="J206" i="134"/>
  <c r="J205" i="134"/>
  <c r="J201" i="134"/>
  <c r="J200" i="134"/>
  <c r="J199" i="134"/>
  <c r="J198" i="134"/>
  <c r="J197" i="134"/>
  <c r="J196" i="134"/>
  <c r="J194" i="134"/>
  <c r="J193" i="134" s="1"/>
  <c r="C12" i="134" s="1"/>
  <c r="J192" i="134"/>
  <c r="J191" i="134"/>
  <c r="J190" i="134"/>
  <c r="J189" i="134"/>
  <c r="J188" i="134"/>
  <c r="J186" i="134"/>
  <c r="J185" i="134"/>
  <c r="J184" i="134"/>
  <c r="J183" i="134"/>
  <c r="J182" i="134"/>
  <c r="J181" i="134"/>
  <c r="J180" i="134"/>
  <c r="J179" i="134"/>
  <c r="J178" i="134"/>
  <c r="J177" i="134"/>
  <c r="J175" i="134"/>
  <c r="J174" i="134"/>
  <c r="J173" i="134"/>
  <c r="J172" i="134"/>
  <c r="J171" i="134"/>
  <c r="J170" i="134"/>
  <c r="J169" i="134"/>
  <c r="J168" i="134"/>
  <c r="J167" i="134"/>
  <c r="J166" i="134"/>
  <c r="J163" i="134"/>
  <c r="J162" i="134"/>
  <c r="J159" i="134"/>
  <c r="J157" i="134"/>
  <c r="J155" i="134"/>
  <c r="J154" i="134"/>
  <c r="J149" i="134"/>
  <c r="J148" i="134"/>
  <c r="J147" i="134"/>
  <c r="J146" i="134"/>
  <c r="J145" i="134"/>
  <c r="J144" i="134"/>
  <c r="J143" i="134"/>
  <c r="J142" i="134"/>
  <c r="J141" i="134"/>
  <c r="J140" i="134"/>
  <c r="J139" i="134"/>
  <c r="J137" i="134"/>
  <c r="J136" i="134"/>
  <c r="J135" i="134"/>
  <c r="J134" i="134"/>
  <c r="J133" i="134"/>
  <c r="J132" i="134"/>
  <c r="J131" i="134"/>
  <c r="J130" i="134"/>
  <c r="J129" i="134"/>
  <c r="J128" i="134"/>
  <c r="J127" i="134"/>
  <c r="J126" i="134"/>
  <c r="J124" i="134"/>
  <c r="J123" i="134"/>
  <c r="J121" i="134"/>
  <c r="J120" i="134"/>
  <c r="J119" i="134"/>
  <c r="J118" i="134"/>
  <c r="J117" i="134"/>
  <c r="J116" i="134"/>
  <c r="J114" i="134"/>
  <c r="J113" i="134"/>
  <c r="J112" i="134"/>
  <c r="J111" i="134"/>
  <c r="J110" i="134"/>
  <c r="J109" i="134"/>
  <c r="J107" i="134"/>
  <c r="J106" i="134"/>
  <c r="J104" i="134"/>
  <c r="J103" i="134"/>
  <c r="J102" i="134"/>
  <c r="J101" i="134"/>
  <c r="J99" i="134"/>
  <c r="J98" i="134"/>
  <c r="J97" i="134"/>
  <c r="J96" i="134"/>
  <c r="J94" i="134"/>
  <c r="J93" i="134"/>
  <c r="J92" i="134"/>
  <c r="J91" i="134"/>
  <c r="J90" i="134"/>
  <c r="J89" i="134"/>
  <c r="J88" i="134"/>
  <c r="J86" i="134"/>
  <c r="J85" i="134"/>
  <c r="J84" i="134"/>
  <c r="J83" i="134"/>
  <c r="J82" i="134"/>
  <c r="J81" i="134"/>
  <c r="J80" i="134"/>
  <c r="J77" i="134"/>
  <c r="J76" i="134"/>
  <c r="J75" i="134"/>
  <c r="J74" i="134"/>
  <c r="J72" i="134"/>
  <c r="J71" i="134"/>
  <c r="J70" i="134"/>
  <c r="J69" i="134"/>
  <c r="J68" i="134"/>
  <c r="J67" i="134"/>
  <c r="J66" i="134"/>
  <c r="J64" i="134"/>
  <c r="J63" i="134"/>
  <c r="J62" i="134"/>
  <c r="J61" i="134"/>
  <c r="J60" i="134"/>
  <c r="J59" i="134"/>
  <c r="J57" i="134"/>
  <c r="J55" i="134"/>
  <c r="J54" i="134"/>
  <c r="J53" i="134"/>
  <c r="J52" i="134"/>
  <c r="J49" i="134"/>
  <c r="J47" i="134"/>
  <c r="J46" i="134"/>
  <c r="J45" i="134"/>
  <c r="J44" i="134"/>
  <c r="J43" i="134"/>
  <c r="J40" i="134"/>
  <c r="J39" i="134"/>
  <c r="J38" i="134"/>
  <c r="J37" i="134"/>
  <c r="J36" i="134"/>
  <c r="J35" i="134"/>
  <c r="J34" i="134"/>
  <c r="J33" i="134"/>
  <c r="J32" i="134"/>
  <c r="J31" i="134"/>
  <c r="J30" i="134"/>
  <c r="J29" i="134"/>
  <c r="J28" i="134"/>
  <c r="J27" i="134"/>
  <c r="J25" i="134"/>
  <c r="J259" i="136"/>
  <c r="J258" i="136"/>
  <c r="J256" i="136"/>
  <c r="J255" i="136"/>
  <c r="J254" i="136"/>
  <c r="J253" i="136"/>
  <c r="J252" i="136"/>
  <c r="J251" i="136"/>
  <c r="J250" i="136"/>
  <c r="J249" i="136"/>
  <c r="J246" i="136"/>
  <c r="J244" i="136"/>
  <c r="J243" i="136"/>
  <c r="J242" i="136"/>
  <c r="J241" i="136"/>
  <c r="J240" i="136"/>
  <c r="J239" i="136"/>
  <c r="J238" i="136"/>
  <c r="J237" i="136"/>
  <c r="J236" i="136"/>
  <c r="J235" i="136"/>
  <c r="J234" i="136"/>
  <c r="J233" i="136"/>
  <c r="J232" i="136"/>
  <c r="J231" i="136"/>
  <c r="J230" i="136"/>
  <c r="J228" i="136"/>
  <c r="J227" i="136"/>
  <c r="J226" i="136"/>
  <c r="J225" i="136"/>
  <c r="J221" i="136"/>
  <c r="J220" i="136"/>
  <c r="J219" i="136"/>
  <c r="J218" i="136"/>
  <c r="J216" i="136"/>
  <c r="J215" i="136"/>
  <c r="J209" i="136"/>
  <c r="J207" i="136"/>
  <c r="J206" i="136"/>
  <c r="J205" i="136"/>
  <c r="J201" i="136"/>
  <c r="J200" i="136"/>
  <c r="J199" i="136"/>
  <c r="J198" i="136"/>
  <c r="J197" i="136"/>
  <c r="J196" i="136"/>
  <c r="J194" i="136"/>
  <c r="J193" i="136" s="1"/>
  <c r="C12" i="136" s="1"/>
  <c r="J192" i="136"/>
  <c r="J191" i="136"/>
  <c r="J190" i="136"/>
  <c r="J189" i="136"/>
  <c r="J188" i="136"/>
  <c r="J186" i="136"/>
  <c r="J185" i="136"/>
  <c r="J184" i="136"/>
  <c r="J183" i="136"/>
  <c r="J182" i="136"/>
  <c r="J181" i="136"/>
  <c r="J180" i="136"/>
  <c r="J179" i="136"/>
  <c r="J178" i="136"/>
  <c r="J177" i="136"/>
  <c r="J175" i="136"/>
  <c r="J174" i="136"/>
  <c r="J173" i="136"/>
  <c r="J172" i="136"/>
  <c r="J171" i="136"/>
  <c r="J170" i="136"/>
  <c r="J169" i="136"/>
  <c r="J168" i="136"/>
  <c r="J167" i="136"/>
  <c r="J166" i="136"/>
  <c r="J163" i="136"/>
  <c r="J162" i="136"/>
  <c r="J159" i="136"/>
  <c r="J157" i="136"/>
  <c r="J155" i="136"/>
  <c r="J154" i="136"/>
  <c r="J149" i="136"/>
  <c r="J148" i="136"/>
  <c r="J147" i="136"/>
  <c r="J146" i="136"/>
  <c r="J145" i="136"/>
  <c r="J144" i="136"/>
  <c r="J143" i="136"/>
  <c r="J142" i="136"/>
  <c r="J141" i="136"/>
  <c r="J140" i="136"/>
  <c r="J139" i="136"/>
  <c r="J137" i="136"/>
  <c r="J136" i="136"/>
  <c r="J135" i="136"/>
  <c r="J134" i="136"/>
  <c r="J133" i="136"/>
  <c r="J132" i="136"/>
  <c r="J131" i="136"/>
  <c r="J130" i="136"/>
  <c r="J129" i="136"/>
  <c r="J128" i="136"/>
  <c r="J127" i="136"/>
  <c r="J126" i="136"/>
  <c r="J124" i="136"/>
  <c r="J123" i="136"/>
  <c r="J121" i="136"/>
  <c r="J120" i="136"/>
  <c r="J119" i="136"/>
  <c r="J118" i="136"/>
  <c r="J117" i="136"/>
  <c r="J116" i="136"/>
  <c r="J114" i="136"/>
  <c r="J113" i="136"/>
  <c r="J112" i="136"/>
  <c r="J111" i="136"/>
  <c r="J110" i="136"/>
  <c r="J109" i="136"/>
  <c r="J107" i="136"/>
  <c r="J106" i="136"/>
  <c r="J104" i="136"/>
  <c r="J103" i="136"/>
  <c r="J102" i="136"/>
  <c r="J101" i="136"/>
  <c r="J99" i="136"/>
  <c r="J98" i="136"/>
  <c r="J97" i="136"/>
  <c r="J96" i="136"/>
  <c r="J94" i="136"/>
  <c r="J93" i="136"/>
  <c r="J92" i="136"/>
  <c r="J91" i="136"/>
  <c r="J90" i="136"/>
  <c r="J89" i="136"/>
  <c r="J88" i="136"/>
  <c r="J86" i="136"/>
  <c r="J85" i="136"/>
  <c r="J84" i="136"/>
  <c r="J83" i="136"/>
  <c r="J82" i="136"/>
  <c r="J81" i="136"/>
  <c r="J80" i="136"/>
  <c r="J77" i="136"/>
  <c r="J76" i="136"/>
  <c r="J75" i="136"/>
  <c r="J74" i="136"/>
  <c r="J72" i="136"/>
  <c r="J71" i="136"/>
  <c r="J70" i="136"/>
  <c r="J69" i="136"/>
  <c r="J68" i="136"/>
  <c r="J67" i="136"/>
  <c r="J66" i="136"/>
  <c r="J64" i="136"/>
  <c r="J63" i="136"/>
  <c r="J62" i="136"/>
  <c r="J61" i="136"/>
  <c r="J60" i="136"/>
  <c r="J59" i="136"/>
  <c r="J57" i="136"/>
  <c r="J54" i="136"/>
  <c r="J53" i="136"/>
  <c r="J52" i="136"/>
  <c r="J49" i="136"/>
  <c r="J47" i="136"/>
  <c r="J45" i="136"/>
  <c r="J44" i="136"/>
  <c r="J43" i="136"/>
  <c r="J40" i="136"/>
  <c r="J39" i="136"/>
  <c r="J38" i="136"/>
  <c r="J37" i="136"/>
  <c r="J36" i="136"/>
  <c r="J35" i="136"/>
  <c r="J34" i="136"/>
  <c r="J33" i="136"/>
  <c r="J32" i="136"/>
  <c r="J31" i="136"/>
  <c r="J30" i="136"/>
  <c r="J29" i="136"/>
  <c r="J28" i="136"/>
  <c r="J27" i="136"/>
  <c r="J25" i="136"/>
  <c r="J259" i="118"/>
  <c r="J258" i="118"/>
  <c r="J255" i="118"/>
  <c r="J254" i="118"/>
  <c r="J253" i="118"/>
  <c r="J252" i="118"/>
  <c r="J251" i="118"/>
  <c r="J250" i="118"/>
  <c r="J249" i="118"/>
  <c r="J246" i="118"/>
  <c r="J244" i="118"/>
  <c r="J243" i="118"/>
  <c r="J242" i="118"/>
  <c r="J241" i="118"/>
  <c r="J240" i="118"/>
  <c r="J239" i="118"/>
  <c r="J238" i="118"/>
  <c r="J237" i="118"/>
  <c r="J236" i="118"/>
  <c r="J235" i="118"/>
  <c r="J234" i="118"/>
  <c r="J233" i="118"/>
  <c r="J232" i="118"/>
  <c r="J231" i="118"/>
  <c r="J230" i="118"/>
  <c r="J228" i="118"/>
  <c r="J227" i="118"/>
  <c r="J226" i="118"/>
  <c r="J225" i="118"/>
  <c r="J221" i="118"/>
  <c r="J220" i="118"/>
  <c r="J219" i="118"/>
  <c r="J218" i="118"/>
  <c r="J216" i="118"/>
  <c r="J215" i="118"/>
  <c r="J209" i="118"/>
  <c r="J207" i="118"/>
  <c r="J206" i="118"/>
  <c r="J205" i="118"/>
  <c r="J201" i="118"/>
  <c r="J200" i="118"/>
  <c r="J199" i="118"/>
  <c r="J198" i="118"/>
  <c r="J197" i="118"/>
  <c r="J196" i="118"/>
  <c r="J194" i="118"/>
  <c r="J193" i="118" s="1"/>
  <c r="C12" i="118" s="1"/>
  <c r="J192" i="118"/>
  <c r="J191" i="118"/>
  <c r="J190" i="118"/>
  <c r="J188" i="118"/>
  <c r="J186" i="118"/>
  <c r="J185" i="118"/>
  <c r="J184" i="118"/>
  <c r="J183" i="118"/>
  <c r="J182" i="118"/>
  <c r="J181" i="118"/>
  <c r="J180" i="118"/>
  <c r="J179" i="118"/>
  <c r="J178" i="118"/>
  <c r="J177" i="118"/>
  <c r="J175" i="118"/>
  <c r="J174" i="118"/>
  <c r="J173" i="118"/>
  <c r="J172" i="118"/>
  <c r="J171" i="118"/>
  <c r="J170" i="118"/>
  <c r="J169" i="118"/>
  <c r="J168" i="118"/>
  <c r="J167" i="118"/>
  <c r="J166" i="118"/>
  <c r="J163" i="118"/>
  <c r="J162" i="118"/>
  <c r="J159" i="118"/>
  <c r="J157" i="118"/>
  <c r="J155" i="118"/>
  <c r="J154" i="118"/>
  <c r="J149" i="118"/>
  <c r="J148" i="118"/>
  <c r="J147" i="118"/>
  <c r="J146" i="118"/>
  <c r="J145" i="118"/>
  <c r="J144" i="118"/>
  <c r="J143" i="118"/>
  <c r="J142" i="118"/>
  <c r="J141" i="118"/>
  <c r="J140" i="118"/>
  <c r="J139" i="118"/>
  <c r="J137" i="118"/>
  <c r="J136" i="118"/>
  <c r="J135" i="118"/>
  <c r="J134" i="118"/>
  <c r="J133" i="118"/>
  <c r="J132" i="118"/>
  <c r="J131" i="118"/>
  <c r="J130" i="118"/>
  <c r="J129" i="118"/>
  <c r="J128" i="118"/>
  <c r="J127" i="118"/>
  <c r="J126" i="118"/>
  <c r="J124" i="118"/>
  <c r="J123" i="118"/>
  <c r="J121" i="118"/>
  <c r="J120" i="118"/>
  <c r="J119" i="118"/>
  <c r="J118" i="118"/>
  <c r="J117" i="118"/>
  <c r="J116" i="118"/>
  <c r="J114" i="118"/>
  <c r="J113" i="118"/>
  <c r="J112" i="118"/>
  <c r="J111" i="118"/>
  <c r="J110" i="118"/>
  <c r="J109" i="118"/>
  <c r="J107" i="118"/>
  <c r="J106" i="118"/>
  <c r="J104" i="118"/>
  <c r="J103" i="118"/>
  <c r="J102" i="118"/>
  <c r="J101" i="118"/>
  <c r="J99" i="118"/>
  <c r="J98" i="118"/>
  <c r="J97" i="118"/>
  <c r="J96" i="118"/>
  <c r="J94" i="118"/>
  <c r="J93" i="118"/>
  <c r="J92" i="118"/>
  <c r="J91" i="118"/>
  <c r="J90" i="118"/>
  <c r="J89" i="118"/>
  <c r="J88" i="118"/>
  <c r="J86" i="118"/>
  <c r="J85" i="118"/>
  <c r="J84" i="118"/>
  <c r="J83" i="118"/>
  <c r="J82" i="118"/>
  <c r="J81" i="118"/>
  <c r="J80" i="118"/>
  <c r="J77" i="118"/>
  <c r="J76" i="118"/>
  <c r="J75" i="118"/>
  <c r="J74" i="118"/>
  <c r="J72" i="118"/>
  <c r="J71" i="118"/>
  <c r="J70" i="118"/>
  <c r="J69" i="118"/>
  <c r="J68" i="118"/>
  <c r="J67" i="118"/>
  <c r="J66" i="118"/>
  <c r="J64" i="118"/>
  <c r="J63" i="118"/>
  <c r="J62" i="118"/>
  <c r="J61" i="118"/>
  <c r="J60" i="118"/>
  <c r="J59" i="118"/>
  <c r="J54" i="118"/>
  <c r="J53" i="118"/>
  <c r="J52" i="118"/>
  <c r="J49" i="118"/>
  <c r="J47" i="118"/>
  <c r="J45" i="118"/>
  <c r="J44" i="118"/>
  <c r="J43" i="118"/>
  <c r="J40" i="118"/>
  <c r="J39" i="118"/>
  <c r="J38" i="118"/>
  <c r="J37" i="118"/>
  <c r="J36" i="118"/>
  <c r="J35" i="118"/>
  <c r="J34" i="118"/>
  <c r="J33" i="118"/>
  <c r="J32" i="118"/>
  <c r="J31" i="118"/>
  <c r="J30" i="118"/>
  <c r="J29" i="118"/>
  <c r="J28" i="118"/>
  <c r="J25" i="118"/>
  <c r="J259" i="135"/>
  <c r="J258" i="135"/>
  <c r="J254" i="135"/>
  <c r="J253" i="135"/>
  <c r="J251" i="135"/>
  <c r="J250" i="135"/>
  <c r="J246" i="135"/>
  <c r="J244" i="135"/>
  <c r="J243" i="135"/>
  <c r="J240" i="135"/>
  <c r="J239" i="135"/>
  <c r="J237" i="135"/>
  <c r="J236" i="135"/>
  <c r="J234" i="135"/>
  <c r="J233" i="135"/>
  <c r="J232" i="135"/>
  <c r="J231" i="135"/>
  <c r="J230" i="135"/>
  <c r="J228" i="135"/>
  <c r="J227" i="135"/>
  <c r="J226" i="135"/>
  <c r="J225" i="135"/>
  <c r="J221" i="135"/>
  <c r="J220" i="135"/>
  <c r="J219" i="135"/>
  <c r="J218" i="135"/>
  <c r="J216" i="135"/>
  <c r="J215" i="135"/>
  <c r="J207" i="135"/>
  <c r="J206" i="135"/>
  <c r="J205" i="135"/>
  <c r="J198" i="135"/>
  <c r="J197" i="135"/>
  <c r="J196" i="135"/>
  <c r="J194" i="135"/>
  <c r="J193" i="135" s="1"/>
  <c r="C12" i="135" s="1"/>
  <c r="J192" i="135"/>
  <c r="J190" i="135"/>
  <c r="J188" i="135"/>
  <c r="J186" i="135"/>
  <c r="J185" i="135"/>
  <c r="J184" i="135"/>
  <c r="J183" i="135"/>
  <c r="J182" i="135"/>
  <c r="J181" i="135"/>
  <c r="J180" i="135"/>
  <c r="J179" i="135"/>
  <c r="J178" i="135"/>
  <c r="J177" i="135"/>
  <c r="J175" i="135"/>
  <c r="J174" i="135"/>
  <c r="J173" i="135"/>
  <c r="J172" i="135"/>
  <c r="J171" i="135"/>
  <c r="J170" i="135"/>
  <c r="J169" i="135"/>
  <c r="J163" i="135"/>
  <c r="J162" i="135"/>
  <c r="J159" i="135"/>
  <c r="J157" i="135"/>
  <c r="J155" i="135"/>
  <c r="J154" i="135"/>
  <c r="J149" i="135"/>
  <c r="J148" i="135"/>
  <c r="J147" i="135"/>
  <c r="J146" i="135"/>
  <c r="J145" i="135"/>
  <c r="J144" i="135"/>
  <c r="J143" i="135"/>
  <c r="J142" i="135"/>
  <c r="J141" i="135"/>
  <c r="J140" i="135"/>
  <c r="J139" i="135"/>
  <c r="J137" i="135"/>
  <c r="J136" i="135"/>
  <c r="J135" i="135"/>
  <c r="J134" i="135"/>
  <c r="J133" i="135"/>
  <c r="J132" i="135"/>
  <c r="J131" i="135"/>
  <c r="J130" i="135"/>
  <c r="J129" i="135"/>
  <c r="J128" i="135"/>
  <c r="J127" i="135"/>
  <c r="J126" i="135"/>
  <c r="J124" i="135"/>
  <c r="J123" i="135"/>
  <c r="J121" i="135"/>
  <c r="J120" i="135"/>
  <c r="J119" i="135"/>
  <c r="J118" i="135"/>
  <c r="J117" i="135"/>
  <c r="J116" i="135"/>
  <c r="J114" i="135"/>
  <c r="J113" i="135"/>
  <c r="J112" i="135"/>
  <c r="J111" i="135"/>
  <c r="J110" i="135"/>
  <c r="J109" i="135"/>
  <c r="J107" i="135"/>
  <c r="J106" i="135"/>
  <c r="J104" i="135"/>
  <c r="J103" i="135"/>
  <c r="J102" i="135"/>
  <c r="J101" i="135"/>
  <c r="J99" i="135"/>
  <c r="J98" i="135"/>
  <c r="J97" i="135"/>
  <c r="J96" i="135"/>
  <c r="J94" i="135"/>
  <c r="J93" i="135"/>
  <c r="J92" i="135"/>
  <c r="J91" i="135"/>
  <c r="J90" i="135"/>
  <c r="J89" i="135"/>
  <c r="J88" i="135"/>
  <c r="J86" i="135"/>
  <c r="J85" i="135"/>
  <c r="J84" i="135"/>
  <c r="J83" i="135"/>
  <c r="J82" i="135"/>
  <c r="J81" i="135"/>
  <c r="J80" i="135"/>
  <c r="J77" i="135"/>
  <c r="J76" i="135"/>
  <c r="J75" i="135"/>
  <c r="J74" i="135"/>
  <c r="J72" i="135"/>
  <c r="J71" i="135"/>
  <c r="J70" i="135"/>
  <c r="J69" i="135"/>
  <c r="J68" i="135"/>
  <c r="J67" i="135"/>
  <c r="J66" i="135"/>
  <c r="J64" i="135"/>
  <c r="J63" i="135"/>
  <c r="J62" i="135"/>
  <c r="J61" i="135"/>
  <c r="J60" i="135"/>
  <c r="J59" i="135"/>
  <c r="J56" i="135"/>
  <c r="J54" i="135"/>
  <c r="J53" i="135"/>
  <c r="J52" i="135"/>
  <c r="J49" i="135"/>
  <c r="J47" i="135"/>
  <c r="J45" i="135"/>
  <c r="J44" i="135"/>
  <c r="J43" i="135"/>
  <c r="J40" i="135"/>
  <c r="J39" i="135"/>
  <c r="J38" i="135"/>
  <c r="J37" i="135"/>
  <c r="J36" i="135"/>
  <c r="J35" i="135"/>
  <c r="J34" i="135"/>
  <c r="J33" i="135"/>
  <c r="J32" i="135"/>
  <c r="J31" i="135"/>
  <c r="J30" i="135"/>
  <c r="J29" i="135"/>
  <c r="J28" i="135"/>
  <c r="J25" i="135"/>
  <c r="J259" i="138"/>
  <c r="J258" i="138"/>
  <c r="J259" i="133"/>
  <c r="J258" i="133"/>
  <c r="J254" i="133"/>
  <c r="J253" i="133"/>
  <c r="J251" i="133"/>
  <c r="J250" i="133"/>
  <c r="J249" i="133"/>
  <c r="J248" i="133"/>
  <c r="J244" i="133"/>
  <c r="J243" i="133"/>
  <c r="J242" i="133"/>
  <c r="J241" i="133"/>
  <c r="J240" i="133"/>
  <c r="J239" i="133"/>
  <c r="J237" i="133"/>
  <c r="J236" i="133"/>
  <c r="J235" i="133"/>
  <c r="J234" i="133"/>
  <c r="J233" i="133"/>
  <c r="J232" i="133"/>
  <c r="J231" i="133"/>
  <c r="J230" i="133"/>
  <c r="J228" i="133"/>
  <c r="J227" i="133"/>
  <c r="J221" i="133"/>
  <c r="J220" i="133"/>
  <c r="J219" i="133"/>
  <c r="J218" i="133"/>
  <c r="J216" i="133"/>
  <c r="J215" i="133"/>
  <c r="J209" i="133"/>
  <c r="J201" i="133"/>
  <c r="J200" i="133"/>
  <c r="J199" i="133"/>
  <c r="J198" i="133"/>
  <c r="J197" i="133"/>
  <c r="J196" i="133"/>
  <c r="J194" i="133"/>
  <c r="J193" i="133" s="1"/>
  <c r="C12" i="133" s="1"/>
  <c r="J192" i="133"/>
  <c r="J191" i="133"/>
  <c r="J190" i="133"/>
  <c r="J188" i="133"/>
  <c r="J186" i="133"/>
  <c r="J185" i="133"/>
  <c r="J184" i="133"/>
  <c r="J183" i="133"/>
  <c r="J182" i="133"/>
  <c r="J181" i="133"/>
  <c r="J180" i="133"/>
  <c r="J179" i="133"/>
  <c r="J178" i="133"/>
  <c r="J177" i="133"/>
  <c r="J175" i="133"/>
  <c r="J174" i="133"/>
  <c r="J173" i="133"/>
  <c r="J172" i="133"/>
  <c r="J171" i="133"/>
  <c r="J170" i="133"/>
  <c r="J169" i="133"/>
  <c r="J168" i="133"/>
  <c r="J167" i="133"/>
  <c r="J166" i="133"/>
  <c r="J163" i="133"/>
  <c r="J162" i="133"/>
  <c r="J159" i="133"/>
  <c r="J157" i="133"/>
  <c r="J155" i="133"/>
  <c r="J154" i="133"/>
  <c r="J149" i="133"/>
  <c r="J148" i="133"/>
  <c r="J147" i="133"/>
  <c r="J146" i="133"/>
  <c r="J145" i="133"/>
  <c r="J144" i="133"/>
  <c r="J143" i="133"/>
  <c r="J142" i="133"/>
  <c r="J141" i="133"/>
  <c r="J140" i="133"/>
  <c r="J139" i="133"/>
  <c r="J137" i="133"/>
  <c r="J136" i="133"/>
  <c r="J135" i="133"/>
  <c r="J134" i="133"/>
  <c r="J133" i="133"/>
  <c r="J132" i="133"/>
  <c r="J131" i="133"/>
  <c r="J130" i="133"/>
  <c r="J129" i="133"/>
  <c r="J128" i="133"/>
  <c r="J127" i="133"/>
  <c r="J126" i="133"/>
  <c r="J124" i="133"/>
  <c r="J123" i="133"/>
  <c r="J121" i="133"/>
  <c r="J120" i="133"/>
  <c r="J119" i="133"/>
  <c r="J118" i="133"/>
  <c r="J117" i="133"/>
  <c r="J116" i="133"/>
  <c r="J114" i="133"/>
  <c r="J113" i="133"/>
  <c r="J112" i="133"/>
  <c r="J111" i="133"/>
  <c r="J110" i="133"/>
  <c r="J109" i="133"/>
  <c r="J107" i="133"/>
  <c r="J106" i="133"/>
  <c r="J104" i="133"/>
  <c r="J103" i="133"/>
  <c r="J102" i="133"/>
  <c r="J101" i="133"/>
  <c r="J99" i="133"/>
  <c r="J98" i="133"/>
  <c r="J97" i="133"/>
  <c r="J96" i="133"/>
  <c r="J94" i="133"/>
  <c r="J93" i="133"/>
  <c r="J92" i="133"/>
  <c r="J91" i="133"/>
  <c r="J90" i="133"/>
  <c r="J89" i="133"/>
  <c r="J88" i="133"/>
  <c r="J86" i="133"/>
  <c r="J85" i="133"/>
  <c r="J84" i="133"/>
  <c r="J83" i="133"/>
  <c r="J82" i="133"/>
  <c r="J81" i="133"/>
  <c r="J80" i="133"/>
  <c r="J77" i="133"/>
  <c r="J76" i="133"/>
  <c r="J75" i="133"/>
  <c r="J74" i="133"/>
  <c r="J72" i="133"/>
  <c r="J71" i="133"/>
  <c r="J70" i="133"/>
  <c r="J69" i="133"/>
  <c r="J68" i="133"/>
  <c r="J67" i="133"/>
  <c r="J66" i="133"/>
  <c r="J64" i="133"/>
  <c r="J63" i="133"/>
  <c r="J62" i="133"/>
  <c r="J61" i="133"/>
  <c r="J60" i="133"/>
  <c r="J59" i="133"/>
  <c r="J54" i="133"/>
  <c r="J53" i="133"/>
  <c r="J52" i="133"/>
  <c r="J49" i="133"/>
  <c r="J48" i="133"/>
  <c r="J47" i="133"/>
  <c r="J45" i="133"/>
  <c r="J44" i="133"/>
  <c r="J43" i="133"/>
  <c r="J42" i="133"/>
  <c r="J40" i="133"/>
  <c r="J39" i="133"/>
  <c r="J38" i="133"/>
  <c r="J37" i="133"/>
  <c r="J36" i="133"/>
  <c r="J35" i="133"/>
  <c r="J34" i="133"/>
  <c r="J33" i="133"/>
  <c r="J32" i="133"/>
  <c r="J31" i="133"/>
  <c r="J30" i="133"/>
  <c r="J29" i="133"/>
  <c r="J28" i="133"/>
  <c r="J27" i="133"/>
  <c r="J25" i="133"/>
  <c r="J259" i="162"/>
  <c r="J258" i="162"/>
  <c r="J255" i="162"/>
  <c r="J254" i="162"/>
  <c r="J253" i="162"/>
  <c r="J252" i="162"/>
  <c r="J251" i="162"/>
  <c r="J250" i="162"/>
  <c r="J249" i="162"/>
  <c r="J248" i="162"/>
  <c r="J246" i="162"/>
  <c r="J244" i="162"/>
  <c r="J243" i="162"/>
  <c r="J242" i="162"/>
  <c r="J241" i="162"/>
  <c r="J240" i="162"/>
  <c r="J239" i="162"/>
  <c r="J238" i="162"/>
  <c r="J237" i="162"/>
  <c r="J236" i="162"/>
  <c r="J234" i="162"/>
  <c r="J233" i="162"/>
  <c r="J232" i="162"/>
  <c r="J231" i="162"/>
  <c r="J230" i="162"/>
  <c r="J228" i="162"/>
  <c r="J227" i="162"/>
  <c r="J226" i="162"/>
  <c r="J221" i="162"/>
  <c r="J220" i="162"/>
  <c r="J219" i="162"/>
  <c r="J218" i="162"/>
  <c r="J216" i="162"/>
  <c r="J215" i="162"/>
  <c r="J209" i="162"/>
  <c r="J207" i="162"/>
  <c r="J206" i="162"/>
  <c r="J205" i="162"/>
  <c r="J201" i="162"/>
  <c r="J200" i="162"/>
  <c r="J199" i="162"/>
  <c r="J198" i="162"/>
  <c r="J197" i="162"/>
  <c r="J196" i="162"/>
  <c r="J194" i="162"/>
  <c r="J193" i="162" s="1"/>
  <c r="C12" i="162" s="1"/>
  <c r="J192" i="162"/>
  <c r="J191" i="162"/>
  <c r="J190" i="162"/>
  <c r="J189" i="162"/>
  <c r="J188" i="162"/>
  <c r="J186" i="162"/>
  <c r="J185" i="162"/>
  <c r="J184" i="162"/>
  <c r="J183" i="162"/>
  <c r="J182" i="162"/>
  <c r="J181" i="162"/>
  <c r="J180" i="162"/>
  <c r="J179" i="162"/>
  <c r="J178" i="162"/>
  <c r="J177" i="162"/>
  <c r="J175" i="162"/>
  <c r="J174" i="162"/>
  <c r="J173" i="162"/>
  <c r="J172" i="162"/>
  <c r="J171" i="162"/>
  <c r="J170" i="162"/>
  <c r="J169" i="162"/>
  <c r="J168" i="162"/>
  <c r="J167" i="162"/>
  <c r="J166" i="162"/>
  <c r="J163" i="162"/>
  <c r="J162" i="162"/>
  <c r="J159" i="162"/>
  <c r="J158" i="162"/>
  <c r="J157" i="162"/>
  <c r="J155" i="162"/>
  <c r="J154" i="162"/>
  <c r="J152" i="162"/>
  <c r="J151" i="162"/>
  <c r="J149" i="162"/>
  <c r="J148" i="162"/>
  <c r="J147" i="162"/>
  <c r="J146" i="162"/>
  <c r="J145" i="162"/>
  <c r="J144" i="162"/>
  <c r="J143" i="162"/>
  <c r="J142" i="162"/>
  <c r="J141" i="162"/>
  <c r="J140" i="162"/>
  <c r="J139" i="162"/>
  <c r="J137" i="162"/>
  <c r="J136" i="162"/>
  <c r="J135" i="162"/>
  <c r="J134" i="162"/>
  <c r="J133" i="162"/>
  <c r="J132" i="162"/>
  <c r="J131" i="162"/>
  <c r="J130" i="162"/>
  <c r="J129" i="162"/>
  <c r="J128" i="162"/>
  <c r="J127" i="162"/>
  <c r="J126" i="162"/>
  <c r="J124" i="162"/>
  <c r="J123" i="162"/>
  <c r="J121" i="162"/>
  <c r="J120" i="162"/>
  <c r="J119" i="162"/>
  <c r="J118" i="162"/>
  <c r="J117" i="162"/>
  <c r="J116" i="162"/>
  <c r="J114" i="162"/>
  <c r="J113" i="162"/>
  <c r="J112" i="162"/>
  <c r="J111" i="162"/>
  <c r="J110" i="162"/>
  <c r="J109" i="162"/>
  <c r="J107" i="162"/>
  <c r="J106" i="162"/>
  <c r="J104" i="162"/>
  <c r="J103" i="162"/>
  <c r="J102" i="162"/>
  <c r="J101" i="162"/>
  <c r="J99" i="162"/>
  <c r="J98" i="162"/>
  <c r="J97" i="162"/>
  <c r="J96" i="162"/>
  <c r="J94" i="162"/>
  <c r="J93" i="162"/>
  <c r="J92" i="162"/>
  <c r="J91" i="162"/>
  <c r="J90" i="162"/>
  <c r="J89" i="162"/>
  <c r="J88" i="162"/>
  <c r="J86" i="162"/>
  <c r="J85" i="162"/>
  <c r="J84" i="162"/>
  <c r="J83" i="162"/>
  <c r="J82" i="162"/>
  <c r="J81" i="162"/>
  <c r="J80" i="162"/>
  <c r="J77" i="162"/>
  <c r="J76" i="162"/>
  <c r="J75" i="162"/>
  <c r="J74" i="162"/>
  <c r="J72" i="162"/>
  <c r="J71" i="162"/>
  <c r="J70" i="162"/>
  <c r="J69" i="162"/>
  <c r="J68" i="162"/>
  <c r="J67" i="162"/>
  <c r="J66" i="162"/>
  <c r="J64" i="162"/>
  <c r="J63" i="162"/>
  <c r="J62" i="162"/>
  <c r="J61" i="162"/>
  <c r="J60" i="162"/>
  <c r="J59" i="162"/>
  <c r="J57" i="162"/>
  <c r="J56" i="162"/>
  <c r="J55" i="162"/>
  <c r="J54" i="162"/>
  <c r="J53" i="162"/>
  <c r="J52" i="162"/>
  <c r="J49" i="162"/>
  <c r="J47" i="162"/>
  <c r="J46" i="162"/>
  <c r="J45" i="162"/>
  <c r="J44" i="162"/>
  <c r="J43" i="162"/>
  <c r="J40" i="162"/>
  <c r="J39" i="162"/>
  <c r="J38" i="162"/>
  <c r="J37" i="162"/>
  <c r="J36" i="162"/>
  <c r="J35" i="162"/>
  <c r="J34" i="162"/>
  <c r="J33" i="162"/>
  <c r="J32" i="162"/>
  <c r="J31" i="162"/>
  <c r="J30" i="162"/>
  <c r="J29" i="162"/>
  <c r="J28" i="162"/>
  <c r="J27" i="162"/>
  <c r="J25" i="162"/>
  <c r="J259" i="131"/>
  <c r="J258" i="131"/>
  <c r="J256" i="131"/>
  <c r="J255" i="131"/>
  <c r="J254" i="131"/>
  <c r="J253" i="131"/>
  <c r="J252" i="131"/>
  <c r="J251" i="131"/>
  <c r="J250" i="131"/>
  <c r="J249" i="131"/>
  <c r="J248" i="131"/>
  <c r="J247" i="131"/>
  <c r="J246" i="131"/>
  <c r="J244" i="131"/>
  <c r="J243" i="131"/>
  <c r="J242" i="131"/>
  <c r="J240" i="131"/>
  <c r="J239" i="131"/>
  <c r="J238" i="131"/>
  <c r="J237" i="131"/>
  <c r="J236" i="131"/>
  <c r="J235" i="131"/>
  <c r="J234" i="131"/>
  <c r="J233" i="131"/>
  <c r="J232" i="131"/>
  <c r="J231" i="131"/>
  <c r="J230" i="131"/>
  <c r="J228" i="131"/>
  <c r="J227" i="131"/>
  <c r="J225" i="131"/>
  <c r="J221" i="131"/>
  <c r="J220" i="131"/>
  <c r="J219" i="131"/>
  <c r="J218" i="131"/>
  <c r="J216" i="131"/>
  <c r="J215" i="131"/>
  <c r="J209" i="131"/>
  <c r="J207" i="131"/>
  <c r="J206" i="131"/>
  <c r="J205" i="131"/>
  <c r="J201" i="131"/>
  <c r="J200" i="131"/>
  <c r="J199" i="131"/>
  <c r="J198" i="131"/>
  <c r="J197" i="131"/>
  <c r="J196" i="131"/>
  <c r="J194" i="131"/>
  <c r="J193" i="131" s="1"/>
  <c r="C12" i="131" s="1"/>
  <c r="J192" i="131"/>
  <c r="J191" i="131"/>
  <c r="J190" i="131"/>
  <c r="J189" i="131"/>
  <c r="J188" i="131"/>
  <c r="J186" i="131"/>
  <c r="J185" i="131"/>
  <c r="J184" i="131"/>
  <c r="J183" i="131"/>
  <c r="J182" i="131"/>
  <c r="J181" i="131"/>
  <c r="J180" i="131"/>
  <c r="J179" i="131"/>
  <c r="J178" i="131"/>
  <c r="J177" i="131"/>
  <c r="J175" i="131"/>
  <c r="J174" i="131"/>
  <c r="J173" i="131"/>
  <c r="J172" i="131"/>
  <c r="J171" i="131"/>
  <c r="J170" i="131"/>
  <c r="J169" i="131"/>
  <c r="J168" i="131"/>
  <c r="J167" i="131"/>
  <c r="J166" i="131"/>
  <c r="J163" i="131"/>
  <c r="J162" i="131"/>
  <c r="J159" i="131"/>
  <c r="J157" i="131"/>
  <c r="J155" i="131"/>
  <c r="J154" i="131"/>
  <c r="J152" i="131"/>
  <c r="J149" i="131"/>
  <c r="J148" i="131"/>
  <c r="J147" i="131"/>
  <c r="J146" i="131"/>
  <c r="J145" i="131"/>
  <c r="J144" i="131"/>
  <c r="J143" i="131"/>
  <c r="J142" i="131"/>
  <c r="J141" i="131"/>
  <c r="J140" i="131"/>
  <c r="J139" i="131"/>
  <c r="J137" i="131"/>
  <c r="J136" i="131"/>
  <c r="J135" i="131"/>
  <c r="J134" i="131"/>
  <c r="J133" i="131"/>
  <c r="J132" i="131"/>
  <c r="J131" i="131"/>
  <c r="J130" i="131"/>
  <c r="J129" i="131"/>
  <c r="J128" i="131"/>
  <c r="J127" i="131"/>
  <c r="J126" i="131"/>
  <c r="J124" i="131"/>
  <c r="J123" i="131"/>
  <c r="J121" i="131"/>
  <c r="J120" i="131"/>
  <c r="J119" i="131"/>
  <c r="J118" i="131"/>
  <c r="J117" i="131"/>
  <c r="J116" i="131"/>
  <c r="J114" i="131"/>
  <c r="J113" i="131"/>
  <c r="J112" i="131"/>
  <c r="J111" i="131"/>
  <c r="J110" i="131"/>
  <c r="J109" i="131"/>
  <c r="J107" i="131"/>
  <c r="J106" i="131"/>
  <c r="J104" i="131"/>
  <c r="J103" i="131"/>
  <c r="J102" i="131"/>
  <c r="J101" i="131"/>
  <c r="J99" i="131"/>
  <c r="J98" i="131"/>
  <c r="J97" i="131"/>
  <c r="J96" i="131"/>
  <c r="J94" i="131"/>
  <c r="J93" i="131"/>
  <c r="J92" i="131"/>
  <c r="J91" i="131"/>
  <c r="J90" i="131"/>
  <c r="J89" i="131"/>
  <c r="J88" i="131"/>
  <c r="J86" i="131"/>
  <c r="J85" i="131"/>
  <c r="J84" i="131"/>
  <c r="J83" i="131"/>
  <c r="J82" i="131"/>
  <c r="J81" i="131"/>
  <c r="J80" i="131"/>
  <c r="J77" i="131"/>
  <c r="J76" i="131"/>
  <c r="J75" i="131"/>
  <c r="J74" i="131"/>
  <c r="J72" i="131"/>
  <c r="J71" i="131"/>
  <c r="J70" i="131"/>
  <c r="J69" i="131"/>
  <c r="J68" i="131"/>
  <c r="J67" i="131"/>
  <c r="J66" i="131"/>
  <c r="J64" i="131"/>
  <c r="J63" i="131"/>
  <c r="J62" i="131"/>
  <c r="J61" i="131"/>
  <c r="J60" i="131"/>
  <c r="J59" i="131"/>
  <c r="J57" i="131"/>
  <c r="J56" i="131"/>
  <c r="J55" i="131"/>
  <c r="J54" i="131"/>
  <c r="J53" i="131"/>
  <c r="J52" i="131"/>
  <c r="J49" i="131"/>
  <c r="J47" i="131"/>
  <c r="J45" i="131"/>
  <c r="J44" i="131"/>
  <c r="J43" i="131"/>
  <c r="J40" i="131"/>
  <c r="J39" i="131"/>
  <c r="J38" i="131"/>
  <c r="J37" i="131"/>
  <c r="J36" i="131"/>
  <c r="J35" i="131"/>
  <c r="J34" i="131"/>
  <c r="J33" i="131"/>
  <c r="J32" i="131"/>
  <c r="J31" i="131"/>
  <c r="J30" i="131"/>
  <c r="J29" i="131"/>
  <c r="J28" i="131"/>
  <c r="J27" i="131"/>
  <c r="J25" i="131"/>
  <c r="J259" i="130"/>
  <c r="J258" i="130"/>
  <c r="J256" i="130"/>
  <c r="J255" i="130"/>
  <c r="J254" i="130"/>
  <c r="J253" i="130"/>
  <c r="J252" i="130"/>
  <c r="J251" i="130"/>
  <c r="J250" i="130"/>
  <c r="J249" i="130"/>
  <c r="J248" i="130"/>
  <c r="J247" i="130"/>
  <c r="J246" i="130"/>
  <c r="J244" i="130"/>
  <c r="J243" i="130"/>
  <c r="J242" i="130"/>
  <c r="J241" i="130"/>
  <c r="J240" i="130"/>
  <c r="J239" i="130"/>
  <c r="J238" i="130"/>
  <c r="J237" i="130"/>
  <c r="J236" i="130"/>
  <c r="J235" i="130"/>
  <c r="J234" i="130"/>
  <c r="J233" i="130"/>
  <c r="J232" i="130"/>
  <c r="J231" i="130"/>
  <c r="J230" i="130"/>
  <c r="J228" i="130"/>
  <c r="J227" i="130"/>
  <c r="J226" i="130"/>
  <c r="J225" i="130"/>
  <c r="J221" i="130"/>
  <c r="J220" i="130"/>
  <c r="J219" i="130"/>
  <c r="J218" i="130"/>
  <c r="J216" i="130"/>
  <c r="J215" i="130"/>
  <c r="J209" i="130"/>
  <c r="J207" i="130"/>
  <c r="J206" i="130"/>
  <c r="J205" i="130"/>
  <c r="J201" i="130"/>
  <c r="J200" i="130"/>
  <c r="J199" i="130"/>
  <c r="J198" i="130"/>
  <c r="J197" i="130"/>
  <c r="J196" i="130"/>
  <c r="J194" i="130"/>
  <c r="J193" i="130" s="1"/>
  <c r="C12" i="130" s="1"/>
  <c r="J192" i="130"/>
  <c r="J191" i="130"/>
  <c r="J190" i="130"/>
  <c r="J189" i="130"/>
  <c r="J188" i="130"/>
  <c r="J186" i="130"/>
  <c r="J185" i="130"/>
  <c r="J184" i="130"/>
  <c r="J183" i="130"/>
  <c r="J182" i="130"/>
  <c r="J181" i="130"/>
  <c r="J180" i="130"/>
  <c r="J179" i="130"/>
  <c r="J178" i="130"/>
  <c r="J177" i="130"/>
  <c r="J175" i="130"/>
  <c r="J174" i="130"/>
  <c r="J173" i="130"/>
  <c r="J172" i="130"/>
  <c r="J171" i="130"/>
  <c r="J170" i="130"/>
  <c r="J169" i="130"/>
  <c r="J168" i="130"/>
  <c r="J167" i="130"/>
  <c r="J166" i="130"/>
  <c r="J163" i="130"/>
  <c r="J162" i="130"/>
  <c r="J161" i="130"/>
  <c r="J160" i="130"/>
  <c r="J159" i="130"/>
  <c r="J158" i="130"/>
  <c r="J157" i="130"/>
  <c r="J156" i="130"/>
  <c r="J155" i="130"/>
  <c r="J154" i="130"/>
  <c r="J153" i="130"/>
  <c r="J152" i="130"/>
  <c r="J151" i="130"/>
  <c r="J149" i="130"/>
  <c r="J148" i="130"/>
  <c r="J147" i="130"/>
  <c r="J146" i="130"/>
  <c r="J145" i="130"/>
  <c r="J144" i="130"/>
  <c r="J143" i="130"/>
  <c r="J142" i="130"/>
  <c r="J141" i="130"/>
  <c r="J140" i="130"/>
  <c r="J139" i="130"/>
  <c r="J137" i="130"/>
  <c r="J136" i="130"/>
  <c r="J135" i="130"/>
  <c r="J134" i="130"/>
  <c r="J133" i="130"/>
  <c r="J132" i="130"/>
  <c r="J131" i="130"/>
  <c r="J130" i="130"/>
  <c r="J129" i="130"/>
  <c r="J128" i="130"/>
  <c r="J127" i="130"/>
  <c r="J126" i="130"/>
  <c r="J124" i="130"/>
  <c r="J123" i="130"/>
  <c r="J121" i="130"/>
  <c r="J120" i="130"/>
  <c r="J119" i="130"/>
  <c r="J118" i="130"/>
  <c r="J117" i="130"/>
  <c r="J116" i="130"/>
  <c r="J114" i="130"/>
  <c r="J113" i="130"/>
  <c r="J112" i="130"/>
  <c r="J111" i="130"/>
  <c r="J110" i="130"/>
  <c r="J109" i="130"/>
  <c r="J107" i="130"/>
  <c r="J106" i="130"/>
  <c r="J104" i="130"/>
  <c r="J103" i="130"/>
  <c r="J102" i="130"/>
  <c r="J101" i="130"/>
  <c r="J99" i="130"/>
  <c r="J98" i="130"/>
  <c r="J97" i="130"/>
  <c r="J96" i="130"/>
  <c r="J94" i="130"/>
  <c r="J93" i="130"/>
  <c r="J92" i="130"/>
  <c r="J91" i="130"/>
  <c r="J90" i="130"/>
  <c r="J89" i="130"/>
  <c r="J88" i="130"/>
  <c r="J86" i="130"/>
  <c r="J85" i="130"/>
  <c r="J84" i="130"/>
  <c r="J83" i="130"/>
  <c r="J82" i="130"/>
  <c r="J81" i="130"/>
  <c r="J80" i="130"/>
  <c r="J77" i="130"/>
  <c r="J76" i="130"/>
  <c r="J75" i="130"/>
  <c r="J74" i="130"/>
  <c r="J72" i="130"/>
  <c r="J71" i="130"/>
  <c r="J70" i="130"/>
  <c r="J69" i="130"/>
  <c r="J68" i="130"/>
  <c r="J67" i="130"/>
  <c r="J66" i="130"/>
  <c r="J64" i="130"/>
  <c r="J63" i="130"/>
  <c r="J62" i="130"/>
  <c r="J61" i="130"/>
  <c r="J60" i="130"/>
  <c r="J59" i="130"/>
  <c r="J57" i="130"/>
  <c r="J56" i="130"/>
  <c r="J55" i="130"/>
  <c r="J54" i="130"/>
  <c r="J53" i="130"/>
  <c r="J52" i="130"/>
  <c r="J49" i="130"/>
  <c r="J48" i="130"/>
  <c r="J47" i="130"/>
  <c r="J46" i="130"/>
  <c r="J45" i="130"/>
  <c r="J44" i="130"/>
  <c r="J43" i="130"/>
  <c r="J42" i="130"/>
  <c r="J40" i="130"/>
  <c r="J39" i="130"/>
  <c r="J38" i="130"/>
  <c r="J37" i="130"/>
  <c r="J36" i="130"/>
  <c r="J35" i="130"/>
  <c r="J34" i="130"/>
  <c r="J33" i="130"/>
  <c r="J32" i="130"/>
  <c r="J31" i="130"/>
  <c r="J30" i="130"/>
  <c r="J29" i="130"/>
  <c r="J28" i="130"/>
  <c r="J27" i="130"/>
  <c r="J25" i="130"/>
  <c r="J24" i="130"/>
  <c r="J259" i="129"/>
  <c r="J258" i="129"/>
  <c r="J255" i="129"/>
  <c r="J254" i="129"/>
  <c r="J253" i="129"/>
  <c r="J252" i="129"/>
  <c r="J251" i="129"/>
  <c r="J250" i="129"/>
  <c r="J249" i="129"/>
  <c r="J246" i="129"/>
  <c r="J244" i="129"/>
  <c r="J243" i="129"/>
  <c r="J242" i="129"/>
  <c r="J241" i="129"/>
  <c r="J240" i="129"/>
  <c r="J239" i="129"/>
  <c r="J238" i="129"/>
  <c r="J237" i="129"/>
  <c r="J236" i="129"/>
  <c r="J235" i="129"/>
  <c r="J234" i="129"/>
  <c r="J233" i="129"/>
  <c r="J232" i="129"/>
  <c r="J231" i="129"/>
  <c r="J230" i="129"/>
  <c r="J228" i="129"/>
  <c r="J227" i="129"/>
  <c r="J226" i="129"/>
  <c r="J225" i="129"/>
  <c r="J221" i="129"/>
  <c r="J220" i="129"/>
  <c r="J219" i="129"/>
  <c r="J218" i="129"/>
  <c r="J216" i="129"/>
  <c r="J215" i="129"/>
  <c r="J209" i="129"/>
  <c r="J207" i="129"/>
  <c r="J206" i="129"/>
  <c r="J205" i="129"/>
  <c r="J201" i="129"/>
  <c r="J200" i="129"/>
  <c r="J199" i="129"/>
  <c r="J198" i="129"/>
  <c r="J197" i="129"/>
  <c r="J196" i="129"/>
  <c r="J194" i="129"/>
  <c r="J193" i="129" s="1"/>
  <c r="C12" i="129" s="1"/>
  <c r="J192" i="129"/>
  <c r="J191" i="129"/>
  <c r="J190" i="129"/>
  <c r="J189" i="129"/>
  <c r="J188" i="129"/>
  <c r="J186" i="129"/>
  <c r="J185" i="129"/>
  <c r="J184" i="129"/>
  <c r="J183" i="129"/>
  <c r="J182" i="129"/>
  <c r="J181" i="129"/>
  <c r="J180" i="129"/>
  <c r="J179" i="129"/>
  <c r="J178" i="129"/>
  <c r="J177" i="129"/>
  <c r="J175" i="129"/>
  <c r="J174" i="129"/>
  <c r="J173" i="129"/>
  <c r="J172" i="129"/>
  <c r="J171" i="129"/>
  <c r="J170" i="129"/>
  <c r="J169" i="129"/>
  <c r="J168" i="129"/>
  <c r="J167" i="129"/>
  <c r="J166" i="129"/>
  <c r="J163" i="129"/>
  <c r="J162" i="129"/>
  <c r="J159" i="129"/>
  <c r="J157" i="129"/>
  <c r="J156" i="129"/>
  <c r="J155" i="129"/>
  <c r="J154" i="129"/>
  <c r="J149" i="129"/>
  <c r="J148" i="129"/>
  <c r="J147" i="129"/>
  <c r="J146" i="129"/>
  <c r="J145" i="129"/>
  <c r="J144" i="129"/>
  <c r="J143" i="129"/>
  <c r="J142" i="129"/>
  <c r="J141" i="129"/>
  <c r="J140" i="129"/>
  <c r="J139" i="129"/>
  <c r="J137" i="129"/>
  <c r="J136" i="129"/>
  <c r="J135" i="129"/>
  <c r="J134" i="129"/>
  <c r="J133" i="129"/>
  <c r="J132" i="129"/>
  <c r="J131" i="129"/>
  <c r="J130" i="129"/>
  <c r="J129" i="129"/>
  <c r="J128" i="129"/>
  <c r="J127" i="129"/>
  <c r="J126" i="129"/>
  <c r="J124" i="129"/>
  <c r="J123" i="129"/>
  <c r="J121" i="129"/>
  <c r="J120" i="129"/>
  <c r="J119" i="129"/>
  <c r="J118" i="129"/>
  <c r="J117" i="129"/>
  <c r="J116" i="129"/>
  <c r="J114" i="129"/>
  <c r="J113" i="129"/>
  <c r="J112" i="129"/>
  <c r="J111" i="129"/>
  <c r="J110" i="129"/>
  <c r="J109" i="129"/>
  <c r="J107" i="129"/>
  <c r="J106" i="129"/>
  <c r="J104" i="129"/>
  <c r="J103" i="129"/>
  <c r="J102" i="129"/>
  <c r="J101" i="129"/>
  <c r="J99" i="129"/>
  <c r="J98" i="129"/>
  <c r="J97" i="129"/>
  <c r="J96" i="129"/>
  <c r="J94" i="129"/>
  <c r="J93" i="129"/>
  <c r="J92" i="129"/>
  <c r="J91" i="129"/>
  <c r="J90" i="129"/>
  <c r="J89" i="129"/>
  <c r="J88" i="129"/>
  <c r="J86" i="129"/>
  <c r="J85" i="129"/>
  <c r="J84" i="129"/>
  <c r="J83" i="129"/>
  <c r="J82" i="129"/>
  <c r="J81" i="129"/>
  <c r="J80" i="129"/>
  <c r="J77" i="129"/>
  <c r="J76" i="129"/>
  <c r="J75" i="129"/>
  <c r="J74" i="129"/>
  <c r="J72" i="129"/>
  <c r="J71" i="129"/>
  <c r="J70" i="129"/>
  <c r="J69" i="129"/>
  <c r="J68" i="129"/>
  <c r="J67" i="129"/>
  <c r="J66" i="129"/>
  <c r="J64" i="129"/>
  <c r="J63" i="129"/>
  <c r="J62" i="129"/>
  <c r="J61" i="129"/>
  <c r="J60" i="129"/>
  <c r="J59" i="129"/>
  <c r="J57" i="129"/>
  <c r="J54" i="129"/>
  <c r="J53" i="129"/>
  <c r="J52" i="129"/>
  <c r="J49" i="129"/>
  <c r="J47" i="129"/>
  <c r="J46" i="129"/>
  <c r="J45" i="129"/>
  <c r="J44" i="129"/>
  <c r="J43" i="129"/>
  <c r="J40" i="129"/>
  <c r="J39" i="129"/>
  <c r="J38" i="129"/>
  <c r="J37" i="129"/>
  <c r="J36" i="129"/>
  <c r="J35" i="129"/>
  <c r="J34" i="129"/>
  <c r="J33" i="129"/>
  <c r="J32" i="129"/>
  <c r="J31" i="129"/>
  <c r="J30" i="129"/>
  <c r="J29" i="129"/>
  <c r="J28" i="129"/>
  <c r="J25" i="129"/>
  <c r="J259" i="127"/>
  <c r="J258" i="127"/>
  <c r="J254" i="127"/>
  <c r="J253" i="127"/>
  <c r="J251" i="127"/>
  <c r="J250" i="127"/>
  <c r="J246" i="127"/>
  <c r="J244" i="127"/>
  <c r="J243" i="127"/>
  <c r="J240" i="127"/>
  <c r="J239" i="127"/>
  <c r="J237" i="127"/>
  <c r="J236" i="127"/>
  <c r="J235" i="127"/>
  <c r="J234" i="127"/>
  <c r="J233" i="127"/>
  <c r="J232" i="127"/>
  <c r="J231" i="127"/>
  <c r="J230" i="127"/>
  <c r="J228" i="127"/>
  <c r="J227" i="127"/>
  <c r="J226" i="127"/>
  <c r="J221" i="127"/>
  <c r="J220" i="127"/>
  <c r="J219" i="127"/>
  <c r="J218" i="127"/>
  <c r="J216" i="127"/>
  <c r="J215" i="127"/>
  <c r="J207" i="127"/>
  <c r="J206" i="127"/>
  <c r="J205" i="127"/>
  <c r="J201" i="127"/>
  <c r="J198" i="127"/>
  <c r="J197" i="127"/>
  <c r="J196" i="127"/>
  <c r="J194" i="127"/>
  <c r="J193" i="127" s="1"/>
  <c r="C12" i="127" s="1"/>
  <c r="J192" i="127"/>
  <c r="J191" i="127"/>
  <c r="J190" i="127"/>
  <c r="J189" i="127"/>
  <c r="J188" i="127"/>
  <c r="J186" i="127"/>
  <c r="J185" i="127"/>
  <c r="J184" i="127"/>
  <c r="J183" i="127"/>
  <c r="J182" i="127"/>
  <c r="J181" i="127"/>
  <c r="J180" i="127"/>
  <c r="J179" i="127"/>
  <c r="J178" i="127"/>
  <c r="J177" i="127"/>
  <c r="J175" i="127"/>
  <c r="J174" i="127"/>
  <c r="J173" i="127"/>
  <c r="J172" i="127"/>
  <c r="J171" i="127"/>
  <c r="J170" i="127"/>
  <c r="J169" i="127"/>
  <c r="J168" i="127"/>
  <c r="J166" i="127"/>
  <c r="J163" i="127"/>
  <c r="J162" i="127"/>
  <c r="J159" i="127"/>
  <c r="J157" i="127"/>
  <c r="J155" i="127"/>
  <c r="J154" i="127"/>
  <c r="J149" i="127"/>
  <c r="J148" i="127"/>
  <c r="J147" i="127"/>
  <c r="J146" i="127"/>
  <c r="J145" i="127"/>
  <c r="J144" i="127"/>
  <c r="J143" i="127"/>
  <c r="J142" i="127"/>
  <c r="J141" i="127"/>
  <c r="J140" i="127"/>
  <c r="J139" i="127"/>
  <c r="J137" i="127"/>
  <c r="J136" i="127"/>
  <c r="J135" i="127"/>
  <c r="J134" i="127"/>
  <c r="J133" i="127"/>
  <c r="J132" i="127"/>
  <c r="J131" i="127"/>
  <c r="J130" i="127"/>
  <c r="J129" i="127"/>
  <c r="J128" i="127"/>
  <c r="J127" i="127"/>
  <c r="J126" i="127"/>
  <c r="J124" i="127"/>
  <c r="J123" i="127"/>
  <c r="J121" i="127"/>
  <c r="J120" i="127"/>
  <c r="J119" i="127"/>
  <c r="J118" i="127"/>
  <c r="J117" i="127"/>
  <c r="J116" i="127"/>
  <c r="J114" i="127"/>
  <c r="J113" i="127"/>
  <c r="J112" i="127"/>
  <c r="J111" i="127"/>
  <c r="J110" i="127"/>
  <c r="J109" i="127"/>
  <c r="J107" i="127"/>
  <c r="J106" i="127"/>
  <c r="J104" i="127"/>
  <c r="J103" i="127"/>
  <c r="J102" i="127"/>
  <c r="J101" i="127"/>
  <c r="J99" i="127"/>
  <c r="J98" i="127"/>
  <c r="J97" i="127"/>
  <c r="J96" i="127"/>
  <c r="J94" i="127"/>
  <c r="J93" i="127"/>
  <c r="J92" i="127"/>
  <c r="J91" i="127"/>
  <c r="J90" i="127"/>
  <c r="J89" i="127"/>
  <c r="J88" i="127"/>
  <c r="J86" i="127"/>
  <c r="J85" i="127"/>
  <c r="J84" i="127"/>
  <c r="J83" i="127"/>
  <c r="J82" i="127"/>
  <c r="J81" i="127"/>
  <c r="J80" i="127"/>
  <c r="J77" i="127"/>
  <c r="J76" i="127"/>
  <c r="J75" i="127"/>
  <c r="J74" i="127"/>
  <c r="J72" i="127"/>
  <c r="J71" i="127"/>
  <c r="J70" i="127"/>
  <c r="J69" i="127"/>
  <c r="J68" i="127"/>
  <c r="J67" i="127"/>
  <c r="J66" i="127"/>
  <c r="J64" i="127"/>
  <c r="J63" i="127"/>
  <c r="J62" i="127"/>
  <c r="J61" i="127"/>
  <c r="J60" i="127"/>
  <c r="J59" i="127"/>
  <c r="J54" i="127"/>
  <c r="J53" i="127"/>
  <c r="J52" i="127"/>
  <c r="J49" i="127"/>
  <c r="J47" i="127"/>
  <c r="J46" i="127"/>
  <c r="J45" i="127"/>
  <c r="J44" i="127"/>
  <c r="J43" i="127"/>
  <c r="J40" i="127"/>
  <c r="J39" i="127"/>
  <c r="J38" i="127"/>
  <c r="J37" i="127"/>
  <c r="J36" i="127"/>
  <c r="J35" i="127"/>
  <c r="J34" i="127"/>
  <c r="J33" i="127"/>
  <c r="J32" i="127"/>
  <c r="J31" i="127"/>
  <c r="J30" i="127"/>
  <c r="J29" i="127"/>
  <c r="J28" i="127"/>
  <c r="J25" i="127"/>
  <c r="J259" i="128"/>
  <c r="J258" i="128"/>
  <c r="J256" i="128"/>
  <c r="J255" i="128"/>
  <c r="J254" i="128"/>
  <c r="J253" i="128"/>
  <c r="J252" i="128"/>
  <c r="J251" i="128"/>
  <c r="J250" i="128"/>
  <c r="J249" i="128"/>
  <c r="J248" i="128"/>
  <c r="J247" i="128"/>
  <c r="J246" i="128"/>
  <c r="J244" i="128"/>
  <c r="J243" i="128"/>
  <c r="J242" i="128"/>
  <c r="J241" i="128"/>
  <c r="J240" i="128"/>
  <c r="J239" i="128"/>
  <c r="J238" i="128"/>
  <c r="J237" i="128"/>
  <c r="J236" i="128"/>
  <c r="J235" i="128"/>
  <c r="J234" i="128"/>
  <c r="J233" i="128"/>
  <c r="J232" i="128"/>
  <c r="J231" i="128"/>
  <c r="J230" i="128"/>
  <c r="J228" i="128"/>
  <c r="J227" i="128"/>
  <c r="J226" i="128"/>
  <c r="J225" i="128"/>
  <c r="J221" i="128"/>
  <c r="J220" i="128"/>
  <c r="J219" i="128"/>
  <c r="J218" i="128"/>
  <c r="J216" i="128"/>
  <c r="J215" i="128"/>
  <c r="J209" i="128"/>
  <c r="J207" i="128"/>
  <c r="J206" i="128"/>
  <c r="J205" i="128"/>
  <c r="J201" i="128"/>
  <c r="J200" i="128"/>
  <c r="J199" i="128"/>
  <c r="J198" i="128"/>
  <c r="J197" i="128"/>
  <c r="J196" i="128"/>
  <c r="J194" i="128"/>
  <c r="J193" i="128" s="1"/>
  <c r="C12" i="128" s="1"/>
  <c r="J192" i="128"/>
  <c r="J191" i="128"/>
  <c r="J190" i="128"/>
  <c r="J189" i="128"/>
  <c r="J188" i="128"/>
  <c r="J186" i="128"/>
  <c r="J185" i="128"/>
  <c r="J184" i="128"/>
  <c r="J183" i="128"/>
  <c r="J182" i="128"/>
  <c r="J181" i="128"/>
  <c r="J180" i="128"/>
  <c r="J179" i="128"/>
  <c r="J178" i="128"/>
  <c r="J177" i="128"/>
  <c r="J175" i="128"/>
  <c r="J174" i="128"/>
  <c r="J173" i="128"/>
  <c r="J172" i="128"/>
  <c r="J171" i="128"/>
  <c r="J170" i="128"/>
  <c r="J169" i="128"/>
  <c r="J168" i="128"/>
  <c r="J167" i="128"/>
  <c r="J166" i="128"/>
  <c r="J163" i="128"/>
  <c r="J162" i="128"/>
  <c r="J161" i="128"/>
  <c r="J160" i="128"/>
  <c r="J159" i="128"/>
  <c r="J158" i="128"/>
  <c r="J157" i="128"/>
  <c r="J156" i="128"/>
  <c r="J155" i="128"/>
  <c r="J154" i="128"/>
  <c r="J153" i="128"/>
  <c r="J152" i="128"/>
  <c r="J151" i="128"/>
  <c r="J149" i="128"/>
  <c r="J148" i="128"/>
  <c r="J147" i="128"/>
  <c r="J146" i="128"/>
  <c r="J145" i="128"/>
  <c r="J144" i="128"/>
  <c r="J143" i="128"/>
  <c r="J142" i="128"/>
  <c r="J141" i="128"/>
  <c r="J140" i="128"/>
  <c r="J139" i="128"/>
  <c r="J137" i="128"/>
  <c r="J136" i="128"/>
  <c r="J135" i="128"/>
  <c r="J134" i="128"/>
  <c r="J133" i="128"/>
  <c r="J132" i="128"/>
  <c r="J131" i="128"/>
  <c r="J130" i="128"/>
  <c r="J129" i="128"/>
  <c r="J128" i="128"/>
  <c r="J127" i="128"/>
  <c r="J126" i="128"/>
  <c r="J124" i="128"/>
  <c r="J123" i="128"/>
  <c r="J121" i="128"/>
  <c r="J120" i="128"/>
  <c r="J119" i="128"/>
  <c r="J118" i="128"/>
  <c r="J117" i="128"/>
  <c r="J116" i="128"/>
  <c r="J114" i="128"/>
  <c r="J113" i="128"/>
  <c r="J112" i="128"/>
  <c r="J111" i="128"/>
  <c r="J110" i="128"/>
  <c r="J109" i="128"/>
  <c r="J107" i="128"/>
  <c r="J106" i="128"/>
  <c r="J104" i="128"/>
  <c r="J103" i="128"/>
  <c r="J102" i="128"/>
  <c r="J101" i="128"/>
  <c r="J99" i="128"/>
  <c r="J98" i="128"/>
  <c r="J97" i="128"/>
  <c r="J96" i="128"/>
  <c r="J94" i="128"/>
  <c r="J93" i="128"/>
  <c r="J92" i="128"/>
  <c r="J91" i="128"/>
  <c r="J90" i="128"/>
  <c r="J89" i="128"/>
  <c r="J88" i="128"/>
  <c r="J86" i="128"/>
  <c r="J85" i="128"/>
  <c r="J84" i="128"/>
  <c r="J83" i="128"/>
  <c r="J82" i="128"/>
  <c r="J81" i="128"/>
  <c r="J80" i="128"/>
  <c r="J77" i="128"/>
  <c r="J76" i="128"/>
  <c r="J75" i="128"/>
  <c r="J74" i="128"/>
  <c r="J72" i="128"/>
  <c r="J71" i="128"/>
  <c r="J70" i="128"/>
  <c r="J69" i="128"/>
  <c r="J68" i="128"/>
  <c r="J67" i="128"/>
  <c r="J66" i="128"/>
  <c r="J64" i="128"/>
  <c r="J63" i="128"/>
  <c r="J62" i="128"/>
  <c r="J61" i="128"/>
  <c r="J60" i="128"/>
  <c r="J59" i="128"/>
  <c r="J57" i="128"/>
  <c r="J56" i="128"/>
  <c r="J55" i="128"/>
  <c r="J54" i="128"/>
  <c r="J53" i="128"/>
  <c r="J52" i="128"/>
  <c r="J49" i="128"/>
  <c r="J47" i="128"/>
  <c r="J46" i="128"/>
  <c r="J45" i="128"/>
  <c r="J44" i="128"/>
  <c r="J43" i="128"/>
  <c r="J40" i="128"/>
  <c r="J39" i="128"/>
  <c r="J38" i="128"/>
  <c r="J37" i="128"/>
  <c r="J36" i="128"/>
  <c r="J35" i="128"/>
  <c r="J34" i="128"/>
  <c r="J33" i="128"/>
  <c r="J32" i="128"/>
  <c r="J31" i="128"/>
  <c r="J30" i="128"/>
  <c r="J29" i="128"/>
  <c r="J28" i="128"/>
  <c r="J27" i="128"/>
  <c r="J25" i="128"/>
  <c r="J259" i="125"/>
  <c r="J258" i="125"/>
  <c r="J256" i="125"/>
  <c r="J255" i="125"/>
  <c r="J254" i="125"/>
  <c r="J253" i="125"/>
  <c r="J252" i="125"/>
  <c r="J251" i="125"/>
  <c r="J250" i="125"/>
  <c r="J249" i="125"/>
  <c r="J248" i="125"/>
  <c r="J247" i="125"/>
  <c r="J246" i="125"/>
  <c r="J244" i="125"/>
  <c r="J243" i="125"/>
  <c r="J242" i="125"/>
  <c r="J241" i="125"/>
  <c r="J240" i="125"/>
  <c r="J239" i="125"/>
  <c r="J238" i="125"/>
  <c r="J237" i="125"/>
  <c r="J236" i="125"/>
  <c r="J235" i="125"/>
  <c r="J234" i="125"/>
  <c r="J233" i="125"/>
  <c r="J232" i="125"/>
  <c r="J231" i="125"/>
  <c r="J230" i="125"/>
  <c r="J228" i="125"/>
  <c r="J227" i="125"/>
  <c r="J226" i="125"/>
  <c r="J225" i="125"/>
  <c r="J221" i="125"/>
  <c r="J220" i="125"/>
  <c r="J219" i="125"/>
  <c r="J218" i="125"/>
  <c r="J216" i="125"/>
  <c r="J215" i="125"/>
  <c r="J209" i="125"/>
  <c r="J207" i="125"/>
  <c r="J206" i="125"/>
  <c r="J205" i="125"/>
  <c r="J201" i="125"/>
  <c r="J200" i="125"/>
  <c r="J199" i="125"/>
  <c r="J198" i="125"/>
  <c r="J197" i="125"/>
  <c r="J196" i="125"/>
  <c r="J194" i="125"/>
  <c r="J193" i="125" s="1"/>
  <c r="C12" i="125" s="1"/>
  <c r="J192" i="125"/>
  <c r="J191" i="125"/>
  <c r="J190" i="125"/>
  <c r="J189" i="125"/>
  <c r="J188" i="125"/>
  <c r="J186" i="125"/>
  <c r="J185" i="125"/>
  <c r="J184" i="125"/>
  <c r="J183" i="125"/>
  <c r="J182" i="125"/>
  <c r="J181" i="125"/>
  <c r="J180" i="125"/>
  <c r="J179" i="125"/>
  <c r="J178" i="125"/>
  <c r="J177" i="125"/>
  <c r="J175" i="125"/>
  <c r="J174" i="125"/>
  <c r="J173" i="125"/>
  <c r="J172" i="125"/>
  <c r="J171" i="125"/>
  <c r="J170" i="125"/>
  <c r="J169" i="125"/>
  <c r="J168" i="125"/>
  <c r="J167" i="125"/>
  <c r="J166" i="125"/>
  <c r="J163" i="125"/>
  <c r="J162" i="125"/>
  <c r="J161" i="125"/>
  <c r="J160" i="125"/>
  <c r="J159" i="125"/>
  <c r="J158" i="125"/>
  <c r="J157" i="125"/>
  <c r="J156" i="125"/>
  <c r="J155" i="125"/>
  <c r="J154" i="125"/>
  <c r="J153" i="125"/>
  <c r="J152" i="125"/>
  <c r="J151" i="125"/>
  <c r="J149" i="125"/>
  <c r="J148" i="125"/>
  <c r="J147" i="125"/>
  <c r="J146" i="125"/>
  <c r="J145" i="125"/>
  <c r="J144" i="125"/>
  <c r="J143" i="125"/>
  <c r="J142" i="125"/>
  <c r="J141" i="125"/>
  <c r="J140" i="125"/>
  <c r="J139" i="125"/>
  <c r="J137" i="125"/>
  <c r="J136" i="125"/>
  <c r="J135" i="125"/>
  <c r="J134" i="125"/>
  <c r="J133" i="125"/>
  <c r="J132" i="125"/>
  <c r="J131" i="125"/>
  <c r="J130" i="125"/>
  <c r="J129" i="125"/>
  <c r="J128" i="125"/>
  <c r="J127" i="125"/>
  <c r="J126" i="125"/>
  <c r="J124" i="125"/>
  <c r="J123" i="125"/>
  <c r="J121" i="125"/>
  <c r="J120" i="125"/>
  <c r="J119" i="125"/>
  <c r="J118" i="125"/>
  <c r="J117" i="125"/>
  <c r="J116" i="125"/>
  <c r="J114" i="125"/>
  <c r="J113" i="125"/>
  <c r="J112" i="125"/>
  <c r="J111" i="125"/>
  <c r="J110" i="125"/>
  <c r="J109" i="125"/>
  <c r="J107" i="125"/>
  <c r="J106" i="125"/>
  <c r="J104" i="125"/>
  <c r="J103" i="125"/>
  <c r="J102" i="125"/>
  <c r="J101" i="125"/>
  <c r="J99" i="125"/>
  <c r="J98" i="125"/>
  <c r="J97" i="125"/>
  <c r="J96" i="125"/>
  <c r="J94" i="125"/>
  <c r="J93" i="125"/>
  <c r="J92" i="125"/>
  <c r="J91" i="125"/>
  <c r="J90" i="125"/>
  <c r="J89" i="125"/>
  <c r="J88" i="125"/>
  <c r="J86" i="125"/>
  <c r="J85" i="125"/>
  <c r="J84" i="125"/>
  <c r="J83" i="125"/>
  <c r="J82" i="125"/>
  <c r="J81" i="125"/>
  <c r="J80" i="125"/>
  <c r="J77" i="125"/>
  <c r="J76" i="125"/>
  <c r="J75" i="125"/>
  <c r="J74" i="125"/>
  <c r="J72" i="125"/>
  <c r="J71" i="125"/>
  <c r="J70" i="125"/>
  <c r="J69" i="125"/>
  <c r="J68" i="125"/>
  <c r="J67" i="125"/>
  <c r="J66" i="125"/>
  <c r="J64" i="125"/>
  <c r="J63" i="125"/>
  <c r="J62" i="125"/>
  <c r="J61" i="125"/>
  <c r="J60" i="125"/>
  <c r="J59" i="125"/>
  <c r="J57" i="125"/>
  <c r="J56" i="125"/>
  <c r="J55" i="125"/>
  <c r="J54" i="125"/>
  <c r="J53" i="125"/>
  <c r="J52" i="125"/>
  <c r="J49" i="125"/>
  <c r="J47" i="125"/>
  <c r="J46" i="125"/>
  <c r="J45" i="125"/>
  <c r="J44" i="125"/>
  <c r="J43" i="125"/>
  <c r="J40" i="125"/>
  <c r="J39" i="125"/>
  <c r="J38" i="125"/>
  <c r="J37" i="125"/>
  <c r="J36" i="125"/>
  <c r="J35" i="125"/>
  <c r="J34" i="125"/>
  <c r="J33" i="125"/>
  <c r="J32" i="125"/>
  <c r="J31" i="125"/>
  <c r="J30" i="125"/>
  <c r="J29" i="125"/>
  <c r="J28" i="125"/>
  <c r="J27" i="125"/>
  <c r="J25" i="125"/>
  <c r="J24" i="125"/>
  <c r="J259" i="126"/>
  <c r="J258" i="126"/>
  <c r="J256" i="126"/>
  <c r="J255" i="126"/>
  <c r="J254" i="126"/>
  <c r="J253" i="126"/>
  <c r="J252" i="126"/>
  <c r="J251" i="126"/>
  <c r="J250" i="126"/>
  <c r="J249" i="126"/>
  <c r="J248" i="126"/>
  <c r="J247" i="126"/>
  <c r="J246" i="126"/>
  <c r="J244" i="126"/>
  <c r="J243" i="126"/>
  <c r="J242" i="126"/>
  <c r="J241" i="126"/>
  <c r="J240" i="126"/>
  <c r="J239" i="126"/>
  <c r="J238" i="126"/>
  <c r="J237" i="126"/>
  <c r="J236" i="126"/>
  <c r="J235" i="126"/>
  <c r="J234" i="126"/>
  <c r="J233" i="126"/>
  <c r="J232" i="126"/>
  <c r="J231" i="126"/>
  <c r="J230" i="126"/>
  <c r="J228" i="126"/>
  <c r="J227" i="126"/>
  <c r="J226" i="126"/>
  <c r="J225" i="126"/>
  <c r="J221" i="126"/>
  <c r="J220" i="126"/>
  <c r="J219" i="126"/>
  <c r="J218" i="126"/>
  <c r="J216" i="126"/>
  <c r="J215" i="126"/>
  <c r="J209" i="126"/>
  <c r="J207" i="126"/>
  <c r="J206" i="126"/>
  <c r="J205" i="126"/>
  <c r="J201" i="126"/>
  <c r="J200" i="126"/>
  <c r="J199" i="126"/>
  <c r="J198" i="126"/>
  <c r="J197" i="126"/>
  <c r="J196" i="126"/>
  <c r="J194" i="126"/>
  <c r="J193" i="126" s="1"/>
  <c r="C12" i="126" s="1"/>
  <c r="J192" i="126"/>
  <c r="J191" i="126"/>
  <c r="J190" i="126"/>
  <c r="J189" i="126"/>
  <c r="J188" i="126"/>
  <c r="J186" i="126"/>
  <c r="J185" i="126"/>
  <c r="J184" i="126"/>
  <c r="J183" i="126"/>
  <c r="J182" i="126"/>
  <c r="J181" i="126"/>
  <c r="J180" i="126"/>
  <c r="J179" i="126"/>
  <c r="J178" i="126"/>
  <c r="J177" i="126"/>
  <c r="J175" i="126"/>
  <c r="J174" i="126"/>
  <c r="J173" i="126"/>
  <c r="J172" i="126"/>
  <c r="J171" i="126"/>
  <c r="J170" i="126"/>
  <c r="J169" i="126"/>
  <c r="J168" i="126"/>
  <c r="J167" i="126"/>
  <c r="J166" i="126"/>
  <c r="J163" i="126"/>
  <c r="J162" i="126"/>
  <c r="J161" i="126"/>
  <c r="J160" i="126"/>
  <c r="J159" i="126"/>
  <c r="J158" i="126"/>
  <c r="J157" i="126"/>
  <c r="J156" i="126"/>
  <c r="J155" i="126"/>
  <c r="J154" i="126"/>
  <c r="J153" i="126"/>
  <c r="J152" i="126"/>
  <c r="J151" i="126"/>
  <c r="J149" i="126"/>
  <c r="J148" i="126"/>
  <c r="J147" i="126"/>
  <c r="J146" i="126"/>
  <c r="J145" i="126"/>
  <c r="J144" i="126"/>
  <c r="J143" i="126"/>
  <c r="J142" i="126"/>
  <c r="J141" i="126"/>
  <c r="J140" i="126"/>
  <c r="J139" i="126"/>
  <c r="J137" i="126"/>
  <c r="J136" i="126"/>
  <c r="J135" i="126"/>
  <c r="J134" i="126"/>
  <c r="J133" i="126"/>
  <c r="J132" i="126"/>
  <c r="J131" i="126"/>
  <c r="J130" i="126"/>
  <c r="J129" i="126"/>
  <c r="J128" i="126"/>
  <c r="J127" i="126"/>
  <c r="J126" i="126"/>
  <c r="J124" i="126"/>
  <c r="J123" i="126"/>
  <c r="J121" i="126"/>
  <c r="J120" i="126"/>
  <c r="J119" i="126"/>
  <c r="J118" i="126"/>
  <c r="J117" i="126"/>
  <c r="J116" i="126"/>
  <c r="J114" i="126"/>
  <c r="J113" i="126"/>
  <c r="J112" i="126"/>
  <c r="J111" i="126"/>
  <c r="J110" i="126"/>
  <c r="J109" i="126"/>
  <c r="J107" i="126"/>
  <c r="J106" i="126"/>
  <c r="J104" i="126"/>
  <c r="J103" i="126"/>
  <c r="J102" i="126"/>
  <c r="J101" i="126"/>
  <c r="J99" i="126"/>
  <c r="J98" i="126"/>
  <c r="J97" i="126"/>
  <c r="J96" i="126"/>
  <c r="J94" i="126"/>
  <c r="J93" i="126"/>
  <c r="J92" i="126"/>
  <c r="J91" i="126"/>
  <c r="J90" i="126"/>
  <c r="J89" i="126"/>
  <c r="J88" i="126"/>
  <c r="J86" i="126"/>
  <c r="J85" i="126"/>
  <c r="J84" i="126"/>
  <c r="J83" i="126"/>
  <c r="J82" i="126"/>
  <c r="J81" i="126"/>
  <c r="J80" i="126"/>
  <c r="J77" i="126"/>
  <c r="J76" i="126"/>
  <c r="J75" i="126"/>
  <c r="J74" i="126"/>
  <c r="J72" i="126"/>
  <c r="J71" i="126"/>
  <c r="J70" i="126"/>
  <c r="J69" i="126"/>
  <c r="J68" i="126"/>
  <c r="J67" i="126"/>
  <c r="J66" i="126"/>
  <c r="J64" i="126"/>
  <c r="J63" i="126"/>
  <c r="J62" i="126"/>
  <c r="J61" i="126"/>
  <c r="J60" i="126"/>
  <c r="J59" i="126"/>
  <c r="J57" i="126"/>
  <c r="J56" i="126"/>
  <c r="J55" i="126"/>
  <c r="J54" i="126"/>
  <c r="J53" i="126"/>
  <c r="J52" i="126"/>
  <c r="J49" i="126"/>
  <c r="J47" i="126"/>
  <c r="J46" i="126"/>
  <c r="J45" i="126"/>
  <c r="J44" i="126"/>
  <c r="J43" i="126"/>
  <c r="J40" i="126"/>
  <c r="J39" i="126"/>
  <c r="J38" i="126"/>
  <c r="J37" i="126"/>
  <c r="J36" i="126"/>
  <c r="J35" i="126"/>
  <c r="J34" i="126"/>
  <c r="J33" i="126"/>
  <c r="J32" i="126"/>
  <c r="J31" i="126"/>
  <c r="J30" i="126"/>
  <c r="J29" i="126"/>
  <c r="J28" i="126"/>
  <c r="J27" i="126"/>
  <c r="J25" i="126"/>
  <c r="J24" i="126"/>
  <c r="J259" i="124"/>
  <c r="J258" i="124"/>
  <c r="J256" i="124"/>
  <c r="J255" i="124"/>
  <c r="J254" i="124"/>
  <c r="J253" i="124"/>
  <c r="J252" i="124"/>
  <c r="J251" i="124"/>
  <c r="J250" i="124"/>
  <c r="J249" i="124"/>
  <c r="J248" i="124"/>
  <c r="J247" i="124"/>
  <c r="J246" i="124"/>
  <c r="J244" i="124"/>
  <c r="J243" i="124"/>
  <c r="J242" i="124"/>
  <c r="J241" i="124"/>
  <c r="J240" i="124"/>
  <c r="J239" i="124"/>
  <c r="J238" i="124"/>
  <c r="J237" i="124"/>
  <c r="J236" i="124"/>
  <c r="J235" i="124"/>
  <c r="J234" i="124"/>
  <c r="J233" i="124"/>
  <c r="J232" i="124"/>
  <c r="J231" i="124"/>
  <c r="J230" i="124"/>
  <c r="J228" i="124"/>
  <c r="J227" i="124"/>
  <c r="J226" i="124"/>
  <c r="J225" i="124"/>
  <c r="J221" i="124"/>
  <c r="J220" i="124"/>
  <c r="J219" i="124"/>
  <c r="J218" i="124"/>
  <c r="J216" i="124"/>
  <c r="J215" i="124"/>
  <c r="J209" i="124"/>
  <c r="J207" i="124"/>
  <c r="J206" i="124"/>
  <c r="J205" i="124"/>
  <c r="J201" i="124"/>
  <c r="J200" i="124"/>
  <c r="J199" i="124"/>
  <c r="J198" i="124"/>
  <c r="J197" i="124"/>
  <c r="J196" i="124"/>
  <c r="J194" i="124"/>
  <c r="J193" i="124" s="1"/>
  <c r="C12" i="124" s="1"/>
  <c r="J192" i="124"/>
  <c r="J191" i="124"/>
  <c r="J190" i="124"/>
  <c r="J189" i="124"/>
  <c r="J188" i="124"/>
  <c r="J186" i="124"/>
  <c r="J185" i="124"/>
  <c r="J184" i="124"/>
  <c r="J183" i="124"/>
  <c r="J182" i="124"/>
  <c r="J181" i="124"/>
  <c r="J180" i="124"/>
  <c r="J179" i="124"/>
  <c r="J178" i="124"/>
  <c r="J177" i="124"/>
  <c r="J175" i="124"/>
  <c r="J174" i="124"/>
  <c r="J173" i="124"/>
  <c r="J172" i="124"/>
  <c r="J171" i="124"/>
  <c r="J170" i="124"/>
  <c r="J169" i="124"/>
  <c r="J168" i="124"/>
  <c r="J167" i="124"/>
  <c r="J166" i="124"/>
  <c r="J163" i="124"/>
  <c r="J162" i="124"/>
  <c r="J161" i="124"/>
  <c r="J160" i="124"/>
  <c r="J159" i="124"/>
  <c r="J158" i="124"/>
  <c r="J157" i="124"/>
  <c r="J156" i="124"/>
  <c r="J155" i="124"/>
  <c r="J154" i="124"/>
  <c r="J153" i="124"/>
  <c r="J152" i="124"/>
  <c r="J151" i="124"/>
  <c r="J149" i="124"/>
  <c r="J148" i="124"/>
  <c r="J147" i="124"/>
  <c r="J146" i="124"/>
  <c r="J145" i="124"/>
  <c r="J144" i="124"/>
  <c r="J143" i="124"/>
  <c r="J142" i="124"/>
  <c r="J141" i="124"/>
  <c r="J140" i="124"/>
  <c r="J139" i="124"/>
  <c r="J137" i="124"/>
  <c r="J136" i="124"/>
  <c r="J135" i="124"/>
  <c r="J134" i="124"/>
  <c r="J133" i="124"/>
  <c r="J132" i="124"/>
  <c r="J131" i="124"/>
  <c r="J130" i="124"/>
  <c r="J129" i="124"/>
  <c r="J128" i="124"/>
  <c r="J127" i="124"/>
  <c r="J126" i="124"/>
  <c r="J124" i="124"/>
  <c r="J123" i="124"/>
  <c r="J121" i="124"/>
  <c r="J120" i="124"/>
  <c r="J119" i="124"/>
  <c r="J118" i="124"/>
  <c r="J117" i="124"/>
  <c r="J116" i="124"/>
  <c r="J114" i="124"/>
  <c r="J113" i="124"/>
  <c r="J112" i="124"/>
  <c r="J111" i="124"/>
  <c r="J110" i="124"/>
  <c r="J109" i="124"/>
  <c r="J107" i="124"/>
  <c r="J106" i="124"/>
  <c r="J104" i="124"/>
  <c r="J103" i="124"/>
  <c r="J102" i="124"/>
  <c r="J101" i="124"/>
  <c r="J99" i="124"/>
  <c r="J98" i="124"/>
  <c r="J97" i="124"/>
  <c r="J96" i="124"/>
  <c r="J94" i="124"/>
  <c r="J93" i="124"/>
  <c r="J92" i="124"/>
  <c r="J91" i="124"/>
  <c r="J90" i="124"/>
  <c r="J89" i="124"/>
  <c r="J88" i="124"/>
  <c r="J86" i="124"/>
  <c r="J85" i="124"/>
  <c r="J84" i="124"/>
  <c r="J83" i="124"/>
  <c r="J82" i="124"/>
  <c r="J81" i="124"/>
  <c r="J80" i="124"/>
  <c r="J77" i="124"/>
  <c r="J76" i="124"/>
  <c r="J75" i="124"/>
  <c r="J74" i="124"/>
  <c r="J72" i="124"/>
  <c r="J71" i="124"/>
  <c r="J70" i="124"/>
  <c r="J69" i="124"/>
  <c r="J68" i="124"/>
  <c r="J67" i="124"/>
  <c r="J66" i="124"/>
  <c r="J64" i="124"/>
  <c r="J63" i="124"/>
  <c r="J62" i="124"/>
  <c r="J61" i="124"/>
  <c r="J60" i="124"/>
  <c r="J59" i="124"/>
  <c r="J57" i="124"/>
  <c r="J56" i="124"/>
  <c r="J55" i="124"/>
  <c r="J54" i="124"/>
  <c r="J53" i="124"/>
  <c r="J52" i="124"/>
  <c r="J49" i="124"/>
  <c r="J47" i="124"/>
  <c r="J46" i="124"/>
  <c r="J45" i="124"/>
  <c r="J44" i="124"/>
  <c r="J43" i="124"/>
  <c r="J40" i="124"/>
  <c r="J39" i="124"/>
  <c r="J38" i="124"/>
  <c r="J37" i="124"/>
  <c r="J36" i="124"/>
  <c r="J35" i="124"/>
  <c r="J34" i="124"/>
  <c r="J33" i="124"/>
  <c r="J32" i="124"/>
  <c r="J31" i="124"/>
  <c r="J30" i="124"/>
  <c r="J29" i="124"/>
  <c r="J28" i="124"/>
  <c r="J27" i="124"/>
  <c r="J25" i="124"/>
  <c r="J24" i="124"/>
  <c r="J259" i="123"/>
  <c r="J258" i="123"/>
  <c r="J256" i="123"/>
  <c r="J255" i="123"/>
  <c r="J254" i="123"/>
  <c r="J253" i="123"/>
  <c r="J252" i="123"/>
  <c r="J251" i="123"/>
  <c r="J250" i="123"/>
  <c r="J249" i="123"/>
  <c r="J248" i="123"/>
  <c r="J247" i="123"/>
  <c r="J246" i="123"/>
  <c r="J244" i="123"/>
  <c r="J243" i="123"/>
  <c r="J242" i="123"/>
  <c r="J241" i="123"/>
  <c r="J240" i="123"/>
  <c r="J239" i="123"/>
  <c r="J238" i="123"/>
  <c r="J237" i="123"/>
  <c r="J236" i="123"/>
  <c r="J235" i="123"/>
  <c r="J234" i="123"/>
  <c r="J233" i="123"/>
  <c r="J232" i="123"/>
  <c r="J231" i="123"/>
  <c r="J230" i="123"/>
  <c r="J228" i="123"/>
  <c r="J227" i="123"/>
  <c r="J226" i="123"/>
  <c r="J225" i="123"/>
  <c r="J221" i="123"/>
  <c r="J220" i="123"/>
  <c r="J219" i="123"/>
  <c r="J218" i="123"/>
  <c r="J216" i="123"/>
  <c r="J215" i="123"/>
  <c r="J209" i="123"/>
  <c r="J207" i="123"/>
  <c r="J206" i="123"/>
  <c r="J205" i="123"/>
  <c r="J201" i="123"/>
  <c r="J200" i="123"/>
  <c r="J199" i="123"/>
  <c r="J198" i="123"/>
  <c r="J197" i="123"/>
  <c r="J196" i="123"/>
  <c r="J194" i="123"/>
  <c r="J193" i="123" s="1"/>
  <c r="C12" i="123" s="1"/>
  <c r="J192" i="123"/>
  <c r="J191" i="123"/>
  <c r="J190" i="123"/>
  <c r="J189" i="123"/>
  <c r="J188" i="123"/>
  <c r="J186" i="123"/>
  <c r="J185" i="123"/>
  <c r="J184" i="123"/>
  <c r="J183" i="123"/>
  <c r="J182" i="123"/>
  <c r="J181" i="123"/>
  <c r="J180" i="123"/>
  <c r="J179" i="123"/>
  <c r="J178" i="123"/>
  <c r="J177" i="123"/>
  <c r="J175" i="123"/>
  <c r="J174" i="123"/>
  <c r="J173" i="123"/>
  <c r="J172" i="123"/>
  <c r="J171" i="123"/>
  <c r="J170" i="123"/>
  <c r="J169" i="123"/>
  <c r="J168" i="123"/>
  <c r="J167" i="123"/>
  <c r="J166" i="123"/>
  <c r="J163" i="123"/>
  <c r="J162" i="123"/>
  <c r="J161" i="123"/>
  <c r="J160" i="123"/>
  <c r="J159" i="123"/>
  <c r="J158" i="123"/>
  <c r="J157" i="123"/>
  <c r="J156" i="123"/>
  <c r="J155" i="123"/>
  <c r="J154" i="123"/>
  <c r="J153" i="123"/>
  <c r="J152" i="123"/>
  <c r="J151" i="123"/>
  <c r="J149" i="123"/>
  <c r="J148" i="123"/>
  <c r="J147" i="123"/>
  <c r="J146" i="123"/>
  <c r="J145" i="123"/>
  <c r="J144" i="123"/>
  <c r="J143" i="123"/>
  <c r="J142" i="123"/>
  <c r="J141" i="123"/>
  <c r="J140" i="123"/>
  <c r="J139" i="123"/>
  <c r="J137" i="123"/>
  <c r="J136" i="123"/>
  <c r="J135" i="123"/>
  <c r="J134" i="123"/>
  <c r="J133" i="123"/>
  <c r="J132" i="123"/>
  <c r="J131" i="123"/>
  <c r="J130" i="123"/>
  <c r="J129" i="123"/>
  <c r="J128" i="123"/>
  <c r="J127" i="123"/>
  <c r="J126" i="123"/>
  <c r="J124" i="123"/>
  <c r="J123" i="123"/>
  <c r="J121" i="123"/>
  <c r="J120" i="123"/>
  <c r="J119" i="123"/>
  <c r="J118" i="123"/>
  <c r="J117" i="123"/>
  <c r="J116" i="123"/>
  <c r="J114" i="123"/>
  <c r="J113" i="123"/>
  <c r="J112" i="123"/>
  <c r="J111" i="123"/>
  <c r="J110" i="123"/>
  <c r="J109" i="123"/>
  <c r="J107" i="123"/>
  <c r="J106" i="123"/>
  <c r="J104" i="123"/>
  <c r="J103" i="123"/>
  <c r="J102" i="123"/>
  <c r="J101" i="123"/>
  <c r="J99" i="123"/>
  <c r="J98" i="123"/>
  <c r="J97" i="123"/>
  <c r="J96" i="123"/>
  <c r="J94" i="123"/>
  <c r="J93" i="123"/>
  <c r="J92" i="123"/>
  <c r="J91" i="123"/>
  <c r="J90" i="123"/>
  <c r="J89" i="123"/>
  <c r="J88" i="123"/>
  <c r="J86" i="123"/>
  <c r="J85" i="123"/>
  <c r="J84" i="123"/>
  <c r="J83" i="123"/>
  <c r="J82" i="123"/>
  <c r="J81" i="123"/>
  <c r="J80" i="123"/>
  <c r="J77" i="123"/>
  <c r="J76" i="123"/>
  <c r="J75" i="123"/>
  <c r="J74" i="123"/>
  <c r="J72" i="123"/>
  <c r="J71" i="123"/>
  <c r="J70" i="123"/>
  <c r="J69" i="123"/>
  <c r="J68" i="123"/>
  <c r="J67" i="123"/>
  <c r="J66" i="123"/>
  <c r="J64" i="123"/>
  <c r="J63" i="123"/>
  <c r="J62" i="123"/>
  <c r="J61" i="123"/>
  <c r="J60" i="123"/>
  <c r="J59" i="123"/>
  <c r="J57" i="123"/>
  <c r="J56" i="123"/>
  <c r="J55" i="123"/>
  <c r="J54" i="123"/>
  <c r="J53" i="123"/>
  <c r="J52" i="123"/>
  <c r="J49" i="123"/>
  <c r="J48" i="123"/>
  <c r="J47" i="123"/>
  <c r="J46" i="123"/>
  <c r="J45" i="123"/>
  <c r="J44" i="123"/>
  <c r="J43" i="123"/>
  <c r="J42" i="123"/>
  <c r="J40" i="123"/>
  <c r="J39" i="123"/>
  <c r="J38" i="123"/>
  <c r="J37" i="123"/>
  <c r="J36" i="123"/>
  <c r="J35" i="123"/>
  <c r="J34" i="123"/>
  <c r="J33" i="123"/>
  <c r="J32" i="123"/>
  <c r="J31" i="123"/>
  <c r="J30" i="123"/>
  <c r="J29" i="123"/>
  <c r="J28" i="123"/>
  <c r="J27" i="123"/>
  <c r="J25" i="123"/>
  <c r="J24" i="123"/>
  <c r="J259" i="122"/>
  <c r="J258" i="122"/>
  <c r="J256" i="122"/>
  <c r="J255" i="122"/>
  <c r="J254" i="122"/>
  <c r="J253" i="122"/>
  <c r="J252" i="122"/>
  <c r="J251" i="122"/>
  <c r="J250" i="122"/>
  <c r="J249" i="122"/>
  <c r="J248" i="122"/>
  <c r="J247" i="122"/>
  <c r="J246" i="122"/>
  <c r="J244" i="122"/>
  <c r="J243" i="122"/>
  <c r="J242" i="122"/>
  <c r="J241" i="122"/>
  <c r="J240" i="122"/>
  <c r="J239" i="122"/>
  <c r="J238" i="122"/>
  <c r="J237" i="122"/>
  <c r="J236" i="122"/>
  <c r="J235" i="122"/>
  <c r="J234" i="122"/>
  <c r="J233" i="122"/>
  <c r="J232" i="122"/>
  <c r="J231" i="122"/>
  <c r="J230" i="122"/>
  <c r="J228" i="122"/>
  <c r="J227" i="122"/>
  <c r="J226" i="122"/>
  <c r="J225" i="122"/>
  <c r="J221" i="122"/>
  <c r="J220" i="122"/>
  <c r="J219" i="122"/>
  <c r="J218" i="122"/>
  <c r="J216" i="122"/>
  <c r="J215" i="122"/>
  <c r="J209" i="122"/>
  <c r="J207" i="122"/>
  <c r="J206" i="122"/>
  <c r="J205" i="122"/>
  <c r="J201" i="122"/>
  <c r="J200" i="122"/>
  <c r="J199" i="122"/>
  <c r="J198" i="122"/>
  <c r="J197" i="122"/>
  <c r="J196" i="122"/>
  <c r="J194" i="122"/>
  <c r="J193" i="122" s="1"/>
  <c r="C12" i="122" s="1"/>
  <c r="J192" i="122"/>
  <c r="J191" i="122"/>
  <c r="J190" i="122"/>
  <c r="J189" i="122"/>
  <c r="J188" i="122"/>
  <c r="J186" i="122"/>
  <c r="J185" i="122"/>
  <c r="J184" i="122"/>
  <c r="J183" i="122"/>
  <c r="J182" i="122"/>
  <c r="J181" i="122"/>
  <c r="J180" i="122"/>
  <c r="J179" i="122"/>
  <c r="J178" i="122"/>
  <c r="J177" i="122"/>
  <c r="J175" i="122"/>
  <c r="J174" i="122"/>
  <c r="J173" i="122"/>
  <c r="J172" i="122"/>
  <c r="J171" i="122"/>
  <c r="J170" i="122"/>
  <c r="J169" i="122"/>
  <c r="J168" i="122"/>
  <c r="J167" i="122"/>
  <c r="J166" i="122"/>
  <c r="J163" i="122"/>
  <c r="J162" i="122"/>
  <c r="J161" i="122"/>
  <c r="J160" i="122"/>
  <c r="J159" i="122"/>
  <c r="J158" i="122"/>
  <c r="J157" i="122"/>
  <c r="J156" i="122"/>
  <c r="J155" i="122"/>
  <c r="J154" i="122"/>
  <c r="J153" i="122"/>
  <c r="J152" i="122"/>
  <c r="J151" i="122"/>
  <c r="J149" i="122"/>
  <c r="J148" i="122"/>
  <c r="J147" i="122"/>
  <c r="J146" i="122"/>
  <c r="J145" i="122"/>
  <c r="J144" i="122"/>
  <c r="J143" i="122"/>
  <c r="J142" i="122"/>
  <c r="J141" i="122"/>
  <c r="J140" i="122"/>
  <c r="J139" i="122"/>
  <c r="J137" i="122"/>
  <c r="J136" i="122"/>
  <c r="J135" i="122"/>
  <c r="J134" i="122"/>
  <c r="J133" i="122"/>
  <c r="J132" i="122"/>
  <c r="J131" i="122"/>
  <c r="J130" i="122"/>
  <c r="J129" i="122"/>
  <c r="J128" i="122"/>
  <c r="J127" i="122"/>
  <c r="J126" i="122"/>
  <c r="J124" i="122"/>
  <c r="J123" i="122"/>
  <c r="J121" i="122"/>
  <c r="J120" i="122"/>
  <c r="J119" i="122"/>
  <c r="J118" i="122"/>
  <c r="J117" i="122"/>
  <c r="J116" i="122"/>
  <c r="J114" i="122"/>
  <c r="J113" i="122"/>
  <c r="J112" i="122"/>
  <c r="J111" i="122"/>
  <c r="J110" i="122"/>
  <c r="J109" i="122"/>
  <c r="J107" i="122"/>
  <c r="J106" i="122"/>
  <c r="J104" i="122"/>
  <c r="J103" i="122"/>
  <c r="J102" i="122"/>
  <c r="J101" i="122"/>
  <c r="J99" i="122"/>
  <c r="J98" i="122"/>
  <c r="J97" i="122"/>
  <c r="J96" i="122"/>
  <c r="J94" i="122"/>
  <c r="J93" i="122"/>
  <c r="J92" i="122"/>
  <c r="J91" i="122"/>
  <c r="J90" i="122"/>
  <c r="J89" i="122"/>
  <c r="J88" i="122"/>
  <c r="J86" i="122"/>
  <c r="J85" i="122"/>
  <c r="J84" i="122"/>
  <c r="J83" i="122"/>
  <c r="J82" i="122"/>
  <c r="J81" i="122"/>
  <c r="J80" i="122"/>
  <c r="J77" i="122"/>
  <c r="J76" i="122"/>
  <c r="J75" i="122"/>
  <c r="J74" i="122"/>
  <c r="J72" i="122"/>
  <c r="J71" i="122"/>
  <c r="J70" i="122"/>
  <c r="J69" i="122"/>
  <c r="J68" i="122"/>
  <c r="J67" i="122"/>
  <c r="J66" i="122"/>
  <c r="J64" i="122"/>
  <c r="J63" i="122"/>
  <c r="J62" i="122"/>
  <c r="J61" i="122"/>
  <c r="J60" i="122"/>
  <c r="J59" i="122"/>
  <c r="J57" i="122"/>
  <c r="J56" i="122"/>
  <c r="J55" i="122"/>
  <c r="J54" i="122"/>
  <c r="J53" i="122"/>
  <c r="J52" i="122"/>
  <c r="J49" i="122"/>
  <c r="J47" i="122"/>
  <c r="J46" i="122"/>
  <c r="J45" i="122"/>
  <c r="J44" i="122"/>
  <c r="J43" i="122"/>
  <c r="J40" i="122"/>
  <c r="J39" i="122"/>
  <c r="J38" i="122"/>
  <c r="J37" i="122"/>
  <c r="J36" i="122"/>
  <c r="J35" i="122"/>
  <c r="J34" i="122"/>
  <c r="J33" i="122"/>
  <c r="J32" i="122"/>
  <c r="J31" i="122"/>
  <c r="J30" i="122"/>
  <c r="J29" i="122"/>
  <c r="J28" i="122"/>
  <c r="J27" i="122"/>
  <c r="J25" i="122"/>
  <c r="J24" i="122"/>
  <c r="J259" i="121"/>
  <c r="J258" i="121"/>
  <c r="J256" i="121"/>
  <c r="J255" i="121"/>
  <c r="J254" i="121"/>
  <c r="J253" i="121"/>
  <c r="J251" i="121"/>
  <c r="J250" i="121"/>
  <c r="J249" i="121"/>
  <c r="J246" i="121"/>
  <c r="J244" i="121"/>
  <c r="J243" i="121"/>
  <c r="J242" i="121"/>
  <c r="J241" i="121"/>
  <c r="J240" i="121"/>
  <c r="J239" i="121"/>
  <c r="J238" i="121"/>
  <c r="J237" i="121"/>
  <c r="J236" i="121"/>
  <c r="J235" i="121"/>
  <c r="J234" i="121"/>
  <c r="J233" i="121"/>
  <c r="J232" i="121"/>
  <c r="J231" i="121"/>
  <c r="J230" i="121"/>
  <c r="J228" i="121"/>
  <c r="J227" i="121"/>
  <c r="J225" i="121"/>
  <c r="J221" i="121"/>
  <c r="J220" i="121"/>
  <c r="J219" i="121"/>
  <c r="J218" i="121"/>
  <c r="J216" i="121"/>
  <c r="J215" i="121"/>
  <c r="J209" i="121"/>
  <c r="J207" i="121"/>
  <c r="J206" i="121"/>
  <c r="J205" i="121"/>
  <c r="J201" i="121"/>
  <c r="J200" i="121"/>
  <c r="J199" i="121"/>
  <c r="J198" i="121"/>
  <c r="J197" i="121"/>
  <c r="J196" i="121"/>
  <c r="J194" i="121"/>
  <c r="J193" i="121" s="1"/>
  <c r="C12" i="121" s="1"/>
  <c r="J192" i="121"/>
  <c r="J191" i="121"/>
  <c r="J190" i="121"/>
  <c r="J188" i="121"/>
  <c r="J186" i="121"/>
  <c r="J185" i="121"/>
  <c r="J184" i="121"/>
  <c r="J183" i="121"/>
  <c r="J182" i="121"/>
  <c r="J181" i="121"/>
  <c r="J180" i="121"/>
  <c r="J179" i="121"/>
  <c r="J178" i="121"/>
  <c r="J177" i="121"/>
  <c r="J175" i="121"/>
  <c r="J174" i="121"/>
  <c r="J173" i="121"/>
  <c r="J172" i="121"/>
  <c r="J171" i="121"/>
  <c r="J170" i="121"/>
  <c r="J169" i="121"/>
  <c r="J168" i="121"/>
  <c r="J167" i="121"/>
  <c r="J166" i="121"/>
  <c r="J163" i="121"/>
  <c r="J162" i="121"/>
  <c r="J159" i="121"/>
  <c r="J157" i="121"/>
  <c r="J155" i="121"/>
  <c r="J154" i="121"/>
  <c r="J149" i="121"/>
  <c r="J148" i="121"/>
  <c r="J147" i="121"/>
  <c r="J146" i="121"/>
  <c r="J145" i="121"/>
  <c r="J144" i="121"/>
  <c r="J143" i="121"/>
  <c r="J142" i="121"/>
  <c r="J141" i="121"/>
  <c r="J140" i="121"/>
  <c r="J139" i="121"/>
  <c r="J137" i="121"/>
  <c r="J136" i="121"/>
  <c r="J135" i="121"/>
  <c r="J134" i="121"/>
  <c r="J133" i="121"/>
  <c r="J132" i="121"/>
  <c r="J131" i="121"/>
  <c r="J130" i="121"/>
  <c r="J129" i="121"/>
  <c r="J128" i="121"/>
  <c r="J127" i="121"/>
  <c r="J126" i="121"/>
  <c r="J124" i="121"/>
  <c r="J123" i="121"/>
  <c r="J121" i="121"/>
  <c r="J120" i="121"/>
  <c r="J119" i="121"/>
  <c r="J118" i="121"/>
  <c r="J117" i="121"/>
  <c r="J116" i="121"/>
  <c r="J114" i="121"/>
  <c r="J113" i="121"/>
  <c r="J112" i="121"/>
  <c r="J111" i="121"/>
  <c r="J110" i="121"/>
  <c r="J109" i="121"/>
  <c r="J107" i="121"/>
  <c r="J106" i="121"/>
  <c r="J104" i="121"/>
  <c r="J103" i="121"/>
  <c r="J102" i="121"/>
  <c r="J101" i="121"/>
  <c r="J99" i="121"/>
  <c r="J98" i="121"/>
  <c r="J97" i="121"/>
  <c r="J96" i="121"/>
  <c r="J94" i="121"/>
  <c r="J93" i="121"/>
  <c r="J92" i="121"/>
  <c r="J91" i="121"/>
  <c r="J90" i="121"/>
  <c r="J89" i="121"/>
  <c r="J88" i="121"/>
  <c r="J86" i="121"/>
  <c r="J85" i="121"/>
  <c r="J84" i="121"/>
  <c r="J83" i="121"/>
  <c r="J82" i="121"/>
  <c r="J81" i="121"/>
  <c r="J80" i="121"/>
  <c r="J77" i="121"/>
  <c r="J76" i="121"/>
  <c r="J75" i="121"/>
  <c r="J74" i="121"/>
  <c r="J72" i="121"/>
  <c r="J71" i="121"/>
  <c r="J70" i="121"/>
  <c r="J69" i="121"/>
  <c r="J68" i="121"/>
  <c r="J67" i="121"/>
  <c r="J66" i="121"/>
  <c r="J64" i="121"/>
  <c r="J63" i="121"/>
  <c r="J62" i="121"/>
  <c r="J61" i="121"/>
  <c r="J60" i="121"/>
  <c r="J59" i="121"/>
  <c r="J57" i="121"/>
  <c r="J54" i="121"/>
  <c r="J53" i="121"/>
  <c r="J52" i="121"/>
  <c r="J49" i="121"/>
  <c r="J47" i="121"/>
  <c r="J46" i="121"/>
  <c r="J45" i="121"/>
  <c r="J44" i="121"/>
  <c r="J43" i="121"/>
  <c r="J40" i="121"/>
  <c r="J39" i="121"/>
  <c r="J38" i="121"/>
  <c r="J37" i="121"/>
  <c r="J36" i="121"/>
  <c r="J35" i="121"/>
  <c r="J34" i="121"/>
  <c r="J33" i="121"/>
  <c r="J32" i="121"/>
  <c r="J31" i="121"/>
  <c r="J30" i="121"/>
  <c r="J29" i="121"/>
  <c r="J28" i="121"/>
  <c r="J25" i="121"/>
  <c r="J259" i="120"/>
  <c r="J258" i="120"/>
  <c r="J255" i="120"/>
  <c r="J254" i="120"/>
  <c r="J253" i="120"/>
  <c r="J251" i="120"/>
  <c r="J250" i="120"/>
  <c r="J246" i="120"/>
  <c r="J244" i="120"/>
  <c r="J243" i="120"/>
  <c r="J240" i="120"/>
  <c r="J239" i="120"/>
  <c r="J237" i="120"/>
  <c r="J236" i="120"/>
  <c r="J234" i="120"/>
  <c r="J233" i="120"/>
  <c r="J232" i="120"/>
  <c r="J231" i="120"/>
  <c r="J230" i="120"/>
  <c r="J228" i="120"/>
  <c r="J227" i="120"/>
  <c r="J225" i="120"/>
  <c r="J221" i="120"/>
  <c r="J220" i="120"/>
  <c r="J219" i="120"/>
  <c r="J218" i="120"/>
  <c r="J216" i="120"/>
  <c r="J215" i="120"/>
  <c r="J209" i="120"/>
  <c r="J207" i="120"/>
  <c r="J206" i="120"/>
  <c r="J205" i="120"/>
  <c r="J198" i="120"/>
  <c r="J197" i="120"/>
  <c r="J196" i="120"/>
  <c r="J194" i="120"/>
  <c r="J193" i="120" s="1"/>
  <c r="C12" i="120" s="1"/>
  <c r="J192" i="120"/>
  <c r="J190" i="120"/>
  <c r="J188" i="120"/>
  <c r="J186" i="120"/>
  <c r="J185" i="120"/>
  <c r="J184" i="120"/>
  <c r="J183" i="120"/>
  <c r="J182" i="120"/>
  <c r="J181" i="120"/>
  <c r="J180" i="120"/>
  <c r="J179" i="120"/>
  <c r="J178" i="120"/>
  <c r="J177" i="120"/>
  <c r="J175" i="120"/>
  <c r="J174" i="120"/>
  <c r="J173" i="120"/>
  <c r="J172" i="120"/>
  <c r="J171" i="120"/>
  <c r="J170" i="120"/>
  <c r="J169" i="120"/>
  <c r="J163" i="120"/>
  <c r="J162" i="120"/>
  <c r="J159" i="120"/>
  <c r="J157" i="120"/>
  <c r="J155" i="120"/>
  <c r="J154" i="120"/>
  <c r="J149" i="120"/>
  <c r="J148" i="120"/>
  <c r="J147" i="120"/>
  <c r="J146" i="120"/>
  <c r="J145" i="120"/>
  <c r="J144" i="120"/>
  <c r="J143" i="120"/>
  <c r="J142" i="120"/>
  <c r="J141" i="120"/>
  <c r="J140" i="120"/>
  <c r="J139" i="120"/>
  <c r="J137" i="120"/>
  <c r="J136" i="120"/>
  <c r="J135" i="120"/>
  <c r="J134" i="120"/>
  <c r="J133" i="120"/>
  <c r="J132" i="120"/>
  <c r="J131" i="120"/>
  <c r="J130" i="120"/>
  <c r="J129" i="120"/>
  <c r="J128" i="120"/>
  <c r="J127" i="120"/>
  <c r="J126" i="120"/>
  <c r="J124" i="120"/>
  <c r="J123" i="120"/>
  <c r="J121" i="120"/>
  <c r="J120" i="120"/>
  <c r="J119" i="120"/>
  <c r="J118" i="120"/>
  <c r="J117" i="120"/>
  <c r="J116" i="120"/>
  <c r="J114" i="120"/>
  <c r="J113" i="120"/>
  <c r="J112" i="120"/>
  <c r="J111" i="120"/>
  <c r="J110" i="120"/>
  <c r="J109" i="120"/>
  <c r="J107" i="120"/>
  <c r="J106" i="120"/>
  <c r="J104" i="120"/>
  <c r="J103" i="120"/>
  <c r="J102" i="120"/>
  <c r="J101" i="120"/>
  <c r="J99" i="120"/>
  <c r="J98" i="120"/>
  <c r="J97" i="120"/>
  <c r="J96" i="120"/>
  <c r="J94" i="120"/>
  <c r="J93" i="120"/>
  <c r="J92" i="120"/>
  <c r="J91" i="120"/>
  <c r="J90" i="120"/>
  <c r="J89" i="120"/>
  <c r="J88" i="120"/>
  <c r="J86" i="120"/>
  <c r="J85" i="120"/>
  <c r="J84" i="120"/>
  <c r="J83" i="120"/>
  <c r="J82" i="120"/>
  <c r="J81" i="120"/>
  <c r="J80" i="120"/>
  <c r="J77" i="120"/>
  <c r="J76" i="120"/>
  <c r="J75" i="120"/>
  <c r="J74" i="120"/>
  <c r="J72" i="120"/>
  <c r="J71" i="120"/>
  <c r="J70" i="120"/>
  <c r="J69" i="120"/>
  <c r="J68" i="120"/>
  <c r="J67" i="120"/>
  <c r="J66" i="120"/>
  <c r="J64" i="120"/>
  <c r="J63" i="120"/>
  <c r="J62" i="120"/>
  <c r="J61" i="120"/>
  <c r="J60" i="120"/>
  <c r="J59" i="120"/>
  <c r="J57" i="120"/>
  <c r="J54" i="120"/>
  <c r="J53" i="120"/>
  <c r="J52" i="120"/>
  <c r="J49" i="120"/>
  <c r="J47" i="120"/>
  <c r="J45" i="120"/>
  <c r="J44" i="120"/>
  <c r="J43" i="120"/>
  <c r="J40" i="120"/>
  <c r="J39" i="120"/>
  <c r="J38" i="120"/>
  <c r="J37" i="120"/>
  <c r="J36" i="120"/>
  <c r="J35" i="120"/>
  <c r="J34" i="120"/>
  <c r="J33" i="120"/>
  <c r="J32" i="120"/>
  <c r="J31" i="120"/>
  <c r="J30" i="120"/>
  <c r="J29" i="120"/>
  <c r="J28" i="120"/>
  <c r="J25" i="120"/>
  <c r="J259" i="163"/>
  <c r="J258" i="163"/>
  <c r="J256" i="163"/>
  <c r="J255" i="163"/>
  <c r="J254" i="163"/>
  <c r="J253" i="163"/>
  <c r="J247" i="163"/>
  <c r="J248" i="163"/>
  <c r="J249" i="163"/>
  <c r="J252" i="163"/>
  <c r="J251" i="163"/>
  <c r="J250" i="163"/>
  <c r="J246" i="163"/>
  <c r="J244" i="163"/>
  <c r="J243" i="163"/>
  <c r="J242" i="163"/>
  <c r="J241" i="163"/>
  <c r="J240" i="163"/>
  <c r="J239" i="163"/>
  <c r="J238" i="163"/>
  <c r="J237" i="163"/>
  <c r="J236" i="163"/>
  <c r="J235" i="163"/>
  <c r="J234" i="163"/>
  <c r="J233" i="163"/>
  <c r="J232" i="163"/>
  <c r="J231" i="163"/>
  <c r="J230" i="163"/>
  <c r="J228" i="163"/>
  <c r="J227" i="163"/>
  <c r="J226" i="163"/>
  <c r="J225" i="163"/>
  <c r="J221" i="163"/>
  <c r="J220" i="163"/>
  <c r="J219" i="163"/>
  <c r="J218" i="163"/>
  <c r="J216" i="163"/>
  <c r="J215" i="163"/>
  <c r="J207" i="163"/>
  <c r="J206" i="163"/>
  <c r="J205" i="163"/>
  <c r="J201" i="163"/>
  <c r="J200" i="163"/>
  <c r="J199" i="163"/>
  <c r="J198" i="163"/>
  <c r="J197" i="163"/>
  <c r="J196" i="163"/>
  <c r="J194" i="163"/>
  <c r="J193" i="163" s="1"/>
  <c r="C12" i="163" s="1"/>
  <c r="J192" i="163"/>
  <c r="J191" i="163"/>
  <c r="J190" i="163"/>
  <c r="J189" i="163"/>
  <c r="J188" i="163"/>
  <c r="J186" i="163"/>
  <c r="J185" i="163"/>
  <c r="J184" i="163"/>
  <c r="J183" i="163"/>
  <c r="J182" i="163"/>
  <c r="J181" i="163"/>
  <c r="J180" i="163"/>
  <c r="J179" i="163"/>
  <c r="J178" i="163"/>
  <c r="J177" i="163"/>
  <c r="J175" i="163"/>
  <c r="J174" i="163"/>
  <c r="J173" i="163"/>
  <c r="J172" i="163"/>
  <c r="J171" i="163"/>
  <c r="J170" i="163"/>
  <c r="J169" i="163"/>
  <c r="J168" i="163"/>
  <c r="J167" i="163"/>
  <c r="J166" i="163"/>
  <c r="J163" i="163"/>
  <c r="J162" i="163"/>
  <c r="J161" i="163"/>
  <c r="J160" i="163"/>
  <c r="J159" i="163"/>
  <c r="J158" i="163"/>
  <c r="J157" i="163"/>
  <c r="J156" i="163"/>
  <c r="J155" i="163"/>
  <c r="J154" i="163"/>
  <c r="J153" i="163"/>
  <c r="J152" i="163"/>
  <c r="J151" i="163"/>
  <c r="J149" i="163"/>
  <c r="J148" i="163"/>
  <c r="J147" i="163"/>
  <c r="J146" i="163"/>
  <c r="J145" i="163"/>
  <c r="J144" i="163"/>
  <c r="J143" i="163"/>
  <c r="J142" i="163"/>
  <c r="J141" i="163"/>
  <c r="J140" i="163"/>
  <c r="J139" i="163"/>
  <c r="J137" i="163"/>
  <c r="J136" i="163"/>
  <c r="J135" i="163"/>
  <c r="J134" i="163"/>
  <c r="J133" i="163"/>
  <c r="J132" i="163"/>
  <c r="J131" i="163"/>
  <c r="J130" i="163"/>
  <c r="J129" i="163"/>
  <c r="J128" i="163"/>
  <c r="J127" i="163"/>
  <c r="J126" i="163"/>
  <c r="J124" i="163"/>
  <c r="J123" i="163"/>
  <c r="J121" i="163"/>
  <c r="J120" i="163"/>
  <c r="J119" i="163"/>
  <c r="J118" i="163"/>
  <c r="J117" i="163"/>
  <c r="J116" i="163"/>
  <c r="J114" i="163"/>
  <c r="J113" i="163"/>
  <c r="J112" i="163"/>
  <c r="J111" i="163"/>
  <c r="J110" i="163"/>
  <c r="J109" i="163"/>
  <c r="J107" i="163"/>
  <c r="J106" i="163"/>
  <c r="J104" i="163"/>
  <c r="J103" i="163"/>
  <c r="J102" i="163"/>
  <c r="J101" i="163"/>
  <c r="J99" i="163"/>
  <c r="J98" i="163"/>
  <c r="J97" i="163"/>
  <c r="J96" i="163"/>
  <c r="J94" i="163"/>
  <c r="J93" i="163"/>
  <c r="J92" i="163"/>
  <c r="J91" i="163"/>
  <c r="J90" i="163"/>
  <c r="J89" i="163"/>
  <c r="J88" i="163"/>
  <c r="J86" i="163"/>
  <c r="J85" i="163"/>
  <c r="J84" i="163"/>
  <c r="J83" i="163"/>
  <c r="J82" i="163"/>
  <c r="J81" i="163"/>
  <c r="J80" i="163"/>
  <c r="J77" i="163"/>
  <c r="J76" i="163"/>
  <c r="J75" i="163"/>
  <c r="J74" i="163"/>
  <c r="J72" i="163"/>
  <c r="J71" i="163"/>
  <c r="J70" i="163"/>
  <c r="J69" i="163"/>
  <c r="J68" i="163"/>
  <c r="J67" i="163"/>
  <c r="J66" i="163"/>
  <c r="J64" i="163"/>
  <c r="J63" i="163"/>
  <c r="J62" i="163"/>
  <c r="J61" i="163"/>
  <c r="J60" i="163"/>
  <c r="J59" i="163"/>
  <c r="J57" i="163"/>
  <c r="J56" i="163"/>
  <c r="J55" i="163"/>
  <c r="J54" i="163"/>
  <c r="J53" i="163"/>
  <c r="J52" i="163"/>
  <c r="J49" i="163"/>
  <c r="J47" i="163"/>
  <c r="J46" i="163"/>
  <c r="J45" i="163"/>
  <c r="J44" i="163"/>
  <c r="J43" i="163"/>
  <c r="J40" i="163"/>
  <c r="J39" i="163"/>
  <c r="J38" i="163"/>
  <c r="J37" i="163"/>
  <c r="J36" i="163"/>
  <c r="J35" i="163"/>
  <c r="J34" i="163"/>
  <c r="J33" i="163"/>
  <c r="J32" i="163"/>
  <c r="J31" i="163"/>
  <c r="J30" i="163"/>
  <c r="J29" i="163"/>
  <c r="J28" i="163"/>
  <c r="J27" i="163"/>
  <c r="J24" i="163"/>
  <c r="J25" i="163"/>
  <c r="J259" i="77"/>
  <c r="J258" i="77"/>
  <c r="J256" i="77"/>
  <c r="J255" i="77"/>
  <c r="J254" i="77"/>
  <c r="J253" i="77"/>
  <c r="J252" i="77"/>
  <c r="J251" i="77"/>
  <c r="J250" i="77"/>
  <c r="J249" i="77"/>
  <c r="J248" i="77"/>
  <c r="J247" i="77"/>
  <c r="J246" i="77"/>
  <c r="J244" i="77"/>
  <c r="J243" i="77"/>
  <c r="J242" i="77"/>
  <c r="J241" i="77"/>
  <c r="J240" i="77"/>
  <c r="J239" i="77"/>
  <c r="J238" i="77"/>
  <c r="J237" i="77"/>
  <c r="J236" i="77"/>
  <c r="J235" i="77"/>
  <c r="J234" i="77"/>
  <c r="J233" i="77"/>
  <c r="J232" i="77"/>
  <c r="J231" i="77"/>
  <c r="J230" i="77"/>
  <c r="J228" i="77"/>
  <c r="J227" i="77"/>
  <c r="J226" i="77"/>
  <c r="J225" i="77"/>
  <c r="J221" i="77"/>
  <c r="J220" i="77"/>
  <c r="J219" i="77"/>
  <c r="J218" i="77"/>
  <c r="J216" i="77"/>
  <c r="J215" i="77"/>
  <c r="J209" i="77"/>
  <c r="J207" i="77"/>
  <c r="J206" i="77"/>
  <c r="J205" i="77"/>
  <c r="J201" i="77"/>
  <c r="J200" i="77"/>
  <c r="J199" i="77"/>
  <c r="J198" i="77"/>
  <c r="J197" i="77"/>
  <c r="J196" i="77"/>
  <c r="J194" i="77"/>
  <c r="J193" i="77" s="1"/>
  <c r="C12" i="77" s="1"/>
  <c r="J192" i="77"/>
  <c r="J191" i="77"/>
  <c r="J190" i="77"/>
  <c r="J189" i="77"/>
  <c r="J188" i="77"/>
  <c r="J186" i="77"/>
  <c r="J185" i="77"/>
  <c r="J184" i="77"/>
  <c r="J183" i="77"/>
  <c r="J182" i="77"/>
  <c r="J181" i="77"/>
  <c r="J180" i="77"/>
  <c r="J179" i="77"/>
  <c r="J178" i="77"/>
  <c r="J177" i="77"/>
  <c r="J175" i="77"/>
  <c r="J174" i="77"/>
  <c r="J173" i="77"/>
  <c r="J172" i="77"/>
  <c r="J171" i="77"/>
  <c r="J170" i="77"/>
  <c r="J169" i="77"/>
  <c r="J168" i="77"/>
  <c r="J167" i="77"/>
  <c r="J166" i="77"/>
  <c r="J163" i="77"/>
  <c r="J162" i="77"/>
  <c r="J161" i="77"/>
  <c r="J160" i="77"/>
  <c r="J159" i="77"/>
  <c r="J158" i="77"/>
  <c r="J157" i="77"/>
  <c r="J156" i="77"/>
  <c r="J155" i="77"/>
  <c r="J154" i="77"/>
  <c r="J153" i="77"/>
  <c r="J152" i="77"/>
  <c r="J151" i="77"/>
  <c r="J149" i="77"/>
  <c r="J148" i="77"/>
  <c r="J147" i="77"/>
  <c r="J146" i="77"/>
  <c r="J145" i="77"/>
  <c r="J144" i="77"/>
  <c r="J143" i="77"/>
  <c r="J142" i="77"/>
  <c r="J141" i="77"/>
  <c r="J140" i="77"/>
  <c r="J139" i="77"/>
  <c r="J137" i="77"/>
  <c r="J136" i="77"/>
  <c r="J135" i="77"/>
  <c r="J134" i="77"/>
  <c r="J133" i="77"/>
  <c r="J132" i="77"/>
  <c r="J131" i="77"/>
  <c r="J130" i="77"/>
  <c r="J129" i="77"/>
  <c r="J128" i="77"/>
  <c r="J127" i="77"/>
  <c r="J126" i="77"/>
  <c r="J124" i="77"/>
  <c r="J123" i="77"/>
  <c r="J121" i="77"/>
  <c r="J120" i="77"/>
  <c r="J119" i="77"/>
  <c r="J118" i="77"/>
  <c r="J117" i="77"/>
  <c r="J116" i="77"/>
  <c r="J114" i="77"/>
  <c r="J113" i="77"/>
  <c r="J112" i="77"/>
  <c r="J111" i="77"/>
  <c r="J110" i="77"/>
  <c r="J109" i="77"/>
  <c r="J107" i="77"/>
  <c r="J106" i="77"/>
  <c r="J104" i="77"/>
  <c r="J103" i="77"/>
  <c r="J102" i="77"/>
  <c r="J101" i="77"/>
  <c r="J99" i="77"/>
  <c r="J98" i="77"/>
  <c r="J97" i="77"/>
  <c r="J96" i="77"/>
  <c r="J94" i="77"/>
  <c r="J93" i="77"/>
  <c r="J92" i="77"/>
  <c r="J91" i="77"/>
  <c r="J90" i="77"/>
  <c r="J89" i="77"/>
  <c r="J88" i="77"/>
  <c r="J86" i="77"/>
  <c r="J85" i="77"/>
  <c r="J84" i="77"/>
  <c r="J83" i="77"/>
  <c r="J82" i="77"/>
  <c r="J81" i="77"/>
  <c r="J80" i="77"/>
  <c r="J77" i="77"/>
  <c r="J76" i="77"/>
  <c r="J75" i="77"/>
  <c r="J74" i="77"/>
  <c r="J72" i="77"/>
  <c r="J71" i="77"/>
  <c r="J70" i="77"/>
  <c r="J69" i="77"/>
  <c r="J68" i="77"/>
  <c r="J67" i="77"/>
  <c r="J66" i="77"/>
  <c r="J64" i="77"/>
  <c r="J63" i="77"/>
  <c r="J62" i="77"/>
  <c r="J61" i="77"/>
  <c r="J60" i="77"/>
  <c r="J59" i="77"/>
  <c r="J57" i="77"/>
  <c r="J56" i="77"/>
  <c r="J55" i="77"/>
  <c r="J54" i="77"/>
  <c r="J53" i="77"/>
  <c r="J52" i="77"/>
  <c r="J49" i="77"/>
  <c r="J48" i="77"/>
  <c r="J47" i="77"/>
  <c r="J46" i="77"/>
  <c r="J45" i="77"/>
  <c r="J44" i="77"/>
  <c r="J43" i="77"/>
  <c r="J42" i="77"/>
  <c r="J40" i="77"/>
  <c r="J39" i="77"/>
  <c r="J38" i="77"/>
  <c r="J37" i="77"/>
  <c r="J36" i="77"/>
  <c r="J35" i="77"/>
  <c r="J34" i="77"/>
  <c r="J33" i="77"/>
  <c r="J32" i="77"/>
  <c r="J31" i="77"/>
  <c r="J30" i="77"/>
  <c r="J29" i="77"/>
  <c r="J28" i="77"/>
  <c r="J27" i="77"/>
  <c r="J25" i="77"/>
  <c r="J24" i="77"/>
  <c r="J42" i="122"/>
  <c r="J42" i="163"/>
  <c r="K242" i="149"/>
  <c r="K240" i="149"/>
  <c r="K223" i="149"/>
  <c r="K222" i="149"/>
  <c r="K221" i="149"/>
  <c r="K219" i="149"/>
  <c r="K218" i="149" s="1"/>
  <c r="C16" i="149" s="1"/>
  <c r="K209" i="149"/>
  <c r="K208" i="149" s="1"/>
  <c r="C14" i="149" s="1"/>
  <c r="K207" i="149"/>
  <c r="K206" i="149"/>
  <c r="K205" i="149"/>
  <c r="K198" i="149"/>
  <c r="K197" i="149"/>
  <c r="K196" i="149"/>
  <c r="K188" i="149"/>
  <c r="K186" i="149"/>
  <c r="K185" i="149"/>
  <c r="K184" i="149"/>
  <c r="K183" i="149"/>
  <c r="K182" i="149"/>
  <c r="K181" i="149"/>
  <c r="K180" i="149"/>
  <c r="K179" i="149"/>
  <c r="K178" i="149"/>
  <c r="K177" i="149"/>
  <c r="K175" i="149"/>
  <c r="K174" i="149"/>
  <c r="K173" i="149"/>
  <c r="K172" i="149"/>
  <c r="K171" i="149"/>
  <c r="K170" i="149"/>
  <c r="K169" i="149"/>
  <c r="K149" i="149"/>
  <c r="K148" i="149"/>
  <c r="K147" i="149"/>
  <c r="K146" i="149"/>
  <c r="K145" i="149"/>
  <c r="K144" i="149"/>
  <c r="K143" i="149"/>
  <c r="K142" i="149"/>
  <c r="K141" i="149"/>
  <c r="K140" i="149"/>
  <c r="K139" i="149"/>
  <c r="K137" i="149"/>
  <c r="K136" i="149"/>
  <c r="K135" i="149"/>
  <c r="K134" i="149"/>
  <c r="K133" i="149"/>
  <c r="K132" i="149"/>
  <c r="K131" i="149"/>
  <c r="K130" i="149"/>
  <c r="K129" i="149"/>
  <c r="K128" i="149"/>
  <c r="K127" i="149"/>
  <c r="K126" i="149"/>
  <c r="K124" i="149"/>
  <c r="K123" i="149"/>
  <c r="K121" i="149"/>
  <c r="K120" i="149"/>
  <c r="K119" i="149"/>
  <c r="K118" i="149"/>
  <c r="K117" i="149"/>
  <c r="K116" i="149"/>
  <c r="K114" i="149"/>
  <c r="K113" i="149"/>
  <c r="K112" i="149"/>
  <c r="K111" i="149"/>
  <c r="K110" i="149"/>
  <c r="K109" i="149"/>
  <c r="K107" i="149"/>
  <c r="K106" i="149"/>
  <c r="K104" i="149"/>
  <c r="K103" i="149"/>
  <c r="K102" i="149"/>
  <c r="K101" i="149"/>
  <c r="K99" i="149"/>
  <c r="K98" i="149"/>
  <c r="K97" i="149"/>
  <c r="K96" i="149"/>
  <c r="K94" i="149"/>
  <c r="K93" i="149"/>
  <c r="K92" i="149"/>
  <c r="K91" i="149"/>
  <c r="K90" i="149"/>
  <c r="K89" i="149"/>
  <c r="K88" i="149"/>
  <c r="K86" i="149"/>
  <c r="K85" i="149"/>
  <c r="K84" i="149"/>
  <c r="K83" i="149"/>
  <c r="K82" i="149"/>
  <c r="K81" i="149"/>
  <c r="K80" i="149"/>
  <c r="K49" i="149"/>
  <c r="K45" i="149"/>
  <c r="K44" i="149"/>
  <c r="K43" i="149"/>
  <c r="K42" i="149"/>
  <c r="K27" i="149"/>
  <c r="K26" i="149"/>
  <c r="K25" i="149"/>
  <c r="K24" i="149"/>
  <c r="I96" i="146"/>
  <c r="I95" i="146"/>
  <c r="I92" i="146"/>
  <c r="I82" i="146"/>
  <c r="I77" i="146"/>
  <c r="I76" i="146"/>
  <c r="I73" i="146"/>
  <c r="I72" i="146"/>
  <c r="I71" i="146"/>
  <c r="I35" i="146"/>
  <c r="I34" i="146"/>
  <c r="I33" i="146"/>
  <c r="J18" i="146"/>
  <c r="J29" i="146"/>
  <c r="J52" i="146"/>
  <c r="J58" i="146"/>
  <c r="J67" i="146"/>
  <c r="J81" i="146"/>
  <c r="J85" i="146"/>
  <c r="J91" i="146"/>
  <c r="J102" i="146"/>
  <c r="J107" i="146"/>
  <c r="J119" i="146"/>
  <c r="J125" i="146"/>
  <c r="J132" i="146"/>
  <c r="J137" i="146"/>
  <c r="J141" i="146"/>
  <c r="J159" i="146"/>
  <c r="J174" i="146"/>
  <c r="I10" i="146"/>
  <c r="P194" i="146"/>
  <c r="I6" i="146"/>
  <c r="P206" i="146"/>
  <c r="P205" i="146"/>
  <c r="P204" i="146"/>
  <c r="P202" i="146"/>
  <c r="P201" i="146"/>
  <c r="P200" i="146"/>
  <c r="P199" i="146"/>
  <c r="P197" i="146"/>
  <c r="P196" i="146"/>
  <c r="P195" i="146"/>
  <c r="P192" i="146"/>
  <c r="P191" i="146"/>
  <c r="P190" i="146"/>
  <c r="P189" i="146"/>
  <c r="P188" i="146"/>
  <c r="P187" i="146"/>
  <c r="P186" i="146"/>
  <c r="P185" i="146"/>
  <c r="P184" i="146"/>
  <c r="P183" i="146"/>
  <c r="P182" i="146"/>
  <c r="P181" i="146"/>
  <c r="P180" i="146"/>
  <c r="P179" i="146"/>
  <c r="P178" i="146"/>
  <c r="I70" i="146"/>
  <c r="E173" i="146"/>
  <c r="J173" i="146" s="1"/>
  <c r="E172" i="146"/>
  <c r="H172" i="146" s="1"/>
  <c r="E171" i="146"/>
  <c r="E170" i="146"/>
  <c r="E147" i="146"/>
  <c r="H147" i="146" s="1"/>
  <c r="E145" i="146"/>
  <c r="E94" i="146"/>
  <c r="H94" i="146" s="1"/>
  <c r="H45" i="160"/>
  <c r="H47" i="149"/>
  <c r="H43" i="160"/>
  <c r="F43" i="156"/>
  <c r="H43" i="156" s="1"/>
  <c r="F43" i="158"/>
  <c r="H43" i="158" s="1"/>
  <c r="H45" i="156"/>
  <c r="F43" i="157"/>
  <c r="H43" i="157" s="1"/>
  <c r="F42" i="151"/>
  <c r="H42" i="151" s="1"/>
  <c r="F255" i="160"/>
  <c r="H255" i="160" s="1"/>
  <c r="K255" i="160" s="1"/>
  <c r="K253" i="160" s="1"/>
  <c r="C19" i="160" s="1"/>
  <c r="F38" i="151"/>
  <c r="F44" i="160"/>
  <c r="H44" i="160" s="1"/>
  <c r="F255" i="159"/>
  <c r="H255" i="159" s="1"/>
  <c r="K255" i="159" s="1"/>
  <c r="F44" i="151"/>
  <c r="H44" i="151" s="1"/>
  <c r="F43" i="151"/>
  <c r="H43" i="151" s="1"/>
  <c r="C14" i="127" l="1"/>
  <c r="C14" i="77"/>
  <c r="C14" i="121"/>
  <c r="C14" i="123"/>
  <c r="C14" i="137"/>
  <c r="C14" i="124"/>
  <c r="C14" i="129"/>
  <c r="C14" i="130"/>
  <c r="C14" i="163"/>
  <c r="C14" i="165"/>
  <c r="B14" i="167" s="1"/>
  <c r="C14" i="125"/>
  <c r="C14" i="128"/>
  <c r="C14" i="133"/>
  <c r="C14" i="134"/>
  <c r="C14" i="162"/>
  <c r="C14" i="135"/>
  <c r="C14" i="126"/>
  <c r="C14" i="131"/>
  <c r="C14" i="118"/>
  <c r="C14" i="120"/>
  <c r="C14" i="122"/>
  <c r="C14" i="136"/>
  <c r="C14" i="138"/>
  <c r="G206" i="165"/>
  <c r="G200" i="165"/>
  <c r="G199" i="165"/>
  <c r="G197" i="165"/>
  <c r="G201" i="165"/>
  <c r="J48" i="126"/>
  <c r="J156" i="134"/>
  <c r="E135" i="146"/>
  <c r="H135" i="146" s="1"/>
  <c r="E161" i="165"/>
  <c r="J161" i="165" s="1"/>
  <c r="J160" i="127"/>
  <c r="J152" i="127"/>
  <c r="E42" i="165"/>
  <c r="E153" i="165"/>
  <c r="J153" i="165" s="1"/>
  <c r="E48" i="165"/>
  <c r="J48" i="165" s="1"/>
  <c r="K220" i="160"/>
  <c r="C17" i="160" s="1"/>
  <c r="K220" i="151"/>
  <c r="C17" i="151" s="1"/>
  <c r="K220" i="153"/>
  <c r="H239" i="156"/>
  <c r="K239" i="156" s="1"/>
  <c r="K220" i="156" s="1"/>
  <c r="C17" i="156" s="1"/>
  <c r="K236" i="158"/>
  <c r="H239" i="154"/>
  <c r="K239" i="154" s="1"/>
  <c r="K220" i="154" s="1"/>
  <c r="C17" i="154" s="1"/>
  <c r="H239" i="157"/>
  <c r="K239" i="157" s="1"/>
  <c r="K220" i="157" s="1"/>
  <c r="C17" i="157" s="1"/>
  <c r="K231" i="159"/>
  <c r="K235" i="151"/>
  <c r="H236" i="157"/>
  <c r="K236" i="157" s="1"/>
  <c r="H235" i="150"/>
  <c r="K235" i="150" s="1"/>
  <c r="H236" i="159"/>
  <c r="E236" i="166" s="1"/>
  <c r="K236" i="166" s="1"/>
  <c r="K230" i="159"/>
  <c r="H235" i="157"/>
  <c r="K235" i="157" s="1"/>
  <c r="H235" i="159"/>
  <c r="K235" i="159" s="1"/>
  <c r="H227" i="159"/>
  <c r="K227" i="159" s="1"/>
  <c r="K229" i="159"/>
  <c r="K236" i="154"/>
  <c r="K235" i="158"/>
  <c r="K234" i="159"/>
  <c r="K236" i="152"/>
  <c r="H235" i="152"/>
  <c r="K235" i="152" s="1"/>
  <c r="H234" i="159"/>
  <c r="H226" i="159"/>
  <c r="K226" i="159" s="1"/>
  <c r="K239" i="155"/>
  <c r="K220" i="155" s="1"/>
  <c r="K236" i="160"/>
  <c r="K239" i="159"/>
  <c r="K228" i="159"/>
  <c r="K235" i="154"/>
  <c r="K233" i="159"/>
  <c r="H235" i="160"/>
  <c r="K235" i="160" s="1"/>
  <c r="H236" i="156"/>
  <c r="K236" i="156" s="1"/>
  <c r="H233" i="159"/>
  <c r="H239" i="159"/>
  <c r="H239" i="150"/>
  <c r="K236" i="150"/>
  <c r="H236" i="153"/>
  <c r="K236" i="153" s="1"/>
  <c r="K239" i="160"/>
  <c r="K239" i="153"/>
  <c r="K239" i="152"/>
  <c r="K220" i="152" s="1"/>
  <c r="C17" i="152" s="1"/>
  <c r="E238" i="166"/>
  <c r="K238" i="166" s="1"/>
  <c r="K232" i="159"/>
  <c r="E237" i="166"/>
  <c r="K237" i="166" s="1"/>
  <c r="K239" i="158"/>
  <c r="K23" i="161"/>
  <c r="C5" i="161" s="1"/>
  <c r="K236" i="155"/>
  <c r="K235" i="156"/>
  <c r="K195" i="150"/>
  <c r="C13" i="150" s="1"/>
  <c r="K253" i="155"/>
  <c r="C19" i="155" s="1"/>
  <c r="E153" i="146"/>
  <c r="K213" i="161"/>
  <c r="C15" i="161" s="1"/>
  <c r="J147" i="146"/>
  <c r="K210" i="154"/>
  <c r="J94" i="146"/>
  <c r="K187" i="154"/>
  <c r="C11" i="154" s="1"/>
  <c r="K253" i="161"/>
  <c r="C19" i="161" s="1"/>
  <c r="H45" i="151"/>
  <c r="K210" i="153"/>
  <c r="K50" i="153"/>
  <c r="C7" i="153" s="1"/>
  <c r="E47" i="166"/>
  <c r="K47" i="166" s="1"/>
  <c r="J214" i="77"/>
  <c r="C15" i="77" s="1"/>
  <c r="J214" i="121"/>
  <c r="C15" i="121" s="1"/>
  <c r="J257" i="121"/>
  <c r="C19" i="121" s="1"/>
  <c r="K187" i="156"/>
  <c r="C11" i="156" s="1"/>
  <c r="K241" i="154"/>
  <c r="C18" i="154" s="1"/>
  <c r="K213" i="154"/>
  <c r="C15" i="154" s="1"/>
  <c r="K210" i="155"/>
  <c r="J217" i="124"/>
  <c r="J214" i="125"/>
  <c r="C15" i="125" s="1"/>
  <c r="J214" i="128"/>
  <c r="C15" i="128" s="1"/>
  <c r="J217" i="129"/>
  <c r="J217" i="130"/>
  <c r="J214" i="133"/>
  <c r="C15" i="133" s="1"/>
  <c r="J217" i="135"/>
  <c r="J257" i="135"/>
  <c r="C19" i="135" s="1"/>
  <c r="J187" i="118"/>
  <c r="C11" i="118" s="1"/>
  <c r="J257" i="118"/>
  <c r="C19" i="118" s="1"/>
  <c r="J214" i="134"/>
  <c r="C15" i="134" s="1"/>
  <c r="K213" i="151"/>
  <c r="C15" i="151" s="1"/>
  <c r="J161" i="127"/>
  <c r="H45" i="157"/>
  <c r="K122" i="155"/>
  <c r="C9" i="155" s="1"/>
  <c r="C18" i="161"/>
  <c r="K253" i="150"/>
  <c r="C19" i="150" s="1"/>
  <c r="J187" i="163"/>
  <c r="C11" i="163" s="1"/>
  <c r="J224" i="122"/>
  <c r="C17" i="122" s="1"/>
  <c r="J50" i="123"/>
  <c r="C7" i="123" s="1"/>
  <c r="J78" i="124"/>
  <c r="C8" i="124" s="1"/>
  <c r="J245" i="126"/>
  <c r="C18" i="126" s="1"/>
  <c r="J257" i="123"/>
  <c r="C19" i="123" s="1"/>
  <c r="J217" i="126"/>
  <c r="J214" i="127"/>
  <c r="C15" i="127" s="1"/>
  <c r="J217" i="131"/>
  <c r="J257" i="131"/>
  <c r="C19" i="131" s="1"/>
  <c r="J187" i="162"/>
  <c r="C11" i="162" s="1"/>
  <c r="J214" i="162"/>
  <c r="C15" i="162" s="1"/>
  <c r="J257" i="162"/>
  <c r="C19" i="162" s="1"/>
  <c r="J217" i="118"/>
  <c r="J257" i="137"/>
  <c r="C19" i="137" s="1"/>
  <c r="K41" i="158"/>
  <c r="C6" i="158" s="1"/>
  <c r="K176" i="159"/>
  <c r="C10" i="159" s="1"/>
  <c r="K78" i="157"/>
  <c r="C8" i="157" s="1"/>
  <c r="K176" i="157"/>
  <c r="C10" i="157" s="1"/>
  <c r="E166" i="146"/>
  <c r="H166" i="146" s="1"/>
  <c r="E158" i="146"/>
  <c r="H158" i="146" s="1"/>
  <c r="E150" i="146"/>
  <c r="E162" i="146"/>
  <c r="H162" i="146" s="1"/>
  <c r="E154" i="146"/>
  <c r="J154" i="146" s="1"/>
  <c r="E142" i="146"/>
  <c r="J142" i="146" s="1"/>
  <c r="E167" i="146"/>
  <c r="J167" i="146" s="1"/>
  <c r="E163" i="146"/>
  <c r="H163" i="146" s="1"/>
  <c r="E146" i="146"/>
  <c r="J146" i="146" s="1"/>
  <c r="K78" i="154"/>
  <c r="C8" i="154" s="1"/>
  <c r="E157" i="146"/>
  <c r="E149" i="146"/>
  <c r="H149" i="146" s="1"/>
  <c r="J78" i="163"/>
  <c r="C8" i="163" s="1"/>
  <c r="J122" i="122"/>
  <c r="C9" i="122" s="1"/>
  <c r="J23" i="123"/>
  <c r="C5" i="123" s="1"/>
  <c r="J41" i="123"/>
  <c r="J187" i="125"/>
  <c r="C11" i="125" s="1"/>
  <c r="J187" i="128"/>
  <c r="C11" i="128" s="1"/>
  <c r="J78" i="130"/>
  <c r="C8" i="130" s="1"/>
  <c r="J50" i="131"/>
  <c r="C7" i="131" s="1"/>
  <c r="J50" i="162"/>
  <c r="C7" i="162" s="1"/>
  <c r="J245" i="162"/>
  <c r="C18" i="162" s="1"/>
  <c r="J23" i="135"/>
  <c r="C5" i="135" s="1"/>
  <c r="J78" i="135"/>
  <c r="C8" i="135" s="1"/>
  <c r="J195" i="135"/>
  <c r="C13" i="135" s="1"/>
  <c r="J245" i="118"/>
  <c r="C18" i="118" s="1"/>
  <c r="J224" i="136"/>
  <c r="C17" i="136" s="1"/>
  <c r="J187" i="134"/>
  <c r="C11" i="134" s="1"/>
  <c r="J176" i="138"/>
  <c r="C10" i="138" s="1"/>
  <c r="J195" i="138"/>
  <c r="C13" i="138" s="1"/>
  <c r="K41" i="160"/>
  <c r="C6" i="160" s="1"/>
  <c r="K41" i="161"/>
  <c r="C6" i="161" s="1"/>
  <c r="K176" i="161"/>
  <c r="C10" i="161" s="1"/>
  <c r="K210" i="156"/>
  <c r="K210" i="152"/>
  <c r="K187" i="160"/>
  <c r="C11" i="160" s="1"/>
  <c r="E221" i="166"/>
  <c r="K213" i="153"/>
  <c r="C15" i="153" s="1"/>
  <c r="K187" i="155"/>
  <c r="C11" i="155" s="1"/>
  <c r="K187" i="153"/>
  <c r="C11" i="153" s="1"/>
  <c r="K241" i="151"/>
  <c r="C18" i="151" s="1"/>
  <c r="K213" i="158"/>
  <c r="C15" i="158" s="1"/>
  <c r="K213" i="156"/>
  <c r="C15" i="156" s="1"/>
  <c r="K187" i="157"/>
  <c r="C11" i="157" s="1"/>
  <c r="E144" i="166"/>
  <c r="K144" i="166" s="1"/>
  <c r="C17" i="153"/>
  <c r="K187" i="161"/>
  <c r="C11" i="161" s="1"/>
  <c r="K213" i="150"/>
  <c r="C15" i="150" s="1"/>
  <c r="J176" i="122"/>
  <c r="C10" i="122" s="1"/>
  <c r="J224" i="138"/>
  <c r="C17" i="138" s="1"/>
  <c r="K50" i="150"/>
  <c r="C7" i="150" s="1"/>
  <c r="J195" i="136"/>
  <c r="C13" i="136" s="1"/>
  <c r="F254" i="159"/>
  <c r="H254" i="159" s="1"/>
  <c r="K254" i="159" s="1"/>
  <c r="K253" i="159" s="1"/>
  <c r="C19" i="159" s="1"/>
  <c r="J172" i="146"/>
  <c r="J48" i="125"/>
  <c r="J214" i="120"/>
  <c r="C15" i="120" s="1"/>
  <c r="J187" i="122"/>
  <c r="C11" i="122" s="1"/>
  <c r="J214" i="122"/>
  <c r="C15" i="122" s="1"/>
  <c r="J23" i="138"/>
  <c r="C5" i="138" s="1"/>
  <c r="K241" i="155"/>
  <c r="C18" i="155" s="1"/>
  <c r="K41" i="153"/>
  <c r="C6" i="153" s="1"/>
  <c r="K241" i="153"/>
  <c r="C18" i="153" s="1"/>
  <c r="J122" i="77"/>
  <c r="C9" i="77" s="1"/>
  <c r="J50" i="125"/>
  <c r="C7" i="125" s="1"/>
  <c r="K195" i="152"/>
  <c r="C13" i="152" s="1"/>
  <c r="K176" i="150"/>
  <c r="C10" i="150" s="1"/>
  <c r="J48" i="124"/>
  <c r="J176" i="77"/>
  <c r="C10" i="77" s="1"/>
  <c r="J195" i="77"/>
  <c r="C13" i="77" s="1"/>
  <c r="H173" i="146"/>
  <c r="J42" i="165"/>
  <c r="J217" i="120"/>
  <c r="J257" i="120"/>
  <c r="C19" i="120" s="1"/>
  <c r="J176" i="121"/>
  <c r="C10" i="121" s="1"/>
  <c r="J257" i="125"/>
  <c r="C19" i="125" s="1"/>
  <c r="J257" i="128"/>
  <c r="C19" i="128" s="1"/>
  <c r="J257" i="133"/>
  <c r="C19" i="133" s="1"/>
  <c r="J257" i="136"/>
  <c r="C19" i="136" s="1"/>
  <c r="J153" i="134"/>
  <c r="J122" i="134" s="1"/>
  <c r="C9" i="134" s="1"/>
  <c r="K187" i="150"/>
  <c r="C11" i="150" s="1"/>
  <c r="J176" i="136"/>
  <c r="C10" i="136" s="1"/>
  <c r="E23" i="146"/>
  <c r="J23" i="146" s="1"/>
  <c r="E182" i="166"/>
  <c r="K182" i="166" s="1"/>
  <c r="E174" i="166"/>
  <c r="K174" i="166" s="1"/>
  <c r="E148" i="166"/>
  <c r="K148" i="166" s="1"/>
  <c r="E140" i="166"/>
  <c r="K140" i="166" s="1"/>
  <c r="E124" i="166"/>
  <c r="K124" i="166" s="1"/>
  <c r="J187" i="77"/>
  <c r="C11" i="77" s="1"/>
  <c r="J42" i="125"/>
  <c r="J195" i="163"/>
  <c r="C13" i="163" s="1"/>
  <c r="J245" i="163"/>
  <c r="C18" i="163" s="1"/>
  <c r="J214" i="124"/>
  <c r="C15" i="124" s="1"/>
  <c r="J214" i="129"/>
  <c r="C15" i="129" s="1"/>
  <c r="J214" i="130"/>
  <c r="C15" i="130" s="1"/>
  <c r="J257" i="138"/>
  <c r="C19" i="138" s="1"/>
  <c r="J214" i="135"/>
  <c r="C15" i="135" s="1"/>
  <c r="K122" i="151"/>
  <c r="C9" i="151" s="1"/>
  <c r="K187" i="151"/>
  <c r="C11" i="151" s="1"/>
  <c r="F43" i="159"/>
  <c r="H43" i="159" s="1"/>
  <c r="E43" i="166" s="1"/>
  <c r="K43" i="166" s="1"/>
  <c r="C17" i="161"/>
  <c r="J23" i="77"/>
  <c r="C5" i="77" s="1"/>
  <c r="J195" i="122"/>
  <c r="C13" i="122" s="1"/>
  <c r="K78" i="149"/>
  <c r="C8" i="149" s="1"/>
  <c r="J217" i="163"/>
  <c r="J187" i="120"/>
  <c r="C11" i="120" s="1"/>
  <c r="E4" i="146"/>
  <c r="H4" i="146" s="1"/>
  <c r="E151" i="146"/>
  <c r="E133" i="146"/>
  <c r="E126" i="146"/>
  <c r="J126" i="146" s="1"/>
  <c r="E111" i="146"/>
  <c r="H111" i="146" s="1"/>
  <c r="E103" i="146"/>
  <c r="H103" i="146" s="1"/>
  <c r="H102" i="146" s="1"/>
  <c r="E95" i="146"/>
  <c r="J95" i="146" s="1"/>
  <c r="E86" i="146"/>
  <c r="J86" i="146" s="1"/>
  <c r="E78" i="146"/>
  <c r="J78" i="146" s="1"/>
  <c r="E70" i="146"/>
  <c r="J70" i="146" s="1"/>
  <c r="E62" i="146"/>
  <c r="E54" i="146"/>
  <c r="J54" i="146" s="1"/>
  <c r="E46" i="146"/>
  <c r="J46" i="146" s="1"/>
  <c r="E38" i="146"/>
  <c r="J38" i="146" s="1"/>
  <c r="E30" i="146"/>
  <c r="J30" i="146" s="1"/>
  <c r="E21" i="146"/>
  <c r="J21" i="146" s="1"/>
  <c r="E13" i="146"/>
  <c r="J13" i="146" s="1"/>
  <c r="E5" i="146"/>
  <c r="H5" i="146" s="1"/>
  <c r="E26" i="146"/>
  <c r="E17" i="146"/>
  <c r="J17" i="146" s="1"/>
  <c r="E9" i="146"/>
  <c r="J9" i="146" s="1"/>
  <c r="E175" i="146"/>
  <c r="J175" i="146" s="1"/>
  <c r="E155" i="146"/>
  <c r="H155" i="146" s="1"/>
  <c r="E122" i="146"/>
  <c r="J122" i="146" s="1"/>
  <c r="E115" i="146"/>
  <c r="H115" i="146" s="1"/>
  <c r="E99" i="146"/>
  <c r="J99" i="146" s="1"/>
  <c r="E90" i="146"/>
  <c r="E82" i="146"/>
  <c r="J82" i="146" s="1"/>
  <c r="E74" i="146"/>
  <c r="H74" i="146" s="1"/>
  <c r="E66" i="146"/>
  <c r="H66" i="146" s="1"/>
  <c r="E50" i="146"/>
  <c r="H50" i="146" s="1"/>
  <c r="E42" i="146"/>
  <c r="H42" i="146" s="1"/>
  <c r="E34" i="146"/>
  <c r="H34" i="146" s="1"/>
  <c r="E25" i="146"/>
  <c r="E16" i="146"/>
  <c r="E8" i="146"/>
  <c r="E144" i="146"/>
  <c r="H144" i="146" s="1"/>
  <c r="E136" i="146"/>
  <c r="J136" i="146" s="1"/>
  <c r="E129" i="146"/>
  <c r="H129" i="146" s="1"/>
  <c r="E121" i="146"/>
  <c r="H121" i="146" s="1"/>
  <c r="E114" i="146"/>
  <c r="E106" i="146"/>
  <c r="H106" i="146" s="1"/>
  <c r="E98" i="146"/>
  <c r="J98" i="146" s="1"/>
  <c r="E89" i="146"/>
  <c r="H89" i="146" s="1"/>
  <c r="E73" i="146"/>
  <c r="H73" i="146" s="1"/>
  <c r="E65" i="146"/>
  <c r="J65" i="146" s="1"/>
  <c r="E57" i="146"/>
  <c r="E49" i="146"/>
  <c r="J49" i="146" s="1"/>
  <c r="E41" i="146"/>
  <c r="J41" i="146" s="1"/>
  <c r="E33" i="146"/>
  <c r="E24" i="146"/>
  <c r="J24" i="146" s="1"/>
  <c r="E15" i="146"/>
  <c r="H15" i="146" s="1"/>
  <c r="E7" i="146"/>
  <c r="H7" i="146" s="1"/>
  <c r="E169" i="146"/>
  <c r="J169" i="146" s="1"/>
  <c r="E161" i="146"/>
  <c r="J161" i="146" s="1"/>
  <c r="E143" i="146"/>
  <c r="J143" i="146" s="1"/>
  <c r="E128" i="146"/>
  <c r="E113" i="146"/>
  <c r="H113" i="146" s="1"/>
  <c r="E105" i="146"/>
  <c r="E97" i="146"/>
  <c r="J97" i="146" s="1"/>
  <c r="E88" i="146"/>
  <c r="J88" i="146" s="1"/>
  <c r="E80" i="146"/>
  <c r="E72" i="146"/>
  <c r="J72" i="146" s="1"/>
  <c r="E64" i="146"/>
  <c r="J64" i="146" s="1"/>
  <c r="E56" i="146"/>
  <c r="J56" i="146" s="1"/>
  <c r="E48" i="146"/>
  <c r="J48" i="146" s="1"/>
  <c r="E40" i="146"/>
  <c r="J40" i="146" s="1"/>
  <c r="E32" i="146"/>
  <c r="J32" i="146" s="1"/>
  <c r="E14" i="146"/>
  <c r="E6" i="146"/>
  <c r="J6" i="146" s="1"/>
  <c r="E168" i="146"/>
  <c r="H168" i="146" s="1"/>
  <c r="E160" i="146"/>
  <c r="H160" i="146" s="1"/>
  <c r="H159" i="146" s="1"/>
  <c r="E152" i="146"/>
  <c r="H152" i="146" s="1"/>
  <c r="E134" i="146"/>
  <c r="H134" i="146" s="1"/>
  <c r="E127" i="146"/>
  <c r="J127" i="146" s="1"/>
  <c r="E120" i="146"/>
  <c r="H120" i="146" s="1"/>
  <c r="H119" i="146" s="1"/>
  <c r="E112" i="146"/>
  <c r="J112" i="146" s="1"/>
  <c r="E104" i="146"/>
  <c r="J104" i="146" s="1"/>
  <c r="E96" i="146"/>
  <c r="E87" i="146"/>
  <c r="H87" i="146" s="1"/>
  <c r="E79" i="146"/>
  <c r="H79" i="146" s="1"/>
  <c r="E71" i="146"/>
  <c r="E63" i="146"/>
  <c r="J63" i="146" s="1"/>
  <c r="E55" i="146"/>
  <c r="J55" i="146" s="1"/>
  <c r="E47" i="146"/>
  <c r="H47" i="146" s="1"/>
  <c r="E39" i="146"/>
  <c r="J39" i="146" s="1"/>
  <c r="E31" i="146"/>
  <c r="J31" i="146" s="1"/>
  <c r="E20" i="146"/>
  <c r="J20" i="146" s="1"/>
  <c r="E12" i="146"/>
  <c r="J12" i="146" s="1"/>
  <c r="E118" i="146"/>
  <c r="J118" i="146" s="1"/>
  <c r="E110" i="146"/>
  <c r="E93" i="146"/>
  <c r="J93" i="146" s="1"/>
  <c r="E77" i="146"/>
  <c r="J77" i="146" s="1"/>
  <c r="E69" i="146"/>
  <c r="J69" i="146" s="1"/>
  <c r="E61" i="146"/>
  <c r="H61" i="146" s="1"/>
  <c r="E53" i="146"/>
  <c r="E45" i="146"/>
  <c r="J45" i="146" s="1"/>
  <c r="E37" i="146"/>
  <c r="J37" i="146" s="1"/>
  <c r="E164" i="146"/>
  <c r="H164" i="146" s="1"/>
  <c r="E156" i="146"/>
  <c r="H156" i="146" s="1"/>
  <c r="E148" i="146"/>
  <c r="J148" i="146" s="1"/>
  <c r="K50" i="151"/>
  <c r="C7" i="151" s="1"/>
  <c r="K41" i="150"/>
  <c r="C6" i="150" s="1"/>
  <c r="K78" i="152"/>
  <c r="C8" i="152" s="1"/>
  <c r="K78" i="153"/>
  <c r="C8" i="153" s="1"/>
  <c r="K122" i="153"/>
  <c r="C9" i="153" s="1"/>
  <c r="K176" i="153"/>
  <c r="C10" i="153" s="1"/>
  <c r="K195" i="153"/>
  <c r="C13" i="153" s="1"/>
  <c r="K23" i="159"/>
  <c r="C5" i="159" s="1"/>
  <c r="K241" i="157"/>
  <c r="C18" i="157" s="1"/>
  <c r="K213" i="157"/>
  <c r="C15" i="157" s="1"/>
  <c r="K23" i="158"/>
  <c r="C5" i="158" s="1"/>
  <c r="K41" i="156"/>
  <c r="C6" i="156" s="1"/>
  <c r="K78" i="156"/>
  <c r="C8" i="156" s="1"/>
  <c r="K187" i="159"/>
  <c r="C11" i="159" s="1"/>
  <c r="E219" i="166"/>
  <c r="K219" i="166" s="1"/>
  <c r="K218" i="166" s="1"/>
  <c r="C16" i="166" s="1"/>
  <c r="B37" i="167" s="1"/>
  <c r="E172" i="166"/>
  <c r="K172" i="166" s="1"/>
  <c r="E82" i="166"/>
  <c r="K82" i="166" s="1"/>
  <c r="J41" i="136"/>
  <c r="K195" i="154"/>
  <c r="C13" i="154" s="1"/>
  <c r="K41" i="157"/>
  <c r="C6" i="157" s="1"/>
  <c r="K210" i="160"/>
  <c r="E145" i="166"/>
  <c r="K145" i="166" s="1"/>
  <c r="E129" i="166"/>
  <c r="K129" i="166" s="1"/>
  <c r="E160" i="166"/>
  <c r="K160" i="166" s="1"/>
  <c r="E138" i="146"/>
  <c r="H138" i="146" s="1"/>
  <c r="H137" i="146" s="1"/>
  <c r="E130" i="146"/>
  <c r="E123" i="146"/>
  <c r="E116" i="146"/>
  <c r="E108" i="146"/>
  <c r="H108" i="146" s="1"/>
  <c r="H107" i="146" s="1"/>
  <c r="E100" i="146"/>
  <c r="J100" i="146" s="1"/>
  <c r="E83" i="146"/>
  <c r="J83" i="146" s="1"/>
  <c r="E75" i="146"/>
  <c r="E59" i="146"/>
  <c r="E51" i="146"/>
  <c r="H51" i="146" s="1"/>
  <c r="E43" i="146"/>
  <c r="J43" i="146" s="1"/>
  <c r="E35" i="146"/>
  <c r="J35" i="146" s="1"/>
  <c r="E19" i="146"/>
  <c r="J19" i="146" s="1"/>
  <c r="E11" i="146"/>
  <c r="E165" i="146"/>
  <c r="H165" i="146" s="1"/>
  <c r="E139" i="146"/>
  <c r="J139" i="146" s="1"/>
  <c r="E131" i="146"/>
  <c r="E124" i="146"/>
  <c r="H124" i="146" s="1"/>
  <c r="E117" i="146"/>
  <c r="E109" i="146"/>
  <c r="E101" i="146"/>
  <c r="J101" i="146" s="1"/>
  <c r="E92" i="146"/>
  <c r="E84" i="146"/>
  <c r="H84" i="146" s="1"/>
  <c r="E76" i="146"/>
  <c r="E68" i="146"/>
  <c r="E60" i="146"/>
  <c r="E44" i="146"/>
  <c r="E36" i="146"/>
  <c r="J36" i="146" s="1"/>
  <c r="E27" i="146"/>
  <c r="E10" i="146"/>
  <c r="K241" i="152"/>
  <c r="C18" i="152" s="1"/>
  <c r="K41" i="155"/>
  <c r="C6" i="155" s="1"/>
  <c r="K78" i="155"/>
  <c r="C8" i="155" s="1"/>
  <c r="K195" i="155"/>
  <c r="C13" i="155" s="1"/>
  <c r="K176" i="154"/>
  <c r="C10" i="154" s="1"/>
  <c r="K253" i="154"/>
  <c r="C19" i="154" s="1"/>
  <c r="K253" i="152"/>
  <c r="C19" i="152" s="1"/>
  <c r="E223" i="166"/>
  <c r="K223" i="166" s="1"/>
  <c r="J176" i="165"/>
  <c r="C10" i="165" s="1"/>
  <c r="B10" i="167" s="1"/>
  <c r="K41" i="151"/>
  <c r="C6" i="151" s="1"/>
  <c r="K78" i="151"/>
  <c r="C8" i="151" s="1"/>
  <c r="K195" i="151"/>
  <c r="C13" i="151" s="1"/>
  <c r="K176" i="152"/>
  <c r="C10" i="152" s="1"/>
  <c r="K78" i="160"/>
  <c r="C8" i="160" s="1"/>
  <c r="K176" i="160"/>
  <c r="C10" i="160" s="1"/>
  <c r="K241" i="160"/>
  <c r="C18" i="160" s="1"/>
  <c r="K253" i="157"/>
  <c r="C19" i="157" s="1"/>
  <c r="E30" i="166"/>
  <c r="K30" i="166" s="1"/>
  <c r="K187" i="158"/>
  <c r="C11" i="158" s="1"/>
  <c r="J171" i="146"/>
  <c r="H171" i="146"/>
  <c r="H145" i="146"/>
  <c r="J145" i="146"/>
  <c r="H157" i="146"/>
  <c r="J157" i="146"/>
  <c r="K176" i="149"/>
  <c r="C10" i="149" s="1"/>
  <c r="J50" i="122"/>
  <c r="C7" i="122" s="1"/>
  <c r="K236" i="149"/>
  <c r="E159" i="166"/>
  <c r="K159" i="166" s="1"/>
  <c r="K159" i="149"/>
  <c r="J50" i="163"/>
  <c r="C7" i="163" s="1"/>
  <c r="J245" i="123"/>
  <c r="C18" i="123" s="1"/>
  <c r="E157" i="166"/>
  <c r="K157" i="166" s="1"/>
  <c r="K157" i="149"/>
  <c r="E71" i="166"/>
  <c r="K71" i="166" s="1"/>
  <c r="K71" i="149"/>
  <c r="H151" i="146"/>
  <c r="J151" i="146"/>
  <c r="J79" i="146"/>
  <c r="H43" i="146"/>
  <c r="J152" i="146"/>
  <c r="J47" i="146"/>
  <c r="J224" i="77"/>
  <c r="C17" i="77" s="1"/>
  <c r="H150" i="146"/>
  <c r="J150" i="146"/>
  <c r="J23" i="163"/>
  <c r="C5" i="163" s="1"/>
  <c r="J50" i="121"/>
  <c r="C7" i="121" s="1"/>
  <c r="J42" i="146"/>
  <c r="H153" i="146"/>
  <c r="J153" i="146"/>
  <c r="H170" i="146"/>
  <c r="J170" i="146"/>
  <c r="J122" i="163"/>
  <c r="C9" i="163" s="1"/>
  <c r="J224" i="163"/>
  <c r="C17" i="163" s="1"/>
  <c r="J187" i="124"/>
  <c r="C11" i="124" s="1"/>
  <c r="J122" i="125"/>
  <c r="C9" i="125" s="1"/>
  <c r="J176" i="125"/>
  <c r="C10" i="125" s="1"/>
  <c r="J195" i="125"/>
  <c r="C13" i="125" s="1"/>
  <c r="J224" i="125"/>
  <c r="C17" i="125" s="1"/>
  <c r="J122" i="128"/>
  <c r="C9" i="128" s="1"/>
  <c r="J176" i="128"/>
  <c r="C10" i="128" s="1"/>
  <c r="J195" i="128"/>
  <c r="C13" i="128" s="1"/>
  <c r="J224" i="128"/>
  <c r="C17" i="128" s="1"/>
  <c r="J78" i="127"/>
  <c r="C8" i="127" s="1"/>
  <c r="J245" i="127"/>
  <c r="C18" i="127" s="1"/>
  <c r="J78" i="129"/>
  <c r="C8" i="129" s="1"/>
  <c r="J187" i="129"/>
  <c r="C11" i="129" s="1"/>
  <c r="J187" i="130"/>
  <c r="C11" i="130" s="1"/>
  <c r="J245" i="131"/>
  <c r="C18" i="131" s="1"/>
  <c r="J176" i="118"/>
  <c r="C10" i="118" s="1"/>
  <c r="J50" i="136"/>
  <c r="C7" i="136" s="1"/>
  <c r="J23" i="134"/>
  <c r="C5" i="134" s="1"/>
  <c r="J176" i="134"/>
  <c r="C10" i="134" s="1"/>
  <c r="J195" i="134"/>
  <c r="C13" i="134" s="1"/>
  <c r="J224" i="134"/>
  <c r="C17" i="134" s="1"/>
  <c r="J78" i="137"/>
  <c r="C8" i="137" s="1"/>
  <c r="J245" i="137"/>
  <c r="C18" i="137" s="1"/>
  <c r="K122" i="157"/>
  <c r="C9" i="157" s="1"/>
  <c r="K122" i="160"/>
  <c r="C9" i="160" s="1"/>
  <c r="K50" i="157"/>
  <c r="C7" i="157" s="1"/>
  <c r="K240" i="166"/>
  <c r="E231" i="166"/>
  <c r="K231" i="166" s="1"/>
  <c r="K231" i="149"/>
  <c r="E215" i="166"/>
  <c r="K215" i="166" s="1"/>
  <c r="K215" i="149"/>
  <c r="E184" i="166"/>
  <c r="K184" i="166" s="1"/>
  <c r="E142" i="166"/>
  <c r="K142" i="166" s="1"/>
  <c r="E134" i="166"/>
  <c r="K134" i="166" s="1"/>
  <c r="E126" i="166"/>
  <c r="K126" i="166" s="1"/>
  <c r="E94" i="166"/>
  <c r="K94" i="166" s="1"/>
  <c r="E86" i="166"/>
  <c r="K86" i="166" s="1"/>
  <c r="E68" i="166"/>
  <c r="K68" i="166" s="1"/>
  <c r="K68" i="149"/>
  <c r="E227" i="166"/>
  <c r="K227" i="166" s="1"/>
  <c r="K227" i="149"/>
  <c r="E194" i="166"/>
  <c r="K194" i="166" s="1"/>
  <c r="K193" i="166" s="1"/>
  <c r="C12" i="166" s="1"/>
  <c r="B33" i="167" s="1"/>
  <c r="K194" i="149"/>
  <c r="K193" i="149" s="1"/>
  <c r="C12" i="149" s="1"/>
  <c r="E120" i="166"/>
  <c r="K120" i="166" s="1"/>
  <c r="E62" i="166"/>
  <c r="K62" i="166" s="1"/>
  <c r="K62" i="149"/>
  <c r="J41" i="120"/>
  <c r="J214" i="163"/>
  <c r="C15" i="163" s="1"/>
  <c r="J23" i="120"/>
  <c r="C5" i="120" s="1"/>
  <c r="J78" i="120"/>
  <c r="C8" i="120" s="1"/>
  <c r="J195" i="120"/>
  <c r="C13" i="120" s="1"/>
  <c r="J122" i="121"/>
  <c r="C9" i="121" s="1"/>
  <c r="J195" i="121"/>
  <c r="C13" i="121" s="1"/>
  <c r="J224" i="121"/>
  <c r="C17" i="121" s="1"/>
  <c r="J78" i="123"/>
  <c r="C8" i="123" s="1"/>
  <c r="J217" i="123"/>
  <c r="J245" i="124"/>
  <c r="C18" i="124" s="1"/>
  <c r="J187" i="126"/>
  <c r="C11" i="126" s="1"/>
  <c r="J214" i="126"/>
  <c r="C15" i="126" s="1"/>
  <c r="J245" i="129"/>
  <c r="C18" i="129" s="1"/>
  <c r="J257" i="129"/>
  <c r="C19" i="129" s="1"/>
  <c r="J245" i="130"/>
  <c r="C18" i="130" s="1"/>
  <c r="J78" i="131"/>
  <c r="C8" i="131" s="1"/>
  <c r="J187" i="131"/>
  <c r="C11" i="131" s="1"/>
  <c r="J214" i="131"/>
  <c r="C15" i="131" s="1"/>
  <c r="J78" i="162"/>
  <c r="C8" i="162" s="1"/>
  <c r="J176" i="162"/>
  <c r="C10" i="162" s="1"/>
  <c r="J195" i="162"/>
  <c r="C13" i="162" s="1"/>
  <c r="J214" i="118"/>
  <c r="C15" i="118" s="1"/>
  <c r="J122" i="136"/>
  <c r="C9" i="136" s="1"/>
  <c r="J217" i="137"/>
  <c r="J78" i="165"/>
  <c r="C8" i="165" s="1"/>
  <c r="B8" i="167" s="1"/>
  <c r="K78" i="150"/>
  <c r="C8" i="150" s="1"/>
  <c r="K122" i="156"/>
  <c r="C9" i="156" s="1"/>
  <c r="K176" i="156"/>
  <c r="C10" i="156" s="1"/>
  <c r="K195" i="156"/>
  <c r="C13" i="156" s="1"/>
  <c r="K213" i="160"/>
  <c r="C15" i="160" s="1"/>
  <c r="K253" i="153"/>
  <c r="C19" i="153" s="1"/>
  <c r="K210" i="158"/>
  <c r="K239" i="149"/>
  <c r="E230" i="166"/>
  <c r="K230" i="166" s="1"/>
  <c r="K230" i="149"/>
  <c r="E222" i="166"/>
  <c r="E214" i="166"/>
  <c r="K214" i="166" s="1"/>
  <c r="K214" i="149"/>
  <c r="E183" i="166"/>
  <c r="K183" i="166" s="1"/>
  <c r="E175" i="166"/>
  <c r="K175" i="166" s="1"/>
  <c r="E164" i="166"/>
  <c r="K164" i="166" s="1"/>
  <c r="K164" i="149"/>
  <c r="E149" i="166"/>
  <c r="K149" i="166" s="1"/>
  <c r="E141" i="166"/>
  <c r="K141" i="166" s="1"/>
  <c r="E133" i="166"/>
  <c r="K133" i="166" s="1"/>
  <c r="E117" i="166"/>
  <c r="K117" i="166" s="1"/>
  <c r="E93" i="166"/>
  <c r="K93" i="166" s="1"/>
  <c r="E85" i="166"/>
  <c r="K85" i="166" s="1"/>
  <c r="E75" i="166"/>
  <c r="K75" i="166" s="1"/>
  <c r="K75" i="149"/>
  <c r="E67" i="166"/>
  <c r="K67" i="166" s="1"/>
  <c r="K67" i="149"/>
  <c r="E59" i="166"/>
  <c r="K59" i="166" s="1"/>
  <c r="K59" i="149"/>
  <c r="E181" i="166"/>
  <c r="K181" i="166" s="1"/>
  <c r="E119" i="166"/>
  <c r="K119" i="166" s="1"/>
  <c r="E92" i="166"/>
  <c r="K92" i="166" s="1"/>
  <c r="E61" i="166"/>
  <c r="K61" i="166" s="1"/>
  <c r="K61" i="149"/>
  <c r="K213" i="159"/>
  <c r="C15" i="159" s="1"/>
  <c r="K195" i="159"/>
  <c r="C13" i="159" s="1"/>
  <c r="F45" i="158"/>
  <c r="H45" i="158" s="1"/>
  <c r="E229" i="166"/>
  <c r="K229" i="166" s="1"/>
  <c r="K229" i="149"/>
  <c r="E163" i="166"/>
  <c r="K163" i="166" s="1"/>
  <c r="K163" i="149"/>
  <c r="E58" i="166"/>
  <c r="K58" i="166" s="1"/>
  <c r="K58" i="149"/>
  <c r="E180" i="166"/>
  <c r="K180" i="166" s="1"/>
  <c r="J245" i="122"/>
  <c r="C18" i="122" s="1"/>
  <c r="J78" i="126"/>
  <c r="C8" i="126" s="1"/>
  <c r="J245" i="128"/>
  <c r="C18" i="128" s="1"/>
  <c r="J50" i="129"/>
  <c r="C7" i="129" s="1"/>
  <c r="J23" i="130"/>
  <c r="C5" i="130" s="1"/>
  <c r="J50" i="130"/>
  <c r="C7" i="130" s="1"/>
  <c r="J50" i="133"/>
  <c r="C7" i="133" s="1"/>
  <c r="J78" i="118"/>
  <c r="C8" i="118" s="1"/>
  <c r="J78" i="134"/>
  <c r="C8" i="134" s="1"/>
  <c r="J245" i="134"/>
  <c r="C18" i="134" s="1"/>
  <c r="J50" i="137"/>
  <c r="C7" i="137" s="1"/>
  <c r="K50" i="156"/>
  <c r="C7" i="156" s="1"/>
  <c r="F45" i="152"/>
  <c r="H45" i="152" s="1"/>
  <c r="E212" i="166"/>
  <c r="K212" i="166" s="1"/>
  <c r="K212" i="149"/>
  <c r="E201" i="166"/>
  <c r="K201" i="166" s="1"/>
  <c r="K201" i="149"/>
  <c r="E162" i="166"/>
  <c r="K162" i="166" s="1"/>
  <c r="K162" i="149"/>
  <c r="E147" i="166"/>
  <c r="K147" i="166" s="1"/>
  <c r="E139" i="166"/>
  <c r="K139" i="166" s="1"/>
  <c r="E131" i="166"/>
  <c r="K131" i="166" s="1"/>
  <c r="E123" i="166"/>
  <c r="K123" i="166" s="1"/>
  <c r="E107" i="166"/>
  <c r="K107" i="166" s="1"/>
  <c r="E250" i="166"/>
  <c r="K250" i="166" s="1"/>
  <c r="K250" i="149"/>
  <c r="E173" i="166"/>
  <c r="K173" i="166" s="1"/>
  <c r="E136" i="166"/>
  <c r="K136" i="166" s="1"/>
  <c r="E111" i="166"/>
  <c r="K111" i="166" s="1"/>
  <c r="E83" i="166"/>
  <c r="K83" i="166" s="1"/>
  <c r="E48" i="166"/>
  <c r="K48" i="166" s="1"/>
  <c r="K48" i="149"/>
  <c r="E116" i="166"/>
  <c r="K116" i="166" s="1"/>
  <c r="E49" i="166"/>
  <c r="K49" i="166" s="1"/>
  <c r="E217" i="166"/>
  <c r="K217" i="166" s="1"/>
  <c r="K217" i="149"/>
  <c r="K241" i="159"/>
  <c r="C18" i="159" s="1"/>
  <c r="J176" i="120"/>
  <c r="C10" i="120" s="1"/>
  <c r="J245" i="125"/>
  <c r="C18" i="125" s="1"/>
  <c r="J41" i="130"/>
  <c r="J122" i="133"/>
  <c r="C9" i="133" s="1"/>
  <c r="J195" i="133"/>
  <c r="C13" i="133" s="1"/>
  <c r="K47" i="149"/>
  <c r="J48" i="122"/>
  <c r="J41" i="122" s="1"/>
  <c r="J78" i="77"/>
  <c r="C8" i="77" s="1"/>
  <c r="J217" i="77"/>
  <c r="J176" i="163"/>
  <c r="C10" i="163" s="1"/>
  <c r="J50" i="120"/>
  <c r="C7" i="120" s="1"/>
  <c r="J245" i="120"/>
  <c r="C18" i="120" s="1"/>
  <c r="J23" i="121"/>
  <c r="C5" i="121" s="1"/>
  <c r="J187" i="121"/>
  <c r="C11" i="121" s="1"/>
  <c r="J78" i="122"/>
  <c r="C8" i="122" s="1"/>
  <c r="J217" i="122"/>
  <c r="J257" i="124"/>
  <c r="C19" i="124" s="1"/>
  <c r="J50" i="126"/>
  <c r="C7" i="126" s="1"/>
  <c r="J78" i="125"/>
  <c r="C8" i="125" s="1"/>
  <c r="J217" i="125"/>
  <c r="J78" i="128"/>
  <c r="C8" i="128" s="1"/>
  <c r="J217" i="128"/>
  <c r="J50" i="127"/>
  <c r="C7" i="127" s="1"/>
  <c r="J176" i="127"/>
  <c r="C10" i="127" s="1"/>
  <c r="J195" i="127"/>
  <c r="C13" i="127" s="1"/>
  <c r="J122" i="129"/>
  <c r="C9" i="129" s="1"/>
  <c r="J257" i="130"/>
  <c r="C19" i="130" s="1"/>
  <c r="J41" i="133"/>
  <c r="J176" i="133"/>
  <c r="C10" i="133" s="1"/>
  <c r="J217" i="133"/>
  <c r="J176" i="135"/>
  <c r="C10" i="135" s="1"/>
  <c r="J23" i="118"/>
  <c r="C5" i="118" s="1"/>
  <c r="J187" i="136"/>
  <c r="C11" i="136" s="1"/>
  <c r="J214" i="136"/>
  <c r="C15" i="136" s="1"/>
  <c r="J217" i="134"/>
  <c r="J122" i="137"/>
  <c r="C9" i="137" s="1"/>
  <c r="J187" i="138"/>
  <c r="C11" i="138" s="1"/>
  <c r="J41" i="126"/>
  <c r="J41" i="124"/>
  <c r="J187" i="165"/>
  <c r="C11" i="165" s="1"/>
  <c r="B11" i="167" s="1"/>
  <c r="K41" i="159"/>
  <c r="C6" i="159" s="1"/>
  <c r="K122" i="159"/>
  <c r="C9" i="159" s="1"/>
  <c r="K195" i="161"/>
  <c r="C13" i="161" s="1"/>
  <c r="K241" i="156"/>
  <c r="C18" i="156" s="1"/>
  <c r="H36" i="151"/>
  <c r="K36" i="151" s="1"/>
  <c r="K247" i="149"/>
  <c r="E247" i="166"/>
  <c r="K247" i="166" s="1"/>
  <c r="K211" i="149"/>
  <c r="E211" i="166"/>
  <c r="K211" i="166" s="1"/>
  <c r="E200" i="166"/>
  <c r="K200" i="166" s="1"/>
  <c r="K200" i="149"/>
  <c r="E188" i="166"/>
  <c r="K188" i="166" s="1"/>
  <c r="E146" i="166"/>
  <c r="K146" i="166" s="1"/>
  <c r="E130" i="166"/>
  <c r="K130" i="166" s="1"/>
  <c r="E114" i="166"/>
  <c r="K114" i="166" s="1"/>
  <c r="E106" i="166"/>
  <c r="K106" i="166" s="1"/>
  <c r="E98" i="166"/>
  <c r="K98" i="166" s="1"/>
  <c r="E90" i="166"/>
  <c r="K90" i="166" s="1"/>
  <c r="E72" i="166"/>
  <c r="K72" i="166" s="1"/>
  <c r="K72" i="149"/>
  <c r="E64" i="166"/>
  <c r="K64" i="166" s="1"/>
  <c r="K64" i="149"/>
  <c r="E207" i="166"/>
  <c r="K207" i="166" s="1"/>
  <c r="E110" i="166"/>
  <c r="K110" i="166" s="1"/>
  <c r="J245" i="77"/>
  <c r="C18" i="77" s="1"/>
  <c r="J50" i="124"/>
  <c r="C7" i="124" s="1"/>
  <c r="J48" i="163"/>
  <c r="J41" i="163" s="1"/>
  <c r="J41" i="77"/>
  <c r="J50" i="77"/>
  <c r="C7" i="77" s="1"/>
  <c r="J122" i="120"/>
  <c r="C9" i="120" s="1"/>
  <c r="J78" i="121"/>
  <c r="C8" i="121" s="1"/>
  <c r="J217" i="121"/>
  <c r="J23" i="122"/>
  <c r="C5" i="122" s="1"/>
  <c r="J122" i="123"/>
  <c r="C9" i="123" s="1"/>
  <c r="J176" i="123"/>
  <c r="C10" i="123" s="1"/>
  <c r="J195" i="123"/>
  <c r="C13" i="123" s="1"/>
  <c r="J224" i="123"/>
  <c r="C17" i="123" s="1"/>
  <c r="J23" i="124"/>
  <c r="C5" i="124" s="1"/>
  <c r="J257" i="126"/>
  <c r="C19" i="126" s="1"/>
  <c r="J50" i="128"/>
  <c r="C7" i="128" s="1"/>
  <c r="J217" i="127"/>
  <c r="J257" i="127"/>
  <c r="C19" i="127" s="1"/>
  <c r="J122" i="131"/>
  <c r="C9" i="131" s="1"/>
  <c r="J122" i="162"/>
  <c r="C9" i="162" s="1"/>
  <c r="J217" i="162"/>
  <c r="J23" i="133"/>
  <c r="C5" i="133" s="1"/>
  <c r="J50" i="135"/>
  <c r="C7" i="135" s="1"/>
  <c r="J245" i="135"/>
  <c r="C18" i="135" s="1"/>
  <c r="J78" i="136"/>
  <c r="C8" i="136" s="1"/>
  <c r="J245" i="136"/>
  <c r="C18" i="136" s="1"/>
  <c r="J50" i="134"/>
  <c r="C7" i="134" s="1"/>
  <c r="J257" i="134"/>
  <c r="C19" i="134" s="1"/>
  <c r="J176" i="137"/>
  <c r="C10" i="137" s="1"/>
  <c r="J195" i="137"/>
  <c r="C13" i="137" s="1"/>
  <c r="J224" i="137"/>
  <c r="C17" i="137" s="1"/>
  <c r="J78" i="138"/>
  <c r="C8" i="138" s="1"/>
  <c r="K41" i="154"/>
  <c r="C6" i="154" s="1"/>
  <c r="K78" i="161"/>
  <c r="C8" i="161" s="1"/>
  <c r="K122" i="161"/>
  <c r="C9" i="161" s="1"/>
  <c r="E36" i="166"/>
  <c r="K36" i="166" s="1"/>
  <c r="K36" i="149"/>
  <c r="K210" i="159"/>
  <c r="E246" i="166"/>
  <c r="K246" i="166" s="1"/>
  <c r="K246" i="149"/>
  <c r="K235" i="149"/>
  <c r="E235" i="166"/>
  <c r="K235" i="166" s="1"/>
  <c r="E226" i="166"/>
  <c r="K226" i="166" s="1"/>
  <c r="K226" i="149"/>
  <c r="E199" i="166"/>
  <c r="K199" i="166" s="1"/>
  <c r="K199" i="149"/>
  <c r="E179" i="166"/>
  <c r="K179" i="166" s="1"/>
  <c r="E171" i="166"/>
  <c r="K171" i="166" s="1"/>
  <c r="E121" i="166"/>
  <c r="K121" i="166" s="1"/>
  <c r="E113" i="166"/>
  <c r="K113" i="166" s="1"/>
  <c r="E97" i="166"/>
  <c r="K97" i="166" s="1"/>
  <c r="E89" i="166"/>
  <c r="K89" i="166" s="1"/>
  <c r="E81" i="166"/>
  <c r="K81" i="166" s="1"/>
  <c r="E63" i="166"/>
  <c r="K63" i="166" s="1"/>
  <c r="K63" i="149"/>
  <c r="E206" i="166"/>
  <c r="K206" i="166" s="1"/>
  <c r="E132" i="166"/>
  <c r="K132" i="166" s="1"/>
  <c r="E137" i="166"/>
  <c r="K137" i="166" s="1"/>
  <c r="J257" i="77"/>
  <c r="C19" i="77" s="1"/>
  <c r="J224" i="120"/>
  <c r="C17" i="120" s="1"/>
  <c r="J257" i="122"/>
  <c r="C19" i="122" s="1"/>
  <c r="J122" i="124"/>
  <c r="C9" i="124" s="1"/>
  <c r="J176" i="124"/>
  <c r="C10" i="124" s="1"/>
  <c r="J195" i="124"/>
  <c r="C13" i="124" s="1"/>
  <c r="J224" i="124"/>
  <c r="C17" i="124" s="1"/>
  <c r="J23" i="126"/>
  <c r="C5" i="126" s="1"/>
  <c r="J41" i="127"/>
  <c r="J187" i="127"/>
  <c r="C11" i="127" s="1"/>
  <c r="J176" i="129"/>
  <c r="C10" i="129" s="1"/>
  <c r="J195" i="129"/>
  <c r="C13" i="129" s="1"/>
  <c r="J224" i="129"/>
  <c r="C17" i="129" s="1"/>
  <c r="J122" i="130"/>
  <c r="C9" i="130" s="1"/>
  <c r="J176" i="130"/>
  <c r="C10" i="130" s="1"/>
  <c r="J195" i="130"/>
  <c r="C13" i="130" s="1"/>
  <c r="J224" i="130"/>
  <c r="C17" i="130" s="1"/>
  <c r="J23" i="131"/>
  <c r="C5" i="131" s="1"/>
  <c r="J187" i="133"/>
  <c r="C11" i="133" s="1"/>
  <c r="J122" i="135"/>
  <c r="C9" i="135" s="1"/>
  <c r="J187" i="135"/>
  <c r="C11" i="135" s="1"/>
  <c r="J224" i="135"/>
  <c r="C17" i="135" s="1"/>
  <c r="J217" i="136"/>
  <c r="J217" i="138"/>
  <c r="J50" i="165"/>
  <c r="C7" i="165" s="1"/>
  <c r="B7" i="167" s="1"/>
  <c r="K41" i="152"/>
  <c r="C6" i="152" s="1"/>
  <c r="K122" i="152"/>
  <c r="C9" i="152" s="1"/>
  <c r="K122" i="154"/>
  <c r="C9" i="154" s="1"/>
  <c r="K195" i="157"/>
  <c r="C13" i="157" s="1"/>
  <c r="K78" i="158"/>
  <c r="C8" i="158" s="1"/>
  <c r="K176" i="158"/>
  <c r="C10" i="158" s="1"/>
  <c r="K195" i="158"/>
  <c r="C13" i="158" s="1"/>
  <c r="K195" i="160"/>
  <c r="C13" i="160" s="1"/>
  <c r="K241" i="158"/>
  <c r="C18" i="158" s="1"/>
  <c r="E27" i="166"/>
  <c r="K27" i="166" s="1"/>
  <c r="K213" i="152"/>
  <c r="C15" i="152" s="1"/>
  <c r="F44" i="159"/>
  <c r="H44" i="159" s="1"/>
  <c r="E44" i="166" s="1"/>
  <c r="K44" i="166" s="1"/>
  <c r="E242" i="166"/>
  <c r="K242" i="166" s="1"/>
  <c r="K233" i="149"/>
  <c r="E233" i="166"/>
  <c r="K233" i="166" s="1"/>
  <c r="E225" i="166"/>
  <c r="K225" i="166" s="1"/>
  <c r="E209" i="166"/>
  <c r="K209" i="166" s="1"/>
  <c r="K208" i="166" s="1"/>
  <c r="C14" i="166" s="1"/>
  <c r="B35" i="167" s="1"/>
  <c r="E198" i="166"/>
  <c r="K198" i="166" s="1"/>
  <c r="E186" i="166"/>
  <c r="K186" i="166" s="1"/>
  <c r="E178" i="166"/>
  <c r="K178" i="166" s="1"/>
  <c r="E170" i="166"/>
  <c r="K170" i="166" s="1"/>
  <c r="E155" i="166"/>
  <c r="K155" i="166" s="1"/>
  <c r="K155" i="149"/>
  <c r="E112" i="166"/>
  <c r="K112" i="166" s="1"/>
  <c r="E104" i="166"/>
  <c r="K104" i="166" s="1"/>
  <c r="E96" i="166"/>
  <c r="K96" i="166" s="1"/>
  <c r="E88" i="166"/>
  <c r="K88" i="166" s="1"/>
  <c r="E80" i="166"/>
  <c r="K80" i="166" s="1"/>
  <c r="E54" i="166"/>
  <c r="K54" i="166" s="1"/>
  <c r="K54" i="149"/>
  <c r="E128" i="166"/>
  <c r="K128" i="166" s="1"/>
  <c r="E102" i="166"/>
  <c r="K102" i="166" s="1"/>
  <c r="E70" i="166"/>
  <c r="K70" i="166" s="1"/>
  <c r="K70" i="149"/>
  <c r="E84" i="166"/>
  <c r="K84" i="166" s="1"/>
  <c r="E74" i="166"/>
  <c r="K74" i="166" s="1"/>
  <c r="K74" i="149"/>
  <c r="E66" i="166"/>
  <c r="K66" i="166" s="1"/>
  <c r="K66" i="149"/>
  <c r="K254" i="149"/>
  <c r="E91" i="166"/>
  <c r="K91" i="166" s="1"/>
  <c r="J245" i="121"/>
  <c r="C18" i="121" s="1"/>
  <c r="J257" i="163"/>
  <c r="C19" i="163" s="1"/>
  <c r="J187" i="123"/>
  <c r="C11" i="123" s="1"/>
  <c r="J214" i="123"/>
  <c r="C15" i="123" s="1"/>
  <c r="J122" i="126"/>
  <c r="C9" i="126" s="1"/>
  <c r="J176" i="126"/>
  <c r="C10" i="126" s="1"/>
  <c r="J195" i="126"/>
  <c r="C13" i="126" s="1"/>
  <c r="J224" i="126"/>
  <c r="C17" i="126" s="1"/>
  <c r="J23" i="125"/>
  <c r="C5" i="125" s="1"/>
  <c r="J176" i="131"/>
  <c r="C10" i="131" s="1"/>
  <c r="J195" i="131"/>
  <c r="C13" i="131" s="1"/>
  <c r="J224" i="131"/>
  <c r="C17" i="131" s="1"/>
  <c r="J78" i="133"/>
  <c r="C8" i="133" s="1"/>
  <c r="J50" i="118"/>
  <c r="C7" i="118" s="1"/>
  <c r="J122" i="118"/>
  <c r="C9" i="118" s="1"/>
  <c r="J195" i="118"/>
  <c r="C13" i="118" s="1"/>
  <c r="J224" i="118"/>
  <c r="C17" i="118" s="1"/>
  <c r="J23" i="137"/>
  <c r="C5" i="137" s="1"/>
  <c r="J187" i="137"/>
  <c r="C11" i="137" s="1"/>
  <c r="J214" i="137"/>
  <c r="C15" i="137" s="1"/>
  <c r="E255" i="166"/>
  <c r="K255" i="166" s="1"/>
  <c r="K255" i="149"/>
  <c r="E232" i="166"/>
  <c r="K232" i="166" s="1"/>
  <c r="K232" i="149"/>
  <c r="E224" i="166"/>
  <c r="K224" i="166" s="1"/>
  <c r="K224" i="149"/>
  <c r="E197" i="166"/>
  <c r="K197" i="166" s="1"/>
  <c r="E185" i="166"/>
  <c r="K185" i="166" s="1"/>
  <c r="E177" i="166"/>
  <c r="K177" i="166" s="1"/>
  <c r="E169" i="166"/>
  <c r="K169" i="166" s="1"/>
  <c r="E154" i="166"/>
  <c r="K154" i="166" s="1"/>
  <c r="K154" i="149"/>
  <c r="E103" i="166"/>
  <c r="K103" i="166" s="1"/>
  <c r="E53" i="166"/>
  <c r="K53" i="166" s="1"/>
  <c r="K53" i="149"/>
  <c r="E228" i="166"/>
  <c r="K228" i="166" s="1"/>
  <c r="K228" i="149"/>
  <c r="E196" i="166"/>
  <c r="K196" i="166" s="1"/>
  <c r="E101" i="166"/>
  <c r="K101" i="166" s="1"/>
  <c r="J50" i="138"/>
  <c r="C7" i="138" s="1"/>
  <c r="J195" i="165"/>
  <c r="C13" i="165" s="1"/>
  <c r="B13" i="167" s="1"/>
  <c r="K34" i="149"/>
  <c r="E55" i="166"/>
  <c r="K55" i="166" s="1"/>
  <c r="K55" i="152"/>
  <c r="K50" i="152" s="1"/>
  <c r="C7" i="152" s="1"/>
  <c r="E249" i="166"/>
  <c r="K249" i="166" s="1"/>
  <c r="K249" i="149"/>
  <c r="E216" i="166"/>
  <c r="K216" i="166" s="1"/>
  <c r="K216" i="149"/>
  <c r="E205" i="166"/>
  <c r="K205" i="166" s="1"/>
  <c r="E143" i="166"/>
  <c r="K143" i="166" s="1"/>
  <c r="E135" i="166"/>
  <c r="K135" i="166" s="1"/>
  <c r="E127" i="166"/>
  <c r="K127" i="166" s="1"/>
  <c r="E118" i="166"/>
  <c r="K118" i="166" s="1"/>
  <c r="E109" i="166"/>
  <c r="K109" i="166" s="1"/>
  <c r="E99" i="166"/>
  <c r="K99" i="166" s="1"/>
  <c r="E69" i="166"/>
  <c r="K69" i="166" s="1"/>
  <c r="K69" i="149"/>
  <c r="E60" i="166"/>
  <c r="K60" i="166" s="1"/>
  <c r="K60" i="149"/>
  <c r="J41" i="131"/>
  <c r="E192" i="166"/>
  <c r="K192" i="166" s="1"/>
  <c r="K192" i="152"/>
  <c r="K187" i="152" s="1"/>
  <c r="C11" i="152" s="1"/>
  <c r="E42" i="166"/>
  <c r="K42" i="166" s="1"/>
  <c r="E25" i="166"/>
  <c r="K25" i="166" s="1"/>
  <c r="H35" i="151"/>
  <c r="K35" i="151" s="1"/>
  <c r="H45" i="159"/>
  <c r="J41" i="118"/>
  <c r="J41" i="128"/>
  <c r="J122" i="138"/>
  <c r="C9" i="138" s="1"/>
  <c r="J257" i="165"/>
  <c r="C19" i="165" s="1"/>
  <c r="B19" i="167" s="1"/>
  <c r="J217" i="165"/>
  <c r="K78" i="159"/>
  <c r="C8" i="159" s="1"/>
  <c r="E24" i="166"/>
  <c r="K24" i="166" s="1"/>
  <c r="E40" i="166"/>
  <c r="K40" i="166" s="1"/>
  <c r="K40" i="149"/>
  <c r="E32" i="166"/>
  <c r="K32" i="166" s="1"/>
  <c r="K32" i="149"/>
  <c r="H39" i="151"/>
  <c r="K39" i="151" s="1"/>
  <c r="J41" i="134"/>
  <c r="H38" i="151"/>
  <c r="K38" i="151" s="1"/>
  <c r="H34" i="151"/>
  <c r="K34" i="151" s="1"/>
  <c r="K50" i="158"/>
  <c r="C7" i="158" s="1"/>
  <c r="E46" i="166"/>
  <c r="K46" i="166" s="1"/>
  <c r="J214" i="165"/>
  <c r="C15" i="165" s="1"/>
  <c r="B15" i="167" s="1"/>
  <c r="J41" i="121"/>
  <c r="J214" i="138"/>
  <c r="C15" i="138" s="1"/>
  <c r="J245" i="138"/>
  <c r="C18" i="138" s="1"/>
  <c r="K23" i="156"/>
  <c r="C5" i="156" s="1"/>
  <c r="K253" i="151"/>
  <c r="C19" i="151" s="1"/>
  <c r="H37" i="151"/>
  <c r="K37" i="151" s="1"/>
  <c r="J41" i="135"/>
  <c r="J41" i="138"/>
  <c r="J41" i="162"/>
  <c r="J41" i="129"/>
  <c r="J41" i="137"/>
  <c r="J23" i="162"/>
  <c r="C5" i="162" s="1"/>
  <c r="J224" i="127"/>
  <c r="C17" i="127" s="1"/>
  <c r="J224" i="133"/>
  <c r="C17" i="133" s="1"/>
  <c r="J224" i="162"/>
  <c r="C17" i="162" s="1"/>
  <c r="K176" i="155"/>
  <c r="C10" i="155" s="1"/>
  <c r="E245" i="166"/>
  <c r="K245" i="166" s="1"/>
  <c r="K245" i="149"/>
  <c r="E244" i="166"/>
  <c r="K244" i="166" s="1"/>
  <c r="K244" i="149"/>
  <c r="J23" i="136"/>
  <c r="C5" i="136" s="1"/>
  <c r="J23" i="127"/>
  <c r="C5" i="127" s="1"/>
  <c r="K176" i="151"/>
  <c r="C10" i="151" s="1"/>
  <c r="K50" i="161"/>
  <c r="C7" i="161" s="1"/>
  <c r="K50" i="159"/>
  <c r="C7" i="159" s="1"/>
  <c r="J245" i="133"/>
  <c r="C18" i="133" s="1"/>
  <c r="K50" i="160"/>
  <c r="C7" i="160" s="1"/>
  <c r="K50" i="154"/>
  <c r="C7" i="154" s="1"/>
  <c r="K50" i="155"/>
  <c r="C7" i="155" s="1"/>
  <c r="J23" i="129"/>
  <c r="C5" i="129" s="1"/>
  <c r="E151" i="166"/>
  <c r="K151" i="166" s="1"/>
  <c r="K151" i="158"/>
  <c r="K122" i="158" s="1"/>
  <c r="C9" i="158" s="1"/>
  <c r="K122" i="150"/>
  <c r="C9" i="150" s="1"/>
  <c r="E168" i="166"/>
  <c r="K168" i="166" s="1"/>
  <c r="J23" i="128"/>
  <c r="C5" i="128" s="1"/>
  <c r="E190" i="166"/>
  <c r="K190" i="166" s="1"/>
  <c r="K190" i="149"/>
  <c r="K187" i="149" s="1"/>
  <c r="C11" i="149" s="1"/>
  <c r="K252" i="149"/>
  <c r="E252" i="166"/>
  <c r="K252" i="166" s="1"/>
  <c r="J224" i="165"/>
  <c r="C17" i="165" s="1"/>
  <c r="B17" i="167" s="1"/>
  <c r="E234" i="166"/>
  <c r="K234" i="166" s="1"/>
  <c r="K253" i="156"/>
  <c r="C19" i="156" s="1"/>
  <c r="J23" i="165"/>
  <c r="C5" i="165" s="1"/>
  <c r="K243" i="150"/>
  <c r="K241" i="150" s="1"/>
  <c r="C18" i="150" s="1"/>
  <c r="E243" i="166"/>
  <c r="K243" i="166" s="1"/>
  <c r="E191" i="166"/>
  <c r="K191" i="166" s="1"/>
  <c r="E189" i="166"/>
  <c r="K189" i="166" s="1"/>
  <c r="E161" i="166"/>
  <c r="K161" i="166" s="1"/>
  <c r="K23" i="160"/>
  <c r="C5" i="160" s="1"/>
  <c r="J245" i="165"/>
  <c r="C18" i="165" s="1"/>
  <c r="B18" i="167" s="1"/>
  <c r="K253" i="158"/>
  <c r="C19" i="158" s="1"/>
  <c r="E251" i="166"/>
  <c r="K251" i="166" s="1"/>
  <c r="E152" i="166"/>
  <c r="K152" i="166" s="1"/>
  <c r="E158" i="166"/>
  <c r="K158" i="166" s="1"/>
  <c r="E167" i="166"/>
  <c r="K167" i="166" s="1"/>
  <c r="E166" i="166"/>
  <c r="K166" i="166" s="1"/>
  <c r="E153" i="166"/>
  <c r="K153" i="166" s="1"/>
  <c r="E248" i="166"/>
  <c r="K248" i="166" s="1"/>
  <c r="E156" i="166"/>
  <c r="K156" i="166" s="1"/>
  <c r="E77" i="166"/>
  <c r="K77" i="166" s="1"/>
  <c r="E76" i="166"/>
  <c r="K76" i="166" s="1"/>
  <c r="E56" i="166"/>
  <c r="K56" i="166" s="1"/>
  <c r="E33" i="166"/>
  <c r="K33" i="166" s="1"/>
  <c r="E52" i="166"/>
  <c r="K52" i="166" s="1"/>
  <c r="E57" i="166"/>
  <c r="K57" i="166" s="1"/>
  <c r="E26" i="166"/>
  <c r="K26" i="166" s="1"/>
  <c r="K23" i="153"/>
  <c r="C5" i="153" s="1"/>
  <c r="K23" i="150"/>
  <c r="C5" i="150" s="1"/>
  <c r="E31" i="166"/>
  <c r="K31" i="166" s="1"/>
  <c r="K23" i="157"/>
  <c r="C5" i="157" s="1"/>
  <c r="K23" i="152"/>
  <c r="C5" i="152" s="1"/>
  <c r="K23" i="155"/>
  <c r="C5" i="155" s="1"/>
  <c r="K33" i="151"/>
  <c r="E28" i="166"/>
  <c r="K28" i="166" s="1"/>
  <c r="K30" i="154"/>
  <c r="K23" i="154" s="1"/>
  <c r="C5" i="154" s="1"/>
  <c r="E29" i="166"/>
  <c r="K29" i="166" s="1"/>
  <c r="K37" i="149"/>
  <c r="H70" i="146" l="1"/>
  <c r="J124" i="146"/>
  <c r="J129" i="146"/>
  <c r="J111" i="146"/>
  <c r="H167" i="146"/>
  <c r="H161" i="146"/>
  <c r="J122" i="127"/>
  <c r="C9" i="127" s="1"/>
  <c r="J163" i="146"/>
  <c r="E140" i="146"/>
  <c r="H140" i="146" s="1"/>
  <c r="H23" i="146"/>
  <c r="H69" i="146"/>
  <c r="H175" i="146"/>
  <c r="H174" i="146" s="1"/>
  <c r="J66" i="146"/>
  <c r="J156" i="146"/>
  <c r="H88" i="146"/>
  <c r="H93" i="146"/>
  <c r="J73" i="146"/>
  <c r="J120" i="146"/>
  <c r="H55" i="146"/>
  <c r="H82" i="146"/>
  <c r="J74" i="146"/>
  <c r="J144" i="146"/>
  <c r="H142" i="146"/>
  <c r="H141" i="146" s="1"/>
  <c r="H112" i="146"/>
  <c r="H136" i="146"/>
  <c r="J89" i="146"/>
  <c r="H77" i="146"/>
  <c r="H46" i="146"/>
  <c r="J103" i="146"/>
  <c r="H9" i="146"/>
  <c r="J106" i="146"/>
  <c r="J15" i="146"/>
  <c r="E28" i="146"/>
  <c r="H28" i="146" s="1"/>
  <c r="H126" i="146"/>
  <c r="H125" i="146" s="1"/>
  <c r="H56" i="146"/>
  <c r="H127" i="146"/>
  <c r="H63" i="146"/>
  <c r="H65" i="146"/>
  <c r="H54" i="146"/>
  <c r="H169" i="146"/>
  <c r="H17" i="146"/>
  <c r="J41" i="125"/>
  <c r="J122" i="165"/>
  <c r="C9" i="165" s="1"/>
  <c r="B9" i="167" s="1"/>
  <c r="H148" i="146"/>
  <c r="J7" i="146"/>
  <c r="C17" i="155"/>
  <c r="C17" i="158"/>
  <c r="E239" i="166"/>
  <c r="K239" i="166" s="1"/>
  <c r="K220" i="158"/>
  <c r="K220" i="159"/>
  <c r="C17" i="159" s="1"/>
  <c r="C20" i="159" s="1"/>
  <c r="K239" i="150"/>
  <c r="K220" i="150" s="1"/>
  <c r="K236" i="159"/>
  <c r="K220" i="149"/>
  <c r="C17" i="149" s="1"/>
  <c r="J149" i="146"/>
  <c r="H83" i="146"/>
  <c r="H118" i="146"/>
  <c r="H35" i="146"/>
  <c r="J162" i="146"/>
  <c r="J41" i="165"/>
  <c r="H122" i="146"/>
  <c r="J166" i="146"/>
  <c r="J168" i="146"/>
  <c r="J135" i="146"/>
  <c r="H146" i="146"/>
  <c r="E254" i="166"/>
  <c r="K254" i="166" s="1"/>
  <c r="K253" i="166" s="1"/>
  <c r="C19" i="166" s="1"/>
  <c r="B40" i="167" s="1"/>
  <c r="H49" i="146"/>
  <c r="J165" i="146"/>
  <c r="H72" i="146"/>
  <c r="H64" i="146"/>
  <c r="H19" i="146"/>
  <c r="H18" i="146" s="1"/>
  <c r="J115" i="146"/>
  <c r="J34" i="146"/>
  <c r="J121" i="146"/>
  <c r="E22" i="146"/>
  <c r="J22" i="146" s="1"/>
  <c r="J158" i="146"/>
  <c r="H86" i="146"/>
  <c r="H85" i="146" s="1"/>
  <c r="J61" i="146"/>
  <c r="H143" i="146"/>
  <c r="H78" i="146"/>
  <c r="J160" i="146"/>
  <c r="J134" i="146"/>
  <c r="J138" i="146"/>
  <c r="J113" i="146"/>
  <c r="C20" i="125"/>
  <c r="H154" i="146"/>
  <c r="H48" i="146"/>
  <c r="H45" i="146"/>
  <c r="J84" i="146"/>
  <c r="C20" i="155"/>
  <c r="C20" i="135"/>
  <c r="H139" i="146"/>
  <c r="J164" i="146"/>
  <c r="K210" i="149"/>
  <c r="J51" i="146"/>
  <c r="J87" i="146"/>
  <c r="C20" i="156"/>
  <c r="K195" i="149"/>
  <c r="C13" i="149" s="1"/>
  <c r="C20" i="133"/>
  <c r="J80" i="146"/>
  <c r="H80" i="146"/>
  <c r="C20" i="77"/>
  <c r="K41" i="149"/>
  <c r="C6" i="149" s="1"/>
  <c r="H95" i="146"/>
  <c r="H30" i="146"/>
  <c r="H29" i="146" s="1"/>
  <c r="J109" i="146"/>
  <c r="H109" i="146"/>
  <c r="H116" i="146"/>
  <c r="J116" i="146"/>
  <c r="H14" i="146"/>
  <c r="J14" i="146"/>
  <c r="J57" i="146"/>
  <c r="H57" i="146"/>
  <c r="C20" i="152"/>
  <c r="C20" i="158"/>
  <c r="C20" i="161"/>
  <c r="C20" i="121"/>
  <c r="J50" i="146"/>
  <c r="J44" i="146"/>
  <c r="H44" i="146"/>
  <c r="J117" i="146"/>
  <c r="H117" i="146"/>
  <c r="J123" i="146"/>
  <c r="H123" i="146"/>
  <c r="H60" i="146"/>
  <c r="J60" i="146"/>
  <c r="H130" i="146"/>
  <c r="J130" i="146"/>
  <c r="J110" i="146"/>
  <c r="H110" i="146"/>
  <c r="H105" i="146"/>
  <c r="J105" i="146"/>
  <c r="H8" i="146"/>
  <c r="J8" i="146"/>
  <c r="C20" i="136"/>
  <c r="E37" i="166"/>
  <c r="K37" i="166" s="1"/>
  <c r="C20" i="138"/>
  <c r="K23" i="151"/>
  <c r="C5" i="151" s="1"/>
  <c r="C20" i="151" s="1"/>
  <c r="E34" i="166"/>
  <c r="K34" i="166" s="1"/>
  <c r="K176" i="166"/>
  <c r="C10" i="166" s="1"/>
  <c r="B31" i="167" s="1"/>
  <c r="J155" i="146"/>
  <c r="H68" i="146"/>
  <c r="J68" i="146"/>
  <c r="J131" i="146"/>
  <c r="H131" i="146"/>
  <c r="J59" i="146"/>
  <c r="H59" i="146"/>
  <c r="J71" i="146"/>
  <c r="H71" i="146"/>
  <c r="J16" i="146"/>
  <c r="H16" i="146"/>
  <c r="H90" i="146"/>
  <c r="J90" i="146"/>
  <c r="H26" i="146"/>
  <c r="J26" i="146"/>
  <c r="J62" i="146"/>
  <c r="H62" i="146"/>
  <c r="J133" i="146"/>
  <c r="H133" i="146"/>
  <c r="H132" i="146" s="1"/>
  <c r="J27" i="146"/>
  <c r="H27" i="146"/>
  <c r="K241" i="149"/>
  <c r="C18" i="149" s="1"/>
  <c r="K210" i="166"/>
  <c r="H76" i="146"/>
  <c r="J76" i="146"/>
  <c r="J75" i="146"/>
  <c r="H75" i="146"/>
  <c r="J128" i="146"/>
  <c r="H128" i="146"/>
  <c r="H33" i="146"/>
  <c r="J33" i="146"/>
  <c r="J25" i="146"/>
  <c r="H25" i="146"/>
  <c r="C20" i="150"/>
  <c r="C20" i="153"/>
  <c r="C20" i="123"/>
  <c r="H6" i="146"/>
  <c r="J53" i="146"/>
  <c r="H53" i="146"/>
  <c r="H52" i="146" s="1"/>
  <c r="J114" i="146"/>
  <c r="H114" i="146"/>
  <c r="C20" i="160"/>
  <c r="H104" i="146"/>
  <c r="J108" i="146"/>
  <c r="H10" i="146"/>
  <c r="J10" i="146"/>
  <c r="J92" i="146"/>
  <c r="H92" i="146"/>
  <c r="H91" i="146" s="1"/>
  <c r="H11" i="146"/>
  <c r="J11" i="146"/>
  <c r="J96" i="146"/>
  <c r="H96" i="146"/>
  <c r="E45" i="166"/>
  <c r="K45" i="166" s="1"/>
  <c r="K41" i="166" s="1"/>
  <c r="C6" i="166" s="1"/>
  <c r="B27" i="167" s="1"/>
  <c r="C20" i="124"/>
  <c r="K213" i="149"/>
  <c r="C15" i="149" s="1"/>
  <c r="C20" i="128"/>
  <c r="C20" i="162"/>
  <c r="K213" i="166"/>
  <c r="C15" i="166" s="1"/>
  <c r="B36" i="167" s="1"/>
  <c r="B5" i="167"/>
  <c r="E35" i="166"/>
  <c r="K35" i="166" s="1"/>
  <c r="K187" i="166"/>
  <c r="C11" i="166" s="1"/>
  <c r="B32" i="167" s="1"/>
  <c r="K221" i="166"/>
  <c r="K222" i="166"/>
  <c r="E38" i="166"/>
  <c r="K38" i="166" s="1"/>
  <c r="C20" i="157"/>
  <c r="C20" i="137"/>
  <c r="K50" i="166"/>
  <c r="C7" i="166" s="1"/>
  <c r="B28" i="167" s="1"/>
  <c r="C20" i="130"/>
  <c r="K23" i="149"/>
  <c r="C5" i="149" s="1"/>
  <c r="C20" i="163"/>
  <c r="K50" i="149"/>
  <c r="C7" i="149" s="1"/>
  <c r="E39" i="166"/>
  <c r="K39" i="166" s="1"/>
  <c r="K122" i="149"/>
  <c r="C9" i="149" s="1"/>
  <c r="K78" i="166"/>
  <c r="C8" i="166" s="1"/>
  <c r="B29" i="167" s="1"/>
  <c r="K241" i="166"/>
  <c r="C18" i="166" s="1"/>
  <c r="B39" i="167" s="1"/>
  <c r="C20" i="131"/>
  <c r="C20" i="122"/>
  <c r="K122" i="166"/>
  <c r="C9" i="166" s="1"/>
  <c r="B30" i="167" s="1"/>
  <c r="C20" i="118"/>
  <c r="C20" i="120"/>
  <c r="C20" i="134"/>
  <c r="C20" i="154"/>
  <c r="C20" i="129"/>
  <c r="C20" i="127"/>
  <c r="K195" i="166"/>
  <c r="C13" i="166" s="1"/>
  <c r="B34" i="167" s="1"/>
  <c r="K253" i="149"/>
  <c r="C19" i="149" s="1"/>
  <c r="C20" i="126"/>
  <c r="J28" i="146" l="1"/>
  <c r="J140" i="146"/>
  <c r="C20" i="165"/>
  <c r="B20" i="167"/>
  <c r="B44" i="167" s="1"/>
  <c r="K220" i="166"/>
  <c r="K23" i="166"/>
  <c r="C5" i="166" s="1"/>
  <c r="B26" i="167" s="1"/>
  <c r="C20" i="149"/>
  <c r="C17" i="166"/>
  <c r="B38" i="167" s="1"/>
  <c r="B41" i="167" l="1"/>
  <c r="B45" i="167" s="1"/>
  <c r="B46" i="167" s="1"/>
  <c r="C20" i="166"/>
</calcChain>
</file>

<file path=xl/sharedStrings.xml><?xml version="1.0" encoding="utf-8"?>
<sst xmlns="http://schemas.openxmlformats.org/spreadsheetml/2006/main" count="26361" uniqueCount="441">
  <si>
    <t>Catégories</t>
  </si>
  <si>
    <t>Valeur d'inventaire</t>
  </si>
  <si>
    <t>Bières</t>
  </si>
  <si>
    <t>Boissons avec alcool / Spiritueux</t>
  </si>
  <si>
    <t>Boissons sans alcool</t>
  </si>
  <si>
    <t>Boulangerie, viennoiserie, pain</t>
  </si>
  <si>
    <t>Chocolats, bonbons, biscuits</t>
  </si>
  <si>
    <t>Consignes</t>
  </si>
  <si>
    <t>Épicerie</t>
  </si>
  <si>
    <t>Mono-usages</t>
  </si>
  <si>
    <t>Produits laitiers</t>
  </si>
  <si>
    <t>Surgelés</t>
  </si>
  <si>
    <t>Viandes</t>
  </si>
  <si>
    <t>Vins</t>
  </si>
  <si>
    <t>TOTAL</t>
  </si>
  <si>
    <t>Catégorie</t>
  </si>
  <si>
    <t>Article d'inventaire</t>
  </si>
  <si>
    <t>UDM</t>
  </si>
  <si>
    <t>TOTAL :</t>
  </si>
  <si>
    <t>Aligal 2 7kg</t>
  </si>
  <si>
    <t>EA</t>
  </si>
  <si>
    <t>Cardinal Blonde 20lt Fût</t>
  </si>
  <si>
    <t>Grimbergen blanche 20lt Fût</t>
  </si>
  <si>
    <t>L</t>
  </si>
  <si>
    <t>Ramseier Jus de Pomme VP PET 1.5lt</t>
  </si>
  <si>
    <t>Rhazünser citron VP PET 1,5lt</t>
  </si>
  <si>
    <t>Café, thé, ovo, cacao</t>
  </si>
  <si>
    <t>sachet</t>
  </si>
  <si>
    <t>Graisses, huiles</t>
  </si>
  <si>
    <t>Huile de tournesol High Oleic 1 x 20 lt</t>
  </si>
  <si>
    <t>Sac Poubelle Noir OKS 110 L Zip</t>
  </si>
  <si>
    <t>Produits nettoyage</t>
  </si>
  <si>
    <t>Belles filles Chasselas AOC Geneve 2019 75cl</t>
  </si>
  <si>
    <t>Belles filles Gamay AOC Geneve 2019 75cl</t>
  </si>
  <si>
    <t xml:space="preserve">Zweifel Nature </t>
  </si>
  <si>
    <t xml:space="preserve">Zweifel Paprika </t>
  </si>
  <si>
    <t>Ketchup sachet 3kg (pouss-pouss)</t>
  </si>
  <si>
    <t>Mayo sachet 3kg (pouss-pouss)</t>
  </si>
  <si>
    <t>Moutarde sachet 3kg (pouss-pouss)</t>
  </si>
  <si>
    <t>Rouleaux cuisine essui-tout (sopalin)</t>
  </si>
  <si>
    <t>BOUTEILLE PET 50CL</t>
  </si>
  <si>
    <t>BOUTEILLE PET 1,5L</t>
  </si>
  <si>
    <t>Fuse Tea citron VP PET 1.5lt</t>
  </si>
  <si>
    <t>Schweppes Tonic VP PET 1lt</t>
  </si>
  <si>
    <t>REDBULL &amp; ORGANICS</t>
  </si>
  <si>
    <t>PRIX</t>
  </si>
  <si>
    <t>Caisse BT 1,5L PET consignée</t>
  </si>
  <si>
    <t xml:space="preserve"> </t>
  </si>
  <si>
    <t xml:space="preserve">Red bull Energy Drink </t>
  </si>
  <si>
    <t>Red bull Sugar free</t>
  </si>
  <si>
    <t>Red bull Abricot Fraise</t>
  </si>
  <si>
    <t>Sucre Chicco 1000x</t>
  </si>
  <si>
    <t>Sachet</t>
  </si>
  <si>
    <r>
      <t xml:space="preserve">Café </t>
    </r>
    <r>
      <rPr>
        <b/>
        <sz val="11"/>
        <color theme="1"/>
        <rFont val="Calibri"/>
        <family val="2"/>
        <scheme val="minor"/>
      </rPr>
      <t>capsule</t>
    </r>
    <r>
      <rPr>
        <sz val="11"/>
        <color theme="1"/>
        <rFont val="Calibri"/>
        <family val="2"/>
        <scheme val="minor"/>
      </rPr>
      <t xml:space="preserve"> chicco</t>
    </r>
  </si>
  <si>
    <t>Bidon</t>
  </si>
  <si>
    <t>Pain hot-dog</t>
  </si>
  <si>
    <t>Divers</t>
  </si>
  <si>
    <t>DIVERS</t>
  </si>
  <si>
    <t xml:space="preserve">Bouteille de gaz de ville </t>
  </si>
  <si>
    <t>Belles Filles, Rosé de Gamay</t>
  </si>
  <si>
    <t>Sirop de fleur de sureau</t>
  </si>
  <si>
    <t>carton</t>
  </si>
  <si>
    <t>Sirop de sucre de canne</t>
  </si>
  <si>
    <t>boîte</t>
  </si>
  <si>
    <t>Quantité</t>
  </si>
  <si>
    <t>Sirafan speed - Bouteille spray</t>
  </si>
  <si>
    <t>Sirafin speed - Bidon 5L</t>
  </si>
  <si>
    <t>Greasecutter - Bouteille spray</t>
  </si>
  <si>
    <t>Serviettes distributeurs (1 carton = 8x500pièces)</t>
  </si>
  <si>
    <t>Gants (Boîte 100 pièces)</t>
  </si>
  <si>
    <t>Saucisse à hot-dog (Sachet de 20)</t>
  </si>
  <si>
    <t>Saucisses de veau (Sachet de 10)</t>
  </si>
  <si>
    <t>Référence article</t>
  </si>
  <si>
    <t>BCTSNCK6 NEUT</t>
  </si>
  <si>
    <t>9317 (Bolay)</t>
  </si>
  <si>
    <t>Bretzel (Carton de 24)</t>
  </si>
  <si>
    <t>Cardinal Blonde 30lt Fût</t>
  </si>
  <si>
    <t>Guiness 30lt Fût</t>
  </si>
  <si>
    <t>Baccarat brut, Blanc chardonnay 75cl</t>
  </si>
  <si>
    <t>Vin chaud 10L FELDSCHLOSSEN</t>
  </si>
  <si>
    <t>Pepsi PET 1,5lt</t>
  </si>
  <si>
    <t>Arkina gazeuse PET 6x1.5lt</t>
  </si>
  <si>
    <t>Arkina plate PET 6x1.5lt</t>
  </si>
  <si>
    <t>Arkina plate PET 0,5lt</t>
  </si>
  <si>
    <t>Pepsi MAX PET 1,5lt</t>
  </si>
  <si>
    <r>
      <t xml:space="preserve">Jus d'orange </t>
    </r>
    <r>
      <rPr>
        <b/>
        <sz val="11"/>
        <color theme="1"/>
        <rFont val="Calibri"/>
        <family val="2"/>
        <scheme val="minor"/>
      </rPr>
      <t>1L</t>
    </r>
  </si>
  <si>
    <t>Adalia</t>
  </si>
  <si>
    <t>Pop &amp; Brother</t>
  </si>
  <si>
    <t>Zweiffel</t>
  </si>
  <si>
    <t>Arkina gazeuse PET 0,5lt</t>
  </si>
  <si>
    <t>Vin chaud 10L DUPASQUIER</t>
  </si>
  <si>
    <t>Liquide vaisselle</t>
  </si>
  <si>
    <t>Sac PET</t>
  </si>
  <si>
    <t>Paille de fer</t>
  </si>
  <si>
    <t>Porte gobelet (pack)</t>
  </si>
  <si>
    <t>Fûts vides</t>
  </si>
  <si>
    <t>Aligal consignée</t>
  </si>
  <si>
    <t>Nestea VP PET 1.5lt</t>
  </si>
  <si>
    <t>Branche Cailler</t>
  </si>
  <si>
    <t>Pain "boule"</t>
  </si>
  <si>
    <t>Sel de service 1kg</t>
  </si>
  <si>
    <t>Ketchup sachet individuelle 72gr</t>
  </si>
  <si>
    <t>Moutarde sachet individuelle 72gr</t>
  </si>
  <si>
    <t>Mayonnaise sachet individuelle 72gr</t>
  </si>
  <si>
    <t>Glaçons sac de 5kg</t>
  </si>
  <si>
    <r>
      <t>Gobelet vin 1dl pied</t>
    </r>
    <r>
      <rPr>
        <b/>
        <i/>
        <sz val="11"/>
        <color theme="1"/>
        <rFont val="Calibri"/>
        <family val="2"/>
        <scheme val="minor"/>
      </rPr>
      <t xml:space="preserve"> (1 carton = 600 pièces)</t>
    </r>
  </si>
  <si>
    <r>
      <t xml:space="preserve">Gobelet a boisson froide PLA 4dl </t>
    </r>
    <r>
      <rPr>
        <b/>
        <i/>
        <sz val="11"/>
        <color theme="1"/>
        <rFont val="Calibri"/>
        <family val="2"/>
        <scheme val="minor"/>
      </rPr>
      <t>(1 carton = 850 pièces)</t>
    </r>
  </si>
  <si>
    <r>
      <t xml:space="preserve">Gobelet à frites noirs </t>
    </r>
    <r>
      <rPr>
        <b/>
        <i/>
        <sz val="11"/>
        <color theme="1"/>
        <rFont val="Calibri"/>
        <family val="2"/>
        <scheme val="minor"/>
      </rPr>
      <t>(1 carton = 1000 pièces)</t>
    </r>
  </si>
  <si>
    <t>Gobelets boissons chaudes 2dl (café,thé)</t>
  </si>
  <si>
    <t>Paille noire</t>
  </si>
  <si>
    <r>
      <t>Packaging Panibois Raclette</t>
    </r>
    <r>
      <rPr>
        <b/>
        <i/>
        <sz val="11"/>
        <color theme="1"/>
        <rFont val="Calibri"/>
        <family val="2"/>
        <scheme val="minor"/>
      </rPr>
      <t xml:space="preserve"> (1 carton = 200 pièces)</t>
    </r>
  </si>
  <si>
    <r>
      <t xml:space="preserve">Packaging kraft saucisse </t>
    </r>
    <r>
      <rPr>
        <b/>
        <i/>
        <sz val="11"/>
        <color theme="1"/>
        <rFont val="Calibri"/>
        <family val="2"/>
        <scheme val="minor"/>
      </rPr>
      <t>(1 carton = 300 pièces)</t>
    </r>
  </si>
  <si>
    <r>
      <t xml:space="preserve">Couvert jetable </t>
    </r>
    <r>
      <rPr>
        <b/>
        <i/>
        <sz val="11"/>
        <color theme="1"/>
        <rFont val="Calibri"/>
        <family val="2"/>
        <scheme val="minor"/>
      </rPr>
      <t>(1 carton = 250 pièces)</t>
    </r>
  </si>
  <si>
    <t>pack</t>
  </si>
  <si>
    <t>Bidon d'huile de friteuse bleu</t>
  </si>
  <si>
    <t>Produit multi surfaces bleu - Bouteille spray</t>
  </si>
  <si>
    <t xml:space="preserve">Aligal vide </t>
  </si>
  <si>
    <t xml:space="preserve">Fûts consignés (Fût plein + fûts vides) </t>
  </si>
  <si>
    <t>Rouleau</t>
  </si>
  <si>
    <t>Catégorie : Consignes</t>
  </si>
  <si>
    <t>Catégorie : Boissons sans alcool</t>
  </si>
  <si>
    <t>Catégorie : Produits nettoyage</t>
  </si>
  <si>
    <t>Sandwich</t>
  </si>
  <si>
    <t>Nuggets (Sachet de 2,5kg)</t>
  </si>
  <si>
    <t>Gyosas (sachet de 600gr)</t>
  </si>
  <si>
    <t>Haribot</t>
  </si>
  <si>
    <t xml:space="preserve">Fûts Apérol </t>
  </si>
  <si>
    <t xml:space="preserve">Fûts Hugo </t>
  </si>
  <si>
    <t>Consigne fût Bibarium</t>
  </si>
  <si>
    <t>Sachet de menthe</t>
  </si>
  <si>
    <t>Pommes frites crispy sachet 2,5kg</t>
  </si>
  <si>
    <t xml:space="preserve">Salade César </t>
  </si>
  <si>
    <t>Salade Grecque</t>
  </si>
  <si>
    <t>Salade iceberg tranchées (barquette de 500g)</t>
  </si>
  <si>
    <t xml:space="preserve">Saucisse de vienne (sachet de 10) </t>
  </si>
  <si>
    <r>
      <t xml:space="preserve">Saucisse </t>
    </r>
    <r>
      <rPr>
        <b/>
        <sz val="11"/>
        <color theme="1"/>
        <rFont val="Calibri"/>
        <family val="2"/>
        <scheme val="minor"/>
      </rPr>
      <t xml:space="preserve">schublig </t>
    </r>
    <r>
      <rPr>
        <sz val="11"/>
        <color theme="1"/>
        <rFont val="Calibri"/>
        <family val="2"/>
        <scheme val="minor"/>
      </rPr>
      <t xml:space="preserve">(sachet de 10) </t>
    </r>
  </si>
  <si>
    <t xml:space="preserve">Sauce salade FRENCH </t>
  </si>
  <si>
    <t xml:space="preserve">Sauce Salade italien </t>
  </si>
  <si>
    <t>Sauce teriyaki</t>
  </si>
  <si>
    <t>Catégorie : Cuisine (Surgelés)</t>
  </si>
  <si>
    <t>Catégorie : Boissons avec alcool (Bières)</t>
  </si>
  <si>
    <t>Catégorie : Boissons sans alcool (café,thé)</t>
  </si>
  <si>
    <t>Catégorie : Produits de négoce (Chocolats, bonbons, biscuits)</t>
  </si>
  <si>
    <t>Catégorie : Cuisine (Boulangerie &amp; sandwich)</t>
  </si>
  <si>
    <t>Catégorie : Cuisine (Sauces &amp; condiments)</t>
  </si>
  <si>
    <t>Catégorie : Cuisine (Viande and co)</t>
  </si>
  <si>
    <t>Catégorie : Cuisine (Produits frais)</t>
  </si>
  <si>
    <t>Catégorie : Cuisine (Graisses, huiles)</t>
  </si>
  <si>
    <t>Catégorie : Mono-usages</t>
  </si>
  <si>
    <t>Catégorie : Boissons avec alcool (Vins)</t>
  </si>
  <si>
    <t xml:space="preserve">Cookie Siradis </t>
  </si>
  <si>
    <r>
      <t xml:space="preserve">Packagin Hot-Dog </t>
    </r>
    <r>
      <rPr>
        <b/>
        <sz val="11"/>
        <color theme="1"/>
        <rFont val="Calibri"/>
        <family val="2"/>
        <scheme val="minor"/>
      </rPr>
      <t>(1 carton = 480 pièces)</t>
    </r>
  </si>
  <si>
    <t xml:space="preserve">Servetienne </t>
  </si>
  <si>
    <t>Zweifel Nature</t>
  </si>
  <si>
    <t>Zweifel Paprika</t>
  </si>
  <si>
    <t>Haribo Dragibus</t>
  </si>
  <si>
    <t>Pepsi 4dl</t>
  </si>
  <si>
    <t>Pepsi max 4dl</t>
  </si>
  <si>
    <t>Nestea Citron 4dl</t>
  </si>
  <si>
    <t>Eau Plate 4dl</t>
  </si>
  <si>
    <t>Eau Gazeuse 4dl</t>
  </si>
  <si>
    <t>Jus de Pomme 4dl</t>
  </si>
  <si>
    <t>Limonade 4dl</t>
  </si>
  <si>
    <t>Red bull 2.5dl</t>
  </si>
  <si>
    <t>Cardinal 4dl</t>
  </si>
  <si>
    <t>Panaché 4dl</t>
  </si>
  <si>
    <t>Servettienne 4dl</t>
  </si>
  <si>
    <t>dl Vin Rouge</t>
  </si>
  <si>
    <t>dl Vin Blanc</t>
  </si>
  <si>
    <t>dl Vin Rosé</t>
  </si>
  <si>
    <t xml:space="preserve">Bouteille 1,5L / Füt </t>
  </si>
  <si>
    <t xml:space="preserve">Biere Füt </t>
  </si>
  <si>
    <t>Vin</t>
  </si>
  <si>
    <t xml:space="preserve">Soft </t>
  </si>
  <si>
    <t xml:space="preserve">Food </t>
  </si>
  <si>
    <t>Unité</t>
  </si>
  <si>
    <t>Quantité Consomée</t>
  </si>
  <si>
    <t>Stocks final</t>
  </si>
  <si>
    <t>Nord mobile 1</t>
  </si>
  <si>
    <t>Nord 1</t>
  </si>
  <si>
    <t>Nord 2</t>
  </si>
  <si>
    <t>Nord mobile 2</t>
  </si>
  <si>
    <t>Esplanade</t>
  </si>
  <si>
    <t>Est mobile 1</t>
  </si>
  <si>
    <t>Est mobile 2</t>
  </si>
  <si>
    <t>Est mobile 3</t>
  </si>
  <si>
    <t>Est mobile 4</t>
  </si>
  <si>
    <t>Est 1</t>
  </si>
  <si>
    <t>Est 2</t>
  </si>
  <si>
    <t>Sud 1</t>
  </si>
  <si>
    <t>Sud2</t>
  </si>
  <si>
    <t>Principale Modible 1</t>
  </si>
  <si>
    <t>Principale Modible 2</t>
  </si>
  <si>
    <t>Principale Modible 3</t>
  </si>
  <si>
    <t>Principale Modible 4</t>
  </si>
  <si>
    <t>Principale 1</t>
  </si>
  <si>
    <t>Principale 2</t>
  </si>
  <si>
    <t>Visiteur</t>
  </si>
  <si>
    <t>TOTAL PRODUIT CONSOLIDE</t>
  </si>
  <si>
    <t>Caféterie</t>
  </si>
  <si>
    <t>Negoce</t>
  </si>
  <si>
    <t xml:space="preserve">Boulangerie </t>
  </si>
  <si>
    <t>Sauce &amp; Condiments</t>
  </si>
  <si>
    <t xml:space="preserve">Surgelés </t>
  </si>
  <si>
    <t>Graisse &amp; Huile</t>
  </si>
  <si>
    <t>Produit de nettoyage</t>
  </si>
  <si>
    <t xml:space="preserve">Caisse de 20bt Brasserie de la pièce </t>
  </si>
  <si>
    <t>INVENTAIRES STADE</t>
  </si>
  <si>
    <t>Catégorie :Bières</t>
  </si>
  <si>
    <t>Brooklyn EIPA 30lt Fût</t>
  </si>
  <si>
    <t>Servettienne 20lt Fût</t>
  </si>
  <si>
    <t>Bonde la piece bouteille</t>
  </si>
  <si>
    <t>Blanche la piece bouteille</t>
  </si>
  <si>
    <t>IPA la piece bouteille</t>
  </si>
  <si>
    <t>Magners 30lt Fût</t>
  </si>
  <si>
    <r>
      <t>Cardinal Blonde C</t>
    </r>
    <r>
      <rPr>
        <b/>
        <sz val="11"/>
        <color theme="1"/>
        <rFont val="Calibri"/>
        <family val="2"/>
        <scheme val="minor"/>
      </rPr>
      <t>iternes lt</t>
    </r>
  </si>
  <si>
    <t>lt</t>
  </si>
  <si>
    <t>Valaisanne Bière de Cave - Bière bouteille</t>
  </si>
  <si>
    <t>Valaisanne IPA - Bière bouteille</t>
  </si>
  <si>
    <t>Valaisanne Pale Ale - Bière bouteille</t>
  </si>
  <si>
    <t>Cardinal - Bière bouteille</t>
  </si>
  <si>
    <t>San Miguel - Bière bouteille</t>
  </si>
  <si>
    <t>Cardinal sans alcool - Bière bouteille</t>
  </si>
  <si>
    <t>Cidre 33cl "La Genevoise du Terroir"</t>
  </si>
  <si>
    <t>Bouteille / Aligal consignée</t>
  </si>
  <si>
    <t>Caisse 24bt vides consignées (Sodas)</t>
  </si>
  <si>
    <t>Caisse 20bt vides consignées (Valser)</t>
  </si>
  <si>
    <t>Caisse verres consignés (Bières)</t>
  </si>
  <si>
    <t>Caisse 24bt vides consignées (Bières sans alcool)</t>
  </si>
  <si>
    <t>Container / Fûts consignés</t>
  </si>
  <si>
    <t>Catégorie : Vins</t>
  </si>
  <si>
    <t>LA CAVE DE GENÉVE</t>
  </si>
  <si>
    <t>Baccarat rosé 75cl</t>
  </si>
  <si>
    <t xml:space="preserve">Baccarat Club 75cl </t>
  </si>
  <si>
    <t xml:space="preserve">Belles Filles, Pinot Noir </t>
  </si>
  <si>
    <t>Clémence, Chasselas Vieilles Vignes</t>
  </si>
  <si>
    <t>Clémence, Divicot</t>
  </si>
  <si>
    <t>Clémence, Chardonnay</t>
  </si>
  <si>
    <t>Clémence, Merlot</t>
  </si>
  <si>
    <t>Clémence, Gamaret 75cl</t>
  </si>
  <si>
    <t>Clémence, Sauvignon 75cl</t>
  </si>
  <si>
    <t>LAURENT PERRIER</t>
  </si>
  <si>
    <t>Champagne, Laurent Perrier Brut la Cuvée 75cl</t>
  </si>
  <si>
    <r>
      <t xml:space="preserve">Champagne, Laurent Perrier Brut la Cuvée </t>
    </r>
    <r>
      <rPr>
        <b/>
        <sz val="11"/>
        <color theme="1"/>
        <rFont val="Calibri"/>
        <family val="2"/>
        <scheme val="minor"/>
      </rPr>
      <t>150cl</t>
    </r>
  </si>
  <si>
    <t>Champagne, Laurent Perrier Rosé 75cl</t>
  </si>
  <si>
    <r>
      <t xml:space="preserve">Champagne, Laurent Perrier Rosé </t>
    </r>
    <r>
      <rPr>
        <b/>
        <sz val="11"/>
        <color theme="1"/>
        <rFont val="Calibri"/>
        <family val="2"/>
        <scheme val="minor"/>
      </rPr>
      <t>150cl</t>
    </r>
  </si>
  <si>
    <t>Champagne, Laurent Perrier Ultra Brut 75cl</t>
  </si>
  <si>
    <t>Champagne, Laurent Perrier Grand Siècle 75CL</t>
  </si>
  <si>
    <t>Champagne, Laurent Perrier Blanc de Blanc 75CL</t>
  </si>
  <si>
    <t>AUTRES VINS</t>
  </si>
  <si>
    <t>Domaine du Centaure - Aligoté</t>
  </si>
  <si>
    <t>Domaine du Centaure - Pinot noir</t>
  </si>
  <si>
    <t>Vin chaud 1lt</t>
  </si>
  <si>
    <t>Vin chaud TRANSGOURMET  10lt</t>
  </si>
  <si>
    <t>Catégorie :Boissons avec alcool / Spiritueux</t>
  </si>
  <si>
    <t>WHISKY</t>
  </si>
  <si>
    <t>Johnnie Walker - Black Label 70cl</t>
  </si>
  <si>
    <t>Chivas 70cl</t>
  </si>
  <si>
    <t>William Lawson 70cl</t>
  </si>
  <si>
    <t>Johnnie Walker - Red label 70cl</t>
  </si>
  <si>
    <t>Talisker 70cl</t>
  </si>
  <si>
    <t>Dewar's 70cl</t>
  </si>
  <si>
    <t>Jack Daniel's Old n7 70cl</t>
  </si>
  <si>
    <t>VODKA</t>
  </si>
  <si>
    <t>Absolut 70cl</t>
  </si>
  <si>
    <t>Wyborowa 70cl</t>
  </si>
  <si>
    <t>Smirnoff 70cl</t>
  </si>
  <si>
    <t>Eristoff 70cl</t>
  </si>
  <si>
    <t>42 Below</t>
  </si>
  <si>
    <t>Ketel One 70cl</t>
  </si>
  <si>
    <t>Grey Goose 70cl</t>
  </si>
  <si>
    <t>GIN</t>
  </si>
  <si>
    <t>Beefeater 70cl</t>
  </si>
  <si>
    <t>Bombay Sapphire 70cl</t>
  </si>
  <si>
    <t>Tanqueray 70cl</t>
  </si>
  <si>
    <t>Tanqueray cassis 70cl</t>
  </si>
  <si>
    <t>RHUM</t>
  </si>
  <si>
    <t>Bacardi blanc 70cl</t>
  </si>
  <si>
    <t>Havana Club Añejo 3 anos 70cl</t>
  </si>
  <si>
    <t>Pampero blanc 70cl</t>
  </si>
  <si>
    <t>Zacapa 70cl</t>
  </si>
  <si>
    <t>TEQUILA</t>
  </si>
  <si>
    <t>Don Julio Reposado</t>
  </si>
  <si>
    <t>Don Julio Blanco</t>
  </si>
  <si>
    <t>EAUX DE VIE</t>
  </si>
  <si>
    <t>Morand - Moitié-moitié 70cl</t>
  </si>
  <si>
    <t>Morand - Williamine Eau de vie 70cl</t>
  </si>
  <si>
    <t>Limoncello 1lt</t>
  </si>
  <si>
    <t>Morand - Abricot Eau de vie 70cl</t>
  </si>
  <si>
    <t>Morand - Williamine Liqueur de poire 70cl</t>
  </si>
  <si>
    <t>Grappa Fior di Vite VP   70cl</t>
  </si>
  <si>
    <t>DIVERS SPIRITUEUX</t>
  </si>
  <si>
    <t>Get 27</t>
  </si>
  <si>
    <t>Aperol 70cl</t>
  </si>
  <si>
    <t>Cachaça Janeiro 70cl</t>
  </si>
  <si>
    <t>Porn Star Martini  10lt Fût</t>
  </si>
  <si>
    <t>Expresso Martini  10lt Fût</t>
  </si>
  <si>
    <t>Cachaça 51</t>
  </si>
  <si>
    <t>Catégorie :Boissons sans alcool</t>
  </si>
  <si>
    <t>Pepsi pet 50</t>
  </si>
  <si>
    <t>Pepsi MAX pet 50</t>
  </si>
  <si>
    <t>Coca Cola pet 50</t>
  </si>
  <si>
    <t>Coca Cola zero pet 50</t>
  </si>
  <si>
    <t>Fuse Tea citron pet 50</t>
  </si>
  <si>
    <t>Ramseier Jus de Pomme PET 50</t>
  </si>
  <si>
    <t>Arkina gaz PET 0,5lt</t>
  </si>
  <si>
    <t>Valser plate VP PET 0.5lt</t>
  </si>
  <si>
    <t>Valser gazeuse VP PET 0.5lt</t>
  </si>
  <si>
    <t>Seven up PET 50cl</t>
  </si>
  <si>
    <t>Sprite Pet 50cl</t>
  </si>
  <si>
    <t xml:space="preserve">BOUTEILLE VERRE </t>
  </si>
  <si>
    <t>Pepsi VC 33cl</t>
  </si>
  <si>
    <t>Pepsi Max VC 33cl</t>
  </si>
  <si>
    <t>Coca Cola VC 33cl</t>
  </si>
  <si>
    <t>Ramseier jus de pomme VC 33cl</t>
  </si>
  <si>
    <t>Coca Cola zéro VC 33cl</t>
  </si>
  <si>
    <t>Fuse Tea Lemon Lemongrass VC 33cl</t>
  </si>
  <si>
    <t>Sprite VC 33cl</t>
  </si>
  <si>
    <t>Arkina gazeuse en verre 0.5lt</t>
  </si>
  <si>
    <t>Arkina plate en verre 0.5lt</t>
  </si>
  <si>
    <t>Valser gazeuse en verre 0.5lt</t>
  </si>
  <si>
    <t>Valser plate en verre 0.5lt</t>
  </si>
  <si>
    <t>Queen's VP PET 1.5lt</t>
  </si>
  <si>
    <t>Valser gazeuse VP PET 6x1.5lt</t>
  </si>
  <si>
    <t>Valser plate VP PET 6x1.5lt</t>
  </si>
  <si>
    <t xml:space="preserve">Jus de Pomme Cubis 10L GRTA </t>
  </si>
  <si>
    <t>ORGANICS by red bull Tonic Water (Canette)</t>
  </si>
  <si>
    <t>ORGANICS by red bull Bitter Lemon (Canette)</t>
  </si>
  <si>
    <t>ORGANICS by red bull Tonic Water (Bouteille)</t>
  </si>
  <si>
    <t>ORGANICS by red bull Bitter Lemon (Bouteille)</t>
  </si>
  <si>
    <t>ORGANICS by red bull Viva Mate</t>
  </si>
  <si>
    <t>ORGANICS by red bull Red Berry</t>
  </si>
  <si>
    <t>ORGANICS by red bull Ginger Beer (Bouteille)</t>
  </si>
  <si>
    <t>Catégorie :Café, thé, ovo, cacao</t>
  </si>
  <si>
    <t>Café en grain 1kg (Premium GRANA Chicco)</t>
  </si>
  <si>
    <t>kg</t>
  </si>
  <si>
    <r>
      <t xml:space="preserve">Décafeiné </t>
    </r>
    <r>
      <rPr>
        <b/>
        <sz val="11"/>
        <color theme="1"/>
        <rFont val="Calibri"/>
        <family val="2"/>
        <scheme val="minor"/>
      </rPr>
      <t>capsule</t>
    </r>
    <r>
      <rPr>
        <sz val="11"/>
        <color theme="1"/>
        <rFont val="Calibri"/>
        <family val="2"/>
        <scheme val="minor"/>
      </rPr>
      <t xml:space="preserve"> chicco</t>
    </r>
  </si>
  <si>
    <r>
      <t xml:space="preserve">Thé </t>
    </r>
    <r>
      <rPr>
        <b/>
        <sz val="11"/>
        <color theme="1"/>
        <rFont val="Calibri"/>
        <family val="2"/>
        <scheme val="minor"/>
      </rPr>
      <t>capsule</t>
    </r>
    <r>
      <rPr>
        <sz val="11"/>
        <color theme="1"/>
        <rFont val="Calibri"/>
        <family val="2"/>
        <scheme val="minor"/>
      </rPr>
      <t xml:space="preserve"> Chicco </t>
    </r>
  </si>
  <si>
    <t>Thé Vert (Teabo - Carton de x50)</t>
  </si>
  <si>
    <t>Thé Menthe (Teabo - Carton de x50)</t>
  </si>
  <si>
    <t>Thé Camomille (Teabo - Carton de x50)</t>
  </si>
  <si>
    <t>Thé Verveine (Teabo - Carton de x50)</t>
  </si>
  <si>
    <t>Thé Earl Grey  (Teabo - Carton de x50)</t>
  </si>
  <si>
    <t>Catégorie :Chocolats, bonbons, biscuits</t>
  </si>
  <si>
    <t xml:space="preserve">Branche Cailler </t>
  </si>
  <si>
    <t xml:space="preserve">Haribo </t>
  </si>
  <si>
    <t xml:space="preserve">Cookie </t>
  </si>
  <si>
    <t>Catégorie :Boulangerie, viennoiserie, pain</t>
  </si>
  <si>
    <t>Catégorie :Épicerie</t>
  </si>
  <si>
    <t>Sel de service</t>
  </si>
  <si>
    <t>Poivre de service</t>
  </si>
  <si>
    <t>Sel 1kg</t>
  </si>
  <si>
    <t>Ketchup 5kg (sceaux)</t>
  </si>
  <si>
    <t>Mayo 4,25kg (sceaux)</t>
  </si>
  <si>
    <t>Moutarde 4,8kg (sceaux)</t>
  </si>
  <si>
    <t>Ketchup sachet 20gr (Carton de 72)</t>
  </si>
  <si>
    <t>Mayo sachet 20gr (Carton de 72)</t>
  </si>
  <si>
    <t>Moutarde sachet 12gr (Carton de 100)</t>
  </si>
  <si>
    <t>Catégorie :Surgelés</t>
  </si>
  <si>
    <t>Pommes frites express sachet 2,5kg</t>
  </si>
  <si>
    <t>Catégorie :Viandes</t>
  </si>
  <si>
    <t>Catégorie :Produits laitiers(Total: 0.00)</t>
  </si>
  <si>
    <t>Crème à café x200</t>
  </si>
  <si>
    <t>Fromage raclette tranché nature</t>
  </si>
  <si>
    <t>Fromage raclette tranché paprika</t>
  </si>
  <si>
    <t>Fromage raclette tranché fumé</t>
  </si>
  <si>
    <t>Catégorie :Graisses, huiles</t>
  </si>
  <si>
    <t>Catégorie :Mono-usages</t>
  </si>
  <si>
    <t>Gobelet à vin 1dl pied (1 carton = 600)</t>
  </si>
  <si>
    <t>Gobelets boisson chaude AD BIO 10cl (expresso)</t>
  </si>
  <si>
    <t>Gobelets boissons chaud AD Bio 20cl (café,thé)</t>
  </si>
  <si>
    <t>Gobelet à frites noirs (1 carton = 1000 pièces)</t>
  </si>
  <si>
    <t>Packaging Panibois Raclette (1 carton = 200 pièces)</t>
  </si>
  <si>
    <t>Bol à soupe - 1 carton = 500 pièces</t>
  </si>
  <si>
    <t>Couvercle à soupe - 1 carton = 500 pièces</t>
  </si>
  <si>
    <t>Barquette kraft saucisse (1 carton = 300 pièces)</t>
  </si>
  <si>
    <t>Couvert-jetable (1 carton = 250 pièces)</t>
  </si>
  <si>
    <t xml:space="preserve">Packaging Hot Dog </t>
  </si>
  <si>
    <t>Serviette humides citron (1 carton = 500 pièces)</t>
  </si>
  <si>
    <t>Barquettes aluminium (1 carton=2200pièces)</t>
  </si>
  <si>
    <t xml:space="preserve">Sac Kraft (1 carton = 250 pièces) </t>
  </si>
  <si>
    <t xml:space="preserve">Touillettes </t>
  </si>
  <si>
    <t>Catégorie :Produits nettoyage</t>
  </si>
  <si>
    <t>Chiffons tout usage bleu Olivia x10</t>
  </si>
  <si>
    <t>Pâte à combustion caquelon</t>
  </si>
  <si>
    <t>Pâte à combustion chafing dishes 24x200gr</t>
  </si>
  <si>
    <t>Produit multi surfaces bleu pschitt</t>
  </si>
  <si>
    <t>Soap 2 (Savon main)</t>
  </si>
  <si>
    <t xml:space="preserve">Consigne Bouteille de gaz de ville </t>
  </si>
  <si>
    <t xml:space="preserve">Kraft Assiette Carré </t>
  </si>
  <si>
    <t>Kraft Petite Barquette</t>
  </si>
  <si>
    <t>Kraft Grande Barquette</t>
  </si>
  <si>
    <t>INVENTAIRE PATINOIRE</t>
  </si>
  <si>
    <t>Nestea  PET 1.5lt</t>
  </si>
  <si>
    <t>Coca Cola  PET 1.5lt</t>
  </si>
  <si>
    <t>Commande</t>
  </si>
  <si>
    <t>Total</t>
  </si>
  <si>
    <t>INVENTAIRES PATINOIRE</t>
  </si>
  <si>
    <t>MIN. REQUIS</t>
  </si>
  <si>
    <t>QUANTITE A REMETTRE</t>
  </si>
  <si>
    <t>MANQUE / RUPTURE</t>
  </si>
  <si>
    <t>STOCKS FIN DE SERVICE</t>
  </si>
  <si>
    <t>VALEUR</t>
  </si>
  <si>
    <t>Gobelet a boisson froide 4dl (1 carton =850)</t>
  </si>
  <si>
    <t xml:space="preserve">STOCKS FIN DE SERVICE </t>
  </si>
  <si>
    <t xml:space="preserve">MANQUE / RUPTURE </t>
  </si>
  <si>
    <t>UNITE</t>
  </si>
  <si>
    <t xml:space="preserve">STOCKS </t>
  </si>
  <si>
    <t>STOCKS</t>
  </si>
  <si>
    <t>Gobelets boissons chaud  20cl (café,thé)</t>
  </si>
  <si>
    <t xml:space="preserve">Packaging Panibois Raclette </t>
  </si>
  <si>
    <t>Pailles x100</t>
  </si>
  <si>
    <t>Savon Vaiselle</t>
  </si>
  <si>
    <t xml:space="preserve">ORGANICS by red bull Ginger Beer </t>
  </si>
  <si>
    <t>ORGANICS by red bull Bitter Lemon</t>
  </si>
  <si>
    <t xml:space="preserve">ORGANICS by red bull Tonic Water </t>
  </si>
  <si>
    <t xml:space="preserve">Produis Laitiers </t>
  </si>
  <si>
    <t>INVENTAIRE STADE</t>
  </si>
  <si>
    <t>Stade</t>
  </si>
  <si>
    <t>Patinoire</t>
  </si>
  <si>
    <t>Total :</t>
  </si>
  <si>
    <t>A REMPLIR ↓</t>
  </si>
  <si>
    <t xml:space="preserve">Sac Poubelle Noir </t>
  </si>
  <si>
    <t xml:space="preserve">Gobelet à vin 1dl pied </t>
  </si>
  <si>
    <t xml:space="preserve">Gobelet a boisson froide 4dl </t>
  </si>
  <si>
    <t>Serviettes distributeurs (paquet)</t>
  </si>
  <si>
    <t>Kraft Grande Barquette (paquet)</t>
  </si>
  <si>
    <t>Kraft Petite Barquette (paquet)</t>
  </si>
  <si>
    <t>Kraft Assiette Carré (paquet)</t>
  </si>
  <si>
    <t>Ketchup 3kg (sachet)</t>
  </si>
  <si>
    <t>Mayo 3kg (sachet)</t>
  </si>
  <si>
    <t>Moutarde 3kg (sachet)</t>
  </si>
  <si>
    <t xml:space="preserve">ORGANICS by red bull Bitter Lemon </t>
  </si>
  <si>
    <t>St pastule</t>
  </si>
  <si>
    <t>Gros poucet</t>
  </si>
  <si>
    <t>Mobydick</t>
  </si>
  <si>
    <t>Gyoza</t>
  </si>
  <si>
    <t>Nugget</t>
  </si>
  <si>
    <t>Perche</t>
  </si>
  <si>
    <t>Oignon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</si>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</sst>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* #,##0.00\ &quot;CHF&quot;_-;\-* #,##0.00\ &quot;CHF&quot;_-;_-* &quot;-&quot;??\ &quot;CHF&quot;_-;_-@_-"/>
    <numFmt numFmtId="164" formatCode="0.000"/>
    <numFmt numFmtId="165" formatCode="0.0"/>
    <numFmt numFmtId="166" formatCode="#.##"/>
    <numFmt numFmtId="167" formatCode="0;[Green]\-0;;@"/>
  </numFmts>
  <fonts count="3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333333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333333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5"/>
      <name val="Calibri"/>
      <family val="2"/>
      <scheme val="minor"/>
    </font>
    <font>
      <b/>
      <sz val="10"/>
      <color rgb="FF333333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b/>
      <sz val="12"/>
      <color theme="0" tint="-0.249977111117893"/>
      <name val="Calibri"/>
      <family val="2"/>
      <scheme val="minor"/>
    </font>
    <font>
      <sz val="9"/>
      <color rgb="FF000000"/>
      <name val="Calibri"/>
      <family val="2"/>
    </font>
    <font>
      <b/>
      <sz val="10"/>
      <color theme="1"/>
      <name val="Calibri"/>
      <family val="2"/>
      <scheme val="minor"/>
    </font>
    <font>
      <sz val="8"/>
      <color rgb="FFFFFFFF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color rgb="FFFFFFFF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b/>
      <sz val="12"/>
      <color theme="0" tint="-4.9989318521683403E-2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b/>
      <sz val="10"/>
      <color theme="0" tint="-4.9989318521683403E-2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7A7A7A"/>
      </patternFill>
    </fill>
    <fill>
      <patternFill patternType="solid">
        <fgColor rgb="FFDFDFDF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</patternFill>
    </fill>
    <fill>
      <patternFill patternType="solid">
        <fgColor rgb="FFECECEC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42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5" fillId="3" borderId="0" xfId="0" applyFont="1" applyFill="1"/>
    <xf numFmtId="0" fontId="3" fillId="4" borderId="0" xfId="0" applyFont="1" applyFill="1" applyAlignment="1">
      <alignment horizontal="left"/>
    </xf>
    <xf numFmtId="0" fontId="3" fillId="0" borderId="0" xfId="0" applyFont="1"/>
    <xf numFmtId="0" fontId="0" fillId="5" borderId="1" xfId="0" applyFill="1" applyBorder="1" applyAlignment="1">
      <alignment horizontal="left"/>
    </xf>
    <xf numFmtId="2" fontId="0" fillId="8" borderId="1" xfId="0" applyNumberFormat="1" applyFill="1" applyBorder="1" applyAlignment="1">
      <alignment horizontal="left"/>
    </xf>
    <xf numFmtId="0" fontId="0" fillId="6" borderId="1" xfId="0" applyFill="1" applyBorder="1" applyAlignment="1">
      <alignment horizontal="left"/>
    </xf>
    <xf numFmtId="2" fontId="0" fillId="0" borderId="1" xfId="0" applyNumberFormat="1" applyBorder="1" applyAlignment="1">
      <alignment horizontal="left"/>
    </xf>
    <xf numFmtId="2" fontId="11" fillId="0" borderId="1" xfId="0" applyNumberFormat="1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2" fontId="0" fillId="5" borderId="1" xfId="0" applyNumberFormat="1" applyFill="1" applyBorder="1" applyAlignment="1">
      <alignment horizontal="left"/>
    </xf>
    <xf numFmtId="2" fontId="7" fillId="0" borderId="1" xfId="0" applyNumberFormat="1" applyFont="1" applyBorder="1" applyAlignment="1">
      <alignment horizontal="left"/>
    </xf>
    <xf numFmtId="0" fontId="0" fillId="0" borderId="0" xfId="0" applyAlignment="1">
      <alignment horizontal="center"/>
    </xf>
    <xf numFmtId="2" fontId="0" fillId="8" borderId="2" xfId="0" applyNumberFormat="1" applyFill="1" applyBorder="1" applyAlignment="1">
      <alignment horizontal="left"/>
    </xf>
    <xf numFmtId="2" fontId="0" fillId="0" borderId="2" xfId="0" applyNumberFormat="1" applyBorder="1" applyAlignment="1">
      <alignment horizontal="left"/>
    </xf>
    <xf numFmtId="2" fontId="11" fillId="0" borderId="2" xfId="0" applyNumberFormat="1" applyFont="1" applyBorder="1" applyAlignment="1">
      <alignment horizontal="left"/>
    </xf>
    <xf numFmtId="0" fontId="0" fillId="0" borderId="2" xfId="0" applyBorder="1" applyAlignment="1">
      <alignment horizontal="left"/>
    </xf>
    <xf numFmtId="0" fontId="5" fillId="3" borderId="1" xfId="0" applyFont="1" applyFill="1" applyBorder="1"/>
    <xf numFmtId="2" fontId="9" fillId="0" borderId="0" xfId="0" applyNumberFormat="1" applyFont="1" applyAlignment="1">
      <alignment horizontal="left"/>
    </xf>
    <xf numFmtId="0" fontId="10" fillId="9" borderId="1" xfId="0" applyFont="1" applyFill="1" applyBorder="1"/>
    <xf numFmtId="0" fontId="3" fillId="0" borderId="0" xfId="0" applyFont="1" applyAlignment="1">
      <alignment horizontal="left"/>
    </xf>
    <xf numFmtId="2" fontId="0" fillId="8" borderId="3" xfId="0" applyNumberFormat="1" applyFill="1" applyBorder="1" applyAlignment="1">
      <alignment horizontal="left"/>
    </xf>
    <xf numFmtId="0" fontId="6" fillId="3" borderId="1" xfId="0" applyFont="1" applyFill="1" applyBorder="1"/>
    <xf numFmtId="2" fontId="15" fillId="8" borderId="1" xfId="0" applyNumberFormat="1" applyFont="1" applyFill="1" applyBorder="1" applyAlignment="1">
      <alignment horizontal="left"/>
    </xf>
    <xf numFmtId="0" fontId="12" fillId="0" borderId="0" xfId="0" applyFont="1"/>
    <xf numFmtId="2" fontId="15" fillId="8" borderId="3" xfId="0" applyNumberFormat="1" applyFont="1" applyFill="1" applyBorder="1" applyAlignment="1">
      <alignment horizontal="left"/>
    </xf>
    <xf numFmtId="0" fontId="13" fillId="0" borderId="0" xfId="0" applyFont="1"/>
    <xf numFmtId="0" fontId="12" fillId="0" borderId="0" xfId="0" applyFont="1" applyAlignment="1">
      <alignment horizontal="left"/>
    </xf>
    <xf numFmtId="2" fontId="14" fillId="8" borderId="1" xfId="0" applyNumberFormat="1" applyFont="1" applyFill="1" applyBorder="1" applyAlignment="1">
      <alignment horizontal="left"/>
    </xf>
    <xf numFmtId="0" fontId="15" fillId="8" borderId="1" xfId="0" applyFont="1" applyFill="1" applyBorder="1" applyAlignment="1">
      <alignment horizontal="center"/>
    </xf>
    <xf numFmtId="0" fontId="0" fillId="0" borderId="0" xfId="0" applyProtection="1">
      <protection locked="0"/>
    </xf>
    <xf numFmtId="2" fontId="11" fillId="5" borderId="1" xfId="0" applyNumberFormat="1" applyFont="1" applyFill="1" applyBorder="1" applyAlignment="1">
      <alignment horizontal="left"/>
    </xf>
    <xf numFmtId="0" fontId="3" fillId="4" borderId="0" xfId="0" applyFont="1" applyFill="1" applyAlignment="1">
      <alignment horizontal="right"/>
    </xf>
    <xf numFmtId="0" fontId="7" fillId="0" borderId="1" xfId="0" applyFont="1" applyBorder="1" applyAlignment="1">
      <alignment horizontal="left"/>
    </xf>
    <xf numFmtId="2" fontId="16" fillId="0" borderId="1" xfId="0" applyNumberFormat="1" applyFont="1" applyBorder="1" applyAlignment="1">
      <alignment horizontal="left"/>
    </xf>
    <xf numFmtId="2" fontId="3" fillId="4" borderId="0" xfId="0" applyNumberFormat="1" applyFont="1" applyFill="1" applyAlignment="1">
      <alignment horizontal="left"/>
    </xf>
    <xf numFmtId="0" fontId="0" fillId="0" borderId="3" xfId="0" applyBorder="1" applyAlignment="1">
      <alignment horizontal="left"/>
    </xf>
    <xf numFmtId="2" fontId="0" fillId="0" borderId="3" xfId="0" applyNumberFormat="1" applyBorder="1" applyAlignment="1">
      <alignment horizontal="left"/>
    </xf>
    <xf numFmtId="2" fontId="11" fillId="0" borderId="3" xfId="0" applyNumberFormat="1" applyFont="1" applyBorder="1" applyAlignment="1">
      <alignment horizontal="left"/>
    </xf>
    <xf numFmtId="0" fontId="6" fillId="4" borderId="1" xfId="0" applyFont="1" applyFill="1" applyBorder="1" applyAlignment="1">
      <alignment horizontal="right"/>
    </xf>
    <xf numFmtId="0" fontId="6" fillId="4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right"/>
    </xf>
    <xf numFmtId="0" fontId="3" fillId="4" borderId="1" xfId="0" applyFont="1" applyFill="1" applyBorder="1" applyAlignment="1">
      <alignment horizontal="left"/>
    </xf>
    <xf numFmtId="2" fontId="0" fillId="0" borderId="0" xfId="0" applyNumberFormat="1" applyAlignment="1">
      <alignment horizontal="left"/>
    </xf>
    <xf numFmtId="2" fontId="0" fillId="8" borderId="0" xfId="0" applyNumberFormat="1" applyFill="1" applyAlignment="1">
      <alignment horizontal="left"/>
    </xf>
    <xf numFmtId="2" fontId="14" fillId="8" borderId="0" xfId="0" applyNumberFormat="1" applyFont="1" applyFill="1" applyAlignment="1">
      <alignment horizontal="left"/>
    </xf>
    <xf numFmtId="165" fontId="0" fillId="0" borderId="1" xfId="0" applyNumberFormat="1" applyBorder="1" applyAlignment="1">
      <alignment horizontal="left"/>
    </xf>
    <xf numFmtId="164" fontId="11" fillId="0" borderId="1" xfId="0" applyNumberFormat="1" applyFont="1" applyBorder="1" applyAlignment="1">
      <alignment horizontal="left"/>
    </xf>
    <xf numFmtId="17" fontId="4" fillId="0" borderId="0" xfId="0" applyNumberFormat="1" applyFont="1" applyProtection="1">
      <protection locked="0"/>
    </xf>
    <xf numFmtId="0" fontId="18" fillId="4" borderId="0" xfId="0" applyFont="1" applyFill="1"/>
    <xf numFmtId="0" fontId="19" fillId="4" borderId="0" xfId="0" applyFont="1" applyFill="1"/>
    <xf numFmtId="0" fontId="19" fillId="4" borderId="0" xfId="0" applyFont="1" applyFill="1" applyAlignment="1">
      <alignment horizontal="left"/>
    </xf>
    <xf numFmtId="2" fontId="0" fillId="0" borderId="0" xfId="0" applyNumberFormat="1"/>
    <xf numFmtId="1" fontId="0" fillId="0" borderId="0" xfId="0" applyNumberFormat="1"/>
    <xf numFmtId="0" fontId="0" fillId="12" borderId="0" xfId="0" applyFill="1"/>
    <xf numFmtId="0" fontId="15" fillId="12" borderId="0" xfId="0" applyFont="1" applyFill="1"/>
    <xf numFmtId="166" fontId="0" fillId="0" borderId="0" xfId="0" applyNumberFormat="1"/>
    <xf numFmtId="0" fontId="15" fillId="12" borderId="0" xfId="0" applyFont="1" applyFill="1" applyAlignment="1">
      <alignment horizontal="right"/>
    </xf>
    <xf numFmtId="0" fontId="15" fillId="8" borderId="0" xfId="0" applyFont="1" applyFill="1"/>
    <xf numFmtId="1" fontId="0" fillId="0" borderId="1" xfId="0" applyNumberFormat="1" applyBorder="1"/>
    <xf numFmtId="0" fontId="0" fillId="0" borderId="0" xfId="0" applyAlignment="1">
      <alignment textRotation="90"/>
    </xf>
    <xf numFmtId="0" fontId="0" fillId="0" borderId="1" xfId="0" applyBorder="1"/>
    <xf numFmtId="0" fontId="5" fillId="3" borderId="6" xfId="0" applyFont="1" applyFill="1" applyBorder="1"/>
    <xf numFmtId="0" fontId="10" fillId="9" borderId="6" xfId="0" applyFont="1" applyFill="1" applyBorder="1"/>
    <xf numFmtId="0" fontId="6" fillId="3" borderId="6" xfId="0" applyFont="1" applyFill="1" applyBorder="1"/>
    <xf numFmtId="0" fontId="4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4" fontId="0" fillId="0" borderId="1" xfId="0" applyNumberFormat="1" applyBorder="1" applyAlignment="1">
      <alignment horizontal="center" vertical="center"/>
    </xf>
    <xf numFmtId="0" fontId="7" fillId="13" borderId="1" xfId="0" applyFont="1" applyFill="1" applyBorder="1" applyAlignment="1">
      <alignment horizontal="center" vertical="center"/>
    </xf>
    <xf numFmtId="44" fontId="0" fillId="13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/>
    <xf numFmtId="2" fontId="11" fillId="0" borderId="0" xfId="0" applyNumberFormat="1" applyFont="1" applyAlignment="1">
      <alignment horizontal="left"/>
    </xf>
    <xf numFmtId="2" fontId="0" fillId="0" borderId="9" xfId="0" applyNumberFormat="1" applyBorder="1" applyAlignment="1">
      <alignment horizontal="left"/>
    </xf>
    <xf numFmtId="2" fontId="11" fillId="0" borderId="9" xfId="0" applyNumberFormat="1" applyFont="1" applyBorder="1" applyAlignment="1">
      <alignment horizontal="left"/>
    </xf>
    <xf numFmtId="0" fontId="7" fillId="4" borderId="9" xfId="0" applyFont="1" applyFill="1" applyBorder="1"/>
    <xf numFmtId="0" fontId="21" fillId="7" borderId="9" xfId="0" applyFont="1" applyFill="1" applyBorder="1" applyAlignment="1">
      <alignment vertical="center"/>
    </xf>
    <xf numFmtId="0" fontId="5" fillId="3" borderId="9" xfId="0" applyFont="1" applyFill="1" applyBorder="1"/>
    <xf numFmtId="0" fontId="10" fillId="7" borderId="9" xfId="0" applyFont="1" applyFill="1" applyBorder="1"/>
    <xf numFmtId="0" fontId="6" fillId="3" borderId="9" xfId="0" applyFont="1" applyFill="1" applyBorder="1"/>
    <xf numFmtId="0" fontId="0" fillId="14" borderId="0" xfId="0" applyFill="1" applyAlignment="1">
      <alignment textRotation="90"/>
    </xf>
    <xf numFmtId="0" fontId="0" fillId="0" borderId="0" xfId="0" applyAlignment="1">
      <alignment horizontal="right"/>
    </xf>
    <xf numFmtId="0" fontId="0" fillId="5" borderId="0" xfId="0" applyFill="1"/>
    <xf numFmtId="0" fontId="0" fillId="0" borderId="5" xfId="0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44" fontId="0" fillId="0" borderId="0" xfId="0" applyNumberFormat="1" applyAlignment="1">
      <alignment horizontal="center" vertical="center"/>
    </xf>
    <xf numFmtId="44" fontId="0" fillId="5" borderId="0" xfId="0" applyNumberFormat="1" applyFill="1" applyAlignment="1">
      <alignment horizontal="center" vertical="center"/>
    </xf>
    <xf numFmtId="2" fontId="0" fillId="4" borderId="1" xfId="0" applyNumberFormat="1" applyFill="1" applyBorder="1" applyAlignment="1">
      <alignment horizontal="left"/>
    </xf>
    <xf numFmtId="0" fontId="0" fillId="4" borderId="1" xfId="0" applyFill="1" applyBorder="1" applyAlignment="1">
      <alignment horizontal="center"/>
    </xf>
    <xf numFmtId="2" fontId="0" fillId="4" borderId="0" xfId="0" applyNumberFormat="1" applyFill="1" applyAlignment="1">
      <alignment horizontal="left"/>
    </xf>
    <xf numFmtId="2" fontId="0" fillId="4" borderId="9" xfId="0" applyNumberFormat="1" applyFill="1" applyBorder="1" applyAlignment="1">
      <alignment horizontal="left"/>
    </xf>
    <xf numFmtId="2" fontId="0" fillId="4" borderId="3" xfId="0" applyNumberFormat="1" applyFill="1" applyBorder="1" applyAlignment="1">
      <alignment horizontal="left"/>
    </xf>
    <xf numFmtId="2" fontId="0" fillId="4" borderId="2" xfId="0" applyNumberFormat="1" applyFill="1" applyBorder="1" applyAlignment="1">
      <alignment horizontal="left"/>
    </xf>
    <xf numFmtId="2" fontId="14" fillId="4" borderId="1" xfId="0" applyNumberFormat="1" applyFont="1" applyFill="1" applyBorder="1" applyAlignment="1">
      <alignment horizontal="left"/>
    </xf>
    <xf numFmtId="0" fontId="15" fillId="4" borderId="1" xfId="0" applyFont="1" applyFill="1" applyBorder="1" applyAlignment="1">
      <alignment horizontal="left"/>
    </xf>
    <xf numFmtId="2" fontId="15" fillId="4" borderId="1" xfId="0" applyNumberFormat="1" applyFont="1" applyFill="1" applyBorder="1" applyAlignment="1">
      <alignment horizontal="left"/>
    </xf>
    <xf numFmtId="0" fontId="2" fillId="15" borderId="0" xfId="0" applyFont="1" applyFill="1" applyAlignment="1">
      <alignment horizontal="left"/>
    </xf>
    <xf numFmtId="0" fontId="7" fillId="15" borderId="6" xfId="0" applyFont="1" applyFill="1" applyBorder="1"/>
    <xf numFmtId="0" fontId="7" fillId="15" borderId="9" xfId="0" applyFont="1" applyFill="1" applyBorder="1"/>
    <xf numFmtId="0" fontId="3" fillId="15" borderId="0" xfId="0" applyFont="1" applyFill="1" applyAlignment="1">
      <alignment horizontal="right"/>
    </xf>
    <xf numFmtId="0" fontId="3" fillId="15" borderId="0" xfId="0" applyFont="1" applyFill="1" applyAlignment="1">
      <alignment horizontal="left"/>
    </xf>
    <xf numFmtId="0" fontId="5" fillId="15" borderId="0" xfId="0" applyFont="1" applyFill="1"/>
    <xf numFmtId="0" fontId="5" fillId="15" borderId="0" xfId="0" applyFont="1" applyFill="1" applyAlignment="1">
      <alignment horizontal="center"/>
    </xf>
    <xf numFmtId="0" fontId="5" fillId="15" borderId="0" xfId="0" applyFont="1" applyFill="1" applyAlignment="1">
      <alignment horizontal="right"/>
    </xf>
    <xf numFmtId="0" fontId="5" fillId="15" borderId="0" xfId="0" applyFont="1" applyFill="1" applyAlignment="1">
      <alignment horizontal="left"/>
    </xf>
    <xf numFmtId="0" fontId="5" fillId="15" borderId="6" xfId="0" applyFont="1" applyFill="1" applyBorder="1"/>
    <xf numFmtId="0" fontId="10" fillId="15" borderId="6" xfId="0" applyFont="1" applyFill="1" applyBorder="1"/>
    <xf numFmtId="0" fontId="6" fillId="15" borderId="6" xfId="0" applyFont="1" applyFill="1" applyBorder="1"/>
    <xf numFmtId="2" fontId="3" fillId="15" borderId="0" xfId="0" applyNumberFormat="1" applyFont="1" applyFill="1" applyAlignment="1">
      <alignment horizontal="left"/>
    </xf>
    <xf numFmtId="0" fontId="5" fillId="15" borderId="9" xfId="0" applyFont="1" applyFill="1" applyBorder="1"/>
    <xf numFmtId="0" fontId="5" fillId="15" borderId="4" xfId="0" applyFont="1" applyFill="1" applyBorder="1"/>
    <xf numFmtId="0" fontId="3" fillId="15" borderId="1" xfId="0" applyFont="1" applyFill="1" applyBorder="1" applyAlignment="1">
      <alignment horizontal="right"/>
    </xf>
    <xf numFmtId="0" fontId="3" fillId="15" borderId="1" xfId="0" applyFont="1" applyFill="1" applyBorder="1" applyAlignment="1">
      <alignment horizontal="left"/>
    </xf>
    <xf numFmtId="0" fontId="6" fillId="15" borderId="9" xfId="0" applyFont="1" applyFill="1" applyBorder="1"/>
    <xf numFmtId="0" fontId="6" fillId="15" borderId="4" xfId="0" applyFont="1" applyFill="1" applyBorder="1"/>
    <xf numFmtId="0" fontId="6" fillId="15" borderId="1" xfId="0" applyFont="1" applyFill="1" applyBorder="1" applyAlignment="1">
      <alignment horizontal="right"/>
    </xf>
    <xf numFmtId="2" fontId="6" fillId="15" borderId="1" xfId="0" applyNumberFormat="1" applyFont="1" applyFill="1" applyBorder="1" applyAlignment="1">
      <alignment horizontal="left"/>
    </xf>
    <xf numFmtId="0" fontId="10" fillId="15" borderId="9" xfId="0" applyFont="1" applyFill="1" applyBorder="1"/>
    <xf numFmtId="0" fontId="10" fillId="15" borderId="4" xfId="0" applyFont="1" applyFill="1" applyBorder="1"/>
    <xf numFmtId="0" fontId="21" fillId="15" borderId="6" xfId="0" applyFont="1" applyFill="1" applyBorder="1" applyAlignment="1">
      <alignment vertical="center"/>
    </xf>
    <xf numFmtId="0" fontId="21" fillId="15" borderId="9" xfId="0" applyFont="1" applyFill="1" applyBorder="1" applyAlignment="1">
      <alignment vertical="center"/>
    </xf>
    <xf numFmtId="0" fontId="21" fillId="15" borderId="4" xfId="0" applyFont="1" applyFill="1" applyBorder="1" applyAlignment="1">
      <alignment vertical="center"/>
    </xf>
    <xf numFmtId="0" fontId="1" fillId="8" borderId="1" xfId="0" applyFont="1" applyFill="1" applyBorder="1" applyAlignment="1">
      <alignment horizontal="left"/>
    </xf>
    <xf numFmtId="0" fontId="24" fillId="8" borderId="1" xfId="0" applyFont="1" applyFill="1" applyBorder="1" applyAlignment="1">
      <alignment horizontal="center"/>
    </xf>
    <xf numFmtId="0" fontId="24" fillId="8" borderId="1" xfId="0" applyFont="1" applyFill="1" applyBorder="1" applyAlignment="1">
      <alignment horizontal="center" vertical="center"/>
    </xf>
    <xf numFmtId="0" fontId="22" fillId="8" borderId="1" xfId="0" applyFont="1" applyFill="1" applyBorder="1" applyAlignment="1">
      <alignment horizontal="left"/>
    </xf>
    <xf numFmtId="0" fontId="1" fillId="8" borderId="1" xfId="0" applyFont="1" applyFill="1" applyBorder="1" applyAlignment="1">
      <alignment horizontal="center" vertical="center"/>
    </xf>
    <xf numFmtId="0" fontId="0" fillId="5" borderId="0" xfId="0" applyFill="1" applyAlignment="1">
      <alignment horizontal="left"/>
    </xf>
    <xf numFmtId="0" fontId="0" fillId="4" borderId="1" xfId="0" applyFill="1" applyBorder="1" applyAlignment="1">
      <alignment horizontal="left"/>
    </xf>
    <xf numFmtId="0" fontId="0" fillId="4" borderId="0" xfId="0" applyFill="1" applyAlignment="1">
      <alignment horizontal="left"/>
    </xf>
    <xf numFmtId="0" fontId="0" fillId="4" borderId="9" xfId="0" applyFill="1" applyBorder="1" applyAlignment="1">
      <alignment horizontal="left"/>
    </xf>
    <xf numFmtId="0" fontId="0" fillId="4" borderId="3" xfId="0" applyFill="1" applyBorder="1" applyAlignment="1">
      <alignment horizontal="left"/>
    </xf>
    <xf numFmtId="0" fontId="0" fillId="4" borderId="2" xfId="0" applyFill="1" applyBorder="1" applyAlignment="1">
      <alignment horizontal="left"/>
    </xf>
    <xf numFmtId="0" fontId="14" fillId="4" borderId="1" xfId="0" applyFont="1" applyFill="1" applyBorder="1" applyAlignment="1">
      <alignment horizontal="left"/>
    </xf>
    <xf numFmtId="0" fontId="0" fillId="4" borderId="0" xfId="0" applyFill="1" applyAlignment="1">
      <alignment horizontal="center"/>
    </xf>
    <xf numFmtId="0" fontId="0" fillId="4" borderId="9" xfId="0" applyFill="1" applyBorder="1" applyAlignment="1">
      <alignment horizontal="center"/>
    </xf>
    <xf numFmtId="0" fontId="7" fillId="15" borderId="9" xfId="0" applyFont="1" applyFill="1" applyBorder="1" applyAlignment="1">
      <alignment horizontal="center"/>
    </xf>
    <xf numFmtId="0" fontId="21" fillId="15" borderId="9" xfId="0" applyFont="1" applyFill="1" applyBorder="1" applyAlignment="1">
      <alignment horizontal="center" vertical="center"/>
    </xf>
    <xf numFmtId="0" fontId="0" fillId="4" borderId="3" xfId="0" applyFill="1" applyBorder="1" applyAlignment="1">
      <alignment horizontal="center"/>
    </xf>
    <xf numFmtId="0" fontId="5" fillId="15" borderId="9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10" fillId="15" borderId="9" xfId="0" applyFont="1" applyFill="1" applyBorder="1" applyAlignment="1">
      <alignment horizontal="center"/>
    </xf>
    <xf numFmtId="0" fontId="6" fillId="15" borderId="9" xfId="0" applyFont="1" applyFill="1" applyBorder="1" applyAlignment="1">
      <alignment horizontal="center"/>
    </xf>
    <xf numFmtId="0" fontId="14" fillId="4" borderId="1" xfId="0" applyFont="1" applyFill="1" applyBorder="1" applyAlignment="1">
      <alignment horizontal="center"/>
    </xf>
    <xf numFmtId="0" fontId="15" fillId="4" borderId="1" xfId="0" applyFont="1" applyFill="1" applyBorder="1" applyAlignment="1">
      <alignment horizontal="center"/>
    </xf>
    <xf numFmtId="0" fontId="25" fillId="4" borderId="1" xfId="0" applyFont="1" applyFill="1" applyBorder="1" applyAlignment="1">
      <alignment horizontal="left"/>
    </xf>
    <xf numFmtId="0" fontId="14" fillId="4" borderId="1" xfId="0" applyFont="1" applyFill="1" applyBorder="1" applyAlignment="1">
      <alignment horizontal="right"/>
    </xf>
    <xf numFmtId="0" fontId="7" fillId="0" borderId="0" xfId="0" applyFont="1" applyAlignment="1" applyProtection="1">
      <alignment horizontal="center"/>
      <protection locked="0"/>
    </xf>
    <xf numFmtId="0" fontId="7" fillId="0" borderId="0" xfId="0" applyFont="1" applyAlignment="1" applyProtection="1">
      <alignment horizontal="left"/>
      <protection locked="0"/>
    </xf>
    <xf numFmtId="0" fontId="0" fillId="0" borderId="0" xfId="0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44" fontId="0" fillId="0" borderId="0" xfId="0" applyNumberFormat="1" applyAlignment="1" applyProtection="1">
      <alignment horizontal="center" vertical="center"/>
      <protection locked="0"/>
    </xf>
    <xf numFmtId="44" fontId="0" fillId="5" borderId="0" xfId="0" applyNumberFormat="1" applyFill="1" applyAlignment="1" applyProtection="1">
      <alignment horizontal="center" vertical="center"/>
      <protection locked="0"/>
    </xf>
    <xf numFmtId="0" fontId="4" fillId="0" borderId="0" xfId="0" applyFont="1" applyProtection="1">
      <protection locked="0"/>
    </xf>
    <xf numFmtId="0" fontId="22" fillId="8" borderId="1" xfId="0" applyFont="1" applyFill="1" applyBorder="1" applyAlignment="1" applyProtection="1">
      <alignment horizontal="center"/>
      <protection locked="0"/>
    </xf>
    <xf numFmtId="0" fontId="5" fillId="15" borderId="0" xfId="0" applyFont="1" applyFill="1" applyProtection="1">
      <protection locked="0"/>
    </xf>
    <xf numFmtId="2" fontId="0" fillId="4" borderId="1" xfId="0" applyNumberFormat="1" applyFill="1" applyBorder="1" applyAlignment="1" applyProtection="1">
      <alignment horizontal="left"/>
      <protection locked="0"/>
    </xf>
    <xf numFmtId="0" fontId="22" fillId="8" borderId="1" xfId="0" applyFont="1" applyFill="1" applyBorder="1" applyAlignment="1">
      <alignment horizontal="center"/>
    </xf>
    <xf numFmtId="0" fontId="14" fillId="15" borderId="1" xfId="0" applyFont="1" applyFill="1" applyBorder="1" applyAlignment="1">
      <alignment horizontal="right"/>
    </xf>
    <xf numFmtId="0" fontId="0" fillId="5" borderId="1" xfId="0" applyFill="1" applyBorder="1" applyAlignment="1">
      <alignment horizontal="center"/>
    </xf>
    <xf numFmtId="0" fontId="4" fillId="0" borderId="0" xfId="0" applyFont="1" applyAlignment="1" applyProtection="1">
      <alignment horizontal="center"/>
      <protection locked="0"/>
    </xf>
    <xf numFmtId="0" fontId="24" fillId="8" borderId="1" xfId="0" applyFont="1" applyFill="1" applyBorder="1" applyAlignment="1" applyProtection="1">
      <alignment horizontal="center" vertical="center"/>
      <protection locked="0"/>
    </xf>
    <xf numFmtId="0" fontId="5" fillId="15" borderId="0" xfId="0" applyFont="1" applyFill="1" applyAlignment="1" applyProtection="1">
      <alignment horizontal="center"/>
      <protection locked="0"/>
    </xf>
    <xf numFmtId="0" fontId="0" fillId="5" borderId="1" xfId="0" applyFill="1" applyBorder="1" applyAlignment="1" applyProtection="1">
      <alignment horizontal="center"/>
      <protection locked="0"/>
    </xf>
    <xf numFmtId="0" fontId="7" fillId="15" borderId="9" xfId="0" applyFont="1" applyFill="1" applyBorder="1" applyAlignment="1" applyProtection="1">
      <alignment horizontal="center"/>
      <protection locked="0"/>
    </xf>
    <xf numFmtId="0" fontId="21" fillId="15" borderId="9" xfId="0" applyFont="1" applyFill="1" applyBorder="1" applyAlignment="1" applyProtection="1">
      <alignment horizontal="center" vertical="center"/>
      <protection locked="0"/>
    </xf>
    <xf numFmtId="0" fontId="5" fillId="15" borderId="9" xfId="0" applyFont="1" applyFill="1" applyBorder="1" applyAlignment="1" applyProtection="1">
      <alignment horizontal="center"/>
      <protection locked="0"/>
    </xf>
    <xf numFmtId="0" fontId="10" fillId="15" borderId="9" xfId="0" applyFont="1" applyFill="1" applyBorder="1" applyAlignment="1" applyProtection="1">
      <alignment horizontal="center"/>
      <protection locked="0"/>
    </xf>
    <xf numFmtId="0" fontId="6" fillId="15" borderId="9" xfId="0" applyFont="1" applyFill="1" applyBorder="1" applyAlignment="1" applyProtection="1">
      <alignment horizontal="center"/>
      <protection locked="0"/>
    </xf>
    <xf numFmtId="0" fontId="7" fillId="15" borderId="9" xfId="0" applyFont="1" applyFill="1" applyBorder="1" applyProtection="1">
      <protection locked="0"/>
    </xf>
    <xf numFmtId="0" fontId="21" fillId="15" borderId="9" xfId="0" applyFont="1" applyFill="1" applyBorder="1" applyAlignment="1" applyProtection="1">
      <alignment vertical="center"/>
      <protection locked="0"/>
    </xf>
    <xf numFmtId="0" fontId="5" fillId="15" borderId="9" xfId="0" applyFont="1" applyFill="1" applyBorder="1" applyProtection="1">
      <protection locked="0"/>
    </xf>
    <xf numFmtId="0" fontId="10" fillId="15" borderId="9" xfId="0" applyFont="1" applyFill="1" applyBorder="1" applyProtection="1">
      <protection locked="0"/>
    </xf>
    <xf numFmtId="0" fontId="6" fillId="15" borderId="9" xfId="0" applyFont="1" applyFill="1" applyBorder="1" applyProtection="1">
      <protection locked="0"/>
    </xf>
    <xf numFmtId="0" fontId="2" fillId="15" borderId="0" xfId="0" applyFont="1" applyFill="1" applyAlignment="1" applyProtection="1">
      <alignment horizontal="left"/>
      <protection locked="0"/>
    </xf>
    <xf numFmtId="0" fontId="0" fillId="0" borderId="1" xfId="0" applyBorder="1" applyAlignment="1" applyProtection="1">
      <alignment horizontal="left"/>
      <protection locked="0"/>
    </xf>
    <xf numFmtId="2" fontId="0" fillId="0" borderId="1" xfId="0" applyNumberFormat="1" applyBorder="1" applyAlignment="1" applyProtection="1">
      <alignment horizontal="left"/>
      <protection locked="0"/>
    </xf>
    <xf numFmtId="0" fontId="1" fillId="8" borderId="1" xfId="0" applyFont="1" applyFill="1" applyBorder="1" applyAlignment="1" applyProtection="1">
      <alignment horizontal="left"/>
      <protection locked="0"/>
    </xf>
    <xf numFmtId="0" fontId="24" fillId="8" borderId="1" xfId="0" applyFont="1" applyFill="1" applyBorder="1" applyAlignment="1" applyProtection="1">
      <alignment horizontal="center"/>
      <protection locked="0"/>
    </xf>
    <xf numFmtId="0" fontId="5" fillId="15" borderId="0" xfId="0" applyFont="1" applyFill="1" applyAlignment="1" applyProtection="1">
      <alignment horizontal="right"/>
      <protection locked="0"/>
    </xf>
    <xf numFmtId="0" fontId="0" fillId="5" borderId="1" xfId="0" applyFill="1" applyBorder="1" applyAlignment="1" applyProtection="1">
      <alignment horizontal="left"/>
      <protection locked="0"/>
    </xf>
    <xf numFmtId="2" fontId="0" fillId="5" borderId="1" xfId="0" applyNumberFormat="1" applyFill="1" applyBorder="1" applyAlignment="1" applyProtection="1">
      <alignment horizontal="left"/>
      <protection locked="0"/>
    </xf>
    <xf numFmtId="2" fontId="0" fillId="4" borderId="0" xfId="0" applyNumberFormat="1" applyFill="1" applyAlignment="1" applyProtection="1">
      <alignment horizontal="left"/>
      <protection locked="0"/>
    </xf>
    <xf numFmtId="2" fontId="0" fillId="15" borderId="1" xfId="0" applyNumberFormat="1" applyFill="1" applyBorder="1" applyAlignment="1" applyProtection="1">
      <alignment horizontal="left"/>
      <protection locked="0"/>
    </xf>
    <xf numFmtId="2" fontId="0" fillId="0" borderId="9" xfId="0" applyNumberFormat="1" applyBorder="1" applyAlignment="1" applyProtection="1">
      <alignment horizontal="left"/>
      <protection locked="0"/>
    </xf>
    <xf numFmtId="2" fontId="0" fillId="4" borderId="9" xfId="0" applyNumberFormat="1" applyFill="1" applyBorder="1" applyAlignment="1" applyProtection="1">
      <alignment horizontal="left"/>
      <protection locked="0"/>
    </xf>
    <xf numFmtId="0" fontId="7" fillId="15" borderId="6" xfId="0" applyFont="1" applyFill="1" applyBorder="1" applyProtection="1">
      <protection locked="0"/>
    </xf>
    <xf numFmtId="0" fontId="5" fillId="15" borderId="0" xfId="0" applyFont="1" applyFill="1" applyAlignment="1" applyProtection="1">
      <alignment horizontal="left"/>
      <protection locked="0"/>
    </xf>
    <xf numFmtId="0" fontId="21" fillId="15" borderId="6" xfId="0" applyFont="1" applyFill="1" applyBorder="1" applyAlignment="1" applyProtection="1">
      <alignment vertical="center"/>
      <protection locked="0"/>
    </xf>
    <xf numFmtId="0" fontId="0" fillId="0" borderId="3" xfId="0" applyBorder="1" applyAlignment="1" applyProtection="1">
      <alignment horizontal="left"/>
      <protection locked="0"/>
    </xf>
    <xf numFmtId="2" fontId="0" fillId="0" borderId="3" xfId="0" applyNumberFormat="1" applyBorder="1" applyAlignment="1" applyProtection="1">
      <alignment horizontal="left"/>
      <protection locked="0"/>
    </xf>
    <xf numFmtId="2" fontId="0" fillId="4" borderId="3" xfId="0" applyNumberFormat="1" applyFill="1" applyBorder="1" applyAlignment="1" applyProtection="1">
      <alignment horizontal="left"/>
      <protection locked="0"/>
    </xf>
    <xf numFmtId="0" fontId="5" fillId="15" borderId="6" xfId="0" applyFont="1" applyFill="1" applyBorder="1" applyProtection="1">
      <protection locked="0"/>
    </xf>
    <xf numFmtId="0" fontId="0" fillId="0" borderId="2" xfId="0" applyBorder="1" applyAlignment="1" applyProtection="1">
      <alignment horizontal="left"/>
      <protection locked="0"/>
    </xf>
    <xf numFmtId="2" fontId="0" fillId="0" borderId="2" xfId="0" applyNumberFormat="1" applyBorder="1" applyAlignment="1" applyProtection="1">
      <alignment horizontal="left"/>
      <protection locked="0"/>
    </xf>
    <xf numFmtId="2" fontId="0" fillId="4" borderId="2" xfId="0" applyNumberFormat="1" applyFill="1" applyBorder="1" applyAlignment="1" applyProtection="1">
      <alignment horizontal="left"/>
      <protection locked="0"/>
    </xf>
    <xf numFmtId="0" fontId="10" fillId="15" borderId="6" xfId="0" applyFont="1" applyFill="1" applyBorder="1" applyProtection="1">
      <protection locked="0"/>
    </xf>
    <xf numFmtId="0" fontId="6" fillId="15" borderId="6" xfId="0" applyFont="1" applyFill="1" applyBorder="1" applyProtection="1">
      <protection locked="0"/>
    </xf>
    <xf numFmtId="0" fontId="0" fillId="0" borderId="0" xfId="0" applyAlignment="1" applyProtection="1">
      <alignment horizontal="left"/>
      <protection locked="0"/>
    </xf>
    <xf numFmtId="2" fontId="14" fillId="4" borderId="1" xfId="0" applyNumberFormat="1" applyFont="1" applyFill="1" applyBorder="1" applyAlignment="1" applyProtection="1">
      <alignment horizontal="left"/>
      <protection locked="0"/>
    </xf>
    <xf numFmtId="0" fontId="15" fillId="4" borderId="1" xfId="0" applyFont="1" applyFill="1" applyBorder="1" applyAlignment="1" applyProtection="1">
      <alignment horizontal="left"/>
      <protection locked="0"/>
    </xf>
    <xf numFmtId="2" fontId="15" fillId="4" borderId="1" xfId="0" applyNumberFormat="1" applyFont="1" applyFill="1" applyBorder="1" applyAlignment="1" applyProtection="1">
      <alignment horizontal="left"/>
      <protection locked="0"/>
    </xf>
    <xf numFmtId="1" fontId="15" fillId="4" borderId="1" xfId="0" applyNumberFormat="1" applyFont="1" applyFill="1" applyBorder="1" applyAlignment="1" applyProtection="1">
      <alignment horizontal="center"/>
      <protection locked="0"/>
    </xf>
    <xf numFmtId="1" fontId="14" fillId="5" borderId="1" xfId="0" applyNumberFormat="1" applyFont="1" applyFill="1" applyBorder="1" applyAlignment="1" applyProtection="1">
      <alignment horizontal="center"/>
      <protection locked="0"/>
    </xf>
    <xf numFmtId="1" fontId="15" fillId="4" borderId="0" xfId="0" applyNumberFormat="1" applyFont="1" applyFill="1" applyAlignment="1" applyProtection="1">
      <alignment horizontal="center"/>
      <protection locked="0"/>
    </xf>
    <xf numFmtId="1" fontId="29" fillId="15" borderId="0" xfId="0" applyNumberFormat="1" applyFont="1" applyFill="1" applyAlignment="1" applyProtection="1">
      <alignment horizontal="center"/>
      <protection locked="0"/>
    </xf>
    <xf numFmtId="1" fontId="14" fillId="15" borderId="1" xfId="0" applyNumberFormat="1" applyFont="1" applyFill="1" applyBorder="1" applyAlignment="1" applyProtection="1">
      <alignment horizontal="center"/>
      <protection locked="0"/>
    </xf>
    <xf numFmtId="1" fontId="15" fillId="4" borderId="9" xfId="0" applyNumberFormat="1" applyFont="1" applyFill="1" applyBorder="1" applyAlignment="1" applyProtection="1">
      <alignment horizontal="center"/>
      <protection locked="0"/>
    </xf>
    <xf numFmtId="1" fontId="23" fillId="15" borderId="9" xfId="0" applyNumberFormat="1" applyFont="1" applyFill="1" applyBorder="1" applyAlignment="1" applyProtection="1">
      <alignment horizontal="center"/>
      <protection locked="0"/>
    </xf>
    <xf numFmtId="1" fontId="30" fillId="15" borderId="9" xfId="0" applyNumberFormat="1" applyFont="1" applyFill="1" applyBorder="1" applyAlignment="1" applyProtection="1">
      <alignment horizontal="center" vertical="center"/>
      <protection locked="0"/>
    </xf>
    <xf numFmtId="1" fontId="15" fillId="4" borderId="3" xfId="0" applyNumberFormat="1" applyFont="1" applyFill="1" applyBorder="1" applyAlignment="1" applyProtection="1">
      <alignment horizontal="center"/>
      <protection locked="0"/>
    </xf>
    <xf numFmtId="1" fontId="29" fillId="15" borderId="9" xfId="0" applyNumberFormat="1" applyFont="1" applyFill="1" applyBorder="1" applyAlignment="1" applyProtection="1">
      <alignment horizontal="center"/>
      <protection locked="0"/>
    </xf>
    <xf numFmtId="1" fontId="15" fillId="4" borderId="2" xfId="0" applyNumberFormat="1" applyFont="1" applyFill="1" applyBorder="1" applyAlignment="1" applyProtection="1">
      <alignment horizontal="center"/>
      <protection locked="0"/>
    </xf>
    <xf numFmtId="1" fontId="30" fillId="15" borderId="9" xfId="0" applyNumberFormat="1" applyFont="1" applyFill="1" applyBorder="1" applyAlignment="1" applyProtection="1">
      <alignment horizontal="center"/>
      <protection locked="0"/>
    </xf>
    <xf numFmtId="2" fontId="0" fillId="15" borderId="1" xfId="0" applyNumberFormat="1" applyFill="1" applyBorder="1" applyAlignment="1">
      <alignment horizontal="left"/>
    </xf>
    <xf numFmtId="0" fontId="25" fillId="4" borderId="0" xfId="0" applyFont="1" applyFill="1" applyAlignment="1">
      <alignment horizontal="left"/>
    </xf>
    <xf numFmtId="0" fontId="26" fillId="15" borderId="0" xfId="0" applyFont="1" applyFill="1" applyAlignment="1">
      <alignment horizontal="left"/>
    </xf>
    <xf numFmtId="0" fontId="25" fillId="4" borderId="9" xfId="0" applyFont="1" applyFill="1" applyBorder="1" applyAlignment="1">
      <alignment horizontal="left"/>
    </xf>
    <xf numFmtId="0" fontId="27" fillId="15" borderId="9" xfId="0" applyFont="1" applyFill="1" applyBorder="1" applyAlignment="1">
      <alignment horizontal="left"/>
    </xf>
    <xf numFmtId="0" fontId="28" fillId="15" borderId="9" xfId="0" applyFont="1" applyFill="1" applyBorder="1" applyAlignment="1">
      <alignment horizontal="left" vertical="center"/>
    </xf>
    <xf numFmtId="0" fontId="25" fillId="4" borderId="3" xfId="0" applyFont="1" applyFill="1" applyBorder="1" applyAlignment="1">
      <alignment horizontal="left"/>
    </xf>
    <xf numFmtId="0" fontId="26" fillId="15" borderId="9" xfId="0" applyFont="1" applyFill="1" applyBorder="1" applyAlignment="1">
      <alignment horizontal="left"/>
    </xf>
    <xf numFmtId="0" fontId="25" fillId="4" borderId="2" xfId="0" applyFont="1" applyFill="1" applyBorder="1" applyAlignment="1">
      <alignment horizontal="left"/>
    </xf>
    <xf numFmtId="0" fontId="28" fillId="15" borderId="9" xfId="0" applyFont="1" applyFill="1" applyBorder="1" applyAlignment="1">
      <alignment horizontal="left"/>
    </xf>
    <xf numFmtId="0" fontId="26" fillId="15" borderId="0" xfId="0" applyFont="1" applyFill="1" applyAlignment="1">
      <alignment horizontal="center"/>
    </xf>
    <xf numFmtId="1" fontId="0" fillId="5" borderId="1" xfId="0" applyNumberFormat="1" applyFill="1" applyBorder="1" applyAlignment="1">
      <alignment horizontal="center"/>
    </xf>
    <xf numFmtId="1" fontId="0" fillId="0" borderId="1" xfId="0" applyNumberFormat="1" applyBorder="1" applyAlignment="1">
      <alignment horizontal="left"/>
    </xf>
    <xf numFmtId="0" fontId="4" fillId="0" borderId="0" xfId="0" applyFont="1" applyAlignment="1">
      <alignment horizontal="left"/>
    </xf>
    <xf numFmtId="0" fontId="24" fillId="8" borderId="1" xfId="0" applyFont="1" applyFill="1" applyBorder="1" applyAlignment="1">
      <alignment horizontal="left"/>
    </xf>
    <xf numFmtId="0" fontId="24" fillId="8" borderId="1" xfId="0" applyFont="1" applyFill="1" applyBorder="1" applyAlignment="1">
      <alignment horizontal="right" vertical="center"/>
    </xf>
    <xf numFmtId="0" fontId="0" fillId="4" borderId="1" xfId="0" applyFill="1" applyBorder="1" applyAlignment="1">
      <alignment horizontal="right"/>
    </xf>
    <xf numFmtId="0" fontId="7" fillId="15" borderId="9" xfId="0" applyFont="1" applyFill="1" applyBorder="1" applyAlignment="1">
      <alignment horizontal="right"/>
    </xf>
    <xf numFmtId="0" fontId="21" fillId="15" borderId="9" xfId="0" applyFont="1" applyFill="1" applyBorder="1" applyAlignment="1">
      <alignment horizontal="right" vertical="center"/>
    </xf>
    <xf numFmtId="0" fontId="5" fillId="15" borderId="9" xfId="0" applyFont="1" applyFill="1" applyBorder="1" applyAlignment="1">
      <alignment horizontal="right"/>
    </xf>
    <xf numFmtId="0" fontId="10" fillId="15" borderId="9" xfId="0" applyFont="1" applyFill="1" applyBorder="1" applyAlignment="1">
      <alignment horizontal="right"/>
    </xf>
    <xf numFmtId="0" fontId="6" fillId="15" borderId="9" xfId="0" applyFont="1" applyFill="1" applyBorder="1" applyAlignment="1">
      <alignment horizontal="right"/>
    </xf>
    <xf numFmtId="0" fontId="0" fillId="5" borderId="0" xfId="0" applyFill="1" applyAlignment="1">
      <alignment horizontal="center" vertical="center"/>
    </xf>
    <xf numFmtId="0" fontId="4" fillId="0" borderId="10" xfId="0" applyFont="1" applyBorder="1" applyAlignment="1">
      <alignment horizontal="left"/>
    </xf>
    <xf numFmtId="0" fontId="4" fillId="0" borderId="10" xfId="0" applyFont="1" applyBorder="1"/>
    <xf numFmtId="0" fontId="4" fillId="0" borderId="10" xfId="0" applyFont="1" applyBorder="1" applyAlignment="1">
      <alignment horizontal="right"/>
    </xf>
    <xf numFmtId="0" fontId="0" fillId="15" borderId="1" xfId="0" applyFill="1" applyBorder="1" applyAlignment="1">
      <alignment horizontal="center"/>
    </xf>
    <xf numFmtId="0" fontId="0" fillId="5" borderId="0" xfId="0" applyFill="1" applyAlignment="1" applyProtection="1">
      <alignment horizontal="center" vertical="center"/>
      <protection locked="0"/>
    </xf>
    <xf numFmtId="0" fontId="0" fillId="5" borderId="0" xfId="0" applyFill="1" applyAlignment="1" applyProtection="1">
      <alignment horizontal="left"/>
      <protection locked="0"/>
    </xf>
    <xf numFmtId="0" fontId="0" fillId="15" borderId="1" xfId="0" applyFill="1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0" fillId="5" borderId="0" xfId="0" applyFill="1" applyAlignment="1" applyProtection="1">
      <alignment horizontal="center"/>
      <protection locked="0"/>
    </xf>
    <xf numFmtId="0" fontId="0" fillId="0" borderId="0" xfId="0" applyAlignment="1" applyProtection="1">
      <alignment horizontal="right"/>
      <protection locked="0"/>
    </xf>
    <xf numFmtId="0" fontId="4" fillId="0" borderId="0" xfId="0" applyFont="1" applyAlignment="1" applyProtection="1">
      <alignment horizontal="right"/>
      <protection locked="0"/>
    </xf>
    <xf numFmtId="0" fontId="24" fillId="8" borderId="1" xfId="0" applyFont="1" applyFill="1" applyBorder="1" applyAlignment="1" applyProtection="1">
      <alignment horizontal="right" vertical="center"/>
      <protection locked="0"/>
    </xf>
    <xf numFmtId="0" fontId="0" fillId="5" borderId="1" xfId="0" applyFill="1" applyBorder="1" applyAlignment="1" applyProtection="1">
      <alignment horizontal="right"/>
      <protection locked="0"/>
    </xf>
    <xf numFmtId="0" fontId="0" fillId="4" borderId="1" xfId="0" applyFill="1" applyBorder="1" applyAlignment="1" applyProtection="1">
      <alignment horizontal="right"/>
      <protection locked="0"/>
    </xf>
    <xf numFmtId="0" fontId="7" fillId="15" borderId="9" xfId="0" applyFont="1" applyFill="1" applyBorder="1" applyAlignment="1" applyProtection="1">
      <alignment horizontal="right"/>
      <protection locked="0"/>
    </xf>
    <xf numFmtId="0" fontId="21" fillId="15" borderId="9" xfId="0" applyFont="1" applyFill="1" applyBorder="1" applyAlignment="1" applyProtection="1">
      <alignment horizontal="right" vertical="center"/>
      <protection locked="0"/>
    </xf>
    <xf numFmtId="0" fontId="5" fillId="15" borderId="9" xfId="0" applyFont="1" applyFill="1" applyBorder="1" applyAlignment="1" applyProtection="1">
      <alignment horizontal="right"/>
      <protection locked="0"/>
    </xf>
    <xf numFmtId="0" fontId="10" fillId="15" borderId="9" xfId="0" applyFont="1" applyFill="1" applyBorder="1" applyAlignment="1" applyProtection="1">
      <alignment horizontal="right"/>
      <protection locked="0"/>
    </xf>
    <xf numFmtId="0" fontId="4" fillId="0" borderId="0" xfId="0" applyFont="1" applyAlignment="1">
      <alignment horizontal="right"/>
    </xf>
    <xf numFmtId="0" fontId="0" fillId="4" borderId="3" xfId="0" applyFill="1" applyBorder="1" applyAlignment="1">
      <alignment horizontal="right"/>
    </xf>
    <xf numFmtId="0" fontId="0" fillId="4" borderId="2" xfId="0" applyFill="1" applyBorder="1" applyAlignment="1">
      <alignment horizontal="right"/>
    </xf>
    <xf numFmtId="0" fontId="1" fillId="8" borderId="1" xfId="0" applyFont="1" applyFill="1" applyBorder="1" applyAlignment="1">
      <alignment horizontal="center"/>
    </xf>
    <xf numFmtId="0" fontId="3" fillId="15" borderId="0" xfId="0" applyFont="1" applyFill="1" applyAlignment="1">
      <alignment horizontal="center"/>
    </xf>
    <xf numFmtId="0" fontId="0" fillId="0" borderId="1" xfId="0" applyBorder="1" applyAlignment="1">
      <alignment horizontal="center"/>
    </xf>
    <xf numFmtId="1" fontId="7" fillId="0" borderId="0" xfId="0" applyNumberFormat="1" applyFont="1" applyAlignment="1">
      <alignment horizontal="center"/>
    </xf>
    <xf numFmtId="1" fontId="3" fillId="15" borderId="0" xfId="0" applyNumberFormat="1" applyFont="1" applyFill="1" applyAlignment="1">
      <alignment horizontal="center"/>
    </xf>
    <xf numFmtId="1" fontId="7" fillId="15" borderId="1" xfId="0" applyNumberFormat="1" applyFont="1" applyFill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21" fillId="15" borderId="4" xfId="0" applyNumberFormat="1" applyFont="1" applyFill="1" applyBorder="1" applyAlignment="1">
      <alignment horizontal="center" vertical="center"/>
    </xf>
    <xf numFmtId="1" fontId="10" fillId="15" borderId="4" xfId="0" applyNumberFormat="1" applyFont="1" applyFill="1" applyBorder="1" applyAlignment="1">
      <alignment horizontal="center"/>
    </xf>
    <xf numFmtId="1" fontId="6" fillId="15" borderId="1" xfId="0" applyNumberFormat="1" applyFont="1" applyFill="1" applyBorder="1" applyAlignment="1">
      <alignment horizontal="center"/>
    </xf>
    <xf numFmtId="1" fontId="3" fillId="15" borderId="1" xfId="0" applyNumberFormat="1" applyFont="1" applyFill="1" applyBorder="1" applyAlignment="1">
      <alignment horizontal="center"/>
    </xf>
    <xf numFmtId="0" fontId="7" fillId="15" borderId="1" xfId="0" applyFont="1" applyFill="1" applyBorder="1" applyAlignment="1">
      <alignment horizontal="center" vertical="center"/>
    </xf>
    <xf numFmtId="44" fontId="0" fillId="15" borderId="1" xfId="0" applyNumberFormat="1" applyFill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0" fontId="0" fillId="5" borderId="11" xfId="0" applyFill="1" applyBorder="1"/>
    <xf numFmtId="0" fontId="0" fillId="0" borderId="14" xfId="0" applyBorder="1"/>
    <xf numFmtId="0" fontId="0" fillId="5" borderId="15" xfId="0" applyFill="1" applyBorder="1"/>
    <xf numFmtId="44" fontId="0" fillId="5" borderId="10" xfId="0" applyNumberFormat="1" applyFill="1" applyBorder="1" applyAlignment="1">
      <alignment horizontal="center" vertical="center"/>
    </xf>
    <xf numFmtId="44" fontId="0" fillId="5" borderId="14" xfId="0" applyNumberFormat="1" applyFill="1" applyBorder="1" applyAlignment="1">
      <alignment horizontal="center" vertical="center"/>
    </xf>
    <xf numFmtId="0" fontId="0" fillId="0" borderId="0" xfId="0" applyAlignment="1" applyProtection="1">
      <alignment vertical="center"/>
      <protection locked="0"/>
    </xf>
    <xf numFmtId="0" fontId="31" fillId="15" borderId="0" xfId="0" applyFont="1" applyFill="1" applyAlignment="1" applyProtection="1">
      <alignment horizontal="center"/>
      <protection locked="0"/>
    </xf>
    <xf numFmtId="0" fontId="14" fillId="15" borderId="1" xfId="0" applyFont="1" applyFill="1" applyBorder="1" applyAlignment="1" applyProtection="1">
      <alignment horizontal="center"/>
      <protection locked="0"/>
    </xf>
    <xf numFmtId="16" fontId="0" fillId="0" borderId="0" xfId="0" applyNumberFormat="1"/>
    <xf numFmtId="0" fontId="11" fillId="0" borderId="0" xfId="0" applyFont="1" applyAlignment="1">
      <alignment horizontal="left"/>
    </xf>
    <xf numFmtId="0" fontId="15" fillId="5" borderId="1" xfId="0" applyFont="1" applyFill="1" applyBorder="1" applyAlignment="1">
      <alignment horizontal="center"/>
    </xf>
    <xf numFmtId="0" fontId="0" fillId="15" borderId="2" xfId="0" applyFill="1" applyBorder="1" applyAlignment="1">
      <alignment horizontal="left"/>
    </xf>
    <xf numFmtId="0" fontId="6" fillId="15" borderId="9" xfId="0" applyFont="1" applyFill="1" applyBorder="1" applyAlignment="1" applyProtection="1">
      <alignment horizontal="right"/>
      <protection locked="0"/>
    </xf>
    <xf numFmtId="167" fontId="32" fillId="4" borderId="1" xfId="0" applyNumberFormat="1" applyFont="1" applyFill="1" applyBorder="1" applyAlignment="1">
      <alignment horizontal="right"/>
    </xf>
    <xf numFmtId="167" fontId="32" fillId="15" borderId="1" xfId="0" applyNumberFormat="1" applyFont="1" applyFill="1" applyBorder="1" applyAlignment="1">
      <alignment horizontal="right"/>
    </xf>
    <xf numFmtId="0" fontId="0" fillId="16" borderId="1" xfId="0" applyFill="1" applyBorder="1" applyAlignment="1">
      <alignment horizontal="center"/>
    </xf>
    <xf numFmtId="167" fontId="32" fillId="4" borderId="1" xfId="0" applyNumberFormat="1" applyFont="1" applyFill="1" applyBorder="1" applyAlignment="1">
      <alignment horizontal="center"/>
    </xf>
    <xf numFmtId="167" fontId="32" fillId="15" borderId="1" xfId="0" applyNumberFormat="1" applyFont="1" applyFill="1" applyBorder="1" applyAlignment="1">
      <alignment horizontal="center"/>
    </xf>
    <xf numFmtId="2" fontId="0" fillId="0" borderId="16" xfId="0" applyNumberFormat="1" applyBorder="1" applyAlignment="1">
      <alignment horizontal="left"/>
    </xf>
    <xf numFmtId="0" fontId="25" fillId="4" borderId="16" xfId="0" applyFont="1" applyFill="1" applyBorder="1" applyAlignment="1">
      <alignment horizontal="left"/>
    </xf>
    <xf numFmtId="0" fontId="0" fillId="5" borderId="3" xfId="0" applyFill="1" applyBorder="1" applyAlignment="1" applyProtection="1">
      <alignment horizontal="center"/>
      <protection locked="0"/>
    </xf>
    <xf numFmtId="0" fontId="0" fillId="4" borderId="16" xfId="0" applyFill="1" applyBorder="1" applyAlignment="1">
      <alignment horizontal="center"/>
    </xf>
    <xf numFmtId="0" fontId="14" fillId="4" borderId="3" xfId="0" applyFont="1" applyFill="1" applyBorder="1" applyAlignment="1">
      <alignment horizontal="right"/>
    </xf>
    <xf numFmtId="2" fontId="0" fillId="4" borderId="16" xfId="0" applyNumberFormat="1" applyFill="1" applyBorder="1" applyAlignment="1">
      <alignment horizontal="left"/>
    </xf>
    <xf numFmtId="2" fontId="0" fillId="0" borderId="16" xfId="0" applyNumberFormat="1" applyBorder="1" applyAlignment="1" applyProtection="1">
      <alignment horizontal="left"/>
      <protection locked="0"/>
    </xf>
    <xf numFmtId="2" fontId="0" fillId="4" borderId="16" xfId="0" applyNumberFormat="1" applyFill="1" applyBorder="1" applyAlignment="1" applyProtection="1">
      <alignment horizontal="left"/>
      <protection locked="0"/>
    </xf>
    <xf numFmtId="1" fontId="15" fillId="4" borderId="16" xfId="0" applyNumberFormat="1" applyFont="1" applyFill="1" applyBorder="1" applyAlignment="1" applyProtection="1">
      <alignment horizontal="center"/>
      <protection locked="0"/>
    </xf>
    <xf numFmtId="1" fontId="14" fillId="5" borderId="3" xfId="0" applyNumberFormat="1" applyFont="1" applyFill="1" applyBorder="1" applyAlignment="1" applyProtection="1">
      <alignment horizontal="center"/>
      <protection locked="0"/>
    </xf>
    <xf numFmtId="1" fontId="0" fillId="5" borderId="3" xfId="0" applyNumberForma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14" fillId="15" borderId="2" xfId="0" applyFont="1" applyFill="1" applyBorder="1" applyAlignment="1">
      <alignment horizontal="right"/>
    </xf>
    <xf numFmtId="2" fontId="0" fillId="15" borderId="2" xfId="0" applyNumberFormat="1" applyFill="1" applyBorder="1" applyAlignment="1">
      <alignment horizontal="left"/>
    </xf>
    <xf numFmtId="2" fontId="0" fillId="15" borderId="2" xfId="0" applyNumberFormat="1" applyFill="1" applyBorder="1" applyAlignment="1" applyProtection="1">
      <alignment horizontal="left"/>
      <protection locked="0"/>
    </xf>
    <xf numFmtId="1" fontId="14" fillId="15" borderId="2" xfId="0" applyNumberFormat="1" applyFont="1" applyFill="1" applyBorder="1" applyAlignment="1" applyProtection="1">
      <alignment horizontal="center"/>
      <protection locked="0"/>
    </xf>
    <xf numFmtId="1" fontId="0" fillId="5" borderId="2" xfId="0" applyNumberFormat="1" applyFill="1" applyBorder="1" applyAlignment="1">
      <alignment horizontal="center"/>
    </xf>
    <xf numFmtId="0" fontId="0" fillId="15" borderId="2" xfId="0" applyFill="1" applyBorder="1" applyAlignment="1">
      <alignment horizontal="center"/>
    </xf>
    <xf numFmtId="2" fontId="0" fillId="4" borderId="1" xfId="0" applyNumberFormat="1" applyFill="1" applyBorder="1" applyAlignment="1">
      <alignment horizontal="center"/>
    </xf>
    <xf numFmtId="0" fontId="7" fillId="15" borderId="7" xfId="0" applyFont="1" applyFill="1" applyBorder="1" applyAlignment="1">
      <alignment horizontal="center"/>
    </xf>
    <xf numFmtId="0" fontId="7" fillId="15" borderId="8" xfId="0" applyFont="1" applyFill="1" applyBorder="1" applyAlignment="1">
      <alignment horizontal="center"/>
    </xf>
    <xf numFmtId="0" fontId="7" fillId="0" borderId="7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7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49" fontId="20" fillId="10" borderId="0" xfId="0" applyNumberFormat="1" applyFont="1" applyFill="1" applyAlignment="1">
      <alignment horizontal="left" vertical="center" wrapText="1" shrinkToFit="1" readingOrder="1"/>
    </xf>
    <xf numFmtId="166" fontId="20" fillId="10" borderId="0" xfId="0" applyNumberFormat="1" applyFont="1" applyFill="1" applyAlignment="1">
      <alignment horizontal="right" vertical="center" wrapText="1" shrinkToFit="1" readingOrder="1"/>
    </xf>
    <xf numFmtId="0" fontId="4" fillId="0" borderId="0" xfId="0" applyFont="1" applyAlignment="1">
      <alignment horizontal="center"/>
    </xf>
    <xf numFmtId="49" fontId="20" fillId="11" borderId="0" xfId="0" applyNumberFormat="1" applyFont="1" applyFill="1" applyAlignment="1">
      <alignment horizontal="left" vertical="center" wrapText="1" shrinkToFit="1" readingOrder="1"/>
    </xf>
    <xf numFmtId="166" fontId="20" fillId="11" borderId="0" xfId="0" applyNumberFormat="1" applyFont="1" applyFill="1" applyAlignment="1">
      <alignment horizontal="right" vertical="center" wrapText="1" shrinkToFit="1" readingOrder="1"/>
    </xf>
    <xf numFmtId="0" fontId="1" fillId="8" borderId="1" xfId="0" applyFont="1" applyFill="1" applyBorder="1" applyAlignment="1">
      <alignment horizontal="right" vertical="center"/>
    </xf>
    <xf numFmtId="2" fontId="11" fillId="0" borderId="1" xfId="0" applyNumberFormat="1" applyFont="1" applyBorder="1" applyAlignment="1">
      <alignment horizontal="right"/>
    </xf>
    <xf numFmtId="2" fontId="11" fillId="0" borderId="0" xfId="0" applyNumberFormat="1" applyFont="1" applyAlignment="1">
      <alignment horizontal="right"/>
    </xf>
    <xf numFmtId="2" fontId="11" fillId="0" borderId="9" xfId="0" applyNumberFormat="1" applyFont="1" applyBorder="1" applyAlignment="1">
      <alignment horizontal="right"/>
    </xf>
    <xf numFmtId="2" fontId="11" fillId="0" borderId="3" xfId="0" applyNumberFormat="1" applyFont="1" applyBorder="1" applyAlignment="1">
      <alignment horizontal="right"/>
    </xf>
    <xf numFmtId="2" fontId="11" fillId="0" borderId="2" xfId="0" applyNumberFormat="1" applyFont="1" applyBorder="1" applyAlignment="1">
      <alignment horizontal="right"/>
    </xf>
    <xf numFmtId="2" fontId="11" fillId="5" borderId="1" xfId="0" applyNumberFormat="1" applyFont="1" applyFill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/>
    </xf>
    <xf numFmtId="0" fontId="11" fillId="0" borderId="0" xfId="0" applyFont="1" applyAlignment="1">
      <alignment horizontal="right"/>
    </xf>
    <xf numFmtId="164" fontId="11" fillId="0" borderId="1" xfId="0" applyNumberFormat="1" applyFont="1" applyBorder="1" applyAlignment="1">
      <alignment horizontal="right"/>
    </xf>
    <xf numFmtId="0" fontId="22" fillId="8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993300"/>
      <color rgb="FFFF0000"/>
      <color rgb="FFFF8181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externalLink" Target="externalLinks/externalLink5.xml"/><Relationship Id="rId50" Type="http://schemas.openxmlformats.org/officeDocument/2006/relationships/externalLink" Target="externalLinks/externalLink8.xml"/><Relationship Id="rId55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externalLink" Target="externalLinks/externalLink3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1.xml"/><Relationship Id="rId48" Type="http://schemas.openxmlformats.org/officeDocument/2006/relationships/externalLink" Target="externalLinks/externalLink6.xml"/><Relationship Id="rId56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externalLink" Target="externalLinks/externalLink4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externalLink" Target="externalLinks/externalLink7.xml"/><Relationship Id="rId57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2.xml"/><Relationship Id="rId52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ogistiquePrime\Desktop\PATINOIRE%20TABLETTE\BUVETTE%201\Buvette%201.xlsx" TargetMode="External"/><Relationship Id="rId1" Type="http://schemas.openxmlformats.org/officeDocument/2006/relationships/externalLinkPath" Target="file:///C:\Users\LogistiquePrime\Desktop\PATINOIRE%20TABLETTE\BUVETTE%201\Buvette%201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ogistiquePrime\Desktop\PATINOIRE%20TABLETTE\BUVETTE%203\Buvette%203.xlsx" TargetMode="External"/><Relationship Id="rId1" Type="http://schemas.openxmlformats.org/officeDocument/2006/relationships/externalLinkPath" Target="file:///C:\Users\LogistiquePrime\Desktop\PATINOIRE%20TABLETTE\BUVETTE%203\Buvette%203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ogistiquePrime\Desktop\PATINOIRE%20TABLETTE\2023\2023.xlsx" TargetMode="External"/><Relationship Id="rId1" Type="http://schemas.openxmlformats.org/officeDocument/2006/relationships/externalLinkPath" Target="file:///C:\Users\LogistiquePrime\Desktop\PATINOIRE%20TABLETTE\2023\2023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ogistiquePrime\Desktop\PATINOIRE%20TABLETTE\Chalet%201\Chalet%201.xlsx" TargetMode="External"/><Relationship Id="rId1" Type="http://schemas.openxmlformats.org/officeDocument/2006/relationships/externalLinkPath" Target="file:///C:\Users\LogistiquePrime\Desktop\PATINOIRE%20TABLETTE\Chalet%201\Chalet%201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ogistiquePrime\Desktop\PATINOIRE%20TABLETTE\Chalet%202\Chalet%202.xlsx" TargetMode="External"/><Relationship Id="rId1" Type="http://schemas.openxmlformats.org/officeDocument/2006/relationships/externalLinkPath" Target="file:///C:\Users\LogistiquePrime\Desktop\PATINOIRE%20TABLETTE\Chalet%202\Chalet%202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ogistiquePrime\Desktop\PATINOIRE%20TABLETTE\Chalet%203\Chalet%203.xlsx" TargetMode="External"/><Relationship Id="rId1" Type="http://schemas.openxmlformats.org/officeDocument/2006/relationships/externalLinkPath" Target="file:///C:\Users\LogistiquePrime\Desktop\PATINOIRE%20TABLETTE\Chalet%203\Chalet%203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ogistiquePrime\Desktop\PATINOIRE%20TABLETTE\Cocktail\Cocktail.xlsx" TargetMode="External"/><Relationship Id="rId1" Type="http://schemas.openxmlformats.org/officeDocument/2006/relationships/externalLinkPath" Target="file:///C:\Users\LogistiquePrime\Desktop\PATINOIRE%20TABLETTE\Cocktail\Cocktail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ogistiquePrime\Desktop\PATINOIRE%20TABLETTE\Visiteur\Visiteur.xlsx" TargetMode="External"/><Relationship Id="rId1" Type="http://schemas.openxmlformats.org/officeDocument/2006/relationships/externalLinkPath" Target="file:///C:\Users\LogistiquePrime\Desktop\PATINOIRE%20TABLETTE\Visiteur\Visiteu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vette 1 (2)"/>
      <sheetName val="Fiche Temperature"/>
      <sheetName val="Fiche Horaire"/>
    </sheetNames>
    <sheetDataSet>
      <sheetData sheetId="0">
        <row r="47">
          <cell r="E47"/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vette 3 (2)"/>
      <sheetName val="Fiche Temperature"/>
      <sheetName val="Fiche Horaire"/>
    </sheetNames>
    <sheetDataSet>
      <sheetData sheetId="0">
        <row r="34">
          <cell r="E34"/>
        </row>
        <row r="35">
          <cell r="E35"/>
        </row>
        <row r="36">
          <cell r="E36"/>
        </row>
        <row r="37">
          <cell r="E37"/>
        </row>
        <row r="38">
          <cell r="E38"/>
        </row>
        <row r="39">
          <cell r="E39"/>
        </row>
        <row r="40">
          <cell r="E40"/>
        </row>
        <row r="42">
          <cell r="E42"/>
        </row>
        <row r="43">
          <cell r="E43"/>
        </row>
        <row r="44">
          <cell r="E44"/>
        </row>
        <row r="45">
          <cell r="E45"/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3 (2)"/>
      <sheetName val="Fiche Temperature"/>
      <sheetName val="Fiche Horaire"/>
    </sheetNames>
    <sheetDataSet>
      <sheetData sheetId="0">
        <row r="42">
          <cell r="E42"/>
        </row>
        <row r="43">
          <cell r="E43"/>
        </row>
        <row r="44">
          <cell r="E44"/>
        </row>
        <row r="45">
          <cell r="E45"/>
        </row>
      </sheetData>
      <sheetData sheetId="1"/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alet 1 (2)"/>
      <sheetName val="Fiche Temperature"/>
      <sheetName val="Fiche Horaire"/>
    </sheetNames>
    <sheetDataSet>
      <sheetData sheetId="0">
        <row r="43">
          <cell r="E43"/>
        </row>
        <row r="44">
          <cell r="E44"/>
        </row>
        <row r="45">
          <cell r="E45"/>
        </row>
      </sheetData>
      <sheetData sheetId="1"/>
      <sheetData sheetId="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alet 2 (2)"/>
      <sheetName val="Fiche Temperature"/>
      <sheetName val="Fiche Horaire"/>
    </sheetNames>
    <sheetDataSet>
      <sheetData sheetId="0">
        <row r="43">
          <cell r="E43"/>
        </row>
        <row r="44">
          <cell r="E44"/>
        </row>
        <row r="45">
          <cell r="E45"/>
        </row>
      </sheetData>
      <sheetData sheetId="1"/>
      <sheetData sheetId="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alet 3 (2)"/>
      <sheetName val="Fiche Temperature"/>
      <sheetName val="Fiche Horaire"/>
    </sheetNames>
    <sheetDataSet>
      <sheetData sheetId="0">
        <row r="43">
          <cell r="E43"/>
        </row>
        <row r="44">
          <cell r="E44"/>
        </row>
        <row r="45">
          <cell r="E45"/>
        </row>
      </sheetData>
      <sheetData sheetId="1"/>
      <sheetData sheetId="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cktail (2)"/>
      <sheetName val="Fiche Temperature"/>
      <sheetName val="Fiche Horaire"/>
    </sheetNames>
    <sheetDataSet>
      <sheetData sheetId="0">
        <row r="43">
          <cell r="E43"/>
        </row>
        <row r="44">
          <cell r="E44"/>
        </row>
        <row r="45">
          <cell r="E45"/>
        </row>
        <row r="250">
          <cell r="E250"/>
        </row>
        <row r="251">
          <cell r="E251"/>
        </row>
        <row r="252">
          <cell r="E252"/>
        </row>
      </sheetData>
      <sheetData sheetId="1"/>
      <sheetData sheetId="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isiteur (2)"/>
      <sheetName val="Fiche Temperature"/>
      <sheetName val="Fiche Horaire"/>
    </sheetNames>
    <sheetDataSet>
      <sheetData sheetId="0">
        <row r="43">
          <cell r="E43"/>
        </row>
        <row r="44">
          <cell r="E44"/>
        </row>
        <row r="45">
          <cell r="E45"/>
        </row>
        <row r="250">
          <cell r="E250"/>
        </row>
        <row r="251">
          <cell r="E251"/>
        </row>
        <row r="252">
          <cell r="E252"/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E7FE9-6DCF-4FC5-B088-085E3814BF7E}">
  <sheetPr codeName="Feuil1">
    <tabColor theme="9" tint="-0.249977111117893"/>
  </sheetPr>
  <dimension ref="A1:W231"/>
  <sheetViews>
    <sheetView zoomScaleNormal="100" workbookViewId="0">
      <pane ySplit="3" topLeftCell="A206" activePane="bottomLeft" state="frozen"/>
      <selection activeCell="D152" sqref="D152:D153"/>
      <selection pane="bottomLeft" activeCell="A4" sqref="A4:S231"/>
    </sheetView>
  </sheetViews>
  <sheetFormatPr baseColWidth="10" defaultColWidth="10.7265625" defaultRowHeight="14.5" x14ac:dyDescent="0.35"/>
  <cols>
    <col min="1" max="1" width="47.453125" bestFit="1" customWidth="1"/>
    <col min="2" max="2" width="3.453125" bestFit="1" customWidth="1"/>
    <col min="3" max="4" width="4" bestFit="1" customWidth="1"/>
    <col min="5" max="7" width="3.453125" bestFit="1" customWidth="1"/>
    <col min="8" max="8" width="4" bestFit="1" customWidth="1"/>
    <col min="9" max="10" width="3.453125" bestFit="1" customWidth="1"/>
    <col min="11" max="11" width="4" bestFit="1" customWidth="1"/>
    <col min="12" max="12" width="3.453125" bestFit="1" customWidth="1"/>
    <col min="13" max="13" width="4" bestFit="1" customWidth="1"/>
    <col min="14" max="14" width="5.54296875" bestFit="1" customWidth="1"/>
    <col min="15" max="18" width="3.453125" bestFit="1" customWidth="1"/>
    <col min="19" max="20" width="4" bestFit="1" customWidth="1"/>
    <col min="21" max="21" width="3.453125" bestFit="1" customWidth="1"/>
  </cols>
  <sheetData>
    <row r="1" spans="1:23" ht="98" x14ac:dyDescent="0.35">
      <c r="B1" s="64" t="s">
        <v>178</v>
      </c>
      <c r="C1" s="85" t="s">
        <v>179</v>
      </c>
      <c r="D1" s="85" t="s">
        <v>180</v>
      </c>
      <c r="E1" s="64" t="s">
        <v>181</v>
      </c>
      <c r="F1" s="64" t="s">
        <v>182</v>
      </c>
      <c r="G1" s="64" t="s">
        <v>183</v>
      </c>
      <c r="H1" s="85" t="s">
        <v>187</v>
      </c>
      <c r="I1" s="64" t="s">
        <v>184</v>
      </c>
      <c r="J1" s="64" t="s">
        <v>185</v>
      </c>
      <c r="K1" s="85" t="s">
        <v>188</v>
      </c>
      <c r="L1" s="64" t="s">
        <v>186</v>
      </c>
      <c r="M1" s="85" t="s">
        <v>189</v>
      </c>
      <c r="N1" s="85" t="s">
        <v>190</v>
      </c>
      <c r="O1" s="64" t="s">
        <v>191</v>
      </c>
      <c r="P1" s="85" t="s">
        <v>195</v>
      </c>
      <c r="Q1" s="64" t="s">
        <v>192</v>
      </c>
      <c r="R1" s="64" t="s">
        <v>193</v>
      </c>
      <c r="S1" s="85" t="s">
        <v>196</v>
      </c>
      <c r="T1" s="64" t="s">
        <v>194</v>
      </c>
      <c r="U1" s="64" t="s">
        <v>197</v>
      </c>
      <c r="V1" s="64" t="s">
        <v>396</v>
      </c>
      <c r="W1" s="64" t="s">
        <v>395</v>
      </c>
    </row>
    <row r="2" spans="1:23" hidden="1" x14ac:dyDescent="0.35">
      <c r="A2" s="14" t="s">
        <v>19</v>
      </c>
    </row>
    <row r="3" spans="1:23" hidden="1" x14ac:dyDescent="0.35">
      <c r="A3" s="10" t="s">
        <v>116</v>
      </c>
    </row>
    <row r="4" spans="1:23" x14ac:dyDescent="0.35">
      <c r="A4" s="14" t="s">
        <v>19</v>
      </c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</row>
    <row r="5" spans="1:23" x14ac:dyDescent="0.35">
      <c r="A5" s="14" t="s">
        <v>209</v>
      </c>
      <c r="B5" s="65"/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</row>
    <row r="6" spans="1:23" x14ac:dyDescent="0.35">
      <c r="A6" s="10" t="s">
        <v>21</v>
      </c>
      <c r="B6" s="65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</row>
    <row r="7" spans="1:23" x14ac:dyDescent="0.35">
      <c r="A7" s="10" t="s">
        <v>210</v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</row>
    <row r="8" spans="1:23" x14ac:dyDescent="0.35">
      <c r="A8" s="10" t="s">
        <v>211</v>
      </c>
      <c r="B8" s="65"/>
      <c r="C8" s="65"/>
      <c r="D8" s="65"/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</row>
    <row r="9" spans="1:23" x14ac:dyDescent="0.35">
      <c r="A9" s="10" t="s">
        <v>212</v>
      </c>
      <c r="B9" s="65"/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</row>
    <row r="10" spans="1:23" x14ac:dyDescent="0.35">
      <c r="A10" s="10" t="s">
        <v>213</v>
      </c>
      <c r="B10" s="65"/>
      <c r="C10" s="65"/>
      <c r="D10" s="65"/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</row>
    <row r="11" spans="1:23" x14ac:dyDescent="0.35">
      <c r="A11" s="14" t="s">
        <v>22</v>
      </c>
      <c r="B11" s="65"/>
      <c r="C11" s="65"/>
      <c r="D11" s="65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</row>
    <row r="12" spans="1:23" ht="13.75" hidden="1" customHeight="1" x14ac:dyDescent="0.35">
      <c r="A12" s="14" t="s">
        <v>214</v>
      </c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</row>
    <row r="13" spans="1:23" ht="13.75" hidden="1" customHeight="1" x14ac:dyDescent="0.35">
      <c r="A13" s="10" t="s">
        <v>215</v>
      </c>
      <c r="B13" s="65"/>
      <c r="C13" s="65"/>
      <c r="D13" s="65"/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</row>
    <row r="14" spans="1:23" ht="13.75" hidden="1" customHeight="1" x14ac:dyDescent="0.35">
      <c r="A14" s="10" t="s">
        <v>217</v>
      </c>
      <c r="B14" s="65"/>
      <c r="C14" s="65"/>
      <c r="D14" s="65"/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</row>
    <row r="15" spans="1:23" ht="13.75" hidden="1" customHeight="1" x14ac:dyDescent="0.35">
      <c r="A15" s="10" t="s">
        <v>218</v>
      </c>
      <c r="B15" s="65"/>
      <c r="C15" s="65"/>
      <c r="D15" s="65"/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</row>
    <row r="16" spans="1:23" ht="13.75" hidden="1" customHeight="1" x14ac:dyDescent="0.35">
      <c r="A16" s="10" t="s">
        <v>219</v>
      </c>
      <c r="B16" s="65"/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</row>
    <row r="17" spans="1:21" ht="13.75" hidden="1" customHeight="1" x14ac:dyDescent="0.35">
      <c r="A17" s="10" t="s">
        <v>220</v>
      </c>
      <c r="B17" s="65"/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</row>
    <row r="18" spans="1:21" ht="15.5" x14ac:dyDescent="0.35">
      <c r="A18" s="10" t="s">
        <v>221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</row>
    <row r="19" spans="1:21" x14ac:dyDescent="0.35">
      <c r="A19" s="10" t="s">
        <v>222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</row>
    <row r="20" spans="1:21" ht="13.75" hidden="1" customHeight="1" x14ac:dyDescent="0.35">
      <c r="A20" s="10" t="s">
        <v>223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</row>
    <row r="21" spans="1:21" ht="13.75" hidden="1" customHeight="1" x14ac:dyDescent="0.35">
      <c r="A21" s="4"/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</row>
    <row r="22" spans="1:21" ht="13.75" hidden="1" customHeight="1" x14ac:dyDescent="0.35">
      <c r="A22" s="10" t="s">
        <v>224</v>
      </c>
      <c r="B22" s="65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</row>
    <row r="23" spans="1:21" x14ac:dyDescent="0.35">
      <c r="A23" s="10" t="s">
        <v>225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</row>
    <row r="24" spans="1:21" x14ac:dyDescent="0.35">
      <c r="A24" s="10" t="s">
        <v>226</v>
      </c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</row>
    <row r="25" spans="1:21" x14ac:dyDescent="0.35">
      <c r="A25" s="10" t="s">
        <v>227</v>
      </c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</row>
    <row r="26" spans="1:21" x14ac:dyDescent="0.35">
      <c r="A26" s="10" t="s">
        <v>46</v>
      </c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</row>
    <row r="27" spans="1:21" ht="13.75" hidden="1" customHeight="1" x14ac:dyDescent="0.35">
      <c r="A27" s="10" t="s">
        <v>228</v>
      </c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</row>
    <row r="28" spans="1:21" ht="13.75" hidden="1" customHeight="1" x14ac:dyDescent="0.35">
      <c r="A28" s="10" t="s">
        <v>229</v>
      </c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</row>
    <row r="29" spans="1:21" ht="15.5" x14ac:dyDescent="0.35">
      <c r="A29" s="78" t="s">
        <v>206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</row>
    <row r="30" spans="1:21" x14ac:dyDescent="0.35">
      <c r="A30" s="80"/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</row>
    <row r="31" spans="1:21" ht="13.75" hidden="1" customHeight="1" x14ac:dyDescent="0.35">
      <c r="A31" s="81"/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</row>
    <row r="32" spans="1:21" ht="13.75" hidden="1" customHeight="1" x14ac:dyDescent="0.35">
      <c r="A32" s="10" t="s">
        <v>78</v>
      </c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</row>
    <row r="33" spans="1:21" x14ac:dyDescent="0.35">
      <c r="A33" s="10" t="s">
        <v>232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</row>
    <row r="34" spans="1:21" x14ac:dyDescent="0.35">
      <c r="A34" s="10" t="s">
        <v>233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</row>
    <row r="35" spans="1:21" x14ac:dyDescent="0.35">
      <c r="A35" s="10" t="s">
        <v>32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</row>
    <row r="36" spans="1:21" ht="13.75" hidden="1" customHeight="1" x14ac:dyDescent="0.35">
      <c r="A36" s="10" t="s">
        <v>33</v>
      </c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</row>
    <row r="37" spans="1:21" ht="13.75" hidden="1" customHeight="1" x14ac:dyDescent="0.35">
      <c r="A37" s="10" t="s">
        <v>59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</row>
    <row r="38" spans="1:21" ht="13.75" hidden="1" customHeight="1" x14ac:dyDescent="0.35">
      <c r="A38" s="10" t="s">
        <v>234</v>
      </c>
      <c r="B38" s="65"/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</row>
    <row r="39" spans="1:21" ht="13.75" hidden="1" customHeight="1" x14ac:dyDescent="0.35">
      <c r="A39" s="10" t="s">
        <v>235</v>
      </c>
      <c r="B39" s="65"/>
      <c r="C39" s="65"/>
      <c r="D39" s="65"/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</row>
    <row r="40" spans="1:21" ht="13.75" hidden="1" customHeight="1" x14ac:dyDescent="0.35">
      <c r="A40" s="10" t="s">
        <v>236</v>
      </c>
      <c r="B40" s="65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</row>
    <row r="41" spans="1:21" ht="13.75" hidden="1" customHeight="1" x14ac:dyDescent="0.35">
      <c r="A41" s="10" t="s">
        <v>237</v>
      </c>
      <c r="B41" s="65"/>
      <c r="C41" s="65"/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</row>
    <row r="42" spans="1:21" x14ac:dyDescent="0.35">
      <c r="A42" s="10" t="s">
        <v>238</v>
      </c>
      <c r="B42" s="65"/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</row>
    <row r="43" spans="1:21" x14ac:dyDescent="0.35">
      <c r="A43" s="10" t="s">
        <v>239</v>
      </c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</row>
    <row r="44" spans="1:21" ht="13.75" hidden="1" customHeight="1" x14ac:dyDescent="0.35">
      <c r="A44" s="10" t="s">
        <v>240</v>
      </c>
      <c r="B44" s="65"/>
      <c r="C44" s="65"/>
      <c r="D44" s="65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</row>
    <row r="45" spans="1:21" ht="13.75" hidden="1" customHeight="1" x14ac:dyDescent="0.35">
      <c r="A45" s="81"/>
      <c r="B45" s="65"/>
      <c r="C45" s="65"/>
      <c r="D45" s="65"/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</row>
    <row r="46" spans="1:21" ht="13.75" hidden="1" customHeight="1" x14ac:dyDescent="0.35">
      <c r="A46" s="10" t="s">
        <v>242</v>
      </c>
      <c r="B46" s="65"/>
      <c r="C46" s="65"/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</row>
    <row r="47" spans="1:21" hidden="1" x14ac:dyDescent="0.35">
      <c r="A47" s="10" t="s">
        <v>243</v>
      </c>
      <c r="B47" s="65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</row>
    <row r="48" spans="1:21" x14ac:dyDescent="0.35">
      <c r="A48" s="10" t="s">
        <v>244</v>
      </c>
      <c r="B48" s="65"/>
      <c r="C48" s="65"/>
      <c r="D48" s="65"/>
      <c r="E48" s="65"/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</row>
    <row r="49" spans="1:21" x14ac:dyDescent="0.35">
      <c r="A49" s="10" t="s">
        <v>245</v>
      </c>
      <c r="B49" s="65"/>
      <c r="C49" s="65"/>
      <c r="D49" s="65"/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</row>
    <row r="50" spans="1:21" hidden="1" x14ac:dyDescent="0.35">
      <c r="A50" s="10" t="s">
        <v>246</v>
      </c>
      <c r="B50" s="65"/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</row>
    <row r="51" spans="1:21" hidden="1" x14ac:dyDescent="0.35">
      <c r="A51" s="10" t="s">
        <v>247</v>
      </c>
      <c r="B51" s="65"/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</row>
    <row r="52" spans="1:21" ht="15.5" x14ac:dyDescent="0.35">
      <c r="A52" s="10" t="s">
        <v>248</v>
      </c>
      <c r="B52" s="66"/>
      <c r="C52" s="66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</row>
    <row r="53" spans="1:21" x14ac:dyDescent="0.35">
      <c r="A53" s="81"/>
      <c r="B53" s="65"/>
      <c r="C53" s="65"/>
      <c r="D53" s="65"/>
      <c r="E53" s="65"/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</row>
    <row r="54" spans="1:21" x14ac:dyDescent="0.35">
      <c r="A54" s="10" t="s">
        <v>250</v>
      </c>
      <c r="B54" s="65"/>
      <c r="C54" s="65"/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</row>
    <row r="55" spans="1:21" hidden="1" x14ac:dyDescent="0.35">
      <c r="A55" s="10" t="s">
        <v>251</v>
      </c>
      <c r="B55" s="65"/>
      <c r="C55" s="65"/>
      <c r="D55" s="65"/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</row>
    <row r="56" spans="1:21" hidden="1" x14ac:dyDescent="0.35">
      <c r="A56" s="10" t="s">
        <v>252</v>
      </c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</row>
    <row r="57" spans="1:21" hidden="1" x14ac:dyDescent="0.35">
      <c r="A57" s="10" t="s">
        <v>253</v>
      </c>
      <c r="B57" s="65"/>
      <c r="C57" s="65"/>
      <c r="D57" s="65"/>
      <c r="E57" s="65"/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</row>
    <row r="58" spans="1:21" ht="15.5" x14ac:dyDescent="0.35">
      <c r="A58" s="4"/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</row>
    <row r="59" spans="1:21" x14ac:dyDescent="0.35">
      <c r="A59" s="81"/>
      <c r="B59" s="65"/>
      <c r="C59" s="65"/>
      <c r="D59" s="65"/>
      <c r="E59" s="65"/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</row>
    <row r="60" spans="1:21" x14ac:dyDescent="0.35">
      <c r="A60" s="10" t="s">
        <v>256</v>
      </c>
      <c r="B60" s="65"/>
      <c r="C60" s="65"/>
      <c r="D60" s="65"/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</row>
    <row r="61" spans="1:21" hidden="1" x14ac:dyDescent="0.35">
      <c r="A61" s="10" t="s">
        <v>257</v>
      </c>
      <c r="B61" s="65"/>
      <c r="C61" s="65"/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</row>
    <row r="62" spans="1:21" hidden="1" x14ac:dyDescent="0.35">
      <c r="A62" s="10" t="s">
        <v>258</v>
      </c>
      <c r="B62" s="65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</row>
    <row r="63" spans="1:21" hidden="1" x14ac:dyDescent="0.35">
      <c r="A63" s="10" t="s">
        <v>259</v>
      </c>
      <c r="B63" s="65"/>
      <c r="C63" s="65"/>
      <c r="D63" s="65"/>
      <c r="E63" s="65"/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</row>
    <row r="64" spans="1:21" hidden="1" x14ac:dyDescent="0.35">
      <c r="A64" s="10" t="s">
        <v>260</v>
      </c>
      <c r="B64" s="65"/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</row>
    <row r="65" spans="1:21" hidden="1" x14ac:dyDescent="0.35">
      <c r="A65" s="10" t="s">
        <v>261</v>
      </c>
      <c r="B65" s="65"/>
      <c r="C65" s="65"/>
      <c r="D65" s="65"/>
      <c r="E65" s="65"/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</row>
    <row r="66" spans="1:21" hidden="1" x14ac:dyDescent="0.35">
      <c r="A66" s="10" t="s">
        <v>262</v>
      </c>
      <c r="B66" s="65"/>
      <c r="C66" s="65"/>
      <c r="D66" s="65"/>
      <c r="E66" s="65"/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</row>
    <row r="67" spans="1:21" x14ac:dyDescent="0.35">
      <c r="A67" s="81"/>
      <c r="B67" s="67"/>
      <c r="C67" s="67"/>
      <c r="D67" s="67"/>
      <c r="E67" s="67"/>
      <c r="F67" s="67"/>
      <c r="G67" s="67"/>
      <c r="H67" s="67"/>
      <c r="I67" s="67"/>
      <c r="J67" s="67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</row>
    <row r="68" spans="1:21" x14ac:dyDescent="0.35">
      <c r="A68" s="10" t="s">
        <v>264</v>
      </c>
      <c r="B68" s="65"/>
      <c r="C68" s="65"/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</row>
    <row r="69" spans="1:21" x14ac:dyDescent="0.35">
      <c r="A69" s="10" t="s">
        <v>265</v>
      </c>
      <c r="B69" s="65"/>
      <c r="C69" s="65"/>
      <c r="D69" s="65"/>
      <c r="E69" s="65"/>
      <c r="F69" s="65"/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</row>
    <row r="70" spans="1:21" x14ac:dyDescent="0.35">
      <c r="A70" s="10" t="s">
        <v>266</v>
      </c>
      <c r="B70" s="65"/>
      <c r="C70" s="65"/>
      <c r="D70" s="65"/>
      <c r="E70" s="65"/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</row>
    <row r="71" spans="1:21" x14ac:dyDescent="0.35">
      <c r="A71" s="10" t="s">
        <v>267</v>
      </c>
      <c r="B71" s="65"/>
      <c r="C71" s="65"/>
      <c r="D71" s="65"/>
      <c r="E71" s="65"/>
      <c r="F71" s="65"/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</row>
    <row r="72" spans="1:21" x14ac:dyDescent="0.35">
      <c r="A72" s="10" t="s">
        <v>268</v>
      </c>
      <c r="B72" s="65"/>
      <c r="C72" s="65"/>
      <c r="D72" s="65"/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</row>
    <row r="73" spans="1:21" x14ac:dyDescent="0.35">
      <c r="A73" s="10" t="s">
        <v>269</v>
      </c>
      <c r="B73" s="65"/>
      <c r="C73" s="65"/>
      <c r="D73" s="65"/>
      <c r="E73" s="65"/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</row>
    <row r="74" spans="1:21" x14ac:dyDescent="0.35">
      <c r="A74" s="10" t="s">
        <v>270</v>
      </c>
      <c r="B74" s="65"/>
      <c r="C74" s="65"/>
      <c r="D74" s="65"/>
      <c r="E74" s="65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</row>
    <row r="75" spans="1:21" x14ac:dyDescent="0.35">
      <c r="A75" s="81"/>
      <c r="B75" s="65"/>
      <c r="C75" s="65"/>
      <c r="D75" s="65"/>
      <c r="E75" s="65"/>
      <c r="F75" s="65"/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</row>
    <row r="76" spans="1:21" x14ac:dyDescent="0.35">
      <c r="A76" s="10" t="s">
        <v>272</v>
      </c>
      <c r="B76" s="65"/>
      <c r="C76" s="65"/>
      <c r="D76" s="65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</row>
    <row r="77" spans="1:21" x14ac:dyDescent="0.35">
      <c r="A77" s="10" t="s">
        <v>273</v>
      </c>
      <c r="B77" s="65"/>
      <c r="C77" s="65"/>
      <c r="D77" s="65"/>
      <c r="E77" s="65"/>
      <c r="F77" s="65"/>
      <c r="G77" s="65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</row>
    <row r="78" spans="1:21" hidden="1" x14ac:dyDescent="0.35">
      <c r="A78" s="10" t="s">
        <v>274</v>
      </c>
      <c r="B78" s="65"/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</row>
    <row r="79" spans="1:21" hidden="1" x14ac:dyDescent="0.35">
      <c r="A79" s="10" t="s">
        <v>275</v>
      </c>
      <c r="B79" s="65"/>
      <c r="C79" s="65"/>
      <c r="D79" s="65"/>
      <c r="E79" s="65"/>
      <c r="F79" s="65"/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</row>
    <row r="80" spans="1:21" hidden="1" x14ac:dyDescent="0.35">
      <c r="A80" s="81"/>
      <c r="B80" s="65"/>
      <c r="C80" s="65"/>
      <c r="D80" s="65"/>
      <c r="E80" s="65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</row>
    <row r="81" spans="1:23" x14ac:dyDescent="0.35">
      <c r="A81" s="10" t="s">
        <v>277</v>
      </c>
      <c r="B81" s="67"/>
      <c r="C81" s="67"/>
      <c r="D81" s="67"/>
      <c r="E81" s="67"/>
      <c r="F81" s="67"/>
      <c r="G81" s="67"/>
      <c r="H81" s="67"/>
      <c r="I81" s="67"/>
      <c r="J81" s="67"/>
      <c r="K81" s="67"/>
      <c r="L81" s="67"/>
      <c r="M81" s="67"/>
      <c r="N81" s="67"/>
      <c r="O81" s="67"/>
      <c r="P81" s="67"/>
      <c r="Q81" s="67"/>
      <c r="R81" s="67"/>
      <c r="S81" s="67"/>
      <c r="T81" s="67"/>
      <c r="U81" s="67"/>
    </row>
    <row r="82" spans="1:23" x14ac:dyDescent="0.35">
      <c r="A82" s="10" t="s">
        <v>278</v>
      </c>
      <c r="B82" s="65"/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</row>
    <row r="83" spans="1:23" x14ac:dyDescent="0.35">
      <c r="A83" s="10" t="s">
        <v>279</v>
      </c>
      <c r="B83" s="65"/>
      <c r="C83" s="65"/>
      <c r="D83" s="65"/>
      <c r="E83" s="65"/>
      <c r="F83" s="65"/>
      <c r="G83" s="65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</row>
    <row r="84" spans="1:23" x14ac:dyDescent="0.35">
      <c r="A84" s="41" t="s">
        <v>280</v>
      </c>
      <c r="B84" s="65"/>
      <c r="C84" s="65"/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</row>
    <row r="85" spans="1:23" ht="15.5" x14ac:dyDescent="0.35">
      <c r="A85" s="81"/>
      <c r="B85" s="68"/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</row>
    <row r="86" spans="1:23" x14ac:dyDescent="0.35">
      <c r="A86" s="10" t="s">
        <v>282</v>
      </c>
      <c r="B86" s="65"/>
      <c r="C86" s="65"/>
      <c r="D86" s="65"/>
      <c r="E86" s="65"/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</row>
    <row r="87" spans="1:23" x14ac:dyDescent="0.35">
      <c r="A87" s="10" t="s">
        <v>283</v>
      </c>
      <c r="B87" s="65"/>
      <c r="C87" s="65"/>
      <c r="D87" s="65"/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</row>
    <row r="88" spans="1:23" hidden="1" x14ac:dyDescent="0.35">
      <c r="A88" s="81"/>
      <c r="B88" s="65"/>
      <c r="C88" s="65"/>
      <c r="D88" s="65"/>
      <c r="E88" s="65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</row>
    <row r="89" spans="1:23" hidden="1" x14ac:dyDescent="0.35">
      <c r="A89" s="10" t="s">
        <v>285</v>
      </c>
      <c r="B89" s="65"/>
      <c r="C89" s="65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</row>
    <row r="90" spans="1:23" hidden="1" x14ac:dyDescent="0.35">
      <c r="A90" s="10" t="s">
        <v>286</v>
      </c>
      <c r="B90" s="65"/>
      <c r="C90" s="65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</row>
    <row r="91" spans="1:23" ht="15.5" x14ac:dyDescent="0.35">
      <c r="A91" s="10" t="s">
        <v>287</v>
      </c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</row>
    <row r="92" spans="1:23" x14ac:dyDescent="0.35">
      <c r="A92" s="10" t="s">
        <v>288</v>
      </c>
      <c r="B92" s="65"/>
      <c r="C92" s="65"/>
      <c r="D92" s="65"/>
      <c r="E92" s="65"/>
      <c r="F92" s="65"/>
      <c r="G92" s="65"/>
      <c r="H92" s="65"/>
      <c r="I92" s="65"/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</row>
    <row r="93" spans="1:23" x14ac:dyDescent="0.35">
      <c r="A93" s="10" t="s">
        <v>289</v>
      </c>
      <c r="B93" s="65"/>
      <c r="C93" s="65"/>
      <c r="D93" s="65"/>
      <c r="E93" s="65"/>
      <c r="F93" s="65"/>
      <c r="G93" s="65"/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</row>
    <row r="94" spans="1:23" x14ac:dyDescent="0.35">
      <c r="A94" s="10" t="s">
        <v>290</v>
      </c>
      <c r="B94" s="65"/>
      <c r="C94" s="65"/>
      <c r="D94" s="65"/>
      <c r="E94" s="65"/>
      <c r="F94" s="65"/>
      <c r="G94" s="65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</row>
    <row r="95" spans="1:23" x14ac:dyDescent="0.35">
      <c r="A95" s="81"/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W95" s="87"/>
    </row>
    <row r="96" spans="1:23" hidden="1" x14ac:dyDescent="0.35">
      <c r="A96" s="10" t="s">
        <v>292</v>
      </c>
      <c r="B96" s="65"/>
      <c r="C96" s="65"/>
      <c r="D96" s="65"/>
      <c r="E96" s="65"/>
      <c r="F96" s="65"/>
      <c r="G96" s="65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</row>
    <row r="97" spans="1:21" hidden="1" x14ac:dyDescent="0.35">
      <c r="A97" s="10" t="s">
        <v>293</v>
      </c>
      <c r="B97" s="65"/>
      <c r="C97" s="65"/>
      <c r="D97" s="65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</row>
    <row r="98" spans="1:21" hidden="1" x14ac:dyDescent="0.35">
      <c r="A98" s="10" t="s">
        <v>294</v>
      </c>
      <c r="B98" s="65"/>
      <c r="C98" s="65"/>
      <c r="D98" s="65"/>
      <c r="E98" s="65"/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</row>
    <row r="99" spans="1:21" hidden="1" x14ac:dyDescent="0.35">
      <c r="A99" s="10" t="s">
        <v>295</v>
      </c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</row>
    <row r="100" spans="1:21" hidden="1" x14ac:dyDescent="0.35">
      <c r="A100" s="10" t="s">
        <v>296</v>
      </c>
      <c r="B100" s="65"/>
      <c r="C100" s="65"/>
      <c r="D100" s="65"/>
      <c r="E100" s="65"/>
      <c r="F100" s="65"/>
      <c r="G100" s="65"/>
      <c r="H100" s="65"/>
      <c r="I100" s="65"/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</row>
    <row r="101" spans="1:21" ht="15.5" x14ac:dyDescent="0.35">
      <c r="A101" s="10" t="s">
        <v>297</v>
      </c>
      <c r="B101" s="66"/>
      <c r="C101" s="66"/>
      <c r="D101" s="66"/>
      <c r="E101" s="66"/>
      <c r="F101" s="66"/>
      <c r="G101" s="66"/>
      <c r="H101" s="66"/>
      <c r="I101" s="66"/>
      <c r="J101" s="66"/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</row>
    <row r="102" spans="1:21" ht="15.5" x14ac:dyDescent="0.35">
      <c r="A102" s="82"/>
      <c r="B102" s="65"/>
      <c r="C102" s="65"/>
      <c r="D102" s="65"/>
      <c r="E102" s="65"/>
      <c r="F102" s="65"/>
      <c r="G102" s="65"/>
      <c r="H102" s="65"/>
      <c r="I102" s="65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</row>
    <row r="103" spans="1:21" x14ac:dyDescent="0.35">
      <c r="A103" s="18" t="s">
        <v>62</v>
      </c>
      <c r="B103" s="65"/>
      <c r="C103" s="65"/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</row>
    <row r="104" spans="1:21" x14ac:dyDescent="0.35">
      <c r="A104" s="18" t="s">
        <v>60</v>
      </c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</row>
    <row r="105" spans="1:21" x14ac:dyDescent="0.35">
      <c r="A105" s="83"/>
      <c r="B105" s="65"/>
      <c r="C105" s="65"/>
      <c r="D105" s="65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</row>
    <row r="106" spans="1:21" ht="15.5" x14ac:dyDescent="0.35">
      <c r="A106" s="18" t="s">
        <v>299</v>
      </c>
      <c r="B106" s="66"/>
      <c r="C106" s="66"/>
      <c r="D106" s="66"/>
      <c r="E106" s="66"/>
      <c r="F106" s="66"/>
      <c r="G106" s="66"/>
      <c r="H106" s="66"/>
      <c r="I106" s="66"/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</row>
    <row r="107" spans="1:21" x14ac:dyDescent="0.35">
      <c r="A107" s="10" t="s">
        <v>300</v>
      </c>
      <c r="B107" s="65"/>
      <c r="C107" s="65"/>
      <c r="D107" s="65"/>
      <c r="E107" s="65"/>
      <c r="F107" s="65"/>
      <c r="G107" s="65"/>
      <c r="H107" s="65"/>
      <c r="I107" s="65"/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</row>
    <row r="108" spans="1:21" x14ac:dyDescent="0.35">
      <c r="A108" s="18" t="s">
        <v>301</v>
      </c>
      <c r="B108" s="65"/>
      <c r="C108" s="65"/>
      <c r="D108" s="65"/>
      <c r="E108" s="65"/>
      <c r="F108" s="65"/>
      <c r="G108" s="65"/>
      <c r="H108" s="65"/>
      <c r="I108" s="65"/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</row>
    <row r="109" spans="1:21" x14ac:dyDescent="0.35">
      <c r="A109" s="10" t="s">
        <v>302</v>
      </c>
      <c r="B109" s="65"/>
      <c r="C109" s="65"/>
      <c r="D109" s="65"/>
      <c r="E109" s="65"/>
      <c r="F109" s="65"/>
      <c r="G109" s="65"/>
      <c r="H109" s="65"/>
      <c r="I109" s="65"/>
      <c r="J109" s="65"/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65"/>
    </row>
    <row r="110" spans="1:21" x14ac:dyDescent="0.35">
      <c r="A110" s="10" t="s">
        <v>303</v>
      </c>
      <c r="B110" s="65"/>
      <c r="C110" s="65"/>
      <c r="D110" s="65"/>
      <c r="E110" s="65"/>
      <c r="F110" s="65"/>
      <c r="G110" s="65"/>
      <c r="H110" s="65"/>
      <c r="I110" s="65"/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</row>
    <row r="111" spans="1:21" x14ac:dyDescent="0.35">
      <c r="A111" s="10" t="s">
        <v>304</v>
      </c>
      <c r="B111" s="65"/>
      <c r="C111" s="65"/>
      <c r="D111" s="65"/>
      <c r="E111" s="65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</row>
    <row r="112" spans="1:21" x14ac:dyDescent="0.35">
      <c r="A112" s="10" t="s">
        <v>83</v>
      </c>
      <c r="B112" s="65"/>
      <c r="C112" s="65"/>
      <c r="D112" s="65"/>
      <c r="E112" s="65"/>
      <c r="F112" s="65"/>
      <c r="G112" s="65"/>
      <c r="H112" s="65"/>
      <c r="I112" s="65"/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</row>
    <row r="113" spans="1:21" x14ac:dyDescent="0.35">
      <c r="A113" s="10" t="s">
        <v>305</v>
      </c>
      <c r="B113" s="65"/>
      <c r="C113" s="65"/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</row>
    <row r="114" spans="1:21" x14ac:dyDescent="0.35">
      <c r="A114" s="10" t="s">
        <v>306</v>
      </c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</row>
    <row r="115" spans="1:21" x14ac:dyDescent="0.35">
      <c r="A115" s="10" t="s">
        <v>307</v>
      </c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</row>
    <row r="116" spans="1:21" x14ac:dyDescent="0.35">
      <c r="A116" s="10" t="s">
        <v>308</v>
      </c>
      <c r="B116" s="65"/>
      <c r="C116" s="65"/>
      <c r="D116" s="65"/>
      <c r="E116" s="65"/>
      <c r="F116" s="65"/>
      <c r="G116" s="65"/>
      <c r="H116" s="65"/>
      <c r="I116" s="65"/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</row>
    <row r="117" spans="1:21" hidden="1" x14ac:dyDescent="0.35">
      <c r="A117" s="10" t="s">
        <v>309</v>
      </c>
      <c r="B117" s="65"/>
      <c r="C117" s="65"/>
      <c r="D117" s="65"/>
      <c r="E117" s="65"/>
      <c r="F117" s="65"/>
      <c r="G117" s="65"/>
      <c r="H117" s="65"/>
      <c r="I117" s="65"/>
      <c r="J117" s="65"/>
      <c r="K117" s="65"/>
      <c r="L117" s="65"/>
      <c r="M117" s="65"/>
      <c r="N117" s="65"/>
      <c r="O117" s="65"/>
      <c r="P117" s="65"/>
      <c r="Q117" s="65"/>
      <c r="R117" s="65"/>
      <c r="S117" s="65"/>
      <c r="T117" s="65"/>
      <c r="U117" s="65"/>
    </row>
    <row r="118" spans="1:21" ht="15.5" x14ac:dyDescent="0.35">
      <c r="A118" s="83"/>
      <c r="B118" s="66"/>
      <c r="C118" s="66"/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</row>
    <row r="119" spans="1:21" x14ac:dyDescent="0.35">
      <c r="A119" s="10" t="s">
        <v>311</v>
      </c>
      <c r="B119" s="65"/>
      <c r="C119" s="65"/>
      <c r="D119" s="65"/>
      <c r="E119" s="65"/>
      <c r="F119" s="65"/>
      <c r="G119" s="65"/>
      <c r="H119" s="65"/>
      <c r="I119" s="65"/>
      <c r="J119" s="65"/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65"/>
    </row>
    <row r="120" spans="1:21" x14ac:dyDescent="0.35">
      <c r="A120" s="10" t="s">
        <v>312</v>
      </c>
      <c r="B120" s="65"/>
      <c r="C120" s="65"/>
      <c r="D120" s="65"/>
      <c r="E120" s="65"/>
      <c r="F120" s="65"/>
      <c r="G120" s="65"/>
      <c r="H120" s="65"/>
      <c r="I120" s="65"/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</row>
    <row r="121" spans="1:21" hidden="1" x14ac:dyDescent="0.35">
      <c r="A121" s="10" t="s">
        <v>313</v>
      </c>
      <c r="B121" s="65"/>
      <c r="C121" s="65"/>
      <c r="D121" s="65"/>
      <c r="E121" s="65"/>
      <c r="F121" s="65"/>
      <c r="G121" s="65"/>
      <c r="H121" s="65"/>
      <c r="I121" s="65"/>
      <c r="J121" s="65"/>
      <c r="K121" s="65"/>
      <c r="L121" s="65"/>
      <c r="M121" s="65"/>
      <c r="N121" s="65"/>
      <c r="O121" s="65"/>
      <c r="P121" s="65"/>
      <c r="Q121" s="65"/>
      <c r="R121" s="65"/>
      <c r="S121" s="65"/>
      <c r="T121" s="65"/>
      <c r="U121" s="65"/>
    </row>
    <row r="122" spans="1:21" hidden="1" x14ac:dyDescent="0.35">
      <c r="A122" s="10" t="s">
        <v>314</v>
      </c>
      <c r="B122" s="65"/>
      <c r="C122" s="65"/>
      <c r="D122" s="65"/>
      <c r="E122" s="65"/>
      <c r="F122" s="65"/>
      <c r="G122" s="65"/>
      <c r="H122" s="65"/>
      <c r="I122" s="65"/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</row>
    <row r="123" spans="1:21" hidden="1" x14ac:dyDescent="0.35">
      <c r="A123" s="10" t="s">
        <v>315</v>
      </c>
      <c r="B123" s="65"/>
      <c r="C123" s="65"/>
      <c r="D123" s="65"/>
      <c r="E123" s="65"/>
      <c r="F123" s="65"/>
      <c r="G123" s="65"/>
      <c r="H123" s="65"/>
      <c r="I123" s="65"/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</row>
    <row r="124" spans="1:21" ht="15.5" x14ac:dyDescent="0.35">
      <c r="A124" s="10" t="s">
        <v>316</v>
      </c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</row>
    <row r="125" spans="1:21" x14ac:dyDescent="0.35">
      <c r="A125" s="10" t="s">
        <v>317</v>
      </c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</row>
    <row r="126" spans="1:21" x14ac:dyDescent="0.35">
      <c r="A126" s="10" t="s">
        <v>318</v>
      </c>
      <c r="B126" s="65"/>
      <c r="C126" s="65"/>
      <c r="D126" s="65"/>
      <c r="E126" s="65"/>
      <c r="F126" s="65"/>
      <c r="G126" s="65"/>
      <c r="H126" s="65"/>
      <c r="I126" s="65"/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</row>
    <row r="127" spans="1:21" x14ac:dyDescent="0.35">
      <c r="A127" s="10" t="s">
        <v>319</v>
      </c>
      <c r="B127" s="65"/>
      <c r="C127" s="65"/>
      <c r="D127" s="65"/>
      <c r="E127" s="65"/>
      <c r="F127" s="65"/>
      <c r="G127" s="65"/>
      <c r="H127" s="65"/>
      <c r="I127" s="65"/>
      <c r="J127" s="65"/>
      <c r="K127" s="65"/>
      <c r="L127" s="65"/>
      <c r="M127" s="65"/>
      <c r="N127" s="65"/>
      <c r="O127" s="65"/>
      <c r="P127" s="65"/>
      <c r="Q127" s="65"/>
      <c r="R127" s="65"/>
      <c r="S127" s="65"/>
      <c r="T127" s="65"/>
      <c r="U127" s="65"/>
    </row>
    <row r="128" spans="1:21" x14ac:dyDescent="0.35">
      <c r="A128" s="10" t="s">
        <v>320</v>
      </c>
      <c r="B128" s="65"/>
      <c r="C128" s="65"/>
      <c r="D128" s="65"/>
      <c r="E128" s="65"/>
      <c r="F128" s="65"/>
      <c r="G128" s="65"/>
      <c r="H128" s="65"/>
      <c r="I128" s="65"/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</row>
    <row r="129" spans="1:21" x14ac:dyDescent="0.35">
      <c r="A129" s="10" t="s">
        <v>321</v>
      </c>
      <c r="B129" s="65"/>
      <c r="C129" s="65"/>
      <c r="D129" s="65"/>
      <c r="E129" s="65"/>
      <c r="F129" s="65"/>
      <c r="G129" s="65"/>
      <c r="H129" s="65"/>
      <c r="I129" s="65"/>
      <c r="J129" s="65"/>
      <c r="K129" s="65"/>
      <c r="L129" s="65"/>
      <c r="M129" s="65"/>
      <c r="N129" s="65"/>
      <c r="O129" s="65"/>
      <c r="P129" s="65"/>
      <c r="Q129" s="65"/>
      <c r="R129" s="65"/>
      <c r="S129" s="65"/>
      <c r="T129" s="65"/>
      <c r="U129" s="65"/>
    </row>
    <row r="130" spans="1:21" x14ac:dyDescent="0.35">
      <c r="A130" s="83"/>
      <c r="B130" s="65"/>
      <c r="C130" s="65"/>
      <c r="D130" s="65"/>
      <c r="E130" s="65"/>
      <c r="F130" s="65"/>
      <c r="G130" s="65"/>
      <c r="H130" s="65"/>
      <c r="I130" s="65"/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</row>
    <row r="131" spans="1:21" ht="15.5" x14ac:dyDescent="0.35">
      <c r="A131" s="10" t="s">
        <v>24</v>
      </c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</row>
    <row r="132" spans="1:21" x14ac:dyDescent="0.35">
      <c r="A132" s="10" t="s">
        <v>80</v>
      </c>
      <c r="B132" s="65"/>
      <c r="C132" s="65"/>
      <c r="D132" s="65"/>
      <c r="E132" s="65"/>
      <c r="F132" s="65"/>
      <c r="G132" s="65"/>
      <c r="H132" s="65"/>
      <c r="I132" s="65"/>
      <c r="J132" s="65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</row>
    <row r="133" spans="1:21" x14ac:dyDescent="0.35">
      <c r="A133" s="10" t="s">
        <v>84</v>
      </c>
      <c r="B133" s="65"/>
      <c r="C133" s="65"/>
      <c r="D133" s="65"/>
      <c r="E133" s="65"/>
      <c r="F133" s="65"/>
      <c r="G133" s="65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</row>
    <row r="134" spans="1:21" x14ac:dyDescent="0.35">
      <c r="A134" s="10" t="s">
        <v>394</v>
      </c>
      <c r="B134" s="65"/>
      <c r="C134" s="65"/>
      <c r="D134" s="65"/>
      <c r="E134" s="65"/>
      <c r="F134" s="65"/>
      <c r="G134" s="65"/>
      <c r="H134" s="65"/>
      <c r="I134" s="65"/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</row>
    <row r="135" spans="1:21" x14ac:dyDescent="0.35">
      <c r="A135" s="10" t="s">
        <v>394</v>
      </c>
      <c r="B135" s="65"/>
      <c r="C135" s="65"/>
      <c r="D135" s="65"/>
      <c r="E135" s="65"/>
      <c r="F135" s="65"/>
      <c r="G135" s="65"/>
      <c r="H135" s="65"/>
      <c r="I135" s="65"/>
      <c r="J135" s="65"/>
      <c r="K135" s="65"/>
      <c r="L135" s="65"/>
      <c r="M135" s="65"/>
      <c r="N135" s="65"/>
      <c r="O135" s="65"/>
      <c r="P135" s="65"/>
      <c r="Q135" s="65"/>
      <c r="R135" s="65"/>
      <c r="S135" s="65"/>
      <c r="T135" s="65"/>
      <c r="U135" s="65"/>
    </row>
    <row r="136" spans="1:21" ht="15.5" x14ac:dyDescent="0.35">
      <c r="A136" s="10" t="s">
        <v>25</v>
      </c>
      <c r="B136" s="66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</row>
    <row r="137" spans="1:21" x14ac:dyDescent="0.35">
      <c r="A137" s="10" t="s">
        <v>322</v>
      </c>
      <c r="B137" s="65"/>
      <c r="C137" s="65"/>
      <c r="D137" s="65"/>
      <c r="E137" s="65"/>
      <c r="F137" s="65"/>
      <c r="G137" s="65"/>
      <c r="H137" s="65"/>
      <c r="I137" s="65"/>
      <c r="J137" s="65"/>
      <c r="K137" s="65"/>
      <c r="L137" s="65"/>
      <c r="M137" s="65"/>
      <c r="N137" s="65"/>
      <c r="O137" s="65"/>
      <c r="P137" s="65"/>
      <c r="Q137" s="65"/>
      <c r="R137" s="65"/>
      <c r="S137" s="65"/>
      <c r="T137" s="65"/>
      <c r="U137" s="65"/>
    </row>
    <row r="138" spans="1:21" hidden="1" x14ac:dyDescent="0.35">
      <c r="A138" s="10" t="s">
        <v>393</v>
      </c>
      <c r="B138" s="65"/>
      <c r="C138" s="65"/>
      <c r="D138" s="65"/>
      <c r="E138" s="65"/>
      <c r="F138" s="65"/>
      <c r="G138" s="65"/>
      <c r="H138" s="65"/>
      <c r="I138" s="65"/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</row>
    <row r="139" spans="1:21" hidden="1" x14ac:dyDescent="0.35">
      <c r="A139" s="10" t="s">
        <v>43</v>
      </c>
      <c r="B139" s="65"/>
      <c r="C139" s="65"/>
      <c r="D139" s="65"/>
      <c r="E139" s="65"/>
      <c r="F139" s="65"/>
      <c r="G139" s="65"/>
      <c r="H139" s="65"/>
      <c r="I139" s="65"/>
      <c r="J139" s="65"/>
      <c r="K139" s="65"/>
      <c r="L139" s="65"/>
      <c r="M139" s="65"/>
      <c r="N139" s="65"/>
      <c r="O139" s="65"/>
      <c r="P139" s="65"/>
      <c r="Q139" s="65"/>
      <c r="R139" s="65"/>
      <c r="S139" s="65"/>
      <c r="T139" s="65"/>
      <c r="U139" s="65"/>
    </row>
    <row r="140" spans="1:21" ht="15.5" x14ac:dyDescent="0.35">
      <c r="A140" s="10" t="s">
        <v>81</v>
      </c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</row>
    <row r="141" spans="1:21" x14ac:dyDescent="0.35">
      <c r="A141" s="10" t="s">
        <v>82</v>
      </c>
      <c r="B141" s="65"/>
      <c r="C141" s="65"/>
      <c r="D141" s="65"/>
      <c r="E141" s="65"/>
      <c r="F141" s="65"/>
      <c r="G141" s="65"/>
      <c r="H141" s="65"/>
      <c r="I141" s="65"/>
      <c r="J141" s="65"/>
      <c r="K141" s="65"/>
      <c r="L141" s="65"/>
      <c r="M141" s="65"/>
      <c r="N141" s="65"/>
      <c r="O141" s="65"/>
      <c r="P141" s="65"/>
      <c r="Q141" s="65"/>
      <c r="R141" s="65"/>
      <c r="S141" s="65"/>
      <c r="T141" s="65"/>
      <c r="U141" s="65"/>
    </row>
    <row r="142" spans="1:21" x14ac:dyDescent="0.35">
      <c r="A142" s="10" t="s">
        <v>323</v>
      </c>
      <c r="B142" s="65"/>
      <c r="C142" s="65"/>
      <c r="D142" s="65"/>
      <c r="E142" s="65"/>
      <c r="F142" s="65"/>
      <c r="G142" s="65"/>
      <c r="H142" s="65"/>
      <c r="I142" s="65"/>
      <c r="J142" s="65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</row>
    <row r="143" spans="1:21" x14ac:dyDescent="0.35">
      <c r="A143" s="10" t="s">
        <v>324</v>
      </c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  <c r="P143" s="65"/>
      <c r="Q143" s="65"/>
      <c r="R143" s="65"/>
      <c r="S143" s="65"/>
      <c r="T143" s="65"/>
      <c r="U143" s="65"/>
    </row>
    <row r="144" spans="1:21" x14ac:dyDescent="0.35">
      <c r="A144" s="78" t="s">
        <v>325</v>
      </c>
      <c r="B144" s="65"/>
      <c r="C144" s="65"/>
      <c r="D144" s="65"/>
      <c r="E144" s="65"/>
      <c r="F144" s="65"/>
      <c r="G144" s="65"/>
      <c r="H144" s="65"/>
      <c r="I144" s="65"/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</row>
    <row r="145" spans="1:23" x14ac:dyDescent="0.35">
      <c r="A145" s="83"/>
      <c r="B145" s="65"/>
      <c r="C145" s="65"/>
      <c r="D145" s="65"/>
      <c r="E145" s="65"/>
      <c r="F145" s="65"/>
      <c r="G145" s="65"/>
      <c r="H145" s="65"/>
      <c r="I145" s="65"/>
      <c r="J145" s="65"/>
      <c r="K145" s="65"/>
      <c r="L145" s="65"/>
      <c r="M145" s="65"/>
      <c r="N145" s="65"/>
      <c r="O145" s="65"/>
      <c r="P145" s="65"/>
      <c r="Q145" s="65"/>
      <c r="R145" s="65"/>
      <c r="S145" s="65"/>
      <c r="T145" s="65"/>
      <c r="U145" s="65"/>
    </row>
    <row r="146" spans="1:23" x14ac:dyDescent="0.35">
      <c r="A146" s="10" t="s">
        <v>48</v>
      </c>
      <c r="B146" s="65"/>
      <c r="C146" s="65"/>
      <c r="D146" s="65"/>
      <c r="E146" s="65"/>
      <c r="F146" s="65"/>
      <c r="G146" s="65"/>
      <c r="H146" s="65"/>
      <c r="I146" s="65"/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</row>
    <row r="147" spans="1:23" x14ac:dyDescent="0.35">
      <c r="A147" s="10" t="s">
        <v>49</v>
      </c>
      <c r="B147" s="65"/>
      <c r="C147" s="65"/>
      <c r="D147" s="65"/>
      <c r="E147" s="65"/>
      <c r="F147" s="65"/>
      <c r="G147" s="65"/>
      <c r="H147" s="65"/>
      <c r="I147" s="65"/>
      <c r="J147" s="65"/>
      <c r="K147" s="65"/>
      <c r="L147" s="65"/>
      <c r="M147" s="65"/>
      <c r="N147" s="65"/>
      <c r="O147" s="65"/>
      <c r="P147" s="65"/>
      <c r="Q147" s="65"/>
      <c r="R147" s="65"/>
      <c r="S147" s="65"/>
      <c r="T147" s="65"/>
      <c r="U147" s="65"/>
    </row>
    <row r="148" spans="1:23" x14ac:dyDescent="0.35">
      <c r="A148" s="10" t="s">
        <v>50</v>
      </c>
      <c r="B148" s="65"/>
      <c r="C148" s="65"/>
      <c r="D148" s="65"/>
      <c r="E148" s="65"/>
      <c r="F148" s="65"/>
      <c r="G148" s="65"/>
      <c r="H148" s="65"/>
      <c r="I148" s="65"/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</row>
    <row r="149" spans="1:23" x14ac:dyDescent="0.35">
      <c r="A149" s="10" t="s">
        <v>326</v>
      </c>
      <c r="B149" s="65"/>
      <c r="C149" s="65"/>
      <c r="D149" s="65"/>
      <c r="E149" s="65"/>
      <c r="F149" s="65"/>
      <c r="G149" s="65"/>
      <c r="H149" s="65"/>
      <c r="I149" s="65"/>
      <c r="J149" s="65"/>
      <c r="K149" s="65"/>
      <c r="L149" s="65"/>
      <c r="M149" s="65"/>
      <c r="N149" s="65"/>
      <c r="O149" s="65"/>
      <c r="P149" s="65"/>
      <c r="Q149" s="65"/>
      <c r="R149" s="65"/>
      <c r="S149" s="65"/>
      <c r="T149" s="65"/>
      <c r="U149" s="65"/>
    </row>
    <row r="150" spans="1:23" x14ac:dyDescent="0.35">
      <c r="A150" s="10" t="s">
        <v>327</v>
      </c>
      <c r="B150" s="65"/>
      <c r="C150" s="65"/>
      <c r="D150" s="65"/>
      <c r="E150" s="65"/>
      <c r="F150" s="65"/>
      <c r="G150" s="65"/>
      <c r="H150" s="65"/>
      <c r="I150" s="65"/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</row>
    <row r="151" spans="1:23" hidden="1" x14ac:dyDescent="0.35">
      <c r="A151" s="10" t="s">
        <v>328</v>
      </c>
      <c r="B151" s="65"/>
      <c r="C151" s="65"/>
      <c r="D151" s="65"/>
      <c r="E151" s="65"/>
      <c r="F151" s="65"/>
      <c r="G151" s="65"/>
      <c r="H151" s="65"/>
      <c r="I151" s="65"/>
      <c r="J151" s="65"/>
      <c r="K151" s="65"/>
      <c r="L151" s="65"/>
      <c r="M151" s="65"/>
      <c r="N151" s="65"/>
      <c r="O151" s="65"/>
      <c r="P151" s="65"/>
      <c r="Q151" s="65"/>
      <c r="R151" s="65"/>
      <c r="S151" s="65"/>
      <c r="T151" s="65"/>
      <c r="U151" s="65"/>
    </row>
    <row r="152" spans="1:23" hidden="1" x14ac:dyDescent="0.35">
      <c r="A152" s="10" t="s">
        <v>329</v>
      </c>
      <c r="B152" s="65"/>
      <c r="C152" s="65"/>
      <c r="D152" s="65"/>
      <c r="E152" s="65"/>
      <c r="F152" s="65"/>
      <c r="G152" s="65"/>
      <c r="H152" s="65"/>
      <c r="I152" s="65"/>
      <c r="J152" s="65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</row>
    <row r="153" spans="1:23" hidden="1" x14ac:dyDescent="0.35">
      <c r="A153" s="41" t="s">
        <v>330</v>
      </c>
      <c r="B153" s="65"/>
      <c r="C153" s="65"/>
      <c r="D153" s="65"/>
      <c r="E153" s="65"/>
      <c r="F153" s="65"/>
      <c r="G153" s="65"/>
      <c r="H153" s="65"/>
      <c r="I153" s="65"/>
      <c r="J153" s="65"/>
      <c r="K153" s="65"/>
      <c r="L153" s="65"/>
      <c r="M153" s="65"/>
      <c r="N153" s="65"/>
      <c r="O153" s="65"/>
      <c r="P153" s="65"/>
      <c r="Q153" s="65"/>
      <c r="R153" s="65"/>
      <c r="S153" s="65"/>
      <c r="T153" s="65"/>
      <c r="U153" s="65"/>
    </row>
    <row r="154" spans="1:23" x14ac:dyDescent="0.35">
      <c r="A154" s="41" t="s">
        <v>331</v>
      </c>
      <c r="B154" s="65"/>
      <c r="C154" s="65"/>
      <c r="D154" s="65"/>
      <c r="E154" s="65"/>
      <c r="F154" s="65"/>
      <c r="G154" s="65"/>
      <c r="H154" s="65"/>
      <c r="I154" s="65"/>
      <c r="J154" s="65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</row>
    <row r="155" spans="1:23" x14ac:dyDescent="0.35">
      <c r="A155" s="41" t="s">
        <v>332</v>
      </c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</row>
    <row r="156" spans="1:23" ht="15.5" x14ac:dyDescent="0.35">
      <c r="A156" s="8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</row>
    <row r="157" spans="1:23" x14ac:dyDescent="0.35">
      <c r="A157" s="10" t="s">
        <v>334</v>
      </c>
      <c r="B157" s="65"/>
      <c r="C157" s="65"/>
      <c r="D157" s="65"/>
      <c r="E157" s="65"/>
      <c r="F157" s="65"/>
      <c r="G157" s="65"/>
      <c r="H157" s="65"/>
      <c r="I157" s="65"/>
      <c r="J157" s="65"/>
      <c r="K157" s="65"/>
      <c r="L157" s="65"/>
      <c r="M157" s="65"/>
      <c r="N157" s="65"/>
      <c r="O157" s="65"/>
      <c r="P157" s="65"/>
      <c r="Q157" s="65"/>
      <c r="R157" s="65"/>
      <c r="S157" s="65"/>
      <c r="T157" s="65"/>
      <c r="U157" s="65"/>
      <c r="W157" s="86"/>
    </row>
    <row r="158" spans="1:23" x14ac:dyDescent="0.35">
      <c r="A158" s="18" t="s">
        <v>53</v>
      </c>
      <c r="B158" s="65"/>
      <c r="C158" s="65"/>
      <c r="D158" s="65"/>
      <c r="E158" s="65"/>
      <c r="F158" s="65"/>
      <c r="G158" s="65"/>
      <c r="H158" s="65"/>
      <c r="I158" s="65"/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W158" s="86"/>
    </row>
    <row r="159" spans="1:23" x14ac:dyDescent="0.35">
      <c r="A159" s="18" t="s">
        <v>336</v>
      </c>
      <c r="B159" s="65"/>
      <c r="C159" s="65"/>
      <c r="D159" s="65"/>
      <c r="E159" s="65"/>
      <c r="F159" s="65"/>
      <c r="G159" s="65"/>
      <c r="H159" s="65"/>
      <c r="I159" s="65"/>
      <c r="J159" s="65"/>
      <c r="K159" s="65"/>
      <c r="L159" s="65"/>
      <c r="M159" s="65"/>
      <c r="N159" s="65"/>
      <c r="O159" s="65"/>
      <c r="P159" s="65"/>
      <c r="Q159" s="65"/>
      <c r="R159" s="65"/>
      <c r="S159" s="65"/>
      <c r="T159" s="65"/>
      <c r="U159" s="65"/>
      <c r="W159" s="86"/>
    </row>
    <row r="160" spans="1:23" x14ac:dyDescent="0.35">
      <c r="A160" s="10" t="s">
        <v>337</v>
      </c>
      <c r="B160" s="65"/>
      <c r="C160" s="65"/>
      <c r="D160" s="65"/>
      <c r="E160" s="65"/>
      <c r="F160" s="65"/>
      <c r="G160" s="65"/>
      <c r="H160" s="65"/>
      <c r="I160" s="65"/>
      <c r="J160" s="65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W160" s="86"/>
    </row>
    <row r="161" spans="1:23" x14ac:dyDescent="0.35">
      <c r="A161" s="10" t="s">
        <v>51</v>
      </c>
      <c r="B161" s="65"/>
      <c r="C161" s="65"/>
      <c r="D161" s="65"/>
      <c r="E161" s="65"/>
      <c r="F161" s="65"/>
      <c r="G161" s="65"/>
      <c r="H161" s="65"/>
      <c r="I161" s="65"/>
      <c r="J161" s="65"/>
      <c r="K161" s="65"/>
      <c r="L161" s="65"/>
      <c r="M161" s="65"/>
      <c r="N161" s="65"/>
      <c r="O161" s="65"/>
      <c r="P161" s="65"/>
      <c r="Q161" s="65"/>
      <c r="R161" s="65"/>
      <c r="S161" s="65"/>
      <c r="T161" s="65"/>
      <c r="U161" s="65"/>
      <c r="W161" s="86"/>
    </row>
    <row r="162" spans="1:23" x14ac:dyDescent="0.35">
      <c r="A162" s="10" t="s">
        <v>338</v>
      </c>
      <c r="B162" s="65"/>
      <c r="C162" s="65"/>
      <c r="D162" s="65"/>
      <c r="E162" s="65"/>
      <c r="F162" s="65"/>
      <c r="G162" s="65"/>
      <c r="H162" s="65"/>
      <c r="I162" s="65"/>
      <c r="J162" s="65"/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</row>
    <row r="163" spans="1:23" x14ac:dyDescent="0.35">
      <c r="A163" s="10" t="s">
        <v>339</v>
      </c>
      <c r="B163" s="65"/>
      <c r="C163" s="65"/>
      <c r="D163" s="65"/>
      <c r="E163" s="65"/>
      <c r="F163" s="65"/>
      <c r="G163" s="65"/>
      <c r="H163" s="65"/>
      <c r="I163" s="65"/>
      <c r="J163" s="65"/>
      <c r="K163" s="65"/>
      <c r="L163" s="65"/>
      <c r="M163" s="65"/>
      <c r="N163" s="65"/>
      <c r="O163" s="65"/>
      <c r="P163" s="65"/>
      <c r="Q163" s="65"/>
      <c r="R163" s="65"/>
      <c r="S163" s="65"/>
      <c r="T163" s="65"/>
      <c r="U163" s="65"/>
    </row>
    <row r="164" spans="1:23" x14ac:dyDescent="0.35">
      <c r="A164" s="10" t="s">
        <v>340</v>
      </c>
      <c r="B164" s="65"/>
      <c r="C164" s="65"/>
      <c r="D164" s="65"/>
      <c r="E164" s="65"/>
      <c r="F164" s="65"/>
      <c r="G164" s="65"/>
      <c r="H164" s="65"/>
      <c r="I164" s="65"/>
      <c r="J164" s="65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</row>
    <row r="165" spans="1:23" x14ac:dyDescent="0.35">
      <c r="A165" s="10" t="s">
        <v>341</v>
      </c>
      <c r="B165" s="65"/>
      <c r="C165" s="65"/>
      <c r="D165" s="65"/>
      <c r="E165" s="65"/>
      <c r="F165" s="65"/>
      <c r="G165" s="65"/>
      <c r="H165" s="65"/>
      <c r="I165" s="65"/>
      <c r="J165" s="65"/>
      <c r="K165" s="65"/>
      <c r="L165" s="65"/>
      <c r="M165" s="65"/>
      <c r="N165" s="65"/>
      <c r="O165" s="65"/>
      <c r="P165" s="65"/>
      <c r="Q165" s="65"/>
      <c r="R165" s="65"/>
      <c r="S165" s="65"/>
      <c r="T165" s="65"/>
      <c r="U165" s="65"/>
    </row>
    <row r="166" spans="1:23" x14ac:dyDescent="0.35">
      <c r="A166" s="10" t="s">
        <v>342</v>
      </c>
      <c r="B166" s="65"/>
      <c r="C166" s="65"/>
      <c r="D166" s="65"/>
      <c r="E166" s="65"/>
      <c r="F166" s="65"/>
      <c r="G166" s="65"/>
      <c r="H166" s="65"/>
      <c r="I166" s="65"/>
      <c r="J166" s="65"/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</row>
    <row r="167" spans="1:23" ht="15.5" hidden="1" x14ac:dyDescent="0.35">
      <c r="A167" s="4"/>
      <c r="B167" s="65"/>
      <c r="C167" s="65"/>
      <c r="D167" s="65"/>
      <c r="E167" s="65"/>
      <c r="F167" s="65"/>
      <c r="G167" s="65"/>
      <c r="H167" s="65"/>
      <c r="I167" s="65"/>
      <c r="J167" s="65"/>
      <c r="K167" s="65"/>
      <c r="L167" s="65"/>
      <c r="M167" s="65"/>
      <c r="N167" s="65"/>
      <c r="O167" s="65"/>
      <c r="P167" s="65"/>
      <c r="Q167" s="65"/>
      <c r="R167" s="65"/>
      <c r="S167" s="65"/>
      <c r="T167" s="65"/>
      <c r="U167" s="65"/>
    </row>
    <row r="168" spans="1:23" hidden="1" x14ac:dyDescent="0.35">
      <c r="A168" s="10" t="s">
        <v>344</v>
      </c>
      <c r="B168" s="65"/>
      <c r="C168" s="65"/>
      <c r="D168" s="65"/>
      <c r="E168" s="65"/>
      <c r="F168" s="65"/>
      <c r="G168" s="65"/>
      <c r="H168" s="65"/>
      <c r="I168" s="65"/>
      <c r="J168" s="65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</row>
    <row r="169" spans="1:23" hidden="1" x14ac:dyDescent="0.35">
      <c r="A169" s="10" t="s">
        <v>345</v>
      </c>
      <c r="B169" s="65"/>
      <c r="C169" s="65"/>
      <c r="D169" s="65"/>
      <c r="E169" s="65"/>
      <c r="F169" s="65"/>
      <c r="G169" s="65"/>
      <c r="H169" s="65"/>
      <c r="I169" s="65"/>
      <c r="J169" s="65"/>
      <c r="K169" s="65"/>
      <c r="L169" s="65"/>
      <c r="M169" s="65"/>
      <c r="N169" s="65"/>
      <c r="O169" s="65"/>
      <c r="P169" s="65"/>
      <c r="Q169" s="65"/>
      <c r="R169" s="65"/>
      <c r="S169" s="65"/>
      <c r="T169" s="65"/>
      <c r="U169" s="65"/>
    </row>
    <row r="170" spans="1:23" hidden="1" x14ac:dyDescent="0.35">
      <c r="A170" s="10" t="s">
        <v>346</v>
      </c>
      <c r="B170" s="65"/>
      <c r="C170" s="65"/>
      <c r="D170" s="65"/>
      <c r="E170" s="65"/>
      <c r="F170" s="65"/>
      <c r="G170" s="65"/>
      <c r="H170" s="65"/>
      <c r="I170" s="65"/>
      <c r="J170" s="65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</row>
    <row r="171" spans="1:23" ht="15.5" x14ac:dyDescent="0.35">
      <c r="A171" s="10" t="s">
        <v>34</v>
      </c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</row>
    <row r="172" spans="1:23" x14ac:dyDescent="0.35">
      <c r="A172" s="10" t="s">
        <v>35</v>
      </c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</row>
    <row r="173" spans="1:23" ht="15.5" x14ac:dyDescent="0.35">
      <c r="A173" s="82"/>
    </row>
    <row r="174" spans="1:23" x14ac:dyDescent="0.35">
      <c r="A174" s="10" t="s">
        <v>55</v>
      </c>
    </row>
    <row r="175" spans="1:23" ht="15.5" x14ac:dyDescent="0.35">
      <c r="A175" s="82"/>
    </row>
    <row r="176" spans="1:23" x14ac:dyDescent="0.35">
      <c r="A176" s="18" t="s">
        <v>349</v>
      </c>
    </row>
    <row r="177" spans="1:1" x14ac:dyDescent="0.35">
      <c r="A177" s="10" t="s">
        <v>350</v>
      </c>
    </row>
    <row r="178" spans="1:1" x14ac:dyDescent="0.35">
      <c r="A178" s="10" t="s">
        <v>351</v>
      </c>
    </row>
    <row r="179" spans="1:1" x14ac:dyDescent="0.35">
      <c r="A179" s="10" t="s">
        <v>352</v>
      </c>
    </row>
    <row r="180" spans="1:1" x14ac:dyDescent="0.35">
      <c r="A180" s="10" t="s">
        <v>353</v>
      </c>
    </row>
    <row r="181" spans="1:1" x14ac:dyDescent="0.35">
      <c r="A181" s="10" t="s">
        <v>354</v>
      </c>
    </row>
    <row r="182" spans="1:1" x14ac:dyDescent="0.35">
      <c r="A182" s="10" t="s">
        <v>355</v>
      </c>
    </row>
    <row r="183" spans="1:1" x14ac:dyDescent="0.35">
      <c r="A183" s="10" t="s">
        <v>356</v>
      </c>
    </row>
    <row r="184" spans="1:1" x14ac:dyDescent="0.35">
      <c r="A184" s="41" t="s">
        <v>357</v>
      </c>
    </row>
    <row r="185" spans="1:1" ht="15.5" x14ac:dyDescent="0.35">
      <c r="A185" s="82"/>
    </row>
    <row r="186" spans="1:1" x14ac:dyDescent="0.35">
      <c r="A186" s="18" t="s">
        <v>359</v>
      </c>
    </row>
    <row r="187" spans="1:1" ht="15.5" x14ac:dyDescent="0.35">
      <c r="A187" s="4"/>
    </row>
    <row r="188" spans="1:1" x14ac:dyDescent="0.35">
      <c r="A188" s="10" t="s">
        <v>70</v>
      </c>
    </row>
    <row r="189" spans="1:1" x14ac:dyDescent="0.35">
      <c r="A189" s="10" t="s">
        <v>71</v>
      </c>
    </row>
    <row r="190" spans="1:1" ht="15.5" x14ac:dyDescent="0.35">
      <c r="A190" s="4"/>
    </row>
    <row r="191" spans="1:1" x14ac:dyDescent="0.35">
      <c r="A191" s="10" t="s">
        <v>362</v>
      </c>
    </row>
    <row r="192" spans="1:1" x14ac:dyDescent="0.35">
      <c r="A192" s="10" t="s">
        <v>363</v>
      </c>
    </row>
    <row r="193" spans="1:1" x14ac:dyDescent="0.35">
      <c r="A193" s="10" t="s">
        <v>364</v>
      </c>
    </row>
    <row r="194" spans="1:1" x14ac:dyDescent="0.35">
      <c r="A194" s="10" t="s">
        <v>365</v>
      </c>
    </row>
    <row r="195" spans="1:1" ht="15.5" x14ac:dyDescent="0.35">
      <c r="A195" s="4"/>
    </row>
    <row r="196" spans="1:1" x14ac:dyDescent="0.35">
      <c r="A196" s="10" t="s">
        <v>29</v>
      </c>
    </row>
    <row r="197" spans="1:1" ht="15.5" x14ac:dyDescent="0.35">
      <c r="A197" s="4"/>
    </row>
    <row r="198" spans="1:1" x14ac:dyDescent="0.35">
      <c r="A198" s="10" t="s">
        <v>368</v>
      </c>
    </row>
    <row r="199" spans="1:1" x14ac:dyDescent="0.35">
      <c r="A199" s="10" t="s">
        <v>403</v>
      </c>
    </row>
    <row r="200" spans="1:1" x14ac:dyDescent="0.35">
      <c r="A200" s="10" t="s">
        <v>369</v>
      </c>
    </row>
    <row r="201" spans="1:1" x14ac:dyDescent="0.35">
      <c r="A201" s="10" t="s">
        <v>370</v>
      </c>
    </row>
    <row r="202" spans="1:1" x14ac:dyDescent="0.35">
      <c r="A202" s="10" t="s">
        <v>371</v>
      </c>
    </row>
    <row r="203" spans="1:1" x14ac:dyDescent="0.35">
      <c r="A203" s="10" t="s">
        <v>372</v>
      </c>
    </row>
    <row r="204" spans="1:1" x14ac:dyDescent="0.35">
      <c r="A204" s="10" t="s">
        <v>373</v>
      </c>
    </row>
    <row r="205" spans="1:1" x14ac:dyDescent="0.35">
      <c r="A205" s="10" t="s">
        <v>374</v>
      </c>
    </row>
    <row r="206" spans="1:1" x14ac:dyDescent="0.35">
      <c r="A206" s="10" t="s">
        <v>375</v>
      </c>
    </row>
    <row r="207" spans="1:1" x14ac:dyDescent="0.35">
      <c r="A207" s="10" t="s">
        <v>376</v>
      </c>
    </row>
    <row r="208" spans="1:1" x14ac:dyDescent="0.35">
      <c r="A208" s="10" t="s">
        <v>377</v>
      </c>
    </row>
    <row r="209" spans="1:1" x14ac:dyDescent="0.35">
      <c r="A209" s="10" t="s">
        <v>378</v>
      </c>
    </row>
    <row r="210" spans="1:1" x14ac:dyDescent="0.35">
      <c r="A210" s="10" t="s">
        <v>68</v>
      </c>
    </row>
    <row r="211" spans="1:1" x14ac:dyDescent="0.35">
      <c r="A211" s="10" t="s">
        <v>379</v>
      </c>
    </row>
    <row r="212" spans="1:1" x14ac:dyDescent="0.35">
      <c r="A212" s="10" t="s">
        <v>380</v>
      </c>
    </row>
    <row r="213" spans="1:1" x14ac:dyDescent="0.35">
      <c r="A213" s="10" t="s">
        <v>391</v>
      </c>
    </row>
    <row r="214" spans="1:1" x14ac:dyDescent="0.35">
      <c r="A214" s="10" t="s">
        <v>390</v>
      </c>
    </row>
    <row r="215" spans="1:1" x14ac:dyDescent="0.35">
      <c r="A215" s="10" t="s">
        <v>389</v>
      </c>
    </row>
    <row r="216" spans="1:1" x14ac:dyDescent="0.35">
      <c r="A216" s="10" t="s">
        <v>381</v>
      </c>
    </row>
    <row r="217" spans="1:1" ht="15.5" x14ac:dyDescent="0.35">
      <c r="A217" s="4"/>
    </row>
    <row r="218" spans="1:1" x14ac:dyDescent="0.35">
      <c r="A218" s="10" t="s">
        <v>383</v>
      </c>
    </row>
    <row r="219" spans="1:1" x14ac:dyDescent="0.35">
      <c r="A219" s="10" t="s">
        <v>39</v>
      </c>
    </row>
    <row r="220" spans="1:1" x14ac:dyDescent="0.35">
      <c r="A220" s="10" t="s">
        <v>30</v>
      </c>
    </row>
    <row r="221" spans="1:1" x14ac:dyDescent="0.35">
      <c r="A221" s="10" t="s">
        <v>67</v>
      </c>
    </row>
    <row r="222" spans="1:1" x14ac:dyDescent="0.35">
      <c r="A222" s="10" t="s">
        <v>384</v>
      </c>
    </row>
    <row r="223" spans="1:1" x14ac:dyDescent="0.35">
      <c r="A223" s="10" t="s">
        <v>385</v>
      </c>
    </row>
    <row r="224" spans="1:1" x14ac:dyDescent="0.35">
      <c r="A224" s="10" t="s">
        <v>386</v>
      </c>
    </row>
    <row r="225" spans="1:1" x14ac:dyDescent="0.35">
      <c r="A225" s="10" t="s">
        <v>65</v>
      </c>
    </row>
    <row r="226" spans="1:1" x14ac:dyDescent="0.35">
      <c r="A226" s="10" t="s">
        <v>66</v>
      </c>
    </row>
    <row r="227" spans="1:1" x14ac:dyDescent="0.35">
      <c r="A227" s="10" t="s">
        <v>387</v>
      </c>
    </row>
    <row r="228" spans="1:1" x14ac:dyDescent="0.35">
      <c r="A228" s="10" t="s">
        <v>69</v>
      </c>
    </row>
    <row r="229" spans="1:1" ht="15.5" x14ac:dyDescent="0.35">
      <c r="A229" s="4"/>
    </row>
    <row r="230" spans="1:1" x14ac:dyDescent="0.35">
      <c r="A230" s="10" t="s">
        <v>58</v>
      </c>
    </row>
    <row r="231" spans="1:1" x14ac:dyDescent="0.35">
      <c r="A231" s="10" t="s">
        <v>388</v>
      </c>
    </row>
  </sheetData>
  <sheetProtection selectLockedCells="1" selectUnlockedCells="1"/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A0427-A3E2-4694-8659-A85E38FEF443}">
  <sheetPr codeName="Feuil2"/>
  <dimension ref="A1"/>
  <sheetViews>
    <sheetView workbookViewId="0">
      <selection activeCell="P40" sqref="P40"/>
    </sheetView>
  </sheetViews>
  <sheetFormatPr baseColWidth="10" defaultColWidth="9.1796875"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F0A7F-C1FB-4CA9-832B-ABFAE8BE8C17}">
  <sheetPr codeName="Feuil3">
    <tabColor theme="8" tint="0.39997558519241921"/>
  </sheetPr>
  <dimension ref="A1:C46"/>
  <sheetViews>
    <sheetView tabSelected="1" topLeftCell="A26" zoomScale="80" zoomScaleNormal="80" workbookViewId="0">
      <selection activeCell="E9" sqref="E9"/>
    </sheetView>
  </sheetViews>
  <sheetFormatPr baseColWidth="10" defaultColWidth="10.7265625" defaultRowHeight="14.5" x14ac:dyDescent="0.35"/>
  <cols>
    <col min="1" max="1" width="33.453125" bestFit="1" customWidth="1"/>
    <col min="2" max="2" width="49.54296875" bestFit="1" customWidth="1"/>
  </cols>
  <sheetData>
    <row r="1" spans="1:2" ht="15" thickBot="1" x14ac:dyDescent="0.4">
      <c r="A1" s="317" t="s">
        <v>417</v>
      </c>
      <c r="B1" s="318"/>
    </row>
    <row r="2" spans="1:2" ht="15" thickBot="1" x14ac:dyDescent="0.4">
      <c r="A2" s="319"/>
      <c r="B2" s="320"/>
    </row>
    <row r="3" spans="1:2" x14ac:dyDescent="0.35">
      <c r="A3" s="75"/>
      <c r="B3" s="75"/>
    </row>
    <row r="4" spans="1:2" ht="15.5" x14ac:dyDescent="0.35">
      <c r="A4" s="70" t="s">
        <v>0</v>
      </c>
      <c r="B4" s="70" t="s">
        <v>1</v>
      </c>
    </row>
    <row r="5" spans="1:2" x14ac:dyDescent="0.35">
      <c r="A5" s="71" t="s">
        <v>2</v>
      </c>
      <c r="B5" s="72">
        <f>'Inventaire Generale'!C5</f>
        <v>65516.45</v>
      </c>
    </row>
    <row r="6" spans="1:2" x14ac:dyDescent="0.35">
      <c r="A6" s="71" t="s">
        <v>7</v>
      </c>
      <c r="B6" s="72">
        <f>'Inventaire Generale'!C6</f>
        <v>0</v>
      </c>
    </row>
    <row r="7" spans="1:2" x14ac:dyDescent="0.35">
      <c r="A7" s="71" t="s">
        <v>13</v>
      </c>
      <c r="B7" s="72">
        <f>'Inventaire Generale'!C7</f>
        <v>2310</v>
      </c>
    </row>
    <row r="8" spans="1:2" x14ac:dyDescent="0.35">
      <c r="A8" s="71" t="s">
        <v>3</v>
      </c>
      <c r="B8" s="72">
        <f>'Inventaire Generale'!C8</f>
        <v>0</v>
      </c>
    </row>
    <row r="9" spans="1:2" x14ac:dyDescent="0.35">
      <c r="A9" s="71" t="s">
        <v>4</v>
      </c>
      <c r="B9" s="72">
        <f>'Inventaire Generale'!C9</f>
        <v>18846.889999999996</v>
      </c>
    </row>
    <row r="10" spans="1:2" x14ac:dyDescent="0.35">
      <c r="A10" s="71" t="s">
        <v>199</v>
      </c>
      <c r="B10" s="72">
        <f>'Inventaire Generale'!C10</f>
        <v>0</v>
      </c>
    </row>
    <row r="11" spans="1:2" x14ac:dyDescent="0.35">
      <c r="A11" s="71" t="s">
        <v>200</v>
      </c>
      <c r="B11" s="72">
        <f>'Inventaire Generale'!C11</f>
        <v>993.11999999999989</v>
      </c>
    </row>
    <row r="12" spans="1:2" x14ac:dyDescent="0.35">
      <c r="A12" s="71" t="s">
        <v>201</v>
      </c>
      <c r="B12" s="72">
        <f>'Inventaire Generale'!C12</f>
        <v>0</v>
      </c>
    </row>
    <row r="13" spans="1:2" x14ac:dyDescent="0.35">
      <c r="A13" s="71" t="s">
        <v>202</v>
      </c>
      <c r="B13" s="72">
        <f>'Inventaire Generale'!C13</f>
        <v>1100.9099999999999</v>
      </c>
    </row>
    <row r="14" spans="1:2" x14ac:dyDescent="0.35">
      <c r="A14" s="71" t="s">
        <v>203</v>
      </c>
      <c r="B14" s="72">
        <f>'Inventaire Generale'!C14</f>
        <v>9168.26</v>
      </c>
    </row>
    <row r="15" spans="1:2" x14ac:dyDescent="0.35">
      <c r="A15" s="71" t="s">
        <v>12</v>
      </c>
      <c r="B15" s="72">
        <f>'Inventaire Generale'!C15</f>
        <v>0</v>
      </c>
    </row>
    <row r="16" spans="1:2" x14ac:dyDescent="0.35">
      <c r="A16" s="71" t="s">
        <v>204</v>
      </c>
      <c r="B16" s="72">
        <f>'Inventaire Generale'!C16</f>
        <v>416</v>
      </c>
    </row>
    <row r="17" spans="1:2" x14ac:dyDescent="0.35">
      <c r="A17" s="71" t="s">
        <v>9</v>
      </c>
      <c r="B17" s="72">
        <f>'Inventaire Generale'!C17</f>
        <v>3677.2700000000004</v>
      </c>
    </row>
    <row r="18" spans="1:2" x14ac:dyDescent="0.35">
      <c r="A18" s="71" t="s">
        <v>205</v>
      </c>
      <c r="B18" s="72">
        <f>'Inventaire Generale'!C18</f>
        <v>1257.18</v>
      </c>
    </row>
    <row r="19" spans="1:2" x14ac:dyDescent="0.35">
      <c r="A19" s="71" t="s">
        <v>56</v>
      </c>
      <c r="B19" s="72">
        <f>'Inventaire Generale'!C19</f>
        <v>0</v>
      </c>
    </row>
    <row r="20" spans="1:2" x14ac:dyDescent="0.35">
      <c r="A20" s="276" t="s">
        <v>14</v>
      </c>
      <c r="B20" s="277">
        <f>B5+B7+B6+B8+B9+B10+B11+B12+B13+B14+B15+B16+B17+B18+B19</f>
        <v>103286.07999999999</v>
      </c>
    </row>
    <row r="21" spans="1:2" ht="15" thickBot="1" x14ac:dyDescent="0.4"/>
    <row r="22" spans="1:2" ht="15" thickBot="1" x14ac:dyDescent="0.4">
      <c r="A22" s="317" t="s">
        <v>392</v>
      </c>
      <c r="B22" s="318"/>
    </row>
    <row r="23" spans="1:2" ht="15" thickBot="1" x14ac:dyDescent="0.4">
      <c r="A23" s="319"/>
      <c r="B23" s="320"/>
    </row>
    <row r="24" spans="1:2" x14ac:dyDescent="0.35">
      <c r="A24" s="75"/>
      <c r="B24" s="75"/>
    </row>
    <row r="25" spans="1:2" ht="15.5" x14ac:dyDescent="0.35">
      <c r="A25" s="70" t="s">
        <v>0</v>
      </c>
      <c r="B25" s="70" t="s">
        <v>1</v>
      </c>
    </row>
    <row r="26" spans="1:2" x14ac:dyDescent="0.35">
      <c r="A26" s="71" t="s">
        <v>2</v>
      </c>
      <c r="B26" s="72">
        <f>'Inventaire General Patinoire'!C5</f>
        <v>13977.86</v>
      </c>
    </row>
    <row r="27" spans="1:2" x14ac:dyDescent="0.35">
      <c r="A27" s="71" t="s">
        <v>7</v>
      </c>
      <c r="B27" s="72">
        <f>'Inventaire General Patinoire'!C6</f>
        <v>200</v>
      </c>
    </row>
    <row r="28" spans="1:2" x14ac:dyDescent="0.35">
      <c r="A28" s="71" t="s">
        <v>13</v>
      </c>
      <c r="B28" s="72">
        <f>'Inventaire General Patinoire'!C7</f>
        <v>2293.4749999999999</v>
      </c>
    </row>
    <row r="29" spans="1:2" x14ac:dyDescent="0.35">
      <c r="A29" s="71" t="s">
        <v>3</v>
      </c>
      <c r="B29" s="72">
        <f>'Inventaire General Patinoire'!C8</f>
        <v>293.14999999999998</v>
      </c>
    </row>
    <row r="30" spans="1:2" x14ac:dyDescent="0.35">
      <c r="A30" s="71" t="s">
        <v>4</v>
      </c>
      <c r="B30" s="72">
        <f>'Inventaire General Patinoire'!C9</f>
        <v>6144.5400000000009</v>
      </c>
    </row>
    <row r="31" spans="1:2" x14ac:dyDescent="0.35">
      <c r="A31" s="71" t="s">
        <v>199</v>
      </c>
      <c r="B31" s="72">
        <f>'Inventaire General Patinoire'!C10</f>
        <v>0</v>
      </c>
    </row>
    <row r="32" spans="1:2" x14ac:dyDescent="0.35">
      <c r="A32" s="71" t="s">
        <v>200</v>
      </c>
      <c r="B32" s="72">
        <f>'Inventaire General Patinoire'!C11</f>
        <v>1769.72</v>
      </c>
    </row>
    <row r="33" spans="1:3" x14ac:dyDescent="0.35">
      <c r="A33" s="71" t="s">
        <v>201</v>
      </c>
      <c r="B33" s="72">
        <f>'Inventaire General Patinoire'!C12</f>
        <v>0</v>
      </c>
    </row>
    <row r="34" spans="1:3" x14ac:dyDescent="0.35">
      <c r="A34" s="71" t="s">
        <v>202</v>
      </c>
      <c r="B34" s="72">
        <f>'Inventaire General Patinoire'!C13</f>
        <v>951.96999999999991</v>
      </c>
    </row>
    <row r="35" spans="1:3" x14ac:dyDescent="0.35">
      <c r="A35" s="71" t="s">
        <v>203</v>
      </c>
      <c r="B35" s="72">
        <f>'Inventaire General Patinoire'!C14</f>
        <v>0</v>
      </c>
    </row>
    <row r="36" spans="1:3" x14ac:dyDescent="0.35">
      <c r="A36" s="71" t="s">
        <v>416</v>
      </c>
      <c r="B36" s="72">
        <f>'Inventaire General Patinoire'!C15</f>
        <v>0</v>
      </c>
    </row>
    <row r="37" spans="1:3" x14ac:dyDescent="0.35">
      <c r="A37" s="71" t="s">
        <v>204</v>
      </c>
      <c r="B37" s="72">
        <f>'Inventaire General Patinoire'!C16</f>
        <v>0</v>
      </c>
    </row>
    <row r="38" spans="1:3" x14ac:dyDescent="0.35">
      <c r="A38" s="71" t="s">
        <v>9</v>
      </c>
      <c r="B38" s="72">
        <f>'Inventaire General Patinoire'!C17</f>
        <v>1130.51</v>
      </c>
    </row>
    <row r="39" spans="1:3" x14ac:dyDescent="0.35">
      <c r="A39" s="71" t="s">
        <v>205</v>
      </c>
      <c r="B39" s="72">
        <f>'Inventaire General Patinoire'!C18</f>
        <v>393.54999999999995</v>
      </c>
    </row>
    <row r="40" spans="1:3" x14ac:dyDescent="0.35">
      <c r="A40" s="71" t="s">
        <v>56</v>
      </c>
      <c r="B40" s="72">
        <f>'Inventaire General Patinoire'!C19</f>
        <v>270.25</v>
      </c>
    </row>
    <row r="41" spans="1:3" x14ac:dyDescent="0.35">
      <c r="A41" s="276" t="s">
        <v>14</v>
      </c>
      <c r="B41" s="277">
        <f>B26+B27+B28+B29+B30+B31+B32+B33+B34+B35+B36+B37+B38+B39+B40</f>
        <v>27425.025000000001</v>
      </c>
    </row>
    <row r="42" spans="1:3" x14ac:dyDescent="0.35">
      <c r="A42" s="281"/>
      <c r="B42" s="284"/>
    </row>
    <row r="43" spans="1:3" x14ac:dyDescent="0.35">
      <c r="A43" s="282"/>
      <c r="B43" s="283"/>
    </row>
    <row r="44" spans="1:3" x14ac:dyDescent="0.35">
      <c r="A44" s="280" t="s">
        <v>418</v>
      </c>
      <c r="B44" s="277">
        <f>B20</f>
        <v>103286.07999999999</v>
      </c>
      <c r="C44" s="278"/>
    </row>
    <row r="45" spans="1:3" x14ac:dyDescent="0.35">
      <c r="A45" s="87" t="s">
        <v>419</v>
      </c>
      <c r="B45" s="277">
        <f>B41</f>
        <v>27425.025000000001</v>
      </c>
      <c r="C45" s="278"/>
    </row>
    <row r="46" spans="1:3" x14ac:dyDescent="0.35">
      <c r="A46" s="279" t="s">
        <v>420</v>
      </c>
      <c r="B46" s="277">
        <f>B44+B45</f>
        <v>130711.10499999998</v>
      </c>
      <c r="C46" s="278"/>
    </row>
  </sheetData>
  <mergeCells count="4">
    <mergeCell ref="A1:B1"/>
    <mergeCell ref="A2:B2"/>
    <mergeCell ref="A22:B22"/>
    <mergeCell ref="A23:B2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69EB4-041B-4E18-931E-D4D5A904CBB2}">
  <sheetPr codeName="Feuil4">
    <tabColor theme="8" tint="0.39997558519241921"/>
  </sheetPr>
  <dimension ref="A1:P259"/>
  <sheetViews>
    <sheetView topLeftCell="A207" zoomScale="70" zoomScaleNormal="70" workbookViewId="0">
      <selection activeCell="J209" sqref="J209"/>
    </sheetView>
  </sheetViews>
  <sheetFormatPr baseColWidth="10" defaultColWidth="10.7265625" defaultRowHeight="14.5" x14ac:dyDescent="0.35"/>
  <cols>
    <col min="1" max="1" width="2.81640625" customWidth="1"/>
    <col min="2" max="2" width="33.453125" bestFit="1" customWidth="1"/>
    <col min="3" max="3" width="49.54296875" bestFit="1" customWidth="1"/>
    <col min="4" max="4" width="19.7265625" hidden="1" customWidth="1"/>
    <col min="5" max="5" width="18.81640625" bestFit="1" customWidth="1"/>
    <col min="6" max="6" width="18.26953125" hidden="1" customWidth="1"/>
    <col min="7" max="7" width="16.7265625" customWidth="1"/>
    <col min="8" max="8" width="9.1796875" customWidth="1"/>
    <col min="9" max="9" width="10.26953125" style="86" customWidth="1"/>
    <col min="10" max="10" width="19.54296875" style="16" bestFit="1" customWidth="1"/>
  </cols>
  <sheetData>
    <row r="1" spans="2:7" ht="15" thickBot="1" x14ac:dyDescent="0.4">
      <c r="B1" s="321" t="s">
        <v>198</v>
      </c>
      <c r="C1" s="322"/>
      <c r="E1" s="89"/>
      <c r="F1" s="89"/>
      <c r="G1" s="16"/>
    </row>
    <row r="2" spans="2:7" ht="15" thickBot="1" x14ac:dyDescent="0.4">
      <c r="B2" s="319"/>
      <c r="C2" s="320"/>
      <c r="E2" s="90"/>
      <c r="F2" s="90"/>
      <c r="G2" s="16"/>
    </row>
    <row r="3" spans="2:7" x14ac:dyDescent="0.35">
      <c r="B3" s="75"/>
      <c r="C3" s="75"/>
      <c r="E3" s="75"/>
      <c r="F3" s="75"/>
      <c r="G3" s="16"/>
    </row>
    <row r="4" spans="2:7" ht="15.5" x14ac:dyDescent="0.35">
      <c r="B4" s="70" t="s">
        <v>0</v>
      </c>
      <c r="C4" s="70" t="s">
        <v>1</v>
      </c>
      <c r="E4" s="91"/>
      <c r="F4" s="91"/>
      <c r="G4" s="16"/>
    </row>
    <row r="5" spans="2:7" x14ac:dyDescent="0.35">
      <c r="B5" s="71" t="s">
        <v>2</v>
      </c>
      <c r="C5" s="72">
        <f>J23</f>
        <v>65516.45</v>
      </c>
      <c r="E5" s="92"/>
      <c r="F5" s="92"/>
      <c r="G5" s="16"/>
    </row>
    <row r="6" spans="2:7" x14ac:dyDescent="0.35">
      <c r="B6" s="71" t="s">
        <v>7</v>
      </c>
      <c r="C6" s="72">
        <f>J4</f>
        <v>0</v>
      </c>
      <c r="E6" s="92"/>
      <c r="F6" s="92"/>
      <c r="G6" s="16"/>
    </row>
    <row r="7" spans="2:7" x14ac:dyDescent="0.35">
      <c r="B7" s="71" t="s">
        <v>13</v>
      </c>
      <c r="C7" s="72">
        <f>J50</f>
        <v>2310</v>
      </c>
      <c r="E7" s="92"/>
      <c r="F7" s="92"/>
      <c r="G7" s="16"/>
    </row>
    <row r="8" spans="2:7" x14ac:dyDescent="0.35">
      <c r="B8" s="71" t="s">
        <v>3</v>
      </c>
      <c r="C8" s="72">
        <f>J78</f>
        <v>0</v>
      </c>
      <c r="E8" s="92"/>
      <c r="F8" s="92"/>
      <c r="G8" s="16"/>
    </row>
    <row r="9" spans="2:7" x14ac:dyDescent="0.35">
      <c r="B9" s="71" t="s">
        <v>4</v>
      </c>
      <c r="C9" s="72">
        <f>J122</f>
        <v>18846.889999999996</v>
      </c>
      <c r="E9" s="92"/>
      <c r="F9" s="92"/>
      <c r="G9" s="16"/>
    </row>
    <row r="10" spans="2:7" x14ac:dyDescent="0.35">
      <c r="B10" s="71" t="s">
        <v>199</v>
      </c>
      <c r="C10" s="72">
        <f>J176</f>
        <v>0</v>
      </c>
      <c r="E10" s="92"/>
      <c r="F10" s="92"/>
      <c r="G10" s="16"/>
    </row>
    <row r="11" spans="2:7" x14ac:dyDescent="0.35">
      <c r="B11" s="71" t="s">
        <v>200</v>
      </c>
      <c r="C11" s="72">
        <f>J187</f>
        <v>993.11999999999989</v>
      </c>
      <c r="E11" s="92"/>
      <c r="F11" s="92"/>
      <c r="G11" s="16"/>
    </row>
    <row r="12" spans="2:7" x14ac:dyDescent="0.35">
      <c r="B12" s="71" t="s">
        <v>201</v>
      </c>
      <c r="C12" s="72">
        <f>J193</f>
        <v>0</v>
      </c>
      <c r="E12" s="92"/>
      <c r="F12" s="92"/>
      <c r="G12" s="16"/>
    </row>
    <row r="13" spans="2:7" x14ac:dyDescent="0.35">
      <c r="B13" s="71" t="s">
        <v>202</v>
      </c>
      <c r="C13" s="72">
        <f>J195</f>
        <v>1100.9099999999999</v>
      </c>
      <c r="E13" s="92"/>
      <c r="F13" s="92"/>
      <c r="G13" s="16"/>
    </row>
    <row r="14" spans="2:7" x14ac:dyDescent="0.35">
      <c r="B14" s="71" t="s">
        <v>203</v>
      </c>
      <c r="C14" s="72">
        <f>J208</f>
        <v>9168.26</v>
      </c>
      <c r="E14" s="92"/>
      <c r="F14" s="92"/>
      <c r="G14" s="16"/>
    </row>
    <row r="15" spans="2:7" x14ac:dyDescent="0.35">
      <c r="B15" s="71" t="s">
        <v>12</v>
      </c>
      <c r="C15" s="72">
        <f>J214</f>
        <v>0</v>
      </c>
      <c r="E15" s="92"/>
      <c r="F15" s="92"/>
      <c r="G15" s="16"/>
    </row>
    <row r="16" spans="2:7" x14ac:dyDescent="0.35">
      <c r="B16" s="71" t="s">
        <v>204</v>
      </c>
      <c r="C16" s="72">
        <f>J222</f>
        <v>416</v>
      </c>
      <c r="E16" s="92"/>
      <c r="F16" s="92"/>
      <c r="G16" s="16"/>
    </row>
    <row r="17" spans="1:16" x14ac:dyDescent="0.35">
      <c r="B17" s="71" t="s">
        <v>9</v>
      </c>
      <c r="C17" s="72">
        <f>J224</f>
        <v>3677.2700000000004</v>
      </c>
      <c r="E17" s="92"/>
      <c r="F17" s="92"/>
      <c r="G17" s="16"/>
    </row>
    <row r="18" spans="1:16" x14ac:dyDescent="0.35">
      <c r="B18" s="71" t="s">
        <v>205</v>
      </c>
      <c r="C18" s="72">
        <f>J245</f>
        <v>1257.18</v>
      </c>
      <c r="E18" s="92"/>
      <c r="F18" s="92"/>
      <c r="G18" s="16"/>
    </row>
    <row r="19" spans="1:16" x14ac:dyDescent="0.35">
      <c r="B19" s="71" t="s">
        <v>56</v>
      </c>
      <c r="C19" s="72">
        <f>J257</f>
        <v>0</v>
      </c>
      <c r="E19" s="92"/>
      <c r="F19" s="92"/>
      <c r="G19" s="16"/>
    </row>
    <row r="20" spans="1:16" x14ac:dyDescent="0.35">
      <c r="B20" s="73" t="s">
        <v>14</v>
      </c>
      <c r="C20" s="74">
        <f>C5+C7+C6+C8+C9+C10+C11+C12+C13+C14+C15+C16+C17+C18+C19</f>
        <v>103286.07999999999</v>
      </c>
      <c r="E20" s="93"/>
      <c r="F20" s="93"/>
      <c r="G20" s="16"/>
    </row>
    <row r="21" spans="1:16" ht="18.5" x14ac:dyDescent="0.45">
      <c r="A21" s="76" t="s">
        <v>397</v>
      </c>
      <c r="B21" s="76"/>
      <c r="C21" s="76"/>
      <c r="D21" s="76"/>
      <c r="E21" s="76"/>
      <c r="F21" s="76"/>
      <c r="G21" s="69"/>
      <c r="H21" s="76"/>
      <c r="I21" s="262"/>
      <c r="J21" s="69"/>
    </row>
    <row r="22" spans="1:16" x14ac:dyDescent="0.35">
      <c r="A22" s="129"/>
      <c r="B22" s="129" t="s">
        <v>15</v>
      </c>
      <c r="C22" s="129" t="s">
        <v>16</v>
      </c>
      <c r="D22" s="130" t="s">
        <v>398</v>
      </c>
      <c r="E22" s="130" t="s">
        <v>407</v>
      </c>
      <c r="F22" s="130" t="s">
        <v>399</v>
      </c>
      <c r="G22" s="131" t="s">
        <v>405</v>
      </c>
      <c r="H22" s="129" t="s">
        <v>406</v>
      </c>
      <c r="I22" s="330" t="s">
        <v>45</v>
      </c>
      <c r="J22" s="265" t="s">
        <v>1</v>
      </c>
    </row>
    <row r="23" spans="1:16" ht="15.5" x14ac:dyDescent="0.35">
      <c r="A23" s="108" t="s">
        <v>208</v>
      </c>
      <c r="B23" s="108"/>
      <c r="C23" s="108"/>
      <c r="D23" s="108"/>
      <c r="E23" s="108"/>
      <c r="F23" s="108"/>
      <c r="G23" s="109"/>
      <c r="H23" s="108"/>
      <c r="I23" s="110" t="s">
        <v>18</v>
      </c>
      <c r="J23" s="266">
        <f>SUM(J24:J40)</f>
        <v>65516.45</v>
      </c>
    </row>
    <row r="24" spans="1:16" x14ac:dyDescent="0.35">
      <c r="A24" s="103"/>
      <c r="B24" s="7" t="s">
        <v>2</v>
      </c>
      <c r="C24" s="14" t="s">
        <v>19</v>
      </c>
      <c r="D24" s="94"/>
      <c r="E24" s="232">
        <f>'Nord 1'!E24+'Nord 2'!E24+'Nord Mobile 1'!E24+'Nord Mobile 2'!E24+Esplanade!E24+'Est mobile 1'!E24+'Est 1'!E24+'Est mobile 2'!E24+'Est Mobile 3'!E24+'Est 2'!E24+'Est mobile 4'!E24+'Réserve Sud'!E24+'Sud 1'!E24+'Sud 2'!E24+Visiteurs!E24+'Principale mobile 1'!E24+'Principale 1 '!E24+'Principale mobile 2'!E24+'Principale mobile 3'!E24+'Principale 2'!E24+'Principale mobile 4'!E24</f>
        <v>53</v>
      </c>
      <c r="F24" s="94"/>
      <c r="G24" s="316">
        <f>SUM('Nord Mobile 1'!G24,'Nord 1'!G24,'Nord 2'!G24,'Nord Mobile 2'!G24,Esplanade!G24,'Est mobile 1'!G24,'Est 1'!G24,'Est mobile 2'!G24,'Est Mobile 3'!G24,'Est 2'!G24,'Est mobile 4'!G24,'Sud 1'!G24,'Sud 2'!G24,Visiteurs!G24,'Principale mobile 1'!G24,'Principale mobile 2'!G24,'Principale mobile 3'!G24,'Principale 2'!G24,'Principale mobile 4'!G24)</f>
        <v>8</v>
      </c>
      <c r="H24" s="10" t="s">
        <v>20</v>
      </c>
      <c r="I24" s="331">
        <v>55.95</v>
      </c>
      <c r="J24" s="267">
        <f>E24*I24</f>
        <v>2965.3500000000004</v>
      </c>
      <c r="P24" s="56"/>
    </row>
    <row r="25" spans="1:16" x14ac:dyDescent="0.35">
      <c r="A25" s="103"/>
      <c r="B25" s="7" t="s">
        <v>2</v>
      </c>
      <c r="C25" s="14" t="s">
        <v>209</v>
      </c>
      <c r="D25" s="94"/>
      <c r="E25" s="232">
        <f>'Nord 1'!E25+'Nord 2'!E25+'Nord Mobile 1'!E25+'Nord Mobile 2'!E25+Esplanade!E25+'Est mobile 1'!E25+'Est 1'!E25+'Est mobile 2'!E25+'Est Mobile 3'!E25+'Est 2'!E25+'Est mobile 4'!E25+'Réserve Sud'!E25+'Sud 1'!E25+'Sud 2'!E25+Visiteurs!E25+'Principale mobile 1'!E25+'Principale 1 '!E25+'Principale mobile 2'!E25+'Principale mobile 3'!E25+'Principale 2'!E25+'Principale mobile 4'!E25</f>
        <v>0</v>
      </c>
      <c r="F25" s="94"/>
      <c r="G25" s="316">
        <f>SUM('Nord Mobile 1'!G25,'Nord 1'!G25,'Nord 2'!G25,'Nord Mobile 2'!G25,Esplanade!G25,'Est mobile 1'!G25,'Est 1'!G25,'Est mobile 2'!G25,'Est Mobile 3'!G25,'Est 2'!G25,'Est mobile 4'!G25,'Sud 1'!G25,'Sud 2'!G25,Visiteurs!G25,'Principale mobile 1'!G25,'Principale mobile 2'!G25,'Principale mobile 3'!G25,'Principale 2'!G25,'Principale mobile 4'!G25)</f>
        <v>0</v>
      </c>
      <c r="H25" s="10" t="s">
        <v>20</v>
      </c>
      <c r="I25" s="331">
        <v>173.1</v>
      </c>
      <c r="J25" s="267">
        <f t="shared" ref="J25:J88" si="0">E25*I25</f>
        <v>0</v>
      </c>
    </row>
    <row r="26" spans="1:16" x14ac:dyDescent="0.35">
      <c r="A26" s="103"/>
      <c r="B26" s="12" t="s">
        <v>2</v>
      </c>
      <c r="C26" s="10" t="s">
        <v>21</v>
      </c>
      <c r="D26" s="94"/>
      <c r="E26" s="232">
        <f>'Nord 1'!E26+'Nord 2'!E26+'Nord Mobile 1'!E26+'Nord Mobile 2'!E26+Esplanade!E26+'Est mobile 1'!E26+'Est 1'!E26+'Est mobile 2'!E26+'Est Mobile 3'!E26+'Est 2'!E26+'Est mobile 4'!E26+'Réserve Sud'!E26+'Sud 1'!E26+'Sud 2'!E26+Visiteurs!E26+'Principale mobile 1'!E26+'Principale 1 '!E26+'Principale mobile 2'!E26+'Principale mobile 3'!E26+'Principale 2'!E26+'Principale mobile 4'!E26</f>
        <v>527</v>
      </c>
      <c r="F26" s="94"/>
      <c r="G26" s="316">
        <f>SUM('Nord Mobile 1'!G26,'Nord 1'!G26,'Nord 2'!G26,'Nord Mobile 2'!G26,Esplanade!G26,'Est mobile 1'!G26,'Est 1'!G26,'Est mobile 2'!G26,'Est Mobile 3'!G26,'Est 2'!G26,'Est mobile 4'!G26,'Sud 1'!G26,'Sud 2'!G26,Visiteurs!G26,'Principale mobile 1'!G26,'Principale mobile 2'!G26,'Principale mobile 3'!G26,'Principale 2'!G26,'Principale mobile 4'!G26)</f>
        <v>45</v>
      </c>
      <c r="H26" s="10" t="s">
        <v>20</v>
      </c>
      <c r="I26" s="331">
        <v>75.400000000000006</v>
      </c>
      <c r="J26" s="267">
        <f t="shared" si="0"/>
        <v>39735.800000000003</v>
      </c>
    </row>
    <row r="27" spans="1:16" x14ac:dyDescent="0.35">
      <c r="A27" s="103"/>
      <c r="B27" s="12" t="s">
        <v>2</v>
      </c>
      <c r="C27" s="10" t="s">
        <v>210</v>
      </c>
      <c r="D27" s="94"/>
      <c r="E27" s="232">
        <f>'Nord 1'!E27+'Nord 2'!E27+'Nord Mobile 1'!E27+'Nord Mobile 2'!E27+Esplanade!E27+'Est mobile 1'!E27+'Est 1'!E27+'Est mobile 2'!E27+'Est Mobile 3'!E27+'Est 2'!E27+'Est mobile 4'!E27+'Réserve Sud'!E27+'Sud 1'!E27+'Sud 2'!E27+Visiteurs!E27+'Principale mobile 1'!E27+'Principale 1 '!E27+'Principale mobile 2'!E27+'Principale mobile 3'!E27+'Principale 2'!E27+'Principale mobile 4'!E27</f>
        <v>215</v>
      </c>
      <c r="F27" s="94"/>
      <c r="G27" s="316">
        <f>SUM('Nord Mobile 1'!G27,'Nord 1'!G27,'Nord 2'!G27,'Nord Mobile 2'!G27,Esplanade!G27,'Est mobile 1'!G27,'Est 1'!G27,'Est mobile 2'!G27,'Est Mobile 3'!G27,'Est 2'!G27,'Est mobile 4'!G27,'Sud 1'!G27,'Sud 2'!G27,Visiteurs!G27,'Principale mobile 1'!G27,'Principale mobile 2'!G27,'Principale mobile 3'!G27,'Principale 2'!G27,'Principale mobile 4'!G27)</f>
        <v>28</v>
      </c>
      <c r="H27" s="10" t="s">
        <v>20</v>
      </c>
      <c r="I27" s="331">
        <v>84.9</v>
      </c>
      <c r="J27" s="267">
        <f t="shared" si="0"/>
        <v>18253.5</v>
      </c>
    </row>
    <row r="28" spans="1:16" x14ac:dyDescent="0.35">
      <c r="A28" s="103"/>
      <c r="B28" s="12" t="s">
        <v>2</v>
      </c>
      <c r="C28" s="10" t="s">
        <v>211</v>
      </c>
      <c r="D28" s="94"/>
      <c r="E28" s="232">
        <f>'Nord 1'!E28+'Nord 2'!E28+'Nord Mobile 1'!E28+'Nord Mobile 2'!E28+Esplanade!E28+'Est mobile 1'!E28+'Est 1'!E28+'Est mobile 2'!E28+'Est Mobile 3'!E28+'Est 2'!E28+'Est mobile 4'!E28+'Réserve Sud'!E28+'Sud 1'!E28+'Sud 2'!E28+Visiteurs!E28+'Principale mobile 1'!E28+'Principale 1 '!E28+'Principale mobile 2'!E28+'Principale mobile 3'!E28+'Principale 2'!E28+'Principale mobile 4'!E28</f>
        <v>0</v>
      </c>
      <c r="F28" s="94"/>
      <c r="G28" s="316">
        <f>SUM('Nord Mobile 1'!G28,'Nord 1'!G28,'Nord 2'!G28,'Nord Mobile 2'!G28,Esplanade!G28,'Est mobile 1'!G28,'Est 1'!G28,'Est mobile 2'!G28,'Est Mobile 3'!G28,'Est 2'!G28,'Est mobile 4'!G28,'Sud 1'!G28,'Sud 2'!G28,Visiteurs!G28,'Principale mobile 1'!G28,'Principale mobile 2'!G28,'Principale mobile 3'!G28,'Principale 2'!G28,'Principale mobile 4'!G28)</f>
        <v>0</v>
      </c>
      <c r="H28" s="10" t="s">
        <v>20</v>
      </c>
      <c r="I28" s="331">
        <v>2.96</v>
      </c>
      <c r="J28" s="267">
        <f t="shared" si="0"/>
        <v>0</v>
      </c>
    </row>
    <row r="29" spans="1:16" x14ac:dyDescent="0.35">
      <c r="A29" s="103"/>
      <c r="B29" s="12" t="s">
        <v>2</v>
      </c>
      <c r="C29" s="10" t="s">
        <v>212</v>
      </c>
      <c r="D29" s="94"/>
      <c r="E29" s="232">
        <f>'Nord 1'!E29+'Nord 2'!E29+'Nord Mobile 1'!E29+'Nord Mobile 2'!E29+Esplanade!E29+'Est mobile 1'!E29+'Est 1'!E29+'Est mobile 2'!E29+'Est Mobile 3'!E29+'Est 2'!E29+'Est mobile 4'!E29+'Réserve Sud'!E29+'Sud 1'!E29+'Sud 2'!E29+Visiteurs!E29+'Principale mobile 1'!E29+'Principale 1 '!E29+'Principale mobile 2'!E29+'Principale mobile 3'!E29+'Principale 2'!E29+'Principale mobile 4'!E29</f>
        <v>0</v>
      </c>
      <c r="F29" s="94"/>
      <c r="G29" s="316">
        <f>SUM('Nord Mobile 1'!G29,'Nord 1'!G29,'Nord 2'!G29,'Nord Mobile 2'!G29,Esplanade!G29,'Est mobile 1'!G29,'Est 1'!G29,'Est mobile 2'!G29,'Est Mobile 3'!G29,'Est 2'!G29,'Est mobile 4'!G29,'Sud 1'!G29,'Sud 2'!G29,Visiteurs!G29,'Principale mobile 1'!G29,'Principale mobile 2'!G29,'Principale mobile 3'!G29,'Principale 2'!G29,'Principale mobile 4'!G29)</f>
        <v>0</v>
      </c>
      <c r="H29" s="10" t="s">
        <v>20</v>
      </c>
      <c r="I29" s="331">
        <v>2.96</v>
      </c>
      <c r="J29" s="267">
        <f t="shared" si="0"/>
        <v>0</v>
      </c>
    </row>
    <row r="30" spans="1:16" x14ac:dyDescent="0.35">
      <c r="A30" s="103"/>
      <c r="B30" s="12" t="s">
        <v>2</v>
      </c>
      <c r="C30" s="10" t="s">
        <v>213</v>
      </c>
      <c r="D30" s="94"/>
      <c r="E30" s="232">
        <f>'Nord 1'!E30+'Nord 2'!E30+'Nord Mobile 1'!E30+'Nord Mobile 2'!E30+Esplanade!E30+'Est mobile 1'!E30+'Est 1'!E30+'Est mobile 2'!E30+'Est Mobile 3'!E30+'Est 2'!E30+'Est mobile 4'!E30+'Réserve Sud'!E30+'Sud 1'!E30+'Sud 2'!E30+Visiteurs!E30+'Principale mobile 1'!E30+'Principale 1 '!E30+'Principale mobile 2'!E30+'Principale mobile 3'!E30+'Principale 2'!E30+'Principale mobile 4'!E30</f>
        <v>0</v>
      </c>
      <c r="F30" s="94"/>
      <c r="G30" s="316">
        <f>SUM('Nord Mobile 1'!G30,'Nord 1'!G30,'Nord 2'!G30,'Nord Mobile 2'!G30,Esplanade!G30,'Est mobile 1'!G30,'Est 1'!G30,'Est mobile 2'!G30,'Est Mobile 3'!G30,'Est 2'!G30,'Est mobile 4'!G30,'Sud 1'!G30,'Sud 2'!G30,Visiteurs!G30,'Principale mobile 1'!G30,'Principale mobile 2'!G30,'Principale mobile 3'!G30,'Principale 2'!G30,'Principale mobile 4'!G30)</f>
        <v>0</v>
      </c>
      <c r="H30" s="10" t="s">
        <v>20</v>
      </c>
      <c r="I30" s="331">
        <v>2.96</v>
      </c>
      <c r="J30" s="267">
        <f t="shared" si="0"/>
        <v>0</v>
      </c>
    </row>
    <row r="31" spans="1:16" x14ac:dyDescent="0.35">
      <c r="A31" s="103"/>
      <c r="B31" s="7" t="s">
        <v>2</v>
      </c>
      <c r="C31" s="14" t="s">
        <v>22</v>
      </c>
      <c r="D31" s="94"/>
      <c r="E31" s="232">
        <f>'Nord 1'!E31+'Nord 2'!E31+'Nord Mobile 1'!E31+'Nord Mobile 2'!E31+Esplanade!E31+'Est mobile 1'!E31+'Est 1'!E31+'Est mobile 2'!E31+'Est Mobile 3'!E31+'Est 2'!E31+'Est mobile 4'!E31+'Réserve Sud'!E31+'Sud 1'!E31+'Sud 2'!E31+Visiteurs!E31+'Principale mobile 1'!E31+'Principale 1 '!E31+'Principale mobile 2'!E31+'Principale mobile 3'!E31+'Principale 2'!E31+'Principale mobile 4'!E31</f>
        <v>33</v>
      </c>
      <c r="F31" s="94"/>
      <c r="G31" s="316">
        <f>SUM('Nord Mobile 1'!G31,'Nord 1'!G31,'Nord 2'!G31,'Nord Mobile 2'!G31,Esplanade!G31,'Est mobile 1'!G31,'Est 1'!G31,'Est mobile 2'!G31,'Est Mobile 3'!G31,'Est 2'!G31,'Est mobile 4'!G31,'Sud 1'!G31,'Sud 2'!G31,Visiteurs!G31,'Principale mobile 1'!G31,'Principale mobile 2'!G31,'Principale mobile 3'!G31,'Principale 2'!G31,'Principale mobile 4'!G31)</f>
        <v>0</v>
      </c>
      <c r="H31" s="10" t="s">
        <v>20</v>
      </c>
      <c r="I31" s="331">
        <v>107.2</v>
      </c>
      <c r="J31" s="267">
        <f t="shared" si="0"/>
        <v>3537.6</v>
      </c>
    </row>
    <row r="32" spans="1:16" x14ac:dyDescent="0.35">
      <c r="A32" s="103"/>
      <c r="B32" s="7" t="s">
        <v>2</v>
      </c>
      <c r="C32" s="14" t="s">
        <v>214</v>
      </c>
      <c r="D32" s="94"/>
      <c r="E32" s="232">
        <f>'Nord 1'!E32+'Nord 2'!E32+'Nord Mobile 1'!E32+'Nord Mobile 2'!E32+Esplanade!E32+'Est mobile 1'!E32+'Est 1'!E32+'Est mobile 2'!E32+'Est Mobile 3'!E32+'Est 2'!E32+'Est mobile 4'!E32+'Réserve Sud'!E32+'Sud 1'!E32+'Sud 2'!E32+Visiteurs!E32+'Principale mobile 1'!E32+'Principale 1 '!E32+'Principale mobile 2'!E32+'Principale mobile 3'!E32+'Principale 2'!E32+'Principale mobile 4'!E32</f>
        <v>6</v>
      </c>
      <c r="F32" s="94"/>
      <c r="G32" s="316">
        <f>SUM('Nord Mobile 1'!G32,'Nord 1'!G32,'Nord 2'!G32,'Nord Mobile 2'!G32,Esplanade!G32,'Est mobile 1'!G32,'Est 1'!G32,'Est mobile 2'!G32,'Est Mobile 3'!G32,'Est 2'!G32,'Est mobile 4'!G32,'Sud 1'!G32,'Sud 2'!G32,Visiteurs!G32,'Principale mobile 1'!G32,'Principale mobile 2'!G32,'Principale mobile 3'!G32,'Principale 2'!G32,'Principale mobile 4'!G32)</f>
        <v>0</v>
      </c>
      <c r="H32" s="10" t="s">
        <v>20</v>
      </c>
      <c r="I32" s="331">
        <v>170.7</v>
      </c>
      <c r="J32" s="267">
        <f t="shared" si="0"/>
        <v>1024.1999999999998</v>
      </c>
    </row>
    <row r="33" spans="1:10" x14ac:dyDescent="0.35">
      <c r="A33" s="103"/>
      <c r="B33" s="12" t="s">
        <v>2</v>
      </c>
      <c r="C33" s="10" t="s">
        <v>215</v>
      </c>
      <c r="D33" s="94"/>
      <c r="E33" s="232">
        <f>'Nord 1'!E33+'Nord 2'!E33+'Nord Mobile 1'!E33+'Nord Mobile 2'!E33+Esplanade!E33+'Est mobile 1'!E33+'Est 1'!E33+'Est mobile 2'!E33+'Est Mobile 3'!E33+'Est 2'!E33+'Est mobile 4'!E33+'Réserve Sud'!E33+'Sud 1'!E33+'Sud 2'!E33+Visiteurs!E33+'Principale mobile 1'!E33+'Principale 1 '!E33+'Principale mobile 2'!E33+'Principale mobile 3'!E33+'Principale 2'!E33+'Principale mobile 4'!E33</f>
        <v>0</v>
      </c>
      <c r="F33" s="94"/>
      <c r="G33" s="316">
        <f>SUM('Nord Mobile 1'!G33,'Nord 1'!G33,'Nord 2'!G33,'Nord Mobile 2'!G33,Esplanade!G33,'Est mobile 1'!G33,'Est 1'!G33,'Est mobile 2'!G33,'Est Mobile 3'!G33,'Est 2'!G33,'Est mobile 4'!G33,'Sud 1'!G33,'Sud 2'!G33,Visiteurs!G33,'Principale mobile 1'!G33,'Principale mobile 2'!G33,'Principale mobile 3'!G33,'Principale 2'!G33,'Principale mobile 4'!G33)</f>
        <v>0</v>
      </c>
      <c r="H33" s="10" t="s">
        <v>216</v>
      </c>
      <c r="I33" s="331">
        <v>3.77</v>
      </c>
      <c r="J33" s="267">
        <f t="shared" si="0"/>
        <v>0</v>
      </c>
    </row>
    <row r="34" spans="1:10" x14ac:dyDescent="0.35">
      <c r="A34" s="103"/>
      <c r="B34" s="12" t="s">
        <v>2</v>
      </c>
      <c r="C34" s="10" t="s">
        <v>217</v>
      </c>
      <c r="D34" s="94"/>
      <c r="E34" s="232">
        <f>'Nord 1'!E34+'Nord 2'!E34+'Nord Mobile 1'!E34+'Nord Mobile 2'!E34+Esplanade!E34+'Est mobile 1'!E34+'Est 1'!E34+'Est mobile 2'!E34+'Est Mobile 3'!E34+'Est 2'!E34+'Est mobile 4'!E34+'Réserve Sud'!E34+'Sud 1'!E34+'Sud 2'!E34+Visiteurs!E34+'Principale mobile 1'!E34+'Principale 1 '!E34+'Principale mobile 2'!E34+'Principale mobile 3'!E34+'Principale 2'!E34+'Principale mobile 4'!E34</f>
        <v>0</v>
      </c>
      <c r="F34" s="94"/>
      <c r="G34" s="316">
        <f>SUM('Nord Mobile 1'!G34,'Nord 1'!G34,'Nord 2'!G34,'Nord Mobile 2'!G34,Esplanade!G34,'Est mobile 1'!G34,'Est 1'!G34,'Est mobile 2'!G34,'Est Mobile 3'!G34,'Est 2'!G34,'Est mobile 4'!G34,'Sud 1'!G34,'Sud 2'!G34,Visiteurs!G34,'Principale mobile 1'!G34,'Principale mobile 2'!G34,'Principale mobile 3'!G34,'Principale 2'!G34,'Principale mobile 4'!G34)</f>
        <v>0</v>
      </c>
      <c r="H34" s="10" t="s">
        <v>20</v>
      </c>
      <c r="I34" s="331">
        <v>2.56</v>
      </c>
      <c r="J34" s="267">
        <f t="shared" si="0"/>
        <v>0</v>
      </c>
    </row>
    <row r="35" spans="1:10" x14ac:dyDescent="0.35">
      <c r="A35" s="103"/>
      <c r="B35" s="12" t="s">
        <v>2</v>
      </c>
      <c r="C35" s="10" t="s">
        <v>218</v>
      </c>
      <c r="D35" s="94"/>
      <c r="E35" s="232">
        <f>'Nord 1'!E35+'Nord 2'!E35+'Nord Mobile 1'!E35+'Nord Mobile 2'!E35+Esplanade!E35+'Est mobile 1'!E35+'Est 1'!E35+'Est mobile 2'!E35+'Est Mobile 3'!E35+'Est 2'!E35+'Est mobile 4'!E35+'Réserve Sud'!E35+'Sud 1'!E35+'Sud 2'!E35+Visiteurs!E35+'Principale mobile 1'!E35+'Principale 1 '!E35+'Principale mobile 2'!E35+'Principale mobile 3'!E35+'Principale 2'!E35+'Principale mobile 4'!E35</f>
        <v>0</v>
      </c>
      <c r="F35" s="94"/>
      <c r="G35" s="316">
        <f>SUM('Nord Mobile 1'!G35,'Nord 1'!G35,'Nord 2'!G35,'Nord Mobile 2'!G35,Esplanade!G35,'Est mobile 1'!G35,'Est 1'!G35,'Est mobile 2'!G35,'Est Mobile 3'!G35,'Est 2'!G35,'Est mobile 4'!G35,'Sud 1'!G35,'Sud 2'!G35,Visiteurs!G35,'Principale mobile 1'!G35,'Principale mobile 2'!G35,'Principale mobile 3'!G35,'Principale 2'!G35,'Principale mobile 4'!G35)</f>
        <v>0</v>
      </c>
      <c r="H35" s="10" t="s">
        <v>20</v>
      </c>
      <c r="I35" s="331">
        <v>3.08</v>
      </c>
      <c r="J35" s="267">
        <f t="shared" si="0"/>
        <v>0</v>
      </c>
    </row>
    <row r="36" spans="1:10" x14ac:dyDescent="0.35">
      <c r="A36" s="103"/>
      <c r="B36" s="12" t="s">
        <v>2</v>
      </c>
      <c r="C36" s="10" t="s">
        <v>219</v>
      </c>
      <c r="D36" s="94"/>
      <c r="E36" s="232">
        <f>'Nord 1'!E36+'Nord 2'!E36+'Nord Mobile 1'!E36+'Nord Mobile 2'!E36+Esplanade!E36+'Est mobile 1'!E36+'Est 1'!E36+'Est mobile 2'!E36+'Est Mobile 3'!E36+'Est 2'!E36+'Est mobile 4'!E36+'Réserve Sud'!E36+'Sud 1'!E36+'Sud 2'!E36+Visiteurs!E36+'Principale mobile 1'!E36+'Principale 1 '!E36+'Principale mobile 2'!E36+'Principale mobile 3'!E36+'Principale 2'!E36+'Principale mobile 4'!E36</f>
        <v>0</v>
      </c>
      <c r="F36" s="94"/>
      <c r="G36" s="316">
        <f>SUM('Nord Mobile 1'!G36,'Nord 1'!G36,'Nord 2'!G36,'Nord Mobile 2'!G36,Esplanade!G36,'Est mobile 1'!G36,'Est 1'!G36,'Est mobile 2'!G36,'Est Mobile 3'!G36,'Est 2'!G36,'Est mobile 4'!G36,'Sud 1'!G36,'Sud 2'!G36,Visiteurs!G36,'Principale mobile 1'!G36,'Principale mobile 2'!G36,'Principale mobile 3'!G36,'Principale 2'!G36,'Principale mobile 4'!G36)</f>
        <v>0</v>
      </c>
      <c r="H36" s="10" t="s">
        <v>20</v>
      </c>
      <c r="I36" s="331">
        <v>2.56</v>
      </c>
      <c r="J36" s="267">
        <f t="shared" si="0"/>
        <v>0</v>
      </c>
    </row>
    <row r="37" spans="1:10" x14ac:dyDescent="0.35">
      <c r="A37" s="103"/>
      <c r="B37" s="12" t="s">
        <v>2</v>
      </c>
      <c r="C37" s="10" t="s">
        <v>220</v>
      </c>
      <c r="D37" s="94"/>
      <c r="E37" s="232">
        <f>'Nord 1'!E37+'Nord 2'!E37+'Nord Mobile 1'!E37+'Nord Mobile 2'!E37+Esplanade!E37+'Est mobile 1'!E37+'Est 1'!E37+'Est mobile 2'!E37+'Est Mobile 3'!E37+'Est 2'!E37+'Est mobile 4'!E37+'Réserve Sud'!E37+'Sud 1'!E37+'Sud 2'!E37+Visiteurs!E37+'Principale mobile 1'!E37+'Principale 1 '!E37+'Principale mobile 2'!E37+'Principale mobile 3'!E37+'Principale 2'!E37+'Principale mobile 4'!E37</f>
        <v>0</v>
      </c>
      <c r="F37" s="94"/>
      <c r="G37" s="316">
        <f>SUM('Nord Mobile 1'!G37,'Nord 1'!G37,'Nord 2'!G37,'Nord Mobile 2'!G37,Esplanade!G37,'Est mobile 1'!G37,'Est 1'!G37,'Est mobile 2'!G37,'Est Mobile 3'!G37,'Est 2'!G37,'Est mobile 4'!G37,'Sud 1'!G37,'Sud 2'!G37,Visiteurs!G37,'Principale mobile 1'!G37,'Principale mobile 2'!G37,'Principale mobile 3'!G37,'Principale 2'!G37,'Principale mobile 4'!G37)</f>
        <v>0</v>
      </c>
      <c r="H37" s="10" t="s">
        <v>20</v>
      </c>
      <c r="I37" s="331">
        <v>1.41</v>
      </c>
      <c r="J37" s="267">
        <f t="shared" si="0"/>
        <v>0</v>
      </c>
    </row>
    <row r="38" spans="1:10" x14ac:dyDescent="0.35">
      <c r="A38" s="103"/>
      <c r="B38" s="12" t="s">
        <v>2</v>
      </c>
      <c r="C38" s="10" t="s">
        <v>221</v>
      </c>
      <c r="D38" s="94"/>
      <c r="E38" s="232">
        <f>'Nord 1'!E38+'Nord 2'!E38+'Nord Mobile 1'!E38+'Nord Mobile 2'!E38+Esplanade!E38+'Est mobile 1'!E38+'Est 1'!E38+'Est mobile 2'!E38+'Est Mobile 3'!E38+'Est 2'!E38+'Est mobile 4'!E38+'Réserve Sud'!E38+'Sud 1'!E38+'Sud 2'!E38+Visiteurs!E38+'Principale mobile 1'!E38+'Principale 1 '!E38+'Principale mobile 2'!E38+'Principale mobile 3'!E38+'Principale 2'!E38+'Principale mobile 4'!E38</f>
        <v>0</v>
      </c>
      <c r="F38" s="94"/>
      <c r="G38" s="316">
        <f>SUM('Nord Mobile 1'!G38,'Nord 1'!G38,'Nord 2'!G38,'Nord Mobile 2'!G38,Esplanade!G38,'Est mobile 1'!G38,'Est 1'!G38,'Est mobile 2'!G38,'Est Mobile 3'!G38,'Est 2'!G38,'Est mobile 4'!G38,'Sud 1'!G38,'Sud 2'!G38,Visiteurs!G38,'Principale mobile 1'!G38,'Principale mobile 2'!G38,'Principale mobile 3'!G38,'Principale 2'!G38,'Principale mobile 4'!G38)</f>
        <v>0</v>
      </c>
      <c r="H38" s="10" t="s">
        <v>20</v>
      </c>
      <c r="I38" s="331">
        <v>1.73</v>
      </c>
      <c r="J38" s="267">
        <f t="shared" si="0"/>
        <v>0</v>
      </c>
    </row>
    <row r="39" spans="1:10" x14ac:dyDescent="0.35">
      <c r="A39" s="103"/>
      <c r="B39" s="12" t="s">
        <v>2</v>
      </c>
      <c r="C39" s="10" t="s">
        <v>222</v>
      </c>
      <c r="D39" s="94"/>
      <c r="E39" s="232">
        <f>'Nord 1'!E39+'Nord 2'!E39+'Nord Mobile 1'!E39+'Nord Mobile 2'!E39+Esplanade!E39+'Est mobile 1'!E39+'Est 1'!E39+'Est mobile 2'!E39+'Est Mobile 3'!E39+'Est 2'!E39+'Est mobile 4'!E39+'Réserve Sud'!E39+'Sud 1'!E39+'Sud 2'!E39+Visiteurs!E39+'Principale mobile 1'!E39+'Principale 1 '!E39+'Principale mobile 2'!E39+'Principale mobile 3'!E39+'Principale 2'!E39+'Principale mobile 4'!E39</f>
        <v>0</v>
      </c>
      <c r="F39" s="94"/>
      <c r="G39" s="316">
        <f>SUM('Nord Mobile 1'!G39,'Nord 1'!G39,'Nord 2'!G39,'Nord Mobile 2'!G39,Esplanade!G39,'Est mobile 1'!G39,'Est 1'!G39,'Est mobile 2'!G39,'Est Mobile 3'!G39,'Est 2'!G39,'Est mobile 4'!G39,'Sud 1'!G39,'Sud 2'!G39,Visiteurs!G39,'Principale mobile 1'!G39,'Principale mobile 2'!G39,'Principale mobile 3'!G39,'Principale 2'!G39,'Principale mobile 4'!G39)</f>
        <v>0</v>
      </c>
      <c r="H39" s="10" t="s">
        <v>20</v>
      </c>
      <c r="I39" s="331">
        <v>1.46</v>
      </c>
      <c r="J39" s="267">
        <f t="shared" si="0"/>
        <v>0</v>
      </c>
    </row>
    <row r="40" spans="1:10" x14ac:dyDescent="0.35">
      <c r="A40" s="103"/>
      <c r="B40" s="12" t="s">
        <v>2</v>
      </c>
      <c r="C40" s="10" t="s">
        <v>223</v>
      </c>
      <c r="D40" s="96"/>
      <c r="E40" s="232">
        <f>'Nord 1'!E40+'Nord 2'!E40+'Nord Mobile 1'!E40+'Nord Mobile 2'!E40+Esplanade!E40+'Est mobile 1'!E40+'Est 1'!E40+'Est mobile 2'!E40+'Est Mobile 3'!E40+'Est 2'!E40+'Est mobile 4'!E40+'Réserve Sud'!E40+'Sud 1'!E40+'Sud 2'!E40+Visiteurs!E40+'Principale mobile 1'!E40+'Principale 1 '!E40+'Principale mobile 2'!E40+'Principale mobile 3'!E40+'Principale 2'!E40+'Principale mobile 4'!E40</f>
        <v>0</v>
      </c>
      <c r="F40" s="96"/>
      <c r="G40" s="316">
        <f>SUM('Nord Mobile 1'!G40,'Nord 1'!G40,'Nord 2'!G40,'Nord Mobile 2'!G40,Esplanade!G40,'Est mobile 1'!G40,'Est 1'!G40,'Est mobile 2'!G40,'Est Mobile 3'!G40,'Est 2'!G40,'Est mobile 4'!G40,'Sud 1'!G40,'Sud 2'!G40,Visiteurs!G40,'Principale mobile 1'!G40,'Principale mobile 2'!G40,'Principale mobile 3'!G40,'Principale 2'!G40,'Principale mobile 4'!G40)</f>
        <v>0</v>
      </c>
      <c r="H40" s="10" t="s">
        <v>20</v>
      </c>
      <c r="I40" s="332">
        <v>3.45</v>
      </c>
      <c r="J40" s="267">
        <f t="shared" si="0"/>
        <v>0</v>
      </c>
    </row>
    <row r="41" spans="1:10" ht="15.5" x14ac:dyDescent="0.35">
      <c r="A41" s="108" t="s">
        <v>119</v>
      </c>
      <c r="B41" s="108"/>
      <c r="C41" s="108"/>
      <c r="D41" s="108"/>
      <c r="E41" s="232">
        <f>'Nord 1'!E41+'Nord 2'!E41+'Nord Mobile 1'!E41+'Nord Mobile 2'!E41+Esplanade!E41+'Est mobile 1'!E41+'Est 1'!E41+'Est mobile 2'!E41+'Est Mobile 3'!E41+'Est 2'!E41+'Est mobile 4'!E41+'Réserve Sud'!E41+'Sud 1'!E41+'Sud 2'!E41+Visiteurs!E41+'Principale mobile 1'!E41+'Principale 1 '!E41+'Principale mobile 2'!E41+'Principale mobile 3'!E41+'Principale 2'!E41+'Principale mobile 4'!E41</f>
        <v>0</v>
      </c>
      <c r="F41" s="108"/>
      <c r="G41" s="316">
        <f>SUM('Nord Mobile 1'!G41,'Nord 1'!G41,'Nord 2'!G41,'Nord Mobile 2'!G41,Esplanade!G41,'Est mobile 1'!G41,'Est 1'!G41,'Est mobile 2'!G41,'Est Mobile 3'!G41,'Est 2'!G41,'Est mobile 4'!G41,'Sud 1'!G41,'Sud 2'!G41,Visiteurs!G41,'Principale mobile 1'!G41,'Principale mobile 2'!G41,'Principale mobile 3'!G41,'Principale 2'!G41,'Principale mobile 4'!G41)</f>
        <v>0</v>
      </c>
      <c r="H41" s="108"/>
      <c r="I41" s="106" t="s">
        <v>18</v>
      </c>
      <c r="J41" s="247">
        <f>SUM(J42:J49)</f>
        <v>41515</v>
      </c>
    </row>
    <row r="42" spans="1:10" x14ac:dyDescent="0.35">
      <c r="A42" s="103"/>
      <c r="B42" s="12" t="s">
        <v>7</v>
      </c>
      <c r="C42" s="10" t="s">
        <v>224</v>
      </c>
      <c r="D42" s="94"/>
      <c r="E42" s="232">
        <f>'Nord 1'!E42+'Nord 2'!E42+'Nord Mobile 1'!E42+'Nord Mobile 2'!E42+Esplanade!E42+'Est mobile 1'!E42+'Est 1'!E42+'Est mobile 2'!E42+'Est Mobile 3'!E42+'Est 2'!E42+'Est mobile 4'!E42+'Réserve Sud'!E42+'Sud 1'!E42+'Sud 2'!E42+Visiteurs!E42+'Principale mobile 1'!E42+'Principale 1 '!E42+'Principale mobile 2'!E42+'Principale mobile 3'!E42+'Principale 2'!E42+'Principale mobile 4'!E42</f>
        <v>46</v>
      </c>
      <c r="F42" s="94"/>
      <c r="G42" s="316">
        <f>SUM('Nord Mobile 1'!G42,'Nord 1'!G42,'Nord 2'!G42,'Nord Mobile 2'!G42,Esplanade!G42,'Est mobile 1'!G42,'Est 1'!G42,'Est mobile 2'!G42,'Est Mobile 3'!G42,'Est 2'!G42,'Est mobile 4'!G42,'Sud 1'!G42,'Sud 2'!G42,Visiteurs!G42,'Principale mobile 1'!G42,'Principale mobile 2'!G42,'Principale mobile 3'!G42,'Principale 2'!G42,'Principale mobile 4'!G42)</f>
        <v>0</v>
      </c>
      <c r="H42" s="10" t="s">
        <v>20</v>
      </c>
      <c r="I42" s="331">
        <v>100</v>
      </c>
      <c r="J42" s="267">
        <f t="shared" si="0"/>
        <v>4600</v>
      </c>
    </row>
    <row r="43" spans="1:10" x14ac:dyDescent="0.35">
      <c r="A43" s="103"/>
      <c r="B43" s="12" t="s">
        <v>7</v>
      </c>
      <c r="C43" s="10" t="s">
        <v>225</v>
      </c>
      <c r="D43" s="94"/>
      <c r="E43" s="232">
        <f>'Nord 1'!E43+'Nord 2'!E43+'Nord Mobile 1'!E43+'Nord Mobile 2'!E43+Esplanade!E43+'Est mobile 1'!E43+'Est 1'!E43+'Est mobile 2'!E43+'Est Mobile 3'!E43+'Est 2'!E43+'Est mobile 4'!E43+'Réserve Sud'!E43+'Sud 1'!E43+'Sud 2'!E43+Visiteurs!E43+'Principale mobile 1'!E43+'Principale 1 '!E43+'Principale mobile 2'!E43+'Principale mobile 3'!E43+'Principale 2'!E43+'Principale mobile 4'!E43</f>
        <v>0</v>
      </c>
      <c r="F43" s="94"/>
      <c r="G43" s="316">
        <f>SUM('Nord Mobile 1'!G43,'Nord 1'!G43,'Nord 2'!G43,'Nord Mobile 2'!G43,Esplanade!G43,'Est mobile 1'!G43,'Est 1'!G43,'Est mobile 2'!G43,'Est Mobile 3'!G43,'Est 2'!G43,'Est mobile 4'!G43,'Sud 1'!G43,'Sud 2'!G43,Visiteurs!G43,'Principale mobile 1'!G43,'Principale mobile 2'!G43,'Principale mobile 3'!G43,'Principale 2'!G43,'Principale mobile 4'!G43)</f>
        <v>0</v>
      </c>
      <c r="H43" s="10" t="s">
        <v>20</v>
      </c>
      <c r="I43" s="331">
        <v>12.2</v>
      </c>
      <c r="J43" s="267">
        <f t="shared" si="0"/>
        <v>0</v>
      </c>
    </row>
    <row r="44" spans="1:10" x14ac:dyDescent="0.35">
      <c r="A44" s="103"/>
      <c r="B44" s="12" t="s">
        <v>7</v>
      </c>
      <c r="C44" s="10" t="s">
        <v>226</v>
      </c>
      <c r="D44" s="94"/>
      <c r="E44" s="232">
        <f>'Nord 1'!E44+'Nord 2'!E44+'Nord Mobile 1'!E44+'Nord Mobile 2'!E44+Esplanade!E44+'Est mobile 1'!E44+'Est 1'!E44+'Est mobile 2'!E44+'Est Mobile 3'!E44+'Est 2'!E44+'Est mobile 4'!E44+'Réserve Sud'!E44+'Sud 1'!E44+'Sud 2'!E44+Visiteurs!E44+'Principale mobile 1'!E44+'Principale 1 '!E44+'Principale mobile 2'!E44+'Principale mobile 3'!E44+'Principale 2'!E44+'Principale mobile 4'!E44</f>
        <v>0</v>
      </c>
      <c r="F44" s="94"/>
      <c r="G44" s="316">
        <f>SUM('Nord Mobile 1'!G44,'Nord 1'!G44,'Nord 2'!G44,'Nord Mobile 2'!G44,Esplanade!G44,'Est mobile 1'!G44,'Est 1'!G44,'Est mobile 2'!G44,'Est Mobile 3'!G44,'Est 2'!G44,'Est mobile 4'!G44,'Sud 1'!G44,'Sud 2'!G44,Visiteurs!G44,'Principale mobile 1'!G44,'Principale mobile 2'!G44,'Principale mobile 3'!G44,'Principale 2'!G44,'Principale mobile 4'!G44)</f>
        <v>0</v>
      </c>
      <c r="H44" s="10" t="s">
        <v>20</v>
      </c>
      <c r="I44" s="331">
        <v>11</v>
      </c>
      <c r="J44" s="267">
        <f t="shared" si="0"/>
        <v>0</v>
      </c>
    </row>
    <row r="45" spans="1:10" x14ac:dyDescent="0.35">
      <c r="A45" s="103"/>
      <c r="B45" s="12" t="s">
        <v>7</v>
      </c>
      <c r="C45" s="10" t="s">
        <v>227</v>
      </c>
      <c r="D45" s="94"/>
      <c r="E45" s="232">
        <f>'Nord 1'!E45+'Nord 2'!E45+'Nord Mobile 1'!E45+'Nord Mobile 2'!E45+Esplanade!E45+'Est mobile 1'!E45+'Est 1'!E45+'Est mobile 2'!E45+'Est Mobile 3'!E45+'Est 2'!E45+'Est mobile 4'!E45+'Réserve Sud'!E45+'Sud 1'!E45+'Sud 2'!E45+Visiteurs!E45+'Principale mobile 1'!E45+'Principale 1 '!E45+'Principale mobile 2'!E45+'Principale mobile 3'!E45+'Principale 2'!E45+'Principale mobile 4'!E45</f>
        <v>0</v>
      </c>
      <c r="F45" s="94"/>
      <c r="G45" s="316">
        <f>SUM('Nord Mobile 1'!G45,'Nord 1'!G45,'Nord 2'!G45,'Nord Mobile 2'!G45,Esplanade!G45,'Est mobile 1'!G45,'Est 1'!G45,'Est mobile 2'!G45,'Est Mobile 3'!G45,'Est 2'!G45,'Est mobile 4'!G45,'Sud 1'!G45,'Sud 2'!G45,Visiteurs!G45,'Principale mobile 1'!G45,'Principale mobile 2'!G45,'Principale mobile 3'!G45,'Principale 2'!G45,'Principale mobile 4'!G45)</f>
        <v>0</v>
      </c>
      <c r="H45" s="10" t="s">
        <v>20</v>
      </c>
      <c r="I45" s="331">
        <v>5</v>
      </c>
      <c r="J45" s="267">
        <f t="shared" si="0"/>
        <v>0</v>
      </c>
    </row>
    <row r="46" spans="1:10" x14ac:dyDescent="0.35">
      <c r="A46" s="103"/>
      <c r="B46" s="12" t="s">
        <v>7</v>
      </c>
      <c r="C46" s="10" t="s">
        <v>46</v>
      </c>
      <c r="D46" s="94"/>
      <c r="E46" s="232">
        <f>'Nord 1'!E46+'Nord 2'!E46+'Nord Mobile 1'!E46+'Nord Mobile 2'!E46+Esplanade!E46+'Est mobile 1'!E46+'Est 1'!E46+'Est mobile 2'!E46+'Est Mobile 3'!E46+'Est 2'!E46+'Est mobile 4'!E46+'Réserve Sud'!E46+'Sud 1'!E46+'Sud 2'!E46+Visiteurs!E46+'Principale mobile 1'!E46+'Principale 1 '!E46+'Principale mobile 2'!E46+'Principale mobile 3'!E46+'Principale 2'!E46+'Principale mobile 4'!E46</f>
        <v>163</v>
      </c>
      <c r="F46" s="94"/>
      <c r="G46" s="316">
        <f>SUM('Nord Mobile 1'!G46,'Nord 1'!G46,'Nord 2'!G46,'Nord Mobile 2'!G46,Esplanade!G46,'Est mobile 1'!G46,'Est 1'!G46,'Est mobile 2'!G46,'Est Mobile 3'!G46,'Est 2'!G46,'Est mobile 4'!G46,'Sud 1'!G46,'Sud 2'!G46,Visiteurs!G46,'Principale mobile 1'!G46,'Principale mobile 2'!G46,'Principale mobile 3'!G46,'Principale 2'!G46,'Principale mobile 4'!G46)</f>
        <v>0</v>
      </c>
      <c r="H46" s="10" t="s">
        <v>20</v>
      </c>
      <c r="I46" s="331">
        <v>5</v>
      </c>
      <c r="J46" s="267">
        <f t="shared" si="0"/>
        <v>815</v>
      </c>
    </row>
    <row r="47" spans="1:10" x14ac:dyDescent="0.35">
      <c r="A47" s="103"/>
      <c r="B47" s="12" t="s">
        <v>7</v>
      </c>
      <c r="C47" s="10" t="s">
        <v>228</v>
      </c>
      <c r="D47" s="94"/>
      <c r="E47" s="232">
        <f>'Nord 1'!E47+'Nord 2'!E47+'Nord Mobile 1'!E47+'Nord Mobile 2'!E47+Esplanade!E47+'Est mobile 1'!E47+'Est 1'!E47+'Est mobile 2'!E47+'Est Mobile 3'!E47+'Est 2'!E47+'Est mobile 4'!E47+'Réserve Sud'!E47+'Sud 1'!E47+'Sud 2'!E47+Visiteurs!E47+'Principale mobile 1'!E47+'Principale 1 '!E47+'Principale mobile 2'!E47+'Principale mobile 3'!E47+'Principale 2'!E47+'Principale mobile 4'!E47</f>
        <v>0</v>
      </c>
      <c r="F47" s="94"/>
      <c r="G47" s="316">
        <f>SUM('Nord Mobile 1'!G47,'Nord 1'!G47,'Nord 2'!G47,'Nord Mobile 2'!G47,Esplanade!G47,'Est mobile 1'!G47,'Est 1'!G47,'Est mobile 2'!G47,'Est Mobile 3'!G47,'Est 2'!G47,'Est mobile 4'!G47,'Sud 1'!G47,'Sud 2'!G47,Visiteurs!G47,'Principale mobile 1'!G47,'Principale mobile 2'!G47,'Principale mobile 3'!G47,'Principale 2'!G47,'Principale mobile 4'!G47)</f>
        <v>0</v>
      </c>
      <c r="H47" s="10" t="s">
        <v>20</v>
      </c>
      <c r="I47" s="331">
        <v>11</v>
      </c>
      <c r="J47" s="267">
        <f t="shared" si="0"/>
        <v>0</v>
      </c>
    </row>
    <row r="48" spans="1:10" x14ac:dyDescent="0.35">
      <c r="A48" s="103"/>
      <c r="B48" s="12" t="s">
        <v>7</v>
      </c>
      <c r="C48" s="10" t="s">
        <v>229</v>
      </c>
      <c r="D48" s="94"/>
      <c r="E48" s="232">
        <f>'Nord 1'!E48+'Nord 2'!E48+'Nord Mobile 1'!E48+'Nord Mobile 2'!E48+Esplanade!E48+'Est mobile 1'!E48+'Est 1'!E48+'Est mobile 2'!E48+'Est Mobile 3'!E48+'Est 2'!E48+'Est mobile 4'!E48+'Réserve Sud'!E48+'Sud 1'!E48+'Sud 2'!E48+Visiteurs!E48+'Principale mobile 1'!E48+'Principale 1 '!E48+'Principale mobile 2'!E48+'Principale mobile 3'!E48+'Principale 2'!E48+'Principale mobile 4'!E48</f>
        <v>722</v>
      </c>
      <c r="F48" s="94"/>
      <c r="G48" s="316">
        <f>SUM('Nord Mobile 1'!G48,'Nord 1'!G48,'Nord 2'!G48,'Nord Mobile 2'!G48,Esplanade!G48,'Est mobile 1'!G48,'Est 1'!G48,'Est mobile 2'!G48,'Est Mobile 3'!G48,'Est 2'!G48,'Est mobile 4'!G48,'Sud 1'!G48,'Sud 2'!G48,Visiteurs!G48,'Principale mobile 1'!G48,'Principale mobile 2'!G48,'Principale mobile 3'!G48,'Principale 2'!G48,'Principale mobile 4'!G48)</f>
        <v>0</v>
      </c>
      <c r="H48" s="10" t="s">
        <v>20</v>
      </c>
      <c r="I48" s="331">
        <v>50</v>
      </c>
      <c r="J48" s="267">
        <f t="shared" si="0"/>
        <v>36100</v>
      </c>
    </row>
    <row r="49" spans="1:10" x14ac:dyDescent="0.35">
      <c r="A49" s="103"/>
      <c r="B49" s="12" t="s">
        <v>7</v>
      </c>
      <c r="C49" s="78" t="s">
        <v>206</v>
      </c>
      <c r="D49" s="97"/>
      <c r="E49" s="232">
        <f>'Nord 1'!E49+'Nord 2'!E49+'Nord Mobile 1'!E49+'Nord Mobile 2'!E49+Esplanade!E49+'Est mobile 1'!E49+'Est 1'!E49+'Est mobile 2'!E49+'Est Mobile 3'!E49+'Est 2'!E49+'Est mobile 4'!E49+'Réserve Sud'!E49+'Sud 1'!E49+'Sud 2'!E49+Visiteurs!E49+'Principale mobile 1'!E49+'Principale 1 '!E49+'Principale mobile 2'!E49+'Principale mobile 3'!E49+'Principale 2'!E49+'Principale mobile 4'!E49</f>
        <v>0</v>
      </c>
      <c r="F49" s="97"/>
      <c r="G49" s="316">
        <f>SUM('Nord Mobile 1'!G49,'Nord 1'!G49,'Nord 2'!G49,'Nord Mobile 2'!G49,Esplanade!G49,'Est mobile 1'!G49,'Est 1'!G49,'Est mobile 2'!G49,'Est Mobile 3'!G49,'Est 2'!G49,'Est mobile 4'!G49,'Sud 1'!G49,'Sud 2'!G49,Visiteurs!G49,'Principale mobile 1'!G49,'Principale mobile 2'!G49,'Principale mobile 3'!G49,'Principale 2'!G49,'Principale mobile 4'!G49)</f>
        <v>0</v>
      </c>
      <c r="H49" s="10" t="s">
        <v>20</v>
      </c>
      <c r="I49" s="333">
        <v>5</v>
      </c>
      <c r="J49" s="267">
        <f t="shared" si="0"/>
        <v>0</v>
      </c>
    </row>
    <row r="50" spans="1:10" ht="15.5" x14ac:dyDescent="0.35">
      <c r="A50" s="103"/>
      <c r="B50" s="104" t="s">
        <v>230</v>
      </c>
      <c r="C50" s="105"/>
      <c r="D50" s="105"/>
      <c r="E50" s="232">
        <f>'Nord 1'!E50+'Nord 2'!E50+'Nord Mobile 1'!E50+'Nord Mobile 2'!E50+Esplanade!E50+'Est mobile 1'!E50+'Est 1'!E50+'Est mobile 2'!E50+'Est Mobile 3'!E50+'Est 2'!E50+'Est mobile 4'!E50+'Réserve Sud'!E50+'Sud 1'!E50+'Sud 2'!E50+Visiteurs!E50+'Principale mobile 1'!E50+'Principale 1 '!E50+'Principale mobile 2'!E50+'Principale mobile 3'!E50+'Principale 2'!E50+'Principale mobile 4'!E50</f>
        <v>0</v>
      </c>
      <c r="F50" s="105"/>
      <c r="G50" s="316">
        <f>SUM('Nord Mobile 1'!G50,'Nord 1'!G50,'Nord 2'!G50,'Nord Mobile 2'!G50,Esplanade!G50,'Est mobile 1'!G50,'Est 1'!G50,'Est mobile 2'!G50,'Est Mobile 3'!G50,'Est 2'!G50,'Est mobile 4'!G50,'Sud 1'!G50,'Sud 2'!G50,Visiteurs!G50,'Principale mobile 1'!G50,'Principale mobile 2'!G50,'Principale mobile 3'!G50,'Principale 2'!G50,'Principale mobile 4'!G50)</f>
        <v>0</v>
      </c>
      <c r="H50" s="105"/>
      <c r="I50" s="106" t="s">
        <v>18</v>
      </c>
      <c r="J50" s="247">
        <f>SUM(J52:J77)</f>
        <v>2310</v>
      </c>
    </row>
    <row r="51" spans="1:10" ht="15.5" x14ac:dyDescent="0.35">
      <c r="A51" s="111"/>
      <c r="B51" s="126" t="s">
        <v>231</v>
      </c>
      <c r="C51" s="127"/>
      <c r="D51" s="127"/>
      <c r="E51" s="232">
        <f>'Nord 1'!E51+'Nord 2'!E51+'Nord Mobile 1'!E51+'Nord Mobile 2'!E51+Esplanade!E51+'Est mobile 1'!E51+'Est 1'!E51+'Est mobile 2'!E51+'Est Mobile 3'!E51+'Est 2'!E51+'Est mobile 4'!E51+'Réserve Sud'!E51+'Sud 1'!E51+'Sud 2'!E51+Visiteurs!E51+'Principale mobile 1'!E51+'Principale 1 '!E51+'Principale mobile 2'!E51+'Principale mobile 3'!E51+'Principale 2'!E51+'Principale mobile 4'!E51</f>
        <v>0</v>
      </c>
      <c r="F51" s="127"/>
      <c r="G51" s="316">
        <f>SUM('Nord Mobile 1'!G51,'Nord 1'!G51,'Nord 2'!G51,'Nord Mobile 2'!G51,Esplanade!G51,'Est mobile 1'!G51,'Est 1'!G51,'Est mobile 2'!G51,'Est Mobile 3'!G51,'Est 2'!G51,'Est mobile 4'!G51,'Sud 1'!G51,'Sud 2'!G51,Visiteurs!G51,'Principale mobile 1'!G51,'Principale mobile 2'!G51,'Principale mobile 3'!G51,'Principale 2'!G51,'Principale mobile 4'!G51)</f>
        <v>0</v>
      </c>
      <c r="H51" s="127"/>
      <c r="I51" s="239"/>
      <c r="J51" s="247"/>
    </row>
    <row r="52" spans="1:10" x14ac:dyDescent="0.35">
      <c r="A52" s="103"/>
      <c r="B52" s="12" t="s">
        <v>13</v>
      </c>
      <c r="C52" s="10" t="s">
        <v>78</v>
      </c>
      <c r="D52" s="94"/>
      <c r="E52" s="232">
        <f>'Nord 1'!E52+'Nord 2'!E52+'Nord Mobile 1'!E52+'Nord Mobile 2'!E52+Esplanade!E52+'Est mobile 1'!E52+'Est 1'!E52+'Est mobile 2'!E52+'Est Mobile 3'!E52+'Est 2'!E52+'Est mobile 4'!E52+'Réserve Sud'!E52+'Sud 1'!E52+'Sud 2'!E52+Visiteurs!E52+'Principale mobile 1'!E52+'Principale 1 '!E52+'Principale mobile 2'!E52+'Principale mobile 3'!E52+'Principale 2'!E52+'Principale mobile 4'!E52</f>
        <v>0</v>
      </c>
      <c r="F52" s="94"/>
      <c r="G52" s="316">
        <f>SUM('Nord Mobile 1'!G52,'Nord 1'!G52,'Nord 2'!G52,'Nord Mobile 2'!G52,Esplanade!G52,'Est mobile 1'!G52,'Est 1'!G52,'Est mobile 2'!G52,'Est Mobile 3'!G52,'Est 2'!G52,'Est mobile 4'!G52,'Sud 1'!G52,'Sud 2'!G52,Visiteurs!G52,'Principale mobile 1'!G52,'Principale mobile 2'!G52,'Principale mobile 3'!G52,'Principale 2'!G52,'Principale mobile 4'!G52)</f>
        <v>0</v>
      </c>
      <c r="H52" s="10" t="s">
        <v>20</v>
      </c>
      <c r="I52" s="331">
        <v>13</v>
      </c>
      <c r="J52" s="267">
        <f t="shared" si="0"/>
        <v>0</v>
      </c>
    </row>
    <row r="53" spans="1:10" x14ac:dyDescent="0.35">
      <c r="A53" s="103"/>
      <c r="B53" s="12" t="s">
        <v>13</v>
      </c>
      <c r="C53" s="10" t="s">
        <v>232</v>
      </c>
      <c r="D53" s="94"/>
      <c r="E53" s="232">
        <f>'Nord 1'!E53+'Nord 2'!E53+'Nord Mobile 1'!E53+'Nord Mobile 2'!E53+Esplanade!E53+'Est mobile 1'!E53+'Est 1'!E53+'Est mobile 2'!E53+'Est Mobile 3'!E53+'Est 2'!E53+'Est mobile 4'!E53+'Réserve Sud'!E53+'Sud 1'!E53+'Sud 2'!E53+Visiteurs!E53+'Principale mobile 1'!E53+'Principale 1 '!E53+'Principale mobile 2'!E53+'Principale mobile 3'!E53+'Principale 2'!E53+'Principale mobile 4'!E53</f>
        <v>0</v>
      </c>
      <c r="F53" s="94"/>
      <c r="G53" s="316">
        <f>SUM('Nord Mobile 1'!G53,'Nord 1'!G53,'Nord 2'!G53,'Nord Mobile 2'!G53,Esplanade!G53,'Est mobile 1'!G53,'Est 1'!G53,'Est mobile 2'!G53,'Est Mobile 3'!G53,'Est 2'!G53,'Est mobile 4'!G53,'Sud 1'!G53,'Sud 2'!G53,Visiteurs!G53,'Principale mobile 1'!G53,'Principale mobile 2'!G53,'Principale mobile 3'!G53,'Principale 2'!G53,'Principale mobile 4'!G53)</f>
        <v>0</v>
      </c>
      <c r="H53" s="10" t="s">
        <v>20</v>
      </c>
      <c r="I53" s="331">
        <v>13</v>
      </c>
      <c r="J53" s="267">
        <f t="shared" si="0"/>
        <v>0</v>
      </c>
    </row>
    <row r="54" spans="1:10" x14ac:dyDescent="0.35">
      <c r="A54" s="103"/>
      <c r="B54" s="12" t="s">
        <v>13</v>
      </c>
      <c r="C54" s="10" t="s">
        <v>233</v>
      </c>
      <c r="D54" s="94"/>
      <c r="E54" s="232">
        <f>'Nord 1'!E54+'Nord 2'!E54+'Nord Mobile 1'!E54+'Nord Mobile 2'!E54+Esplanade!E54+'Est mobile 1'!E54+'Est 1'!E54+'Est mobile 2'!E54+'Est Mobile 3'!E54+'Est 2'!E54+'Est mobile 4'!E54+'Réserve Sud'!E54+'Sud 1'!E54+'Sud 2'!E54+Visiteurs!E54+'Principale mobile 1'!E54+'Principale 1 '!E54+'Principale mobile 2'!E54+'Principale mobile 3'!E54+'Principale 2'!E54+'Principale mobile 4'!E54</f>
        <v>0</v>
      </c>
      <c r="F54" s="94"/>
      <c r="G54" s="316">
        <f>SUM('Nord Mobile 1'!G54,'Nord 1'!G54,'Nord 2'!G54,'Nord Mobile 2'!G54,Esplanade!G54,'Est mobile 1'!G54,'Est 1'!G54,'Est mobile 2'!G54,'Est Mobile 3'!G54,'Est 2'!G54,'Est mobile 4'!G54,'Sud 1'!G54,'Sud 2'!G54,Visiteurs!G54,'Principale mobile 1'!G54,'Principale mobile 2'!G54,'Principale mobile 3'!G54,'Principale 2'!G54,'Principale mobile 4'!G54)</f>
        <v>0</v>
      </c>
      <c r="H54" s="10" t="s">
        <v>20</v>
      </c>
      <c r="I54" s="331">
        <v>8.9</v>
      </c>
      <c r="J54" s="267">
        <f t="shared" si="0"/>
        <v>0</v>
      </c>
    </row>
    <row r="55" spans="1:10" x14ac:dyDescent="0.35">
      <c r="A55" s="103"/>
      <c r="B55" s="12" t="s">
        <v>13</v>
      </c>
      <c r="C55" s="10" t="s">
        <v>32</v>
      </c>
      <c r="D55" s="94"/>
      <c r="E55" s="232">
        <f>'Nord 1'!E55+'Nord 2'!E55+'Nord Mobile 1'!E55+'Nord Mobile 2'!E55+Esplanade!E55+'Est mobile 1'!E55+'Est 1'!E55+'Est mobile 2'!E55+'Est Mobile 3'!E55+'Est 2'!E55+'Est mobile 4'!E55+'Réserve Sud'!E55+'Sud 1'!E55+'Sud 2'!E55+Visiteurs!E55+'Principale mobile 1'!E55+'Principale 1 '!E55+'Principale mobile 2'!E55+'Principale mobile 3'!E55+'Principale 2'!E55+'Principale mobile 4'!E55</f>
        <v>64</v>
      </c>
      <c r="F55" s="94"/>
      <c r="G55" s="316">
        <f>SUM('Nord Mobile 1'!G55,'Nord 1'!G55,'Nord 2'!G55,'Nord Mobile 2'!G55,Esplanade!G55,'Est mobile 1'!G55,'Est 1'!G55,'Est mobile 2'!G55,'Est Mobile 3'!G55,'Est 2'!G55,'Est mobile 4'!G55,'Sud 1'!G55,'Sud 2'!G55,Visiteurs!G55,'Principale mobile 1'!G55,'Principale mobile 2'!G55,'Principale mobile 3'!G55,'Principale 2'!G55,'Principale mobile 4'!G55)</f>
        <v>20</v>
      </c>
      <c r="H55" s="10" t="s">
        <v>20</v>
      </c>
      <c r="I55" s="331">
        <v>8.35</v>
      </c>
      <c r="J55" s="267">
        <f t="shared" si="0"/>
        <v>534.4</v>
      </c>
    </row>
    <row r="56" spans="1:10" x14ac:dyDescent="0.35">
      <c r="A56" s="103"/>
      <c r="B56" s="12" t="s">
        <v>13</v>
      </c>
      <c r="C56" s="10" t="s">
        <v>33</v>
      </c>
      <c r="D56" s="94"/>
      <c r="E56" s="232">
        <f>'Nord 1'!E56+'Nord 2'!E56+'Nord Mobile 1'!E56+'Nord Mobile 2'!E56+Esplanade!E56+'Est mobile 1'!E56+'Est 1'!E56+'Est mobile 2'!E56+'Est Mobile 3'!E56+'Est 2'!E56+'Est mobile 4'!E56+'Réserve Sud'!E56+'Sud 1'!E56+'Sud 2'!E56+Visiteurs!E56+'Principale mobile 1'!E56+'Principale 1 '!E56+'Principale mobile 2'!E56+'Principale mobile 3'!E56+'Principale 2'!E56+'Principale mobile 4'!E56</f>
        <v>178</v>
      </c>
      <c r="F56" s="94"/>
      <c r="G56" s="316">
        <f>SUM('Nord Mobile 1'!G56,'Nord 1'!G56,'Nord 2'!G56,'Nord Mobile 2'!G56,Esplanade!G56,'Est mobile 1'!G56,'Est 1'!G56,'Est mobile 2'!G56,'Est Mobile 3'!G56,'Est 2'!G56,'Est mobile 4'!G56,'Sud 1'!G56,'Sud 2'!G56,Visiteurs!G56,'Principale mobile 1'!G56,'Principale mobile 2'!G56,'Principale mobile 3'!G56,'Principale 2'!G56,'Principale mobile 4'!G56)</f>
        <v>8</v>
      </c>
      <c r="H56" s="10" t="s">
        <v>20</v>
      </c>
      <c r="I56" s="331">
        <v>8.9</v>
      </c>
      <c r="J56" s="267">
        <f t="shared" si="0"/>
        <v>1584.2</v>
      </c>
    </row>
    <row r="57" spans="1:10" x14ac:dyDescent="0.35">
      <c r="A57" s="103"/>
      <c r="B57" s="12" t="s">
        <v>13</v>
      </c>
      <c r="C57" s="10" t="s">
        <v>59</v>
      </c>
      <c r="D57" s="94"/>
      <c r="E57" s="232">
        <f>'Nord 1'!E57+'Nord 2'!E57+'Nord Mobile 1'!E57+'Nord Mobile 2'!E57+Esplanade!E57+'Est mobile 1'!E57+'Est 1'!E57+'Est mobile 2'!E57+'Est Mobile 3'!E57+'Est 2'!E57+'Est mobile 4'!E57+'Réserve Sud'!E57+'Sud 1'!E57+'Sud 2'!E57+Visiteurs!E57+'Principale mobile 1'!E57+'Principale 1 '!E57+'Principale mobile 2'!E57+'Principale mobile 3'!E57+'Principale 2'!E57+'Principale mobile 4'!E57</f>
        <v>22</v>
      </c>
      <c r="F57" s="94"/>
      <c r="G57" s="316">
        <f>SUM('Nord Mobile 1'!G57,'Nord 1'!G57,'Nord 2'!G57,'Nord Mobile 2'!G57,Esplanade!G57,'Est mobile 1'!G57,'Est 1'!G57,'Est mobile 2'!G57,'Est Mobile 3'!G57,'Est 2'!G57,'Est mobile 4'!G57,'Sud 1'!G57,'Sud 2'!G57,Visiteurs!G57,'Principale mobile 1'!G57,'Principale mobile 2'!G57,'Principale mobile 3'!G57,'Principale 2'!G57,'Principale mobile 4'!G57)</f>
        <v>13</v>
      </c>
      <c r="H57" s="10" t="s">
        <v>20</v>
      </c>
      <c r="I57" s="331">
        <v>8.6999999999999993</v>
      </c>
      <c r="J57" s="267">
        <f t="shared" si="0"/>
        <v>191.39999999999998</v>
      </c>
    </row>
    <row r="58" spans="1:10" x14ac:dyDescent="0.35">
      <c r="A58" s="103"/>
      <c r="B58" s="12" t="s">
        <v>13</v>
      </c>
      <c r="C58" s="10" t="s">
        <v>234</v>
      </c>
      <c r="D58" s="94"/>
      <c r="E58" s="232">
        <f>'Nord 1'!E58+'Nord 2'!E58+'Nord Mobile 1'!E58+'Nord Mobile 2'!E58+Esplanade!E58+'Est mobile 1'!E58+'Est 1'!E58+'Est mobile 2'!E58+'Est Mobile 3'!E58+'Est 2'!E58+'Est mobile 4'!E58+'Réserve Sud'!E58+'Sud 1'!E58+'Sud 2'!E58+Visiteurs!E58+'Principale mobile 1'!E58+'Principale 1 '!E58+'Principale mobile 2'!E58+'Principale mobile 3'!E58+'Principale 2'!E58+'Principale mobile 4'!E58</f>
        <v>0</v>
      </c>
      <c r="F58" s="94"/>
      <c r="G58" s="316">
        <f>SUM('Nord Mobile 1'!G58,'Nord 1'!G58,'Nord 2'!G58,'Nord Mobile 2'!G58,Esplanade!G58,'Est mobile 1'!G58,'Est 1'!G58,'Est mobile 2'!G58,'Est Mobile 3'!G58,'Est 2'!G58,'Est mobile 4'!G58,'Sud 1'!G58,'Sud 2'!G58,Visiteurs!G58,'Principale mobile 1'!G58,'Principale mobile 2'!G58,'Principale mobile 3'!G58,'Principale 2'!G58,'Principale mobile 4'!G58)</f>
        <v>0</v>
      </c>
      <c r="H58" s="10" t="s">
        <v>20</v>
      </c>
      <c r="I58" s="331">
        <v>12.15</v>
      </c>
      <c r="J58" s="267">
        <f t="shared" si="0"/>
        <v>0</v>
      </c>
    </row>
    <row r="59" spans="1:10" x14ac:dyDescent="0.35">
      <c r="A59" s="103"/>
      <c r="B59" s="12" t="s">
        <v>13</v>
      </c>
      <c r="C59" s="10" t="s">
        <v>235</v>
      </c>
      <c r="D59" s="94"/>
      <c r="E59" s="232">
        <f>'Nord 1'!E59+'Nord 2'!E59+'Nord Mobile 1'!E59+'Nord Mobile 2'!E59+Esplanade!E59+'Est mobile 1'!E59+'Est 1'!E59+'Est mobile 2'!E59+'Est Mobile 3'!E59+'Est 2'!E59+'Est mobile 4'!E59+'Réserve Sud'!E59+'Sud 1'!E59+'Sud 2'!E59+Visiteurs!E59+'Principale mobile 1'!E59+'Principale 1 '!E59+'Principale mobile 2'!E59+'Principale mobile 3'!E59+'Principale 2'!E59+'Principale mobile 4'!E59</f>
        <v>0</v>
      </c>
      <c r="F59" s="94"/>
      <c r="G59" s="316">
        <f>SUM('Nord Mobile 1'!G59,'Nord 1'!G59,'Nord 2'!G59,'Nord Mobile 2'!G59,Esplanade!G59,'Est mobile 1'!G59,'Est 1'!G59,'Est mobile 2'!G59,'Est Mobile 3'!G59,'Est 2'!G59,'Est mobile 4'!G59,'Sud 1'!G59,'Sud 2'!G59,Visiteurs!G59,'Principale mobile 1'!G59,'Principale mobile 2'!G59,'Principale mobile 3'!G59,'Principale 2'!G59,'Principale mobile 4'!G59)</f>
        <v>0</v>
      </c>
      <c r="H59" s="10" t="s">
        <v>20</v>
      </c>
      <c r="I59" s="331">
        <v>11.35</v>
      </c>
      <c r="J59" s="267">
        <f t="shared" si="0"/>
        <v>0</v>
      </c>
    </row>
    <row r="60" spans="1:10" x14ac:dyDescent="0.35">
      <c r="A60" s="103"/>
      <c r="B60" s="12" t="s">
        <v>13</v>
      </c>
      <c r="C60" s="10" t="s">
        <v>236</v>
      </c>
      <c r="D60" s="94"/>
      <c r="E60" s="232">
        <f>'Nord 1'!E60+'Nord 2'!E60+'Nord Mobile 1'!E60+'Nord Mobile 2'!E60+Esplanade!E60+'Est mobile 1'!E60+'Est 1'!E60+'Est mobile 2'!E60+'Est Mobile 3'!E60+'Est 2'!E60+'Est mobile 4'!E60+'Réserve Sud'!E60+'Sud 1'!E60+'Sud 2'!E60+Visiteurs!E60+'Principale mobile 1'!E60+'Principale 1 '!E60+'Principale mobile 2'!E60+'Principale mobile 3'!E60+'Principale 2'!E60+'Principale mobile 4'!E60</f>
        <v>0</v>
      </c>
      <c r="F60" s="94"/>
      <c r="G60" s="316">
        <f>SUM('Nord Mobile 1'!G60,'Nord 1'!G60,'Nord 2'!G60,'Nord Mobile 2'!G60,Esplanade!G60,'Est mobile 1'!G60,'Est 1'!G60,'Est mobile 2'!G60,'Est Mobile 3'!G60,'Est 2'!G60,'Est mobile 4'!G60,'Sud 1'!G60,'Sud 2'!G60,Visiteurs!G60,'Principale mobile 1'!G60,'Principale mobile 2'!G60,'Principale mobile 3'!G60,'Principale 2'!G60,'Principale mobile 4'!G60)</f>
        <v>0</v>
      </c>
      <c r="H60" s="10" t="s">
        <v>20</v>
      </c>
      <c r="I60" s="331">
        <v>14.65</v>
      </c>
      <c r="J60" s="267">
        <f t="shared" si="0"/>
        <v>0</v>
      </c>
    </row>
    <row r="61" spans="1:10" x14ac:dyDescent="0.35">
      <c r="A61" s="103"/>
      <c r="B61" s="12" t="s">
        <v>13</v>
      </c>
      <c r="C61" s="10" t="s">
        <v>237</v>
      </c>
      <c r="D61" s="94"/>
      <c r="E61" s="232">
        <f>'Nord 1'!E61+'Nord 2'!E61+'Nord Mobile 1'!E61+'Nord Mobile 2'!E61+Esplanade!E61+'Est mobile 1'!E61+'Est 1'!E61+'Est mobile 2'!E61+'Est Mobile 3'!E61+'Est 2'!E61+'Est mobile 4'!E61+'Réserve Sud'!E61+'Sud 1'!E61+'Sud 2'!E61+Visiteurs!E61+'Principale mobile 1'!E61+'Principale 1 '!E61+'Principale mobile 2'!E61+'Principale mobile 3'!E61+'Principale 2'!E61+'Principale mobile 4'!E61</f>
        <v>0</v>
      </c>
      <c r="F61" s="94"/>
      <c r="G61" s="316">
        <f>SUM('Nord Mobile 1'!G61,'Nord 1'!G61,'Nord 2'!G61,'Nord Mobile 2'!G61,Esplanade!G61,'Est mobile 1'!G61,'Est 1'!G61,'Est mobile 2'!G61,'Est Mobile 3'!G61,'Est 2'!G61,'Est mobile 4'!G61,'Sud 1'!G61,'Sud 2'!G61,Visiteurs!G61,'Principale mobile 1'!G61,'Principale mobile 2'!G61,'Principale mobile 3'!G61,'Principale 2'!G61,'Principale mobile 4'!G61)</f>
        <v>0</v>
      </c>
      <c r="H61" s="10" t="s">
        <v>20</v>
      </c>
      <c r="I61" s="331">
        <v>16.25</v>
      </c>
      <c r="J61" s="267">
        <f t="shared" si="0"/>
        <v>0</v>
      </c>
    </row>
    <row r="62" spans="1:10" x14ac:dyDescent="0.35">
      <c r="A62" s="103"/>
      <c r="B62" s="12" t="s">
        <v>13</v>
      </c>
      <c r="C62" s="10" t="s">
        <v>238</v>
      </c>
      <c r="D62" s="94"/>
      <c r="E62" s="232">
        <f>'Nord 1'!E62+'Nord 2'!E62+'Nord Mobile 1'!E62+'Nord Mobile 2'!E62+Esplanade!E62+'Est mobile 1'!E62+'Est 1'!E62+'Est mobile 2'!E62+'Est Mobile 3'!E62+'Est 2'!E62+'Est mobile 4'!E62+'Réserve Sud'!E62+'Sud 1'!E62+'Sud 2'!E62+Visiteurs!E62+'Principale mobile 1'!E62+'Principale 1 '!E62+'Principale mobile 2'!E62+'Principale mobile 3'!E62+'Principale 2'!E62+'Principale mobile 4'!E62</f>
        <v>0</v>
      </c>
      <c r="F62" s="94"/>
      <c r="G62" s="316">
        <f>SUM('Nord Mobile 1'!G62,'Nord 1'!G62,'Nord 2'!G62,'Nord Mobile 2'!G62,Esplanade!G62,'Est mobile 1'!G62,'Est 1'!G62,'Est mobile 2'!G62,'Est Mobile 3'!G62,'Est 2'!G62,'Est mobile 4'!G62,'Sud 1'!G62,'Sud 2'!G62,Visiteurs!G62,'Principale mobile 1'!G62,'Principale mobile 2'!G62,'Principale mobile 3'!G62,'Principale 2'!G62,'Principale mobile 4'!G62)</f>
        <v>0</v>
      </c>
      <c r="H62" s="10" t="s">
        <v>20</v>
      </c>
      <c r="I62" s="331">
        <v>17.899999999999999</v>
      </c>
      <c r="J62" s="267">
        <f t="shared" si="0"/>
        <v>0</v>
      </c>
    </row>
    <row r="63" spans="1:10" x14ac:dyDescent="0.35">
      <c r="A63" s="103"/>
      <c r="B63" s="12" t="s">
        <v>13</v>
      </c>
      <c r="C63" s="10" t="s">
        <v>239</v>
      </c>
      <c r="D63" s="94"/>
      <c r="E63" s="232">
        <f>'Nord 1'!E63+'Nord 2'!E63+'Nord Mobile 1'!E63+'Nord Mobile 2'!E63+Esplanade!E63+'Est mobile 1'!E63+'Est 1'!E63+'Est mobile 2'!E63+'Est Mobile 3'!E63+'Est 2'!E63+'Est mobile 4'!E63+'Réserve Sud'!E63+'Sud 1'!E63+'Sud 2'!E63+Visiteurs!E63+'Principale mobile 1'!E63+'Principale 1 '!E63+'Principale mobile 2'!E63+'Principale mobile 3'!E63+'Principale 2'!E63+'Principale mobile 4'!E63</f>
        <v>0</v>
      </c>
      <c r="F63" s="94"/>
      <c r="G63" s="316">
        <f>SUM('Nord Mobile 1'!G63,'Nord 1'!G63,'Nord 2'!G63,'Nord Mobile 2'!G63,Esplanade!G63,'Est mobile 1'!G63,'Est 1'!G63,'Est mobile 2'!G63,'Est Mobile 3'!G63,'Est 2'!G63,'Est mobile 4'!G63,'Sud 1'!G63,'Sud 2'!G63,Visiteurs!G63,'Principale mobile 1'!G63,'Principale mobile 2'!G63,'Principale mobile 3'!G63,'Principale 2'!G63,'Principale mobile 4'!G63)</f>
        <v>0</v>
      </c>
      <c r="H63" s="10" t="s">
        <v>20</v>
      </c>
      <c r="I63" s="331">
        <v>15.95</v>
      </c>
      <c r="J63" s="267">
        <f t="shared" si="0"/>
        <v>0</v>
      </c>
    </row>
    <row r="64" spans="1:10" x14ac:dyDescent="0.35">
      <c r="A64" s="103"/>
      <c r="B64" s="12" t="s">
        <v>13</v>
      </c>
      <c r="C64" s="10" t="s">
        <v>240</v>
      </c>
      <c r="D64" s="94"/>
      <c r="E64" s="232">
        <f>'Nord 1'!E64+'Nord 2'!E64+'Nord Mobile 1'!E64+'Nord Mobile 2'!E64+Esplanade!E64+'Est mobile 1'!E64+'Est 1'!E64+'Est mobile 2'!E64+'Est Mobile 3'!E64+'Est 2'!E64+'Est mobile 4'!E64+'Réserve Sud'!E64+'Sud 1'!E64+'Sud 2'!E64+Visiteurs!E64+'Principale mobile 1'!E64+'Principale 1 '!E64+'Principale mobile 2'!E64+'Principale mobile 3'!E64+'Principale 2'!E64+'Principale mobile 4'!E64</f>
        <v>0</v>
      </c>
      <c r="F64" s="94"/>
      <c r="G64" s="316">
        <f>SUM('Nord Mobile 1'!G64,'Nord 1'!G64,'Nord 2'!G64,'Nord Mobile 2'!G64,Esplanade!G64,'Est mobile 1'!G64,'Est 1'!G64,'Est mobile 2'!G64,'Est Mobile 3'!G64,'Est 2'!G64,'Est mobile 4'!G64,'Sud 1'!G64,'Sud 2'!G64,Visiteurs!G64,'Principale mobile 1'!G64,'Principale mobile 2'!G64,'Principale mobile 3'!G64,'Principale 2'!G64,'Principale mobile 4'!G64)</f>
        <v>0</v>
      </c>
      <c r="H64" s="10" t="s">
        <v>20</v>
      </c>
      <c r="I64" s="331">
        <v>15.45</v>
      </c>
      <c r="J64" s="267">
        <f t="shared" si="0"/>
        <v>0</v>
      </c>
    </row>
    <row r="65" spans="1:10" ht="15.5" x14ac:dyDescent="0.35">
      <c r="A65" s="111"/>
      <c r="B65" s="126" t="s">
        <v>241</v>
      </c>
      <c r="C65" s="127"/>
      <c r="D65" s="127"/>
      <c r="E65" s="232">
        <f>'Nord 1'!E65+'Nord 2'!E65+'Nord Mobile 1'!E65+'Nord Mobile 2'!E65+Esplanade!E65+'Est mobile 1'!E65+'Est 1'!E65+'Est mobile 2'!E65+'Est Mobile 3'!E65+'Est 2'!E65+'Est mobile 4'!E65+'Réserve Sud'!E65+'Sud 1'!E65+'Sud 2'!E65+Visiteurs!E65+'Principale mobile 1'!E65+'Principale 1 '!E65+'Principale mobile 2'!E65+'Principale mobile 3'!E65+'Principale 2'!E65+'Principale mobile 4'!E65</f>
        <v>0</v>
      </c>
      <c r="F65" s="127"/>
      <c r="G65" s="316">
        <f>SUM('Nord Mobile 1'!G65,'Nord 1'!G65,'Nord 2'!G65,'Nord Mobile 2'!G65,Esplanade!G65,'Est mobile 1'!G65,'Est 1'!G65,'Est mobile 2'!G65,'Est Mobile 3'!G65,'Est 2'!G65,'Est mobile 4'!G65,'Sud 1'!G65,'Sud 2'!G65,Visiteurs!G65,'Principale mobile 1'!G65,'Principale mobile 2'!G65,'Principale mobile 3'!G65,'Principale 2'!G65,'Principale mobile 4'!G65)</f>
        <v>0</v>
      </c>
      <c r="H65" s="127"/>
      <c r="I65" s="239"/>
      <c r="J65" s="247">
        <f t="shared" si="0"/>
        <v>0</v>
      </c>
    </row>
    <row r="66" spans="1:10" x14ac:dyDescent="0.35">
      <c r="A66" s="103"/>
      <c r="B66" s="12" t="s">
        <v>13</v>
      </c>
      <c r="C66" s="10" t="s">
        <v>242</v>
      </c>
      <c r="D66" s="94"/>
      <c r="E66" s="232">
        <f>'Nord 1'!E66+'Nord 2'!E66+'Nord Mobile 1'!E66+'Nord Mobile 2'!E66+Esplanade!E66+'Est mobile 1'!E66+'Est 1'!E66+'Est mobile 2'!E66+'Est Mobile 3'!E66+'Est 2'!E66+'Est mobile 4'!E66+'Réserve Sud'!E66+'Sud 1'!E66+'Sud 2'!E66+Visiteurs!E66+'Principale mobile 1'!E66+'Principale 1 '!E66+'Principale mobile 2'!E66+'Principale mobile 3'!E66+'Principale 2'!E66+'Principale mobile 4'!E66</f>
        <v>0</v>
      </c>
      <c r="F66" s="94"/>
      <c r="G66" s="316">
        <f>SUM('Nord Mobile 1'!G66,'Nord 1'!G66,'Nord 2'!G66,'Nord Mobile 2'!G66,Esplanade!G66,'Est mobile 1'!G66,'Est 1'!G66,'Est mobile 2'!G66,'Est Mobile 3'!G66,'Est 2'!G66,'Est mobile 4'!G66,'Sud 1'!G66,'Sud 2'!G66,Visiteurs!G66,'Principale mobile 1'!G66,'Principale mobile 2'!G66,'Principale mobile 3'!G66,'Principale 2'!G66,'Principale mobile 4'!G66)</f>
        <v>0</v>
      </c>
      <c r="H66" s="10" t="s">
        <v>20</v>
      </c>
      <c r="I66" s="331">
        <v>31.05</v>
      </c>
      <c r="J66" s="267">
        <f t="shared" si="0"/>
        <v>0</v>
      </c>
    </row>
    <row r="67" spans="1:10" x14ac:dyDescent="0.35">
      <c r="A67" s="103"/>
      <c r="B67" s="12" t="s">
        <v>13</v>
      </c>
      <c r="C67" s="10" t="s">
        <v>243</v>
      </c>
      <c r="D67" s="94"/>
      <c r="E67" s="232">
        <f>'Nord 1'!E67+'Nord 2'!E67+'Nord Mobile 1'!E67+'Nord Mobile 2'!E67+Esplanade!E67+'Est mobile 1'!E67+'Est 1'!E67+'Est mobile 2'!E67+'Est Mobile 3'!E67+'Est 2'!E67+'Est mobile 4'!E67+'Réserve Sud'!E67+'Sud 1'!E67+'Sud 2'!E67+Visiteurs!E67+'Principale mobile 1'!E67+'Principale 1 '!E67+'Principale mobile 2'!E67+'Principale mobile 3'!E67+'Principale 2'!E67+'Principale mobile 4'!E67</f>
        <v>0</v>
      </c>
      <c r="F67" s="94"/>
      <c r="G67" s="316">
        <f>SUM('Nord Mobile 1'!G67,'Nord 1'!G67,'Nord 2'!G67,'Nord Mobile 2'!G67,Esplanade!G67,'Est mobile 1'!G67,'Est 1'!G67,'Est mobile 2'!G67,'Est Mobile 3'!G67,'Est 2'!G67,'Est mobile 4'!G67,'Sud 1'!G67,'Sud 2'!G67,Visiteurs!G67,'Principale mobile 1'!G67,'Principale mobile 2'!G67,'Principale mobile 3'!G67,'Principale 2'!G67,'Principale mobile 4'!G67)</f>
        <v>0</v>
      </c>
      <c r="H67" s="10" t="s">
        <v>20</v>
      </c>
      <c r="I67" s="331">
        <v>60.79</v>
      </c>
      <c r="J67" s="267">
        <f t="shared" si="0"/>
        <v>0</v>
      </c>
    </row>
    <row r="68" spans="1:10" x14ac:dyDescent="0.35">
      <c r="A68" s="103"/>
      <c r="B68" s="12" t="s">
        <v>13</v>
      </c>
      <c r="C68" s="10" t="s">
        <v>244</v>
      </c>
      <c r="D68" s="94"/>
      <c r="E68" s="232">
        <f>'Nord 1'!E68+'Nord 2'!E68+'Nord Mobile 1'!E68+'Nord Mobile 2'!E68+Esplanade!E68+'Est mobile 1'!E68+'Est 1'!E68+'Est mobile 2'!E68+'Est Mobile 3'!E68+'Est 2'!E68+'Est mobile 4'!E68+'Réserve Sud'!E68+'Sud 1'!E68+'Sud 2'!E68+Visiteurs!E68+'Principale mobile 1'!E68+'Principale 1 '!E68+'Principale mobile 2'!E68+'Principale mobile 3'!E68+'Principale 2'!E68+'Principale mobile 4'!E68</f>
        <v>0</v>
      </c>
      <c r="F68" s="94"/>
      <c r="G68" s="316">
        <f>SUM('Nord Mobile 1'!G68,'Nord 1'!G68,'Nord 2'!G68,'Nord Mobile 2'!G68,Esplanade!G68,'Est mobile 1'!G68,'Est 1'!G68,'Est mobile 2'!G68,'Est Mobile 3'!G68,'Est 2'!G68,'Est mobile 4'!G68,'Sud 1'!G68,'Sud 2'!G68,Visiteurs!G68,'Principale mobile 1'!G68,'Principale mobile 2'!G68,'Principale mobile 3'!G68,'Principale 2'!G68,'Principale mobile 4'!G68)</f>
        <v>0</v>
      </c>
      <c r="H68" s="10" t="s">
        <v>20</v>
      </c>
      <c r="I68" s="331">
        <v>56.55</v>
      </c>
      <c r="J68" s="267">
        <f t="shared" si="0"/>
        <v>0</v>
      </c>
    </row>
    <row r="69" spans="1:10" x14ac:dyDescent="0.35">
      <c r="A69" s="103"/>
      <c r="B69" s="12" t="s">
        <v>13</v>
      </c>
      <c r="C69" s="10" t="s">
        <v>245</v>
      </c>
      <c r="D69" s="94"/>
      <c r="E69" s="232">
        <f>'Nord 1'!E69+'Nord 2'!E69+'Nord Mobile 1'!E69+'Nord Mobile 2'!E69+Esplanade!E69+'Est mobile 1'!E69+'Est 1'!E69+'Est mobile 2'!E69+'Est Mobile 3'!E69+'Est 2'!E69+'Est mobile 4'!E69+'Réserve Sud'!E69+'Sud 1'!E69+'Sud 2'!E69+Visiteurs!E69+'Principale mobile 1'!E69+'Principale 1 '!E69+'Principale mobile 2'!E69+'Principale mobile 3'!E69+'Principale 2'!E69+'Principale mobile 4'!E69</f>
        <v>0</v>
      </c>
      <c r="F69" s="94"/>
      <c r="G69" s="316">
        <f>SUM('Nord Mobile 1'!G69,'Nord 1'!G69,'Nord 2'!G69,'Nord Mobile 2'!G69,Esplanade!G69,'Est mobile 1'!G69,'Est 1'!G69,'Est mobile 2'!G69,'Est Mobile 3'!G69,'Est 2'!G69,'Est mobile 4'!G69,'Sud 1'!G69,'Sud 2'!G69,Visiteurs!G69,'Principale mobile 1'!G69,'Principale mobile 2'!G69,'Principale mobile 3'!G69,'Principale 2'!G69,'Principale mobile 4'!G69)</f>
        <v>0</v>
      </c>
      <c r="H69" s="10" t="s">
        <v>20</v>
      </c>
      <c r="I69" s="331">
        <v>107.44</v>
      </c>
      <c r="J69" s="267">
        <f t="shared" si="0"/>
        <v>0</v>
      </c>
    </row>
    <row r="70" spans="1:10" x14ac:dyDescent="0.35">
      <c r="A70" s="103"/>
      <c r="B70" s="12" t="s">
        <v>13</v>
      </c>
      <c r="C70" s="10" t="s">
        <v>246</v>
      </c>
      <c r="D70" s="94"/>
      <c r="E70" s="232">
        <f>'Nord 1'!E70+'Nord 2'!E70+'Nord Mobile 1'!E70+'Nord Mobile 2'!E70+Esplanade!E70+'Est mobile 1'!E70+'Est 1'!E70+'Est mobile 2'!E70+'Est Mobile 3'!E70+'Est 2'!E70+'Est mobile 4'!E70+'Réserve Sud'!E70+'Sud 1'!E70+'Sud 2'!E70+Visiteurs!E70+'Principale mobile 1'!E70+'Principale 1 '!E70+'Principale mobile 2'!E70+'Principale mobile 3'!E70+'Principale 2'!E70+'Principale mobile 4'!E70</f>
        <v>0</v>
      </c>
      <c r="F70" s="94"/>
      <c r="G70" s="316">
        <f>SUM('Nord Mobile 1'!G70,'Nord 1'!G70,'Nord 2'!G70,'Nord Mobile 2'!G70,Esplanade!G70,'Est mobile 1'!G70,'Est 1'!G70,'Est mobile 2'!G70,'Est Mobile 3'!G70,'Est 2'!G70,'Est mobile 4'!G70,'Sud 1'!G70,'Sud 2'!G70,Visiteurs!G70,'Principale mobile 1'!G70,'Principale mobile 2'!G70,'Principale mobile 3'!G70,'Principale 2'!G70,'Principale mobile 4'!G70)</f>
        <v>0</v>
      </c>
      <c r="H70" s="10" t="s">
        <v>20</v>
      </c>
      <c r="I70" s="331">
        <v>47.4</v>
      </c>
      <c r="J70" s="267">
        <f t="shared" si="0"/>
        <v>0</v>
      </c>
    </row>
    <row r="71" spans="1:10" x14ac:dyDescent="0.35">
      <c r="A71" s="103"/>
      <c r="B71" s="12" t="s">
        <v>13</v>
      </c>
      <c r="C71" s="10" t="s">
        <v>247</v>
      </c>
      <c r="D71" s="94"/>
      <c r="E71" s="232">
        <f>'Nord 1'!E71+'Nord 2'!E71+'Nord Mobile 1'!E71+'Nord Mobile 2'!E71+Esplanade!E71+'Est mobile 1'!E71+'Est 1'!E71+'Est mobile 2'!E71+'Est Mobile 3'!E71+'Est 2'!E71+'Est mobile 4'!E71+'Réserve Sud'!E71+'Sud 1'!E71+'Sud 2'!E71+Visiteurs!E71+'Principale mobile 1'!E71+'Principale 1 '!E71+'Principale mobile 2'!E71+'Principale mobile 3'!E71+'Principale 2'!E71+'Principale mobile 4'!E71</f>
        <v>0</v>
      </c>
      <c r="F71" s="94"/>
      <c r="G71" s="316">
        <f>SUM('Nord Mobile 1'!G71,'Nord 1'!G71,'Nord 2'!G71,'Nord Mobile 2'!G71,Esplanade!G71,'Est mobile 1'!G71,'Est 1'!G71,'Est mobile 2'!G71,'Est Mobile 3'!G71,'Est 2'!G71,'Est mobile 4'!G71,'Sud 1'!G71,'Sud 2'!G71,Visiteurs!G71,'Principale mobile 1'!G71,'Principale mobile 2'!G71,'Principale mobile 3'!G71,'Principale 2'!G71,'Principale mobile 4'!G71)</f>
        <v>0</v>
      </c>
      <c r="H71" s="10" t="s">
        <v>20</v>
      </c>
      <c r="I71" s="331">
        <v>87.63</v>
      </c>
      <c r="J71" s="267">
        <f t="shared" si="0"/>
        <v>0</v>
      </c>
    </row>
    <row r="72" spans="1:10" x14ac:dyDescent="0.35">
      <c r="A72" s="103"/>
      <c r="B72" s="12" t="s">
        <v>13</v>
      </c>
      <c r="C72" s="10" t="s">
        <v>248</v>
      </c>
      <c r="D72" s="94"/>
      <c r="E72" s="232">
        <f>'Nord 1'!E72+'Nord 2'!E72+'Nord Mobile 1'!E72+'Nord Mobile 2'!E72+Esplanade!E72+'Est mobile 1'!E72+'Est 1'!E72+'Est mobile 2'!E72+'Est Mobile 3'!E72+'Est 2'!E72+'Est mobile 4'!E72+'Réserve Sud'!E72+'Sud 1'!E72+'Sud 2'!E72+Visiteurs!E72+'Principale mobile 1'!E72+'Principale 1 '!E72+'Principale mobile 2'!E72+'Principale mobile 3'!E72+'Principale 2'!E72+'Principale mobile 4'!E72</f>
        <v>0</v>
      </c>
      <c r="F72" s="94"/>
      <c r="G72" s="316">
        <f>SUM('Nord Mobile 1'!G72,'Nord 1'!G72,'Nord 2'!G72,'Nord Mobile 2'!G72,Esplanade!G72,'Est mobile 1'!G72,'Est 1'!G72,'Est mobile 2'!G72,'Est Mobile 3'!G72,'Est 2'!G72,'Est mobile 4'!G72,'Sud 1'!G72,'Sud 2'!G72,Visiteurs!G72,'Principale mobile 1'!G72,'Principale mobile 2'!G72,'Principale mobile 3'!G72,'Principale 2'!G72,'Principale mobile 4'!G72)</f>
        <v>0</v>
      </c>
      <c r="H72" s="10" t="s">
        <v>20</v>
      </c>
      <c r="I72" s="331">
        <v>52.31</v>
      </c>
      <c r="J72" s="267">
        <f t="shared" si="0"/>
        <v>0</v>
      </c>
    </row>
    <row r="73" spans="1:10" ht="15.5" x14ac:dyDescent="0.35">
      <c r="A73" s="111"/>
      <c r="B73" s="126" t="s">
        <v>249</v>
      </c>
      <c r="C73" s="127"/>
      <c r="D73" s="127"/>
      <c r="E73" s="232">
        <f>'Nord 1'!E73+'Nord 2'!E73+'Nord Mobile 1'!E73+'Nord Mobile 2'!E73+Esplanade!E73+'Est mobile 1'!E73+'Est 1'!E73+'Est mobile 2'!E73+'Est Mobile 3'!E73+'Est 2'!E73+'Est mobile 4'!E73+'Réserve Sud'!E73+'Sud 1'!E73+'Sud 2'!E73+Visiteurs!E73+'Principale mobile 1'!E73+'Principale 1 '!E73+'Principale mobile 2'!E73+'Principale mobile 3'!E73+'Principale 2'!E73+'Principale mobile 4'!E73</f>
        <v>0</v>
      </c>
      <c r="F73" s="127"/>
      <c r="G73" s="316">
        <f>SUM('Nord Mobile 1'!G73,'Nord 1'!G73,'Nord 2'!G73,'Nord Mobile 2'!G73,Esplanade!G73,'Est mobile 1'!G73,'Est 1'!G73,'Est mobile 2'!G73,'Est Mobile 3'!G73,'Est 2'!G73,'Est mobile 4'!G73,'Sud 1'!G73,'Sud 2'!G73,Visiteurs!G73,'Principale mobile 1'!G73,'Principale mobile 2'!G73,'Principale mobile 3'!G73,'Principale 2'!G73,'Principale mobile 4'!G73)</f>
        <v>0</v>
      </c>
      <c r="H73" s="127"/>
      <c r="I73" s="239"/>
      <c r="J73" s="247">
        <f t="shared" si="0"/>
        <v>0</v>
      </c>
    </row>
    <row r="74" spans="1:10" x14ac:dyDescent="0.35">
      <c r="A74" s="103"/>
      <c r="B74" s="12" t="s">
        <v>13</v>
      </c>
      <c r="C74" s="10" t="s">
        <v>250</v>
      </c>
      <c r="D74" s="94"/>
      <c r="E74" s="232">
        <f>'Nord 1'!E74+'Nord 2'!E74+'Nord Mobile 1'!E74+'Nord Mobile 2'!E74+Esplanade!E74+'Est mobile 1'!E74+'Est 1'!E74+'Est mobile 2'!E74+'Est Mobile 3'!E74+'Est 2'!E74+'Est mobile 4'!E74+'Réserve Sud'!E74+'Sud 1'!E74+'Sud 2'!E74+Visiteurs!E74+'Principale mobile 1'!E74+'Principale 1 '!E74+'Principale mobile 2'!E74+'Principale mobile 3'!E74+'Principale 2'!E74+'Principale mobile 4'!E74</f>
        <v>0</v>
      </c>
      <c r="F74" s="94"/>
      <c r="G74" s="316">
        <f>SUM('Nord Mobile 1'!G74,'Nord 1'!G74,'Nord 2'!G74,'Nord Mobile 2'!G74,Esplanade!G74,'Est mobile 1'!G74,'Est 1'!G74,'Est mobile 2'!G74,'Est Mobile 3'!G74,'Est 2'!G74,'Est mobile 4'!G74,'Sud 1'!G74,'Sud 2'!G74,Visiteurs!G74,'Principale mobile 1'!G74,'Principale mobile 2'!G74,'Principale mobile 3'!G74,'Principale 2'!G74,'Principale mobile 4'!G74)</f>
        <v>0</v>
      </c>
      <c r="H74" s="10" t="s">
        <v>20</v>
      </c>
      <c r="I74" s="331">
        <v>10.8</v>
      </c>
      <c r="J74" s="267">
        <f t="shared" si="0"/>
        <v>0</v>
      </c>
    </row>
    <row r="75" spans="1:10" x14ac:dyDescent="0.35">
      <c r="A75" s="103"/>
      <c r="B75" s="12" t="s">
        <v>13</v>
      </c>
      <c r="C75" s="10" t="s">
        <v>251</v>
      </c>
      <c r="D75" s="94"/>
      <c r="E75" s="232">
        <f>'Nord 1'!E75+'Nord 2'!E75+'Nord Mobile 1'!E75+'Nord Mobile 2'!E75+Esplanade!E75+'Est mobile 1'!E75+'Est 1'!E75+'Est mobile 2'!E75+'Est Mobile 3'!E75+'Est 2'!E75+'Est mobile 4'!E75+'Réserve Sud'!E75+'Sud 1'!E75+'Sud 2'!E75+Visiteurs!E75+'Principale mobile 1'!E75+'Principale 1 '!E75+'Principale mobile 2'!E75+'Principale mobile 3'!E75+'Principale 2'!E75+'Principale mobile 4'!E75</f>
        <v>0</v>
      </c>
      <c r="F75" s="94"/>
      <c r="G75" s="316">
        <f>SUM('Nord Mobile 1'!G75,'Nord 1'!G75,'Nord 2'!G75,'Nord Mobile 2'!G75,Esplanade!G75,'Est mobile 1'!G75,'Est 1'!G75,'Est mobile 2'!G75,'Est Mobile 3'!G75,'Est 2'!G75,'Est mobile 4'!G75,'Sud 1'!G75,'Sud 2'!G75,Visiteurs!G75,'Principale mobile 1'!G75,'Principale mobile 2'!G75,'Principale mobile 3'!G75,'Principale 2'!G75,'Principale mobile 4'!G75)</f>
        <v>0</v>
      </c>
      <c r="H75" s="10" t="s">
        <v>20</v>
      </c>
      <c r="I75" s="331">
        <v>11.2</v>
      </c>
      <c r="J75" s="267">
        <f t="shared" si="0"/>
        <v>0</v>
      </c>
    </row>
    <row r="76" spans="1:10" x14ac:dyDescent="0.35">
      <c r="A76" s="103"/>
      <c r="B76" s="12" t="s">
        <v>13</v>
      </c>
      <c r="C76" s="10" t="s">
        <v>252</v>
      </c>
      <c r="D76" s="94"/>
      <c r="E76" s="232">
        <f>'Nord 1'!E76+'Nord 2'!E76+'Nord Mobile 1'!E76+'Nord Mobile 2'!E76+Esplanade!E76+'Est mobile 1'!E76+'Est 1'!E76+'Est mobile 2'!E76+'Est Mobile 3'!E76+'Est 2'!E76+'Est mobile 4'!E76+'Réserve Sud'!E76+'Sud 1'!E76+'Sud 2'!E76+Visiteurs!E76+'Principale mobile 1'!E76+'Principale 1 '!E76+'Principale mobile 2'!E76+'Principale mobile 3'!E76+'Principale 2'!E76+'Principale mobile 4'!E76</f>
        <v>0</v>
      </c>
      <c r="F76" s="94"/>
      <c r="G76" s="316">
        <f>SUM('Nord Mobile 1'!G76,'Nord 1'!G76,'Nord 2'!G76,'Nord Mobile 2'!G76,Esplanade!G76,'Est mobile 1'!G76,'Est 1'!G76,'Est mobile 2'!G76,'Est Mobile 3'!G76,'Est 2'!G76,'Est mobile 4'!G76,'Sud 1'!G76,'Sud 2'!G76,Visiteurs!G76,'Principale mobile 1'!G76,'Principale mobile 2'!G76,'Principale mobile 3'!G76,'Principale 2'!G76,'Principale mobile 4'!G76)</f>
        <v>0</v>
      </c>
      <c r="H76" s="10" t="s">
        <v>23</v>
      </c>
      <c r="I76" s="331">
        <v>4.5599999999999996</v>
      </c>
      <c r="J76" s="267">
        <f t="shared" si="0"/>
        <v>0</v>
      </c>
    </row>
    <row r="77" spans="1:10" x14ac:dyDescent="0.35">
      <c r="A77" s="103"/>
      <c r="B77" s="12" t="s">
        <v>13</v>
      </c>
      <c r="C77" s="10" t="s">
        <v>253</v>
      </c>
      <c r="D77" s="94"/>
      <c r="E77" s="232">
        <f>'Nord 1'!E77+'Nord 2'!E77+'Nord Mobile 1'!E77+'Nord Mobile 2'!E77+Esplanade!E77+'Est mobile 1'!E77+'Est 1'!E77+'Est mobile 2'!E77+'Est Mobile 3'!E77+'Est 2'!E77+'Est mobile 4'!E77+'Réserve Sud'!E77+'Sud 1'!E77+'Sud 2'!E77+Visiteurs!E77+'Principale mobile 1'!E77+'Principale 1 '!E77+'Principale mobile 2'!E77+'Principale mobile 3'!E77+'Principale 2'!E77+'Principale mobile 4'!E77</f>
        <v>0</v>
      </c>
      <c r="F77" s="94"/>
      <c r="G77" s="316">
        <f>SUM('Nord Mobile 1'!G77,'Nord 1'!G77,'Nord 2'!G77,'Nord Mobile 2'!G77,Esplanade!G77,'Est mobile 1'!G77,'Est 1'!G77,'Est mobile 2'!G77,'Est Mobile 3'!G77,'Est 2'!G77,'Est mobile 4'!G77,'Sud 1'!G77,'Sud 2'!G77,Visiteurs!G77,'Principale mobile 1'!G77,'Principale mobile 2'!G77,'Principale mobile 3'!G77,'Principale 2'!G77,'Principale mobile 4'!G77)</f>
        <v>0</v>
      </c>
      <c r="H77" s="10" t="s">
        <v>23</v>
      </c>
      <c r="I77" s="331">
        <v>37.700000000000003</v>
      </c>
      <c r="J77" s="267">
        <f t="shared" si="0"/>
        <v>0</v>
      </c>
    </row>
    <row r="78" spans="1:10" ht="15.5" x14ac:dyDescent="0.35">
      <c r="A78" s="108" t="s">
        <v>254</v>
      </c>
      <c r="B78" s="108"/>
      <c r="C78" s="108"/>
      <c r="D78" s="108"/>
      <c r="E78" s="232">
        <f>'Nord 1'!E78+'Nord 2'!E78+'Nord Mobile 1'!E78+'Nord Mobile 2'!E78+Esplanade!E78+'Est mobile 1'!E78+'Est 1'!E78+'Est mobile 2'!E78+'Est Mobile 3'!E78+'Est 2'!E78+'Est mobile 4'!E78+'Réserve Sud'!E78+'Sud 1'!E78+'Sud 2'!E78+Visiteurs!E78+'Principale mobile 1'!E78+'Principale 1 '!E78+'Principale mobile 2'!E78+'Principale mobile 3'!E78+'Principale 2'!E78+'Principale mobile 4'!E78</f>
        <v>0</v>
      </c>
      <c r="F78" s="108"/>
      <c r="G78" s="316">
        <f>SUM('Nord Mobile 1'!G78,'Nord 1'!G78,'Nord 2'!G78,'Nord Mobile 2'!G78,Esplanade!G78,'Est mobile 1'!G78,'Est 1'!G78,'Est mobile 2'!G78,'Est Mobile 3'!G78,'Est 2'!G78,'Est mobile 4'!G78,'Sud 1'!G78,'Sud 2'!G78,Visiteurs!G78,'Principale mobile 1'!G78,'Principale mobile 2'!G78,'Principale mobile 3'!G78,'Principale 2'!G78,'Principale mobile 4'!G78)</f>
        <v>0</v>
      </c>
      <c r="H78" s="108"/>
      <c r="I78" s="110" t="s">
        <v>18</v>
      </c>
      <c r="J78" s="247">
        <f>SUM(J80:J121)</f>
        <v>0</v>
      </c>
    </row>
    <row r="79" spans="1:10" ht="15.5" x14ac:dyDescent="0.35">
      <c r="A79" s="111"/>
      <c r="B79" s="126" t="s">
        <v>255</v>
      </c>
      <c r="C79" s="127"/>
      <c r="D79" s="127"/>
      <c r="E79" s="232">
        <f>'Nord 1'!E79+'Nord 2'!E79+'Nord Mobile 1'!E79+'Nord Mobile 2'!E79+Esplanade!E79+'Est mobile 1'!E79+'Est 1'!E79+'Est mobile 2'!E79+'Est Mobile 3'!E79+'Est 2'!E79+'Est mobile 4'!E79+'Réserve Sud'!E79+'Sud 1'!E79+'Sud 2'!E79+Visiteurs!E79+'Principale mobile 1'!E79+'Principale 1 '!E79+'Principale mobile 2'!E79+'Principale mobile 3'!E79+'Principale 2'!E79+'Principale mobile 4'!E79</f>
        <v>0</v>
      </c>
      <c r="F79" s="127"/>
      <c r="G79" s="316">
        <f>SUM('Nord Mobile 1'!G79,'Nord 1'!G79,'Nord 2'!G79,'Nord Mobile 2'!G79,Esplanade!G79,'Est mobile 1'!G79,'Est 1'!G79,'Est mobile 2'!G79,'Est Mobile 3'!G79,'Est 2'!G79,'Est mobile 4'!G79,'Sud 1'!G79,'Sud 2'!G79,Visiteurs!G79,'Principale mobile 1'!G79,'Principale mobile 2'!G79,'Principale mobile 3'!G79,'Principale 2'!G79,'Principale mobile 4'!G79)</f>
        <v>0</v>
      </c>
      <c r="H79" s="127"/>
      <c r="I79" s="239"/>
      <c r="J79" s="247">
        <f t="shared" si="0"/>
        <v>0</v>
      </c>
    </row>
    <row r="80" spans="1:10" x14ac:dyDescent="0.35">
      <c r="A80" s="103"/>
      <c r="B80" s="12" t="s">
        <v>3</v>
      </c>
      <c r="C80" s="10" t="s">
        <v>256</v>
      </c>
      <c r="D80" s="94"/>
      <c r="E80" s="232">
        <f>'Nord 1'!E80+'Nord 2'!E80+'Nord Mobile 1'!E80+'Nord Mobile 2'!E80+Esplanade!E80+'Est mobile 1'!E80+'Est 1'!E80+'Est mobile 2'!E80+'Est Mobile 3'!E80+'Est 2'!E80+'Est mobile 4'!E80+'Réserve Sud'!E80+'Sud 1'!E80+'Sud 2'!E80+Visiteurs!E80+'Principale mobile 1'!E80+'Principale 1 '!E80+'Principale mobile 2'!E80+'Principale mobile 3'!E80+'Principale 2'!E80+'Principale mobile 4'!E80</f>
        <v>0</v>
      </c>
      <c r="F80" s="94"/>
      <c r="G80" s="316">
        <f>SUM('Nord Mobile 1'!G80,'Nord 1'!G80,'Nord 2'!G80,'Nord Mobile 2'!G80,Esplanade!G80,'Est mobile 1'!G80,'Est 1'!G80,'Est mobile 2'!G80,'Est Mobile 3'!G80,'Est 2'!G80,'Est mobile 4'!G80,'Sud 1'!G80,'Sud 2'!G80,Visiteurs!G80,'Principale mobile 1'!G80,'Principale mobile 2'!G80,'Principale mobile 3'!G80,'Principale 2'!G80,'Principale mobile 4'!G80)</f>
        <v>0</v>
      </c>
      <c r="H80" s="10" t="s">
        <v>20</v>
      </c>
      <c r="I80" s="331">
        <v>32.950000000000003</v>
      </c>
      <c r="J80" s="267">
        <f t="shared" si="0"/>
        <v>0</v>
      </c>
    </row>
    <row r="81" spans="1:10" x14ac:dyDescent="0.35">
      <c r="A81" s="103"/>
      <c r="B81" s="12" t="s">
        <v>3</v>
      </c>
      <c r="C81" s="10" t="s">
        <v>257</v>
      </c>
      <c r="D81" s="94"/>
      <c r="E81" s="232">
        <f>'Nord 1'!E81+'Nord 2'!E81+'Nord Mobile 1'!E81+'Nord Mobile 2'!E81+Esplanade!E81+'Est mobile 1'!E81+'Est 1'!E81+'Est mobile 2'!E81+'Est Mobile 3'!E81+'Est 2'!E81+'Est mobile 4'!E81+'Réserve Sud'!E81+'Sud 1'!E81+'Sud 2'!E81+Visiteurs!E81+'Principale mobile 1'!E81+'Principale 1 '!E81+'Principale mobile 2'!E81+'Principale mobile 3'!E81+'Principale 2'!E81+'Principale mobile 4'!E81</f>
        <v>0</v>
      </c>
      <c r="F81" s="94"/>
      <c r="G81" s="316">
        <f>SUM('Nord Mobile 1'!G81,'Nord 1'!G81,'Nord 2'!G81,'Nord Mobile 2'!G81,Esplanade!G81,'Est mobile 1'!G81,'Est 1'!G81,'Est mobile 2'!G81,'Est Mobile 3'!G81,'Est 2'!G81,'Est mobile 4'!G81,'Sud 1'!G81,'Sud 2'!G81,Visiteurs!G81,'Principale mobile 1'!G81,'Principale mobile 2'!G81,'Principale mobile 3'!G81,'Principale 2'!G81,'Principale mobile 4'!G81)</f>
        <v>0</v>
      </c>
      <c r="H81" s="10" t="s">
        <v>20</v>
      </c>
      <c r="I81" s="331">
        <v>56.95</v>
      </c>
      <c r="J81" s="267">
        <f t="shared" si="0"/>
        <v>0</v>
      </c>
    </row>
    <row r="82" spans="1:10" x14ac:dyDescent="0.35">
      <c r="A82" s="103"/>
      <c r="B82" s="12" t="s">
        <v>3</v>
      </c>
      <c r="C82" s="10" t="s">
        <v>258</v>
      </c>
      <c r="D82" s="94"/>
      <c r="E82" s="232">
        <f>'Nord 1'!E82+'Nord 2'!E82+'Nord Mobile 1'!E82+'Nord Mobile 2'!E82+Esplanade!E82+'Est mobile 1'!E82+'Est 1'!E82+'Est mobile 2'!E82+'Est Mobile 3'!E82+'Est 2'!E82+'Est mobile 4'!E82+'Réserve Sud'!E82+'Sud 1'!E82+'Sud 2'!E82+Visiteurs!E82+'Principale mobile 1'!E82+'Principale 1 '!E82+'Principale mobile 2'!E82+'Principale mobile 3'!E82+'Principale 2'!E82+'Principale mobile 4'!E82</f>
        <v>0</v>
      </c>
      <c r="F82" s="94"/>
      <c r="G82" s="316">
        <f>SUM('Nord Mobile 1'!G82,'Nord 1'!G82,'Nord 2'!G82,'Nord Mobile 2'!G82,Esplanade!G82,'Est mobile 1'!G82,'Est 1'!G82,'Est mobile 2'!G82,'Est Mobile 3'!G82,'Est 2'!G82,'Est mobile 4'!G82,'Sud 1'!G82,'Sud 2'!G82,Visiteurs!G82,'Principale mobile 1'!G82,'Principale mobile 2'!G82,'Principale mobile 3'!G82,'Principale 2'!G82,'Principale mobile 4'!G82)</f>
        <v>0</v>
      </c>
      <c r="H82" s="10" t="s">
        <v>20</v>
      </c>
      <c r="I82" s="331">
        <v>15.95</v>
      </c>
      <c r="J82" s="267">
        <f t="shared" si="0"/>
        <v>0</v>
      </c>
    </row>
    <row r="83" spans="1:10" x14ac:dyDescent="0.35">
      <c r="A83" s="103"/>
      <c r="B83" s="12" t="s">
        <v>3</v>
      </c>
      <c r="C83" s="10" t="s">
        <v>259</v>
      </c>
      <c r="D83" s="94"/>
      <c r="E83" s="232">
        <f>'Nord 1'!E83+'Nord 2'!E83+'Nord Mobile 1'!E83+'Nord Mobile 2'!E83+Esplanade!E83+'Est mobile 1'!E83+'Est 1'!E83+'Est mobile 2'!E83+'Est Mobile 3'!E83+'Est 2'!E83+'Est mobile 4'!E83+'Réserve Sud'!E83+'Sud 1'!E83+'Sud 2'!E83+Visiteurs!E83+'Principale mobile 1'!E83+'Principale 1 '!E83+'Principale mobile 2'!E83+'Principale mobile 3'!E83+'Principale 2'!E83+'Principale mobile 4'!E83</f>
        <v>0</v>
      </c>
      <c r="F83" s="94"/>
      <c r="G83" s="316">
        <f>SUM('Nord Mobile 1'!G83,'Nord 1'!G83,'Nord 2'!G83,'Nord Mobile 2'!G83,Esplanade!G83,'Est mobile 1'!G83,'Est 1'!G83,'Est mobile 2'!G83,'Est Mobile 3'!G83,'Est 2'!G83,'Est mobile 4'!G83,'Sud 1'!G83,'Sud 2'!G83,Visiteurs!G83,'Principale mobile 1'!G83,'Principale mobile 2'!G83,'Principale mobile 3'!G83,'Principale 2'!G83,'Principale mobile 4'!G83)</f>
        <v>0</v>
      </c>
      <c r="H83" s="10" t="s">
        <v>20</v>
      </c>
      <c r="I83" s="331">
        <v>19.95</v>
      </c>
      <c r="J83" s="267">
        <f t="shared" si="0"/>
        <v>0</v>
      </c>
    </row>
    <row r="84" spans="1:10" x14ac:dyDescent="0.35">
      <c r="A84" s="103"/>
      <c r="B84" s="12" t="s">
        <v>3</v>
      </c>
      <c r="C84" s="10" t="s">
        <v>260</v>
      </c>
      <c r="D84" s="94"/>
      <c r="E84" s="232">
        <f>'Nord 1'!E84+'Nord 2'!E84+'Nord Mobile 1'!E84+'Nord Mobile 2'!E84+Esplanade!E84+'Est mobile 1'!E84+'Est 1'!E84+'Est mobile 2'!E84+'Est Mobile 3'!E84+'Est 2'!E84+'Est mobile 4'!E84+'Réserve Sud'!E84+'Sud 1'!E84+'Sud 2'!E84+Visiteurs!E84+'Principale mobile 1'!E84+'Principale 1 '!E84+'Principale mobile 2'!E84+'Principale mobile 3'!E84+'Principale 2'!E84+'Principale mobile 4'!E84</f>
        <v>0</v>
      </c>
      <c r="F84" s="94"/>
      <c r="G84" s="316">
        <f>SUM('Nord Mobile 1'!G84,'Nord 1'!G84,'Nord 2'!G84,'Nord Mobile 2'!G84,Esplanade!G84,'Est mobile 1'!G84,'Est 1'!G84,'Est mobile 2'!G84,'Est Mobile 3'!G84,'Est 2'!G84,'Est mobile 4'!G84,'Sud 1'!G84,'Sud 2'!G84,Visiteurs!G84,'Principale mobile 1'!G84,'Principale mobile 2'!G84,'Principale mobile 3'!G84,'Principale 2'!G84,'Principale mobile 4'!G84)</f>
        <v>0</v>
      </c>
      <c r="H84" s="10" t="s">
        <v>20</v>
      </c>
      <c r="I84" s="331">
        <v>46.95</v>
      </c>
      <c r="J84" s="267">
        <f t="shared" si="0"/>
        <v>0</v>
      </c>
    </row>
    <row r="85" spans="1:10" x14ac:dyDescent="0.35">
      <c r="A85" s="103"/>
      <c r="B85" s="12" t="s">
        <v>3</v>
      </c>
      <c r="C85" s="10" t="s">
        <v>261</v>
      </c>
      <c r="D85" s="94"/>
      <c r="E85" s="232">
        <f>'Nord 1'!E85+'Nord 2'!E85+'Nord Mobile 1'!E85+'Nord Mobile 2'!E85+Esplanade!E85+'Est mobile 1'!E85+'Est 1'!E85+'Est mobile 2'!E85+'Est Mobile 3'!E85+'Est 2'!E85+'Est mobile 4'!E85+'Réserve Sud'!E85+'Sud 1'!E85+'Sud 2'!E85+Visiteurs!E85+'Principale mobile 1'!E85+'Principale 1 '!E85+'Principale mobile 2'!E85+'Principale mobile 3'!E85+'Principale 2'!E85+'Principale mobile 4'!E85</f>
        <v>0</v>
      </c>
      <c r="F85" s="94"/>
      <c r="G85" s="316">
        <f>SUM('Nord Mobile 1'!G85,'Nord 1'!G85,'Nord 2'!G85,'Nord Mobile 2'!G85,Esplanade!G85,'Est mobile 1'!G85,'Est 1'!G85,'Est mobile 2'!G85,'Est Mobile 3'!G85,'Est 2'!G85,'Est mobile 4'!G85,'Sud 1'!G85,'Sud 2'!G85,Visiteurs!G85,'Principale mobile 1'!G85,'Principale mobile 2'!G85,'Principale mobile 3'!G85,'Principale 2'!G85,'Principale mobile 4'!G85)</f>
        <v>0</v>
      </c>
      <c r="H85" s="10" t="s">
        <v>20</v>
      </c>
      <c r="I85" s="331">
        <v>34.950000000000003</v>
      </c>
      <c r="J85" s="267">
        <f t="shared" si="0"/>
        <v>0</v>
      </c>
    </row>
    <row r="86" spans="1:10" x14ac:dyDescent="0.35">
      <c r="A86" s="103"/>
      <c r="B86" s="12" t="s">
        <v>3</v>
      </c>
      <c r="C86" s="10" t="s">
        <v>262</v>
      </c>
      <c r="D86" s="94"/>
      <c r="E86" s="232">
        <f>'Nord 1'!E86+'Nord 2'!E86+'Nord Mobile 1'!E86+'Nord Mobile 2'!E86+Esplanade!E86+'Est mobile 1'!E86+'Est 1'!E86+'Est mobile 2'!E86+'Est Mobile 3'!E86+'Est 2'!E86+'Est mobile 4'!E86+'Réserve Sud'!E86+'Sud 1'!E86+'Sud 2'!E86+Visiteurs!E86+'Principale mobile 1'!E86+'Principale 1 '!E86+'Principale mobile 2'!E86+'Principale mobile 3'!E86+'Principale 2'!E86+'Principale mobile 4'!E86</f>
        <v>0</v>
      </c>
      <c r="F86" s="94"/>
      <c r="G86" s="316">
        <f>SUM('Nord Mobile 1'!G86,'Nord 1'!G86,'Nord 2'!G86,'Nord Mobile 2'!G86,Esplanade!G86,'Est mobile 1'!G86,'Est 1'!G86,'Est mobile 2'!G86,'Est Mobile 3'!G86,'Est 2'!G86,'Est mobile 4'!G86,'Sud 1'!G86,'Sud 2'!G86,Visiteurs!G86,'Principale mobile 1'!G86,'Principale mobile 2'!G86,'Principale mobile 3'!G86,'Principale 2'!G86,'Principale mobile 4'!G86)</f>
        <v>0</v>
      </c>
      <c r="H86" s="10" t="s">
        <v>20</v>
      </c>
      <c r="I86" s="331">
        <v>24.95</v>
      </c>
      <c r="J86" s="267">
        <f t="shared" si="0"/>
        <v>0</v>
      </c>
    </row>
    <row r="87" spans="1:10" ht="15.5" x14ac:dyDescent="0.35">
      <c r="A87" s="111"/>
      <c r="B87" s="126" t="s">
        <v>263</v>
      </c>
      <c r="C87" s="127"/>
      <c r="D87" s="127"/>
      <c r="E87" s="232">
        <f>'Nord 1'!E87+'Nord 2'!E87+'Nord Mobile 1'!E87+'Nord Mobile 2'!E87+Esplanade!E87+'Est mobile 1'!E87+'Est 1'!E87+'Est mobile 2'!E87+'Est Mobile 3'!E87+'Est 2'!E87+'Est mobile 4'!E87+'Réserve Sud'!E87+'Sud 1'!E87+'Sud 2'!E87+Visiteurs!E87+'Principale mobile 1'!E87+'Principale 1 '!E87+'Principale mobile 2'!E87+'Principale mobile 3'!E87+'Principale 2'!E87+'Principale mobile 4'!E87</f>
        <v>0</v>
      </c>
      <c r="F87" s="127"/>
      <c r="G87" s="316">
        <f>SUM('Nord Mobile 1'!G87,'Nord 1'!G87,'Nord 2'!G87,'Nord Mobile 2'!G87,Esplanade!G87,'Est mobile 1'!G87,'Est 1'!G87,'Est mobile 2'!G87,'Est Mobile 3'!G87,'Est 2'!G87,'Est mobile 4'!G87,'Sud 1'!G87,'Sud 2'!G87,Visiteurs!G87,'Principale mobile 1'!G87,'Principale mobile 2'!G87,'Principale mobile 3'!G87,'Principale 2'!G87,'Principale mobile 4'!G87)</f>
        <v>0</v>
      </c>
      <c r="H87" s="127"/>
      <c r="I87" s="239"/>
      <c r="J87" s="247">
        <f t="shared" si="0"/>
        <v>0</v>
      </c>
    </row>
    <row r="88" spans="1:10" x14ac:dyDescent="0.35">
      <c r="A88" s="103"/>
      <c r="B88" s="12" t="s">
        <v>3</v>
      </c>
      <c r="C88" s="10" t="s">
        <v>264</v>
      </c>
      <c r="D88" s="94"/>
      <c r="E88" s="232">
        <f>'Nord 1'!E88+'Nord 2'!E88+'Nord Mobile 1'!E88+'Nord Mobile 2'!E88+Esplanade!E88+'Est mobile 1'!E88+'Est 1'!E88+'Est mobile 2'!E88+'Est Mobile 3'!E88+'Est 2'!E88+'Est mobile 4'!E88+'Réserve Sud'!E88+'Sud 1'!E88+'Sud 2'!E88+Visiteurs!E88+'Principale mobile 1'!E88+'Principale 1 '!E88+'Principale mobile 2'!E88+'Principale mobile 3'!E88+'Principale 2'!E88+'Principale mobile 4'!E88</f>
        <v>0</v>
      </c>
      <c r="F88" s="94"/>
      <c r="G88" s="316">
        <f>SUM('Nord Mobile 1'!G88,'Nord 1'!G88,'Nord 2'!G88,'Nord Mobile 2'!G88,Esplanade!G88,'Est mobile 1'!G88,'Est 1'!G88,'Est mobile 2'!G88,'Est Mobile 3'!G88,'Est 2'!G88,'Est mobile 4'!G88,'Sud 1'!G88,'Sud 2'!G88,Visiteurs!G88,'Principale mobile 1'!G88,'Principale mobile 2'!G88,'Principale mobile 3'!G88,'Principale 2'!G88,'Principale mobile 4'!G88)</f>
        <v>0</v>
      </c>
      <c r="H88" s="10" t="s">
        <v>20</v>
      </c>
      <c r="I88" s="331">
        <v>19.5</v>
      </c>
      <c r="J88" s="267">
        <f t="shared" si="0"/>
        <v>0</v>
      </c>
    </row>
    <row r="89" spans="1:10" x14ac:dyDescent="0.35">
      <c r="A89" s="103"/>
      <c r="B89" s="12" t="s">
        <v>3</v>
      </c>
      <c r="C89" s="10" t="s">
        <v>265</v>
      </c>
      <c r="D89" s="94"/>
      <c r="E89" s="232">
        <f>'Nord 1'!E89+'Nord 2'!E89+'Nord Mobile 1'!E89+'Nord Mobile 2'!E89+Esplanade!E89+'Est mobile 1'!E89+'Est 1'!E89+'Est mobile 2'!E89+'Est Mobile 3'!E89+'Est 2'!E89+'Est mobile 4'!E89+'Réserve Sud'!E89+'Sud 1'!E89+'Sud 2'!E89+Visiteurs!E89+'Principale mobile 1'!E89+'Principale 1 '!E89+'Principale mobile 2'!E89+'Principale mobile 3'!E89+'Principale 2'!E89+'Principale mobile 4'!E89</f>
        <v>0</v>
      </c>
      <c r="F89" s="94"/>
      <c r="G89" s="316">
        <f>SUM('Nord Mobile 1'!G89,'Nord 1'!G89,'Nord 2'!G89,'Nord Mobile 2'!G89,Esplanade!G89,'Est mobile 1'!G89,'Est 1'!G89,'Est mobile 2'!G89,'Est Mobile 3'!G89,'Est 2'!G89,'Est mobile 4'!G89,'Sud 1'!G89,'Sud 2'!G89,Visiteurs!G89,'Principale mobile 1'!G89,'Principale mobile 2'!G89,'Principale mobile 3'!G89,'Principale 2'!G89,'Principale mobile 4'!G89)</f>
        <v>0</v>
      </c>
      <c r="H89" s="10" t="s">
        <v>20</v>
      </c>
      <c r="I89" s="331">
        <v>16.95</v>
      </c>
      <c r="J89" s="267">
        <f t="shared" ref="J89:J152" si="1">E89*I89</f>
        <v>0</v>
      </c>
    </row>
    <row r="90" spans="1:10" x14ac:dyDescent="0.35">
      <c r="A90" s="103"/>
      <c r="B90" s="12" t="s">
        <v>3</v>
      </c>
      <c r="C90" s="10" t="s">
        <v>266</v>
      </c>
      <c r="D90" s="94"/>
      <c r="E90" s="232">
        <f>'Nord 1'!E90+'Nord 2'!E90+'Nord Mobile 1'!E90+'Nord Mobile 2'!E90+Esplanade!E90+'Est mobile 1'!E90+'Est 1'!E90+'Est mobile 2'!E90+'Est Mobile 3'!E90+'Est 2'!E90+'Est mobile 4'!E90+'Réserve Sud'!E90+'Sud 1'!E90+'Sud 2'!E90+Visiteurs!E90+'Principale mobile 1'!E90+'Principale 1 '!E90+'Principale mobile 2'!E90+'Principale mobile 3'!E90+'Principale 2'!E90+'Principale mobile 4'!E90</f>
        <v>0</v>
      </c>
      <c r="F90" s="94"/>
      <c r="G90" s="316">
        <f>SUM('Nord Mobile 1'!G90,'Nord 1'!G90,'Nord 2'!G90,'Nord Mobile 2'!G90,Esplanade!G90,'Est mobile 1'!G90,'Est 1'!G90,'Est mobile 2'!G90,'Est Mobile 3'!G90,'Est 2'!G90,'Est mobile 4'!G90,'Sud 1'!G90,'Sud 2'!G90,Visiteurs!G90,'Principale mobile 1'!G90,'Principale mobile 2'!G90,'Principale mobile 3'!G90,'Principale 2'!G90,'Principale mobile 4'!G90)</f>
        <v>0</v>
      </c>
      <c r="H90" s="10" t="s">
        <v>20</v>
      </c>
      <c r="I90" s="331">
        <v>17.95</v>
      </c>
      <c r="J90" s="267">
        <f t="shared" si="1"/>
        <v>0</v>
      </c>
    </row>
    <row r="91" spans="1:10" x14ac:dyDescent="0.35">
      <c r="A91" s="103"/>
      <c r="B91" s="12" t="s">
        <v>3</v>
      </c>
      <c r="C91" s="10" t="s">
        <v>267</v>
      </c>
      <c r="D91" s="94"/>
      <c r="E91" s="232">
        <f>'Nord 1'!E91+'Nord 2'!E91+'Nord Mobile 1'!E91+'Nord Mobile 2'!E91+Esplanade!E91+'Est mobile 1'!E91+'Est 1'!E91+'Est mobile 2'!E91+'Est Mobile 3'!E91+'Est 2'!E91+'Est mobile 4'!E91+'Réserve Sud'!E91+'Sud 1'!E91+'Sud 2'!E91+Visiteurs!E91+'Principale mobile 1'!E91+'Principale 1 '!E91+'Principale mobile 2'!E91+'Principale mobile 3'!E91+'Principale 2'!E91+'Principale mobile 4'!E91</f>
        <v>0</v>
      </c>
      <c r="F91" s="94"/>
      <c r="G91" s="316">
        <f>SUM('Nord Mobile 1'!G91,'Nord 1'!G91,'Nord 2'!G91,'Nord Mobile 2'!G91,Esplanade!G91,'Est mobile 1'!G91,'Est 1'!G91,'Est mobile 2'!G91,'Est Mobile 3'!G91,'Est 2'!G91,'Est mobile 4'!G91,'Sud 1'!G91,'Sud 2'!G91,Visiteurs!G91,'Principale mobile 1'!G91,'Principale mobile 2'!G91,'Principale mobile 3'!G91,'Principale 2'!G91,'Principale mobile 4'!G91)</f>
        <v>0</v>
      </c>
      <c r="H91" s="10" t="s">
        <v>20</v>
      </c>
      <c r="I91" s="331">
        <v>15.95</v>
      </c>
      <c r="J91" s="267">
        <f t="shared" si="1"/>
        <v>0</v>
      </c>
    </row>
    <row r="92" spans="1:10" x14ac:dyDescent="0.35">
      <c r="A92" s="103"/>
      <c r="B92" s="12" t="s">
        <v>3</v>
      </c>
      <c r="C92" s="10" t="s">
        <v>268</v>
      </c>
      <c r="D92" s="94"/>
      <c r="E92" s="232">
        <f>'Nord 1'!E92+'Nord 2'!E92+'Nord Mobile 1'!E92+'Nord Mobile 2'!E92+Esplanade!E92+'Est mobile 1'!E92+'Est 1'!E92+'Est mobile 2'!E92+'Est Mobile 3'!E92+'Est 2'!E92+'Est mobile 4'!E92+'Réserve Sud'!E92+'Sud 1'!E92+'Sud 2'!E92+Visiteurs!E92+'Principale mobile 1'!E92+'Principale 1 '!E92+'Principale mobile 2'!E92+'Principale mobile 3'!E92+'Principale 2'!E92+'Principale mobile 4'!E92</f>
        <v>0</v>
      </c>
      <c r="F92" s="94"/>
      <c r="G92" s="316">
        <f>SUM('Nord Mobile 1'!G92,'Nord 1'!G92,'Nord 2'!G92,'Nord Mobile 2'!G92,Esplanade!G92,'Est mobile 1'!G92,'Est 1'!G92,'Est mobile 2'!G92,'Est Mobile 3'!G92,'Est 2'!G92,'Est mobile 4'!G92,'Sud 1'!G92,'Sud 2'!G92,Visiteurs!G92,'Principale mobile 1'!G92,'Principale mobile 2'!G92,'Principale mobile 3'!G92,'Principale 2'!G92,'Principale mobile 4'!G92)</f>
        <v>0</v>
      </c>
      <c r="H92" s="10" t="s">
        <v>20</v>
      </c>
      <c r="I92" s="331">
        <v>20.95</v>
      </c>
      <c r="J92" s="267">
        <f t="shared" si="1"/>
        <v>0</v>
      </c>
    </row>
    <row r="93" spans="1:10" x14ac:dyDescent="0.35">
      <c r="A93" s="103"/>
      <c r="B93" s="12" t="s">
        <v>3</v>
      </c>
      <c r="C93" s="10" t="s">
        <v>269</v>
      </c>
      <c r="D93" s="94"/>
      <c r="E93" s="232">
        <f>'Nord 1'!E93+'Nord 2'!E93+'Nord Mobile 1'!E93+'Nord Mobile 2'!E93+Esplanade!E93+'Est mobile 1'!E93+'Est 1'!E93+'Est mobile 2'!E93+'Est Mobile 3'!E93+'Est 2'!E93+'Est mobile 4'!E93+'Réserve Sud'!E93+'Sud 1'!E93+'Sud 2'!E93+Visiteurs!E93+'Principale mobile 1'!E93+'Principale 1 '!E93+'Principale mobile 2'!E93+'Principale mobile 3'!E93+'Principale 2'!E93+'Principale mobile 4'!E93</f>
        <v>0</v>
      </c>
      <c r="F93" s="94"/>
      <c r="G93" s="316">
        <f>SUM('Nord Mobile 1'!G93,'Nord 1'!G93,'Nord 2'!G93,'Nord Mobile 2'!G93,Esplanade!G93,'Est mobile 1'!G93,'Est 1'!G93,'Est mobile 2'!G93,'Est Mobile 3'!G93,'Est 2'!G93,'Est mobile 4'!G93,'Sud 1'!G93,'Sud 2'!G93,Visiteurs!G93,'Principale mobile 1'!G93,'Principale mobile 2'!G93,'Principale mobile 3'!G93,'Principale 2'!G93,'Principale mobile 4'!G93)</f>
        <v>0</v>
      </c>
      <c r="H93" s="10" t="s">
        <v>20</v>
      </c>
      <c r="I93" s="331">
        <v>26.95</v>
      </c>
      <c r="J93" s="267">
        <f t="shared" si="1"/>
        <v>0</v>
      </c>
    </row>
    <row r="94" spans="1:10" x14ac:dyDescent="0.35">
      <c r="A94" s="103"/>
      <c r="B94" s="12" t="s">
        <v>3</v>
      </c>
      <c r="C94" s="10" t="s">
        <v>270</v>
      </c>
      <c r="D94" s="94"/>
      <c r="E94" s="232">
        <f>'Nord 1'!E94+'Nord 2'!E94+'Nord Mobile 1'!E94+'Nord Mobile 2'!E94+Esplanade!E94+'Est mobile 1'!E94+'Est 1'!E94+'Est mobile 2'!E94+'Est Mobile 3'!E94+'Est 2'!E94+'Est mobile 4'!E94+'Réserve Sud'!E94+'Sud 1'!E94+'Sud 2'!E94+Visiteurs!E94+'Principale mobile 1'!E94+'Principale 1 '!E94+'Principale mobile 2'!E94+'Principale mobile 3'!E94+'Principale 2'!E94+'Principale mobile 4'!E94</f>
        <v>0</v>
      </c>
      <c r="F94" s="94"/>
      <c r="G94" s="316">
        <f>SUM('Nord Mobile 1'!G94,'Nord 1'!G94,'Nord 2'!G94,'Nord Mobile 2'!G94,Esplanade!G94,'Est mobile 1'!G94,'Est 1'!G94,'Est mobile 2'!G94,'Est Mobile 3'!G94,'Est 2'!G94,'Est mobile 4'!G94,'Sud 1'!G94,'Sud 2'!G94,Visiteurs!G94,'Principale mobile 1'!G94,'Principale mobile 2'!G94,'Principale mobile 3'!G94,'Principale 2'!G94,'Principale mobile 4'!G94)</f>
        <v>0</v>
      </c>
      <c r="H94" s="10" t="s">
        <v>20</v>
      </c>
      <c r="I94" s="331">
        <v>26.95</v>
      </c>
      <c r="J94" s="267">
        <f t="shared" si="1"/>
        <v>0</v>
      </c>
    </row>
    <row r="95" spans="1:10" ht="15.5" x14ac:dyDescent="0.35">
      <c r="A95" s="111"/>
      <c r="B95" s="126" t="s">
        <v>271</v>
      </c>
      <c r="C95" s="127"/>
      <c r="D95" s="127"/>
      <c r="E95" s="232">
        <f>'Nord 1'!E95+'Nord 2'!E95+'Nord Mobile 1'!E95+'Nord Mobile 2'!E95+Esplanade!E95+'Est mobile 1'!E95+'Est 1'!E95+'Est mobile 2'!E95+'Est Mobile 3'!E95+'Est 2'!E95+'Est mobile 4'!E95+'Réserve Sud'!E95+'Sud 1'!E95+'Sud 2'!E95+Visiteurs!E95+'Principale mobile 1'!E95+'Principale 1 '!E95+'Principale mobile 2'!E95+'Principale mobile 3'!E95+'Principale 2'!E95+'Principale mobile 4'!E95</f>
        <v>0</v>
      </c>
      <c r="F95" s="127"/>
      <c r="G95" s="316">
        <f>SUM('Nord Mobile 1'!G95,'Nord 1'!G95,'Nord 2'!G95,'Nord Mobile 2'!G95,Esplanade!G95,'Est mobile 1'!G95,'Est 1'!G95,'Est mobile 2'!G95,'Est Mobile 3'!G95,'Est 2'!G95,'Est mobile 4'!G95,'Sud 1'!G95,'Sud 2'!G95,Visiteurs!G95,'Principale mobile 1'!G95,'Principale mobile 2'!G95,'Principale mobile 3'!G95,'Principale 2'!G95,'Principale mobile 4'!G95)</f>
        <v>0</v>
      </c>
      <c r="H95" s="127"/>
      <c r="I95" s="239"/>
      <c r="J95" s="247">
        <f t="shared" si="1"/>
        <v>0</v>
      </c>
    </row>
    <row r="96" spans="1:10" x14ac:dyDescent="0.35">
      <c r="A96" s="103"/>
      <c r="B96" s="12" t="s">
        <v>3</v>
      </c>
      <c r="C96" s="10" t="s">
        <v>272</v>
      </c>
      <c r="D96" s="94"/>
      <c r="E96" s="232">
        <f>'Nord 1'!E96+'Nord 2'!E96+'Nord Mobile 1'!E96+'Nord Mobile 2'!E96+Esplanade!E96+'Est mobile 1'!E96+'Est 1'!E96+'Est mobile 2'!E96+'Est Mobile 3'!E96+'Est 2'!E96+'Est mobile 4'!E96+'Réserve Sud'!E96+'Sud 1'!E96+'Sud 2'!E96+Visiteurs!E96+'Principale mobile 1'!E96+'Principale 1 '!E96+'Principale mobile 2'!E96+'Principale mobile 3'!E96+'Principale 2'!E96+'Principale mobile 4'!E96</f>
        <v>0</v>
      </c>
      <c r="F96" s="94"/>
      <c r="G96" s="316">
        <f>SUM('Nord Mobile 1'!G96,'Nord 1'!G96,'Nord 2'!G96,'Nord Mobile 2'!G96,Esplanade!G96,'Est mobile 1'!G96,'Est 1'!G96,'Est mobile 2'!G96,'Est Mobile 3'!G96,'Est 2'!G96,'Est mobile 4'!G96,'Sud 1'!G96,'Sud 2'!G96,Visiteurs!G96,'Principale mobile 1'!G96,'Principale mobile 2'!G96,'Principale mobile 3'!G96,'Principale 2'!G96,'Principale mobile 4'!G96)</f>
        <v>0</v>
      </c>
      <c r="H96" s="10" t="s">
        <v>20</v>
      </c>
      <c r="I96" s="331">
        <v>20.95</v>
      </c>
      <c r="J96" s="267">
        <f t="shared" si="1"/>
        <v>0</v>
      </c>
    </row>
    <row r="97" spans="1:10" x14ac:dyDescent="0.35">
      <c r="A97" s="103"/>
      <c r="B97" s="12" t="s">
        <v>3</v>
      </c>
      <c r="C97" s="10" t="s">
        <v>273</v>
      </c>
      <c r="D97" s="94"/>
      <c r="E97" s="232">
        <f>'Nord 1'!E97+'Nord 2'!E97+'Nord Mobile 1'!E97+'Nord Mobile 2'!E97+Esplanade!E97+'Est mobile 1'!E97+'Est 1'!E97+'Est mobile 2'!E97+'Est Mobile 3'!E97+'Est 2'!E97+'Est mobile 4'!E97+'Réserve Sud'!E97+'Sud 1'!E97+'Sud 2'!E97+Visiteurs!E97+'Principale mobile 1'!E97+'Principale 1 '!E97+'Principale mobile 2'!E97+'Principale mobile 3'!E97+'Principale 2'!E97+'Principale mobile 4'!E97</f>
        <v>0</v>
      </c>
      <c r="F97" s="94"/>
      <c r="G97" s="316">
        <f>SUM('Nord Mobile 1'!G97,'Nord 1'!G97,'Nord 2'!G97,'Nord Mobile 2'!G97,Esplanade!G97,'Est mobile 1'!G97,'Est 1'!G97,'Est mobile 2'!G97,'Est Mobile 3'!G97,'Est 2'!G97,'Est mobile 4'!G97,'Sud 1'!G97,'Sud 2'!G97,Visiteurs!G97,'Principale mobile 1'!G97,'Principale mobile 2'!G97,'Principale mobile 3'!G97,'Principale 2'!G97,'Principale mobile 4'!G97)</f>
        <v>0</v>
      </c>
      <c r="H97" s="10" t="s">
        <v>20</v>
      </c>
      <c r="I97" s="331">
        <v>23.95</v>
      </c>
      <c r="J97" s="267">
        <f t="shared" si="1"/>
        <v>0</v>
      </c>
    </row>
    <row r="98" spans="1:10" x14ac:dyDescent="0.35">
      <c r="A98" s="103"/>
      <c r="B98" s="12" t="s">
        <v>3</v>
      </c>
      <c r="C98" s="10" t="s">
        <v>274</v>
      </c>
      <c r="D98" s="94"/>
      <c r="E98" s="232">
        <f>'Nord 1'!E98+'Nord 2'!E98+'Nord Mobile 1'!E98+'Nord Mobile 2'!E98+Esplanade!E98+'Est mobile 1'!E98+'Est 1'!E98+'Est mobile 2'!E98+'Est Mobile 3'!E98+'Est 2'!E98+'Est mobile 4'!E98+'Réserve Sud'!E98+'Sud 1'!E98+'Sud 2'!E98+Visiteurs!E98+'Principale mobile 1'!E98+'Principale 1 '!E98+'Principale mobile 2'!E98+'Principale mobile 3'!E98+'Principale 2'!E98+'Principale mobile 4'!E98</f>
        <v>0</v>
      </c>
      <c r="F98" s="94"/>
      <c r="G98" s="316">
        <f>SUM('Nord Mobile 1'!G98,'Nord 1'!G98,'Nord 2'!G98,'Nord Mobile 2'!G98,Esplanade!G98,'Est mobile 1'!G98,'Est 1'!G98,'Est mobile 2'!G98,'Est Mobile 3'!G98,'Est 2'!G98,'Est mobile 4'!G98,'Sud 1'!G98,'Sud 2'!G98,Visiteurs!G98,'Principale mobile 1'!G98,'Principale mobile 2'!G98,'Principale mobile 3'!G98,'Principale 2'!G98,'Principale mobile 4'!G98)</f>
        <v>0</v>
      </c>
      <c r="H98" s="10" t="s">
        <v>20</v>
      </c>
      <c r="I98" s="331">
        <v>22.5</v>
      </c>
      <c r="J98" s="267">
        <f t="shared" si="1"/>
        <v>0</v>
      </c>
    </row>
    <row r="99" spans="1:10" x14ac:dyDescent="0.35">
      <c r="A99" s="103"/>
      <c r="B99" s="12" t="s">
        <v>3</v>
      </c>
      <c r="C99" s="10" t="s">
        <v>275</v>
      </c>
      <c r="D99" s="94"/>
      <c r="E99" s="232">
        <f>'Nord 1'!E99+'Nord 2'!E99+'Nord Mobile 1'!E99+'Nord Mobile 2'!E99+Esplanade!E99+'Est mobile 1'!E99+'Est 1'!E99+'Est mobile 2'!E99+'Est Mobile 3'!E99+'Est 2'!E99+'Est mobile 4'!E99+'Réserve Sud'!E99+'Sud 1'!E99+'Sud 2'!E99+Visiteurs!E99+'Principale mobile 1'!E99+'Principale 1 '!E99+'Principale mobile 2'!E99+'Principale mobile 3'!E99+'Principale 2'!E99+'Principale mobile 4'!E99</f>
        <v>0</v>
      </c>
      <c r="F99" s="94"/>
      <c r="G99" s="316">
        <f>SUM('Nord Mobile 1'!G99,'Nord 1'!G99,'Nord 2'!G99,'Nord Mobile 2'!G99,Esplanade!G99,'Est mobile 1'!G99,'Est 1'!G99,'Est mobile 2'!G99,'Est Mobile 3'!G99,'Est 2'!G99,'Est mobile 4'!G99,'Sud 1'!G99,'Sud 2'!G99,Visiteurs!G99,'Principale mobile 1'!G99,'Principale mobile 2'!G99,'Principale mobile 3'!G99,'Principale 2'!G99,'Principale mobile 4'!G99)</f>
        <v>0</v>
      </c>
      <c r="H99" s="10" t="s">
        <v>20</v>
      </c>
      <c r="I99" s="331">
        <v>29.95</v>
      </c>
      <c r="J99" s="267">
        <f t="shared" si="1"/>
        <v>0</v>
      </c>
    </row>
    <row r="100" spans="1:10" ht="15.5" x14ac:dyDescent="0.35">
      <c r="A100" s="111"/>
      <c r="B100" s="126" t="s">
        <v>276</v>
      </c>
      <c r="C100" s="127"/>
      <c r="D100" s="127"/>
      <c r="E100" s="232">
        <f>'Nord 1'!E100+'Nord 2'!E100+'Nord Mobile 1'!E100+'Nord Mobile 2'!E100+Esplanade!E100+'Est mobile 1'!E100+'Est 1'!E100+'Est mobile 2'!E100+'Est Mobile 3'!E100+'Est 2'!E100+'Est mobile 4'!E100+'Réserve Sud'!E100+'Sud 1'!E100+'Sud 2'!E100+Visiteurs!E100+'Principale mobile 1'!E100+'Principale 1 '!E100+'Principale mobile 2'!E100+'Principale mobile 3'!E100+'Principale 2'!E100+'Principale mobile 4'!E100</f>
        <v>0</v>
      </c>
      <c r="F100" s="127"/>
      <c r="G100" s="316">
        <f>SUM('Nord Mobile 1'!G100,'Nord 1'!G100,'Nord 2'!G100,'Nord Mobile 2'!G100,Esplanade!G100,'Est mobile 1'!G100,'Est 1'!G100,'Est mobile 2'!G100,'Est Mobile 3'!G100,'Est 2'!G100,'Est mobile 4'!G100,'Sud 1'!G100,'Sud 2'!G100,Visiteurs!G100,'Principale mobile 1'!G100,'Principale mobile 2'!G100,'Principale mobile 3'!G100,'Principale 2'!G100,'Principale mobile 4'!G100)</f>
        <v>0</v>
      </c>
      <c r="H100" s="127"/>
      <c r="I100" s="239"/>
      <c r="J100" s="247">
        <f t="shared" si="1"/>
        <v>0</v>
      </c>
    </row>
    <row r="101" spans="1:10" x14ac:dyDescent="0.35">
      <c r="A101" s="103"/>
      <c r="B101" s="12" t="s">
        <v>3</v>
      </c>
      <c r="C101" s="10" t="s">
        <v>277</v>
      </c>
      <c r="D101" s="94"/>
      <c r="E101" s="232">
        <f>'Nord 1'!E101+'Nord 2'!E101+'Nord Mobile 1'!E101+'Nord Mobile 2'!E101+Esplanade!E101+'Est mobile 1'!E101+'Est 1'!E101+'Est mobile 2'!E101+'Est Mobile 3'!E101+'Est 2'!E101+'Est mobile 4'!E101+'Réserve Sud'!E101+'Sud 1'!E101+'Sud 2'!E101+Visiteurs!E101+'Principale mobile 1'!E101+'Principale 1 '!E101+'Principale mobile 2'!E101+'Principale mobile 3'!E101+'Principale 2'!E101+'Principale mobile 4'!E101</f>
        <v>0</v>
      </c>
      <c r="F101" s="94"/>
      <c r="G101" s="316">
        <f>SUM('Nord Mobile 1'!G101,'Nord 1'!G101,'Nord 2'!G101,'Nord Mobile 2'!G101,Esplanade!G101,'Est mobile 1'!G101,'Est 1'!G101,'Est mobile 2'!G101,'Est Mobile 3'!G101,'Est 2'!G101,'Est mobile 4'!G101,'Sud 1'!G101,'Sud 2'!G101,Visiteurs!G101,'Principale mobile 1'!G101,'Principale mobile 2'!G101,'Principale mobile 3'!G101,'Principale 2'!G101,'Principale mobile 4'!G101)</f>
        <v>0</v>
      </c>
      <c r="H101" s="10" t="s">
        <v>20</v>
      </c>
      <c r="I101" s="331">
        <v>17.95</v>
      </c>
      <c r="J101" s="267">
        <f t="shared" si="1"/>
        <v>0</v>
      </c>
    </row>
    <row r="102" spans="1:10" x14ac:dyDescent="0.35">
      <c r="A102" s="103"/>
      <c r="B102" s="12" t="s">
        <v>3</v>
      </c>
      <c r="C102" s="10" t="s">
        <v>278</v>
      </c>
      <c r="D102" s="94"/>
      <c r="E102" s="232">
        <f>'Nord 1'!E102+'Nord 2'!E102+'Nord Mobile 1'!E102+'Nord Mobile 2'!E102+Esplanade!E102+'Est mobile 1'!E102+'Est 1'!E102+'Est mobile 2'!E102+'Est Mobile 3'!E102+'Est 2'!E102+'Est mobile 4'!E102+'Réserve Sud'!E102+'Sud 1'!E102+'Sud 2'!E102+Visiteurs!E102+'Principale mobile 1'!E102+'Principale 1 '!E102+'Principale mobile 2'!E102+'Principale mobile 3'!E102+'Principale 2'!E102+'Principale mobile 4'!E102</f>
        <v>0</v>
      </c>
      <c r="F102" s="94"/>
      <c r="G102" s="316">
        <f>SUM('Nord Mobile 1'!G102,'Nord 1'!G102,'Nord 2'!G102,'Nord Mobile 2'!G102,Esplanade!G102,'Est mobile 1'!G102,'Est 1'!G102,'Est mobile 2'!G102,'Est Mobile 3'!G102,'Est 2'!G102,'Est mobile 4'!G102,'Sud 1'!G102,'Sud 2'!G102,Visiteurs!G102,'Principale mobile 1'!G102,'Principale mobile 2'!G102,'Principale mobile 3'!G102,'Principale 2'!G102,'Principale mobile 4'!G102)</f>
        <v>0</v>
      </c>
      <c r="H102" s="10" t="s">
        <v>20</v>
      </c>
      <c r="I102" s="331">
        <v>20.95</v>
      </c>
      <c r="J102" s="267">
        <f t="shared" si="1"/>
        <v>0</v>
      </c>
    </row>
    <row r="103" spans="1:10" x14ac:dyDescent="0.35">
      <c r="A103" s="103"/>
      <c r="B103" s="12" t="s">
        <v>3</v>
      </c>
      <c r="C103" s="10" t="s">
        <v>279</v>
      </c>
      <c r="D103" s="94"/>
      <c r="E103" s="232">
        <f>'Nord 1'!E103+'Nord 2'!E103+'Nord Mobile 1'!E103+'Nord Mobile 2'!E103+Esplanade!E103+'Est mobile 1'!E103+'Est 1'!E103+'Est mobile 2'!E103+'Est Mobile 3'!E103+'Est 2'!E103+'Est mobile 4'!E103+'Réserve Sud'!E103+'Sud 1'!E103+'Sud 2'!E103+Visiteurs!E103+'Principale mobile 1'!E103+'Principale 1 '!E103+'Principale mobile 2'!E103+'Principale mobile 3'!E103+'Principale 2'!E103+'Principale mobile 4'!E103</f>
        <v>0</v>
      </c>
      <c r="F103" s="94"/>
      <c r="G103" s="316">
        <f>SUM('Nord Mobile 1'!G103,'Nord 1'!G103,'Nord 2'!G103,'Nord Mobile 2'!G103,Esplanade!G103,'Est mobile 1'!G103,'Est 1'!G103,'Est mobile 2'!G103,'Est Mobile 3'!G103,'Est 2'!G103,'Est mobile 4'!G103,'Sud 1'!G103,'Sud 2'!G103,Visiteurs!G103,'Principale mobile 1'!G103,'Principale mobile 2'!G103,'Principale mobile 3'!G103,'Principale 2'!G103,'Principale mobile 4'!G103)</f>
        <v>0</v>
      </c>
      <c r="H103" s="10" t="s">
        <v>20</v>
      </c>
      <c r="I103" s="331">
        <v>19.95</v>
      </c>
      <c r="J103" s="267">
        <f t="shared" si="1"/>
        <v>0</v>
      </c>
    </row>
    <row r="104" spans="1:10" x14ac:dyDescent="0.35">
      <c r="A104" s="103"/>
      <c r="B104" s="40" t="s">
        <v>3</v>
      </c>
      <c r="C104" s="41" t="s">
        <v>280</v>
      </c>
      <c r="D104" s="98"/>
      <c r="E104" s="232">
        <f>'Nord 1'!E104+'Nord 2'!E104+'Nord Mobile 1'!E104+'Nord Mobile 2'!E104+Esplanade!E104+'Est mobile 1'!E104+'Est 1'!E104+'Est mobile 2'!E104+'Est Mobile 3'!E104+'Est 2'!E104+'Est mobile 4'!E104+'Réserve Sud'!E104+'Sud 1'!E104+'Sud 2'!E104+Visiteurs!E104+'Principale mobile 1'!E104+'Principale 1 '!E104+'Principale mobile 2'!E104+'Principale mobile 3'!E104+'Principale 2'!E104+'Principale mobile 4'!E104</f>
        <v>0</v>
      </c>
      <c r="F104" s="98"/>
      <c r="G104" s="316">
        <f>SUM('Nord Mobile 1'!G104,'Nord 1'!G104,'Nord 2'!G104,'Nord Mobile 2'!G104,Esplanade!G104,'Est mobile 1'!G104,'Est 1'!G104,'Est mobile 2'!G104,'Est Mobile 3'!G104,'Est 2'!G104,'Est mobile 4'!G104,'Sud 1'!G104,'Sud 2'!G104,Visiteurs!G104,'Principale mobile 1'!G104,'Principale mobile 2'!G104,'Principale mobile 3'!G104,'Principale 2'!G104,'Principale mobile 4'!G104)</f>
        <v>0</v>
      </c>
      <c r="H104" s="41" t="s">
        <v>20</v>
      </c>
      <c r="I104" s="334">
        <v>59.95</v>
      </c>
      <c r="J104" s="267">
        <f t="shared" si="1"/>
        <v>0</v>
      </c>
    </row>
    <row r="105" spans="1:10" ht="15.5" x14ac:dyDescent="0.35">
      <c r="A105" s="111"/>
      <c r="B105" s="126" t="s">
        <v>281</v>
      </c>
      <c r="C105" s="127"/>
      <c r="D105" s="127"/>
      <c r="E105" s="232">
        <f>'Nord 1'!E105+'Nord 2'!E105+'Nord Mobile 1'!E105+'Nord Mobile 2'!E105+Esplanade!E105+'Est mobile 1'!E105+'Est 1'!E105+'Est mobile 2'!E105+'Est Mobile 3'!E105+'Est 2'!E105+'Est mobile 4'!E105+'Réserve Sud'!E105+'Sud 1'!E105+'Sud 2'!E105+Visiteurs!E105+'Principale mobile 1'!E105+'Principale 1 '!E105+'Principale mobile 2'!E105+'Principale mobile 3'!E105+'Principale 2'!E105+'Principale mobile 4'!E105</f>
        <v>0</v>
      </c>
      <c r="F105" s="127"/>
      <c r="G105" s="316">
        <f>SUM('Nord Mobile 1'!G105,'Nord 1'!G105,'Nord 2'!G105,'Nord Mobile 2'!G105,Esplanade!G105,'Est mobile 1'!G105,'Est 1'!G105,'Est mobile 2'!G105,'Est Mobile 3'!G105,'Est 2'!G105,'Est mobile 4'!G105,'Sud 1'!G105,'Sud 2'!G105,Visiteurs!G105,'Principale mobile 1'!G105,'Principale mobile 2'!G105,'Principale mobile 3'!G105,'Principale 2'!G105,'Principale mobile 4'!G105)</f>
        <v>0</v>
      </c>
      <c r="H105" s="127"/>
      <c r="I105" s="239"/>
      <c r="J105" s="247">
        <f t="shared" si="1"/>
        <v>0</v>
      </c>
    </row>
    <row r="106" spans="1:10" x14ac:dyDescent="0.35">
      <c r="A106" s="103"/>
      <c r="B106" s="12" t="s">
        <v>3</v>
      </c>
      <c r="C106" s="10" t="s">
        <v>282</v>
      </c>
      <c r="D106" s="94"/>
      <c r="E106" s="232">
        <f>'Nord 1'!E106+'Nord 2'!E106+'Nord Mobile 1'!E106+'Nord Mobile 2'!E106+Esplanade!E106+'Est mobile 1'!E106+'Est 1'!E106+'Est mobile 2'!E106+'Est Mobile 3'!E106+'Est 2'!E106+'Est mobile 4'!E106+'Réserve Sud'!E106+'Sud 1'!E106+'Sud 2'!E106+Visiteurs!E106+'Principale mobile 1'!E106+'Principale 1 '!E106+'Principale mobile 2'!E106+'Principale mobile 3'!E106+'Principale 2'!E106+'Principale mobile 4'!E106</f>
        <v>0</v>
      </c>
      <c r="F106" s="94"/>
      <c r="G106" s="316">
        <f>SUM('Nord Mobile 1'!G106,'Nord 1'!G106,'Nord 2'!G106,'Nord Mobile 2'!G106,Esplanade!G106,'Est mobile 1'!G106,'Est 1'!G106,'Est mobile 2'!G106,'Est Mobile 3'!G106,'Est 2'!G106,'Est mobile 4'!G106,'Sud 1'!G106,'Sud 2'!G106,Visiteurs!G106,'Principale mobile 1'!G106,'Principale mobile 2'!G106,'Principale mobile 3'!G106,'Principale 2'!G106,'Principale mobile 4'!G106)</f>
        <v>0</v>
      </c>
      <c r="H106" s="10" t="s">
        <v>20</v>
      </c>
      <c r="I106" s="331">
        <v>54.95</v>
      </c>
      <c r="J106" s="267">
        <f t="shared" si="1"/>
        <v>0</v>
      </c>
    </row>
    <row r="107" spans="1:10" x14ac:dyDescent="0.35">
      <c r="A107" s="103"/>
      <c r="B107" s="12" t="s">
        <v>3</v>
      </c>
      <c r="C107" s="10" t="s">
        <v>283</v>
      </c>
      <c r="D107" s="94"/>
      <c r="E107" s="232">
        <f>'Nord 1'!E107+'Nord 2'!E107+'Nord Mobile 1'!E107+'Nord Mobile 2'!E107+Esplanade!E107+'Est mobile 1'!E107+'Est 1'!E107+'Est mobile 2'!E107+'Est Mobile 3'!E107+'Est 2'!E107+'Est mobile 4'!E107+'Réserve Sud'!E107+'Sud 1'!E107+'Sud 2'!E107+Visiteurs!E107+'Principale mobile 1'!E107+'Principale 1 '!E107+'Principale mobile 2'!E107+'Principale mobile 3'!E107+'Principale 2'!E107+'Principale mobile 4'!E107</f>
        <v>0</v>
      </c>
      <c r="F107" s="94"/>
      <c r="G107" s="316">
        <f>SUM('Nord Mobile 1'!G107,'Nord 1'!G107,'Nord 2'!G107,'Nord Mobile 2'!G107,Esplanade!G107,'Est mobile 1'!G107,'Est 1'!G107,'Est mobile 2'!G107,'Est Mobile 3'!G107,'Est 2'!G107,'Est mobile 4'!G107,'Sud 1'!G107,'Sud 2'!G107,Visiteurs!G107,'Principale mobile 1'!G107,'Principale mobile 2'!G107,'Principale mobile 3'!G107,'Principale 2'!G107,'Principale mobile 4'!G107)</f>
        <v>0</v>
      </c>
      <c r="H107" s="10" t="s">
        <v>20</v>
      </c>
      <c r="I107" s="331">
        <v>49.95</v>
      </c>
      <c r="J107" s="267">
        <f t="shared" si="1"/>
        <v>0</v>
      </c>
    </row>
    <row r="108" spans="1:10" ht="15.5" x14ac:dyDescent="0.35">
      <c r="A108" s="111"/>
      <c r="B108" s="126" t="s">
        <v>284</v>
      </c>
      <c r="C108" s="127"/>
      <c r="D108" s="127"/>
      <c r="E108" s="232">
        <f>'Nord 1'!E108+'Nord 2'!E108+'Nord Mobile 1'!E108+'Nord Mobile 2'!E108+Esplanade!E108+'Est mobile 1'!E108+'Est 1'!E108+'Est mobile 2'!E108+'Est Mobile 3'!E108+'Est 2'!E108+'Est mobile 4'!E108+'Réserve Sud'!E108+'Sud 1'!E108+'Sud 2'!E108+Visiteurs!E108+'Principale mobile 1'!E108+'Principale 1 '!E108+'Principale mobile 2'!E108+'Principale mobile 3'!E108+'Principale 2'!E108+'Principale mobile 4'!E108</f>
        <v>0</v>
      </c>
      <c r="F108" s="127"/>
      <c r="G108" s="316">
        <f>SUM('Nord Mobile 1'!G108,'Nord 1'!G108,'Nord 2'!G108,'Nord Mobile 2'!G108,Esplanade!G108,'Est mobile 1'!G108,'Est 1'!G108,'Est mobile 2'!G108,'Est Mobile 3'!G108,'Est 2'!G108,'Est mobile 4'!G108,'Sud 1'!G108,'Sud 2'!G108,Visiteurs!G108,'Principale mobile 1'!G108,'Principale mobile 2'!G108,'Principale mobile 3'!G108,'Principale 2'!G108,'Principale mobile 4'!G108)</f>
        <v>0</v>
      </c>
      <c r="H108" s="127"/>
      <c r="I108" s="239"/>
      <c r="J108" s="247">
        <f t="shared" si="1"/>
        <v>0</v>
      </c>
    </row>
    <row r="109" spans="1:10" x14ac:dyDescent="0.35">
      <c r="A109" s="103"/>
      <c r="B109" s="12" t="s">
        <v>3</v>
      </c>
      <c r="C109" s="10" t="s">
        <v>285</v>
      </c>
      <c r="D109" s="94"/>
      <c r="E109" s="232">
        <f>'Nord 1'!E109+'Nord 2'!E109+'Nord Mobile 1'!E109+'Nord Mobile 2'!E109+Esplanade!E109+'Est mobile 1'!E109+'Est 1'!E109+'Est mobile 2'!E109+'Est Mobile 3'!E109+'Est 2'!E109+'Est mobile 4'!E109+'Réserve Sud'!E109+'Sud 1'!E109+'Sud 2'!E109+Visiteurs!E109+'Principale mobile 1'!E109+'Principale 1 '!E109+'Principale mobile 2'!E109+'Principale mobile 3'!E109+'Principale 2'!E109+'Principale mobile 4'!E109</f>
        <v>0</v>
      </c>
      <c r="F109" s="94"/>
      <c r="G109" s="316">
        <f>SUM('Nord Mobile 1'!G109,'Nord 1'!G109,'Nord 2'!G109,'Nord Mobile 2'!G109,Esplanade!G109,'Est mobile 1'!G109,'Est 1'!G109,'Est mobile 2'!G109,'Est Mobile 3'!G109,'Est 2'!G109,'Est mobile 4'!G109,'Sud 1'!G109,'Sud 2'!G109,Visiteurs!G109,'Principale mobile 1'!G109,'Principale mobile 2'!G109,'Principale mobile 3'!G109,'Principale 2'!G109,'Principale mobile 4'!G109)</f>
        <v>0</v>
      </c>
      <c r="H109" s="10" t="s">
        <v>20</v>
      </c>
      <c r="I109" s="331">
        <v>41.5</v>
      </c>
      <c r="J109" s="267">
        <f t="shared" si="1"/>
        <v>0</v>
      </c>
    </row>
    <row r="110" spans="1:10" x14ac:dyDescent="0.35">
      <c r="A110" s="103"/>
      <c r="B110" s="12" t="s">
        <v>3</v>
      </c>
      <c r="C110" s="10" t="s">
        <v>286</v>
      </c>
      <c r="D110" s="94"/>
      <c r="E110" s="232">
        <f>'Nord 1'!E110+'Nord 2'!E110+'Nord Mobile 1'!E110+'Nord Mobile 2'!E110+Esplanade!E110+'Est mobile 1'!E110+'Est 1'!E110+'Est mobile 2'!E110+'Est Mobile 3'!E110+'Est 2'!E110+'Est mobile 4'!E110+'Réserve Sud'!E110+'Sud 1'!E110+'Sud 2'!E110+Visiteurs!E110+'Principale mobile 1'!E110+'Principale 1 '!E110+'Principale mobile 2'!E110+'Principale mobile 3'!E110+'Principale 2'!E110+'Principale mobile 4'!E110</f>
        <v>0</v>
      </c>
      <c r="F110" s="94"/>
      <c r="G110" s="316">
        <f>SUM('Nord Mobile 1'!G110,'Nord 1'!G110,'Nord 2'!G110,'Nord Mobile 2'!G110,Esplanade!G110,'Est mobile 1'!G110,'Est 1'!G110,'Est mobile 2'!G110,'Est Mobile 3'!G110,'Est 2'!G110,'Est mobile 4'!G110,'Sud 1'!G110,'Sud 2'!G110,Visiteurs!G110,'Principale mobile 1'!G110,'Principale mobile 2'!G110,'Principale mobile 3'!G110,'Principale 2'!G110,'Principale mobile 4'!G110)</f>
        <v>0</v>
      </c>
      <c r="H110" s="10" t="s">
        <v>20</v>
      </c>
      <c r="I110" s="331">
        <v>36.200000000000003</v>
      </c>
      <c r="J110" s="267">
        <f t="shared" si="1"/>
        <v>0</v>
      </c>
    </row>
    <row r="111" spans="1:10" x14ac:dyDescent="0.35">
      <c r="A111" s="103"/>
      <c r="B111" s="12" t="s">
        <v>3</v>
      </c>
      <c r="C111" s="10" t="s">
        <v>287</v>
      </c>
      <c r="D111" s="94"/>
      <c r="E111" s="232">
        <f>'Nord 1'!E111+'Nord 2'!E111+'Nord Mobile 1'!E111+'Nord Mobile 2'!E111+Esplanade!E111+'Est mobile 1'!E111+'Est 1'!E111+'Est mobile 2'!E111+'Est Mobile 3'!E111+'Est 2'!E111+'Est mobile 4'!E111+'Réserve Sud'!E111+'Sud 1'!E111+'Sud 2'!E111+Visiteurs!E111+'Principale mobile 1'!E111+'Principale 1 '!E111+'Principale mobile 2'!E111+'Principale mobile 3'!E111+'Principale 2'!E111+'Principale mobile 4'!E111</f>
        <v>0</v>
      </c>
      <c r="F111" s="94"/>
      <c r="G111" s="316">
        <f>SUM('Nord Mobile 1'!G111,'Nord 1'!G111,'Nord 2'!G111,'Nord Mobile 2'!G111,Esplanade!G111,'Est mobile 1'!G111,'Est 1'!G111,'Est mobile 2'!G111,'Est Mobile 3'!G111,'Est 2'!G111,'Est mobile 4'!G111,'Sud 1'!G111,'Sud 2'!G111,Visiteurs!G111,'Principale mobile 1'!G111,'Principale mobile 2'!G111,'Principale mobile 3'!G111,'Principale 2'!G111,'Principale mobile 4'!G111)</f>
        <v>0</v>
      </c>
      <c r="H111" s="10" t="s">
        <v>20</v>
      </c>
      <c r="I111" s="331">
        <v>25.95</v>
      </c>
      <c r="J111" s="267">
        <f t="shared" si="1"/>
        <v>0</v>
      </c>
    </row>
    <row r="112" spans="1:10" x14ac:dyDescent="0.35">
      <c r="A112" s="103"/>
      <c r="B112" s="12" t="s">
        <v>3</v>
      </c>
      <c r="C112" s="10" t="s">
        <v>288</v>
      </c>
      <c r="D112" s="94"/>
      <c r="E112" s="232">
        <f>'Nord 1'!E112+'Nord 2'!E112+'Nord Mobile 1'!E112+'Nord Mobile 2'!E112+Esplanade!E112+'Est mobile 1'!E112+'Est 1'!E112+'Est mobile 2'!E112+'Est Mobile 3'!E112+'Est 2'!E112+'Est mobile 4'!E112+'Réserve Sud'!E112+'Sud 1'!E112+'Sud 2'!E112+Visiteurs!E112+'Principale mobile 1'!E112+'Principale 1 '!E112+'Principale mobile 2'!E112+'Principale mobile 3'!E112+'Principale 2'!E112+'Principale mobile 4'!E112</f>
        <v>0</v>
      </c>
      <c r="F112" s="94"/>
      <c r="G112" s="316">
        <f>SUM('Nord Mobile 1'!G112,'Nord 1'!G112,'Nord 2'!G112,'Nord Mobile 2'!G112,Esplanade!G112,'Est mobile 1'!G112,'Est 1'!G112,'Est mobile 2'!G112,'Est Mobile 3'!G112,'Est 2'!G112,'Est mobile 4'!G112,'Sud 1'!G112,'Sud 2'!G112,Visiteurs!G112,'Principale mobile 1'!G112,'Principale mobile 2'!G112,'Principale mobile 3'!G112,'Principale 2'!G112,'Principale mobile 4'!G112)</f>
        <v>0</v>
      </c>
      <c r="H112" s="10" t="s">
        <v>20</v>
      </c>
      <c r="I112" s="331">
        <v>32.799999999999997</v>
      </c>
      <c r="J112" s="267">
        <f t="shared" si="1"/>
        <v>0</v>
      </c>
    </row>
    <row r="113" spans="1:10" x14ac:dyDescent="0.35">
      <c r="A113" s="103"/>
      <c r="B113" s="12" t="s">
        <v>3</v>
      </c>
      <c r="C113" s="10" t="s">
        <v>289</v>
      </c>
      <c r="D113" s="94"/>
      <c r="E113" s="232">
        <f>'Nord 1'!E113+'Nord 2'!E113+'Nord Mobile 1'!E113+'Nord Mobile 2'!E113+Esplanade!E113+'Est mobile 1'!E113+'Est 1'!E113+'Est mobile 2'!E113+'Est Mobile 3'!E113+'Est 2'!E113+'Est mobile 4'!E113+'Réserve Sud'!E113+'Sud 1'!E113+'Sud 2'!E113+Visiteurs!E113+'Principale mobile 1'!E113+'Principale 1 '!E113+'Principale mobile 2'!E113+'Principale mobile 3'!E113+'Principale 2'!E113+'Principale mobile 4'!E113</f>
        <v>0</v>
      </c>
      <c r="F113" s="94"/>
      <c r="G113" s="316">
        <f>SUM('Nord Mobile 1'!G113,'Nord 1'!G113,'Nord 2'!G113,'Nord Mobile 2'!G113,Esplanade!G113,'Est mobile 1'!G113,'Est 1'!G113,'Est mobile 2'!G113,'Est Mobile 3'!G113,'Est 2'!G113,'Est mobile 4'!G113,'Sud 1'!G113,'Sud 2'!G113,Visiteurs!G113,'Principale mobile 1'!G113,'Principale mobile 2'!G113,'Principale mobile 3'!G113,'Principale 2'!G113,'Principale mobile 4'!G113)</f>
        <v>0</v>
      </c>
      <c r="H113" s="10" t="s">
        <v>20</v>
      </c>
      <c r="I113" s="331">
        <v>29.2</v>
      </c>
      <c r="J113" s="267">
        <f t="shared" si="1"/>
        <v>0</v>
      </c>
    </row>
    <row r="114" spans="1:10" x14ac:dyDescent="0.35">
      <c r="A114" s="103"/>
      <c r="B114" s="12" t="s">
        <v>3</v>
      </c>
      <c r="C114" s="10" t="s">
        <v>290</v>
      </c>
      <c r="D114" s="94"/>
      <c r="E114" s="232">
        <f>'Nord 1'!E114+'Nord 2'!E114+'Nord Mobile 1'!E114+'Nord Mobile 2'!E114+Esplanade!E114+'Est mobile 1'!E114+'Est 1'!E114+'Est mobile 2'!E114+'Est Mobile 3'!E114+'Est 2'!E114+'Est mobile 4'!E114+'Réserve Sud'!E114+'Sud 1'!E114+'Sud 2'!E114+Visiteurs!E114+'Principale mobile 1'!E114+'Principale 1 '!E114+'Principale mobile 2'!E114+'Principale mobile 3'!E114+'Principale 2'!E114+'Principale mobile 4'!E114</f>
        <v>0</v>
      </c>
      <c r="F114" s="94"/>
      <c r="G114" s="316">
        <f>SUM('Nord Mobile 1'!G114,'Nord 1'!G114,'Nord 2'!G114,'Nord Mobile 2'!G114,Esplanade!G114,'Est mobile 1'!G114,'Est 1'!G114,'Est mobile 2'!G114,'Est Mobile 3'!G114,'Est 2'!G114,'Est mobile 4'!G114,'Sud 1'!G114,'Sud 2'!G114,Visiteurs!G114,'Principale mobile 1'!G114,'Principale mobile 2'!G114,'Principale mobile 3'!G114,'Principale 2'!G114,'Principale mobile 4'!G114)</f>
        <v>0</v>
      </c>
      <c r="H114" s="10" t="s">
        <v>20</v>
      </c>
      <c r="I114" s="331">
        <v>22.95</v>
      </c>
      <c r="J114" s="267">
        <f t="shared" si="1"/>
        <v>0</v>
      </c>
    </row>
    <row r="115" spans="1:10" ht="15.5" x14ac:dyDescent="0.35">
      <c r="A115" s="111"/>
      <c r="B115" s="126" t="s">
        <v>291</v>
      </c>
      <c r="C115" s="127"/>
      <c r="D115" s="127"/>
      <c r="E115" s="232">
        <f>'Nord 1'!E115+'Nord 2'!E115+'Nord Mobile 1'!E115+'Nord Mobile 2'!E115+Esplanade!E115+'Est mobile 1'!E115+'Est 1'!E115+'Est mobile 2'!E115+'Est Mobile 3'!E115+'Est 2'!E115+'Est mobile 4'!E115+'Réserve Sud'!E115+'Sud 1'!E115+'Sud 2'!E115+Visiteurs!E115+'Principale mobile 1'!E115+'Principale 1 '!E115+'Principale mobile 2'!E115+'Principale mobile 3'!E115+'Principale 2'!E115+'Principale mobile 4'!E115</f>
        <v>0</v>
      </c>
      <c r="F115" s="127"/>
      <c r="G115" s="316">
        <f>SUM('Nord Mobile 1'!G115,'Nord 1'!G115,'Nord 2'!G115,'Nord Mobile 2'!G115,Esplanade!G115,'Est mobile 1'!G115,'Est 1'!G115,'Est mobile 2'!G115,'Est Mobile 3'!G115,'Est 2'!G115,'Est mobile 4'!G115,'Sud 1'!G115,'Sud 2'!G115,Visiteurs!G115,'Principale mobile 1'!G115,'Principale mobile 2'!G115,'Principale mobile 3'!G115,'Principale 2'!G115,'Principale mobile 4'!G115)</f>
        <v>0</v>
      </c>
      <c r="H115" s="127"/>
      <c r="I115" s="239"/>
      <c r="J115" s="247">
        <f t="shared" si="1"/>
        <v>0</v>
      </c>
    </row>
    <row r="116" spans="1:10" x14ac:dyDescent="0.35">
      <c r="A116" s="103"/>
      <c r="B116" s="12" t="s">
        <v>3</v>
      </c>
      <c r="C116" s="10" t="s">
        <v>292</v>
      </c>
      <c r="D116" s="94"/>
      <c r="E116" s="232">
        <f>'Nord 1'!E116+'Nord 2'!E116+'Nord Mobile 1'!E116+'Nord Mobile 2'!E116+Esplanade!E116+'Est mobile 1'!E116+'Est 1'!E116+'Est mobile 2'!E116+'Est Mobile 3'!E116+'Est 2'!E116+'Est mobile 4'!E116+'Réserve Sud'!E116+'Sud 1'!E116+'Sud 2'!E116+Visiteurs!E116+'Principale mobile 1'!E116+'Principale 1 '!E116+'Principale mobile 2'!E116+'Principale mobile 3'!E116+'Principale 2'!E116+'Principale mobile 4'!E116</f>
        <v>0</v>
      </c>
      <c r="F116" s="94"/>
      <c r="G116" s="316">
        <f>SUM('Nord Mobile 1'!G116,'Nord 1'!G116,'Nord 2'!G116,'Nord Mobile 2'!G116,Esplanade!G116,'Est mobile 1'!G116,'Est 1'!G116,'Est mobile 2'!G116,'Est Mobile 3'!G116,'Est 2'!G116,'Est mobile 4'!G116,'Sud 1'!G116,'Sud 2'!G116,Visiteurs!G116,'Principale mobile 1'!G116,'Principale mobile 2'!G116,'Principale mobile 3'!G116,'Principale 2'!G116,'Principale mobile 4'!G116)</f>
        <v>0</v>
      </c>
      <c r="H116" s="10" t="s">
        <v>20</v>
      </c>
      <c r="I116" s="331">
        <v>17.95</v>
      </c>
      <c r="J116" s="267">
        <f t="shared" si="1"/>
        <v>0</v>
      </c>
    </row>
    <row r="117" spans="1:10" x14ac:dyDescent="0.35">
      <c r="A117" s="103"/>
      <c r="B117" s="12" t="s">
        <v>3</v>
      </c>
      <c r="C117" s="10" t="s">
        <v>293</v>
      </c>
      <c r="D117" s="94"/>
      <c r="E117" s="232">
        <f>'Nord 1'!E117+'Nord 2'!E117+'Nord Mobile 1'!E117+'Nord Mobile 2'!E117+Esplanade!E117+'Est mobile 1'!E117+'Est 1'!E117+'Est mobile 2'!E117+'Est Mobile 3'!E117+'Est 2'!E117+'Est mobile 4'!E117+'Réserve Sud'!E117+'Sud 1'!E117+'Sud 2'!E117+Visiteurs!E117+'Principale mobile 1'!E117+'Principale 1 '!E117+'Principale mobile 2'!E117+'Principale mobile 3'!E117+'Principale 2'!E117+'Principale mobile 4'!E117</f>
        <v>0</v>
      </c>
      <c r="F117" s="94"/>
      <c r="G117" s="316">
        <f>SUM('Nord Mobile 1'!G117,'Nord 1'!G117,'Nord 2'!G117,'Nord Mobile 2'!G117,Esplanade!G117,'Est mobile 1'!G117,'Est 1'!G117,'Est mobile 2'!G117,'Est Mobile 3'!G117,'Est 2'!G117,'Est mobile 4'!G117,'Sud 1'!G117,'Sud 2'!G117,Visiteurs!G117,'Principale mobile 1'!G117,'Principale mobile 2'!G117,'Principale mobile 3'!G117,'Principale 2'!G117,'Principale mobile 4'!G117)</f>
        <v>0</v>
      </c>
      <c r="H117" s="10" t="s">
        <v>20</v>
      </c>
      <c r="I117" s="331">
        <v>12.95</v>
      </c>
      <c r="J117" s="267">
        <f t="shared" si="1"/>
        <v>0</v>
      </c>
    </row>
    <row r="118" spans="1:10" x14ac:dyDescent="0.35">
      <c r="A118" s="103"/>
      <c r="B118" s="12" t="s">
        <v>3</v>
      </c>
      <c r="C118" s="10" t="s">
        <v>294</v>
      </c>
      <c r="D118" s="94"/>
      <c r="E118" s="232">
        <f>'Nord 1'!E118+'Nord 2'!E118+'Nord Mobile 1'!E118+'Nord Mobile 2'!E118+Esplanade!E118+'Est mobile 1'!E118+'Est 1'!E118+'Est mobile 2'!E118+'Est Mobile 3'!E118+'Est 2'!E118+'Est mobile 4'!E118+'Réserve Sud'!E118+'Sud 1'!E118+'Sud 2'!E118+Visiteurs!E118+'Principale mobile 1'!E118+'Principale 1 '!E118+'Principale mobile 2'!E118+'Principale mobile 3'!E118+'Principale 2'!E118+'Principale mobile 4'!E118</f>
        <v>0</v>
      </c>
      <c r="F118" s="94"/>
      <c r="G118" s="316">
        <f>SUM('Nord Mobile 1'!G118,'Nord 1'!G118,'Nord 2'!G118,'Nord Mobile 2'!G118,Esplanade!G118,'Est mobile 1'!G118,'Est 1'!G118,'Est mobile 2'!G118,'Est Mobile 3'!G118,'Est 2'!G118,'Est mobile 4'!G118,'Sud 1'!G118,'Sud 2'!G118,Visiteurs!G118,'Principale mobile 1'!G118,'Principale mobile 2'!G118,'Principale mobile 3'!G118,'Principale 2'!G118,'Principale mobile 4'!G118)</f>
        <v>0</v>
      </c>
      <c r="H118" s="10" t="s">
        <v>20</v>
      </c>
      <c r="I118" s="331">
        <v>21.95</v>
      </c>
      <c r="J118" s="267">
        <f t="shared" si="1"/>
        <v>0</v>
      </c>
    </row>
    <row r="119" spans="1:10" x14ac:dyDescent="0.35">
      <c r="A119" s="103"/>
      <c r="B119" s="12" t="s">
        <v>3</v>
      </c>
      <c r="C119" s="10" t="s">
        <v>295</v>
      </c>
      <c r="D119" s="94"/>
      <c r="E119" s="232">
        <f>'Nord 1'!E119+'Nord 2'!E119+'Nord Mobile 1'!E119+'Nord Mobile 2'!E119+Esplanade!E119+'Est mobile 1'!E119+'Est 1'!E119+'Est mobile 2'!E119+'Est Mobile 3'!E119+'Est 2'!E119+'Est mobile 4'!E119+'Réserve Sud'!E119+'Sud 1'!E119+'Sud 2'!E119+Visiteurs!E119+'Principale mobile 1'!E119+'Principale 1 '!E119+'Principale mobile 2'!E119+'Principale mobile 3'!E119+'Principale 2'!E119+'Principale mobile 4'!E119</f>
        <v>0</v>
      </c>
      <c r="F119" s="94"/>
      <c r="G119" s="316">
        <f>SUM('Nord Mobile 1'!G119,'Nord 1'!G119,'Nord 2'!G119,'Nord Mobile 2'!G119,Esplanade!G119,'Est mobile 1'!G119,'Est 1'!G119,'Est mobile 2'!G119,'Est Mobile 3'!G119,'Est 2'!G119,'Est mobile 4'!G119,'Sud 1'!G119,'Sud 2'!G119,Visiteurs!G119,'Principale mobile 1'!G119,'Principale mobile 2'!G119,'Principale mobile 3'!G119,'Principale 2'!G119,'Principale mobile 4'!G119)</f>
        <v>0</v>
      </c>
      <c r="H119" s="10" t="s">
        <v>20</v>
      </c>
      <c r="I119" s="331"/>
      <c r="J119" s="267">
        <f t="shared" si="1"/>
        <v>0</v>
      </c>
    </row>
    <row r="120" spans="1:10" x14ac:dyDescent="0.35">
      <c r="A120" s="103"/>
      <c r="B120" s="12" t="s">
        <v>3</v>
      </c>
      <c r="C120" s="10" t="s">
        <v>296</v>
      </c>
      <c r="D120" s="94"/>
      <c r="E120" s="232">
        <f>'Nord 1'!E120+'Nord 2'!E120+'Nord Mobile 1'!E120+'Nord Mobile 2'!E120+Esplanade!E120+'Est mobile 1'!E120+'Est 1'!E120+'Est mobile 2'!E120+'Est Mobile 3'!E120+'Est 2'!E120+'Est mobile 4'!E120+'Réserve Sud'!E120+'Sud 1'!E120+'Sud 2'!E120+Visiteurs!E120+'Principale mobile 1'!E120+'Principale 1 '!E120+'Principale mobile 2'!E120+'Principale mobile 3'!E120+'Principale 2'!E120+'Principale mobile 4'!E120</f>
        <v>0</v>
      </c>
      <c r="F120" s="94"/>
      <c r="G120" s="316">
        <f>SUM('Nord Mobile 1'!G120,'Nord 1'!G120,'Nord 2'!G120,'Nord Mobile 2'!G120,Esplanade!G120,'Est mobile 1'!G120,'Est 1'!G120,'Est mobile 2'!G120,'Est Mobile 3'!G120,'Est 2'!G120,'Est mobile 4'!G120,'Sud 1'!G120,'Sud 2'!G120,Visiteurs!G120,'Principale mobile 1'!G120,'Principale mobile 2'!G120,'Principale mobile 3'!G120,'Principale 2'!G120,'Principale mobile 4'!G120)</f>
        <v>0</v>
      </c>
      <c r="H120" s="10" t="s">
        <v>20</v>
      </c>
      <c r="I120" s="331"/>
      <c r="J120" s="267">
        <f t="shared" si="1"/>
        <v>0</v>
      </c>
    </row>
    <row r="121" spans="1:10" x14ac:dyDescent="0.35">
      <c r="A121" s="103"/>
      <c r="B121" s="12" t="s">
        <v>3</v>
      </c>
      <c r="C121" s="10" t="s">
        <v>297</v>
      </c>
      <c r="D121" s="94"/>
      <c r="E121" s="232">
        <f>'Nord 1'!E121+'Nord 2'!E121+'Nord Mobile 1'!E121+'Nord Mobile 2'!E121+Esplanade!E121+'Est mobile 1'!E121+'Est 1'!E121+'Est mobile 2'!E121+'Est Mobile 3'!E121+'Est 2'!E121+'Est mobile 4'!E121+'Réserve Sud'!E121+'Sud 1'!E121+'Sud 2'!E121+Visiteurs!E121+'Principale mobile 1'!E121+'Principale 1 '!E121+'Principale mobile 2'!E121+'Principale mobile 3'!E121+'Principale 2'!E121+'Principale mobile 4'!E121</f>
        <v>0</v>
      </c>
      <c r="F121" s="94"/>
      <c r="G121" s="316">
        <f>SUM('Nord Mobile 1'!G121,'Nord 1'!G121,'Nord 2'!G121,'Nord Mobile 2'!G121,Esplanade!G121,'Est mobile 1'!G121,'Est 1'!G121,'Est mobile 2'!G121,'Est Mobile 3'!G121,'Est 2'!G121,'Est mobile 4'!G121,'Sud 1'!G121,'Sud 2'!G121,Visiteurs!G121,'Principale mobile 1'!G121,'Principale mobile 2'!G121,'Principale mobile 3'!G121,'Principale 2'!G121,'Principale mobile 4'!G121)</f>
        <v>0</v>
      </c>
      <c r="H121" s="10" t="s">
        <v>20</v>
      </c>
      <c r="I121" s="331">
        <v>22.95</v>
      </c>
      <c r="J121" s="267">
        <f t="shared" si="1"/>
        <v>0</v>
      </c>
    </row>
    <row r="122" spans="1:10" ht="15.5" x14ac:dyDescent="0.35">
      <c r="A122" s="112" t="s">
        <v>298</v>
      </c>
      <c r="B122" s="116"/>
      <c r="C122" s="116"/>
      <c r="D122" s="116"/>
      <c r="E122" s="232">
        <f>'Nord 1'!E122+'Nord 2'!E122+'Nord Mobile 1'!E122+'Nord Mobile 2'!E122+Esplanade!E122+'Est mobile 1'!E122+'Est 1'!E122+'Est mobile 2'!E122+'Est Mobile 3'!E122+'Est 2'!E122+'Est mobile 4'!E122+'Réserve Sud'!E122+'Sud 1'!E122+'Sud 2'!E122+Visiteurs!E122+'Principale mobile 1'!E122+'Principale 1 '!E122+'Principale mobile 2'!E122+'Principale mobile 3'!E122+'Principale 2'!E122+'Principale mobile 4'!E122</f>
        <v>0</v>
      </c>
      <c r="F122" s="116"/>
      <c r="G122" s="316">
        <f>SUM('Nord Mobile 1'!G122,'Nord 1'!G122,'Nord 2'!G122,'Nord Mobile 2'!G122,Esplanade!G122,'Est mobile 1'!G122,'Est 1'!G122,'Est mobile 2'!G122,'Est Mobile 3'!G122,'Est 2'!G122,'Est mobile 4'!G122,'Sud 1'!G122,'Sud 2'!G122,Visiteurs!G122,'Principale mobile 1'!G122,'Principale mobile 2'!G122,'Principale mobile 3'!G122,'Principale 2'!G122,'Principale mobile 4'!G122)</f>
        <v>0</v>
      </c>
      <c r="H122" s="117"/>
      <c r="I122" s="106" t="s">
        <v>18</v>
      </c>
      <c r="J122" s="247">
        <f>SUM(J123:J175)</f>
        <v>18846.889999999996</v>
      </c>
    </row>
    <row r="123" spans="1:10" x14ac:dyDescent="0.35">
      <c r="A123" s="103"/>
      <c r="B123" s="20" t="s">
        <v>4</v>
      </c>
      <c r="C123" s="18" t="s">
        <v>62</v>
      </c>
      <c r="D123" s="99"/>
      <c r="E123" s="232">
        <f>'Nord 1'!E123+'Nord 2'!E123+'Nord Mobile 1'!E123+'Nord Mobile 2'!E123+Esplanade!E123+'Est mobile 1'!E123+'Est 1'!E123+'Est mobile 2'!E123+'Est Mobile 3'!E123+'Est 2'!E123+'Est mobile 4'!E123+'Réserve Sud'!E123+'Sud 1'!E123+'Sud 2'!E123+Visiteurs!E123+'Principale mobile 1'!E123+'Principale 1 '!E123+'Principale mobile 2'!E123+'Principale mobile 3'!E123+'Principale 2'!E123+'Principale mobile 4'!E123</f>
        <v>0</v>
      </c>
      <c r="F123" s="99"/>
      <c r="G123" s="316">
        <f>SUM('Nord Mobile 1'!G123,'Nord 1'!G123,'Nord 2'!G123,'Nord Mobile 2'!G123,Esplanade!G123,'Est mobile 1'!G123,'Est 1'!G123,'Est mobile 2'!G123,'Est Mobile 3'!G123,'Est 2'!G123,'Est mobile 4'!G123,'Sud 1'!G123,'Sud 2'!G123,Visiteurs!G123,'Principale mobile 1'!G123,'Principale mobile 2'!G123,'Principale mobile 3'!G123,'Principale 2'!G123,'Principale mobile 4'!G123)</f>
        <v>0</v>
      </c>
      <c r="H123" s="18" t="s">
        <v>20</v>
      </c>
      <c r="I123" s="335">
        <v>7.35</v>
      </c>
      <c r="J123" s="267">
        <f t="shared" si="1"/>
        <v>0</v>
      </c>
    </row>
    <row r="124" spans="1:10" x14ac:dyDescent="0.35">
      <c r="A124" s="103"/>
      <c r="B124" s="20" t="s">
        <v>4</v>
      </c>
      <c r="C124" s="18" t="s">
        <v>60</v>
      </c>
      <c r="D124" s="99"/>
      <c r="E124" s="232">
        <f>'Nord 1'!E124+'Nord 2'!E124+'Nord Mobile 1'!E124+'Nord Mobile 2'!E124+Esplanade!E124+'Est mobile 1'!E124+'Est 1'!E124+'Est mobile 2'!E124+'Est Mobile 3'!E124+'Est 2'!E124+'Est mobile 4'!E124+'Réserve Sud'!E124+'Sud 1'!E124+'Sud 2'!E124+Visiteurs!E124+'Principale mobile 1'!E124+'Principale 1 '!E124+'Principale mobile 2'!E124+'Principale mobile 3'!E124+'Principale 2'!E124+'Principale mobile 4'!E124</f>
        <v>0</v>
      </c>
      <c r="F124" s="99"/>
      <c r="G124" s="316">
        <f>SUM('Nord Mobile 1'!G124,'Nord 1'!G124,'Nord 2'!G124,'Nord Mobile 2'!G124,Esplanade!G124,'Est mobile 1'!G124,'Est 1'!G124,'Est mobile 2'!G124,'Est Mobile 3'!G124,'Est 2'!G124,'Est mobile 4'!G124,'Sud 1'!G124,'Sud 2'!G124,Visiteurs!G124,'Principale mobile 1'!G124,'Principale mobile 2'!G124,'Principale mobile 3'!G124,'Principale 2'!G124,'Principale mobile 4'!G124)</f>
        <v>0</v>
      </c>
      <c r="H124" s="18" t="s">
        <v>20</v>
      </c>
      <c r="I124" s="335">
        <v>10.65</v>
      </c>
      <c r="J124" s="267">
        <f t="shared" si="1"/>
        <v>0</v>
      </c>
    </row>
    <row r="125" spans="1:10" x14ac:dyDescent="0.35">
      <c r="A125" s="113" t="s">
        <v>40</v>
      </c>
      <c r="B125" s="124"/>
      <c r="C125" s="124"/>
      <c r="D125" s="124"/>
      <c r="E125" s="232">
        <f>'Nord 1'!E125+'Nord 2'!E125+'Nord Mobile 1'!E125+'Nord Mobile 2'!E125+Esplanade!E125+'Est mobile 1'!E125+'Est 1'!E125+'Est mobile 2'!E125+'Est Mobile 3'!E125+'Est 2'!E125+'Est mobile 4'!E125+'Réserve Sud'!E125+'Sud 1'!E125+'Sud 2'!E125+Visiteurs!E125+'Principale mobile 1'!E125+'Principale 1 '!E125+'Principale mobile 2'!E125+'Principale mobile 3'!E125+'Principale 2'!E125+'Principale mobile 4'!E125</f>
        <v>0</v>
      </c>
      <c r="F125" s="124"/>
      <c r="G125" s="316">
        <f>SUM('Nord Mobile 1'!G125,'Nord 1'!G125,'Nord 2'!G125,'Nord Mobile 2'!G125,Esplanade!G125,'Est mobile 1'!G125,'Est 1'!G125,'Est mobile 2'!G125,'Est Mobile 3'!G125,'Est 2'!G125,'Est mobile 4'!G125,'Sud 1'!G125,'Sud 2'!G125,Visiteurs!G125,'Principale mobile 1'!G125,'Principale mobile 2'!G125,'Principale mobile 3'!G125,'Principale 2'!G125,'Principale mobile 4'!G125)</f>
        <v>0</v>
      </c>
      <c r="H125" s="124"/>
      <c r="I125" s="241"/>
      <c r="J125" s="247">
        <f t="shared" si="1"/>
        <v>0</v>
      </c>
    </row>
    <row r="126" spans="1:10" x14ac:dyDescent="0.35">
      <c r="A126" s="103"/>
      <c r="B126" s="20" t="s">
        <v>4</v>
      </c>
      <c r="C126" s="18" t="s">
        <v>299</v>
      </c>
      <c r="D126" s="99"/>
      <c r="E126" s="232">
        <f>'Nord 1'!E126+'Nord 2'!E126+'Nord Mobile 1'!E126+'Nord Mobile 2'!E126+Esplanade!E126+'Est mobile 1'!E126+'Est 1'!E126+'Est mobile 2'!E126+'Est Mobile 3'!E126+'Est 2'!E126+'Est mobile 4'!E126+'Réserve Sud'!E126+'Sud 1'!E126+'Sud 2'!E126+Visiteurs!E126+'Principale mobile 1'!E126+'Principale 1 '!E126+'Principale mobile 2'!E126+'Principale mobile 3'!E126+'Principale 2'!E126+'Principale mobile 4'!E126</f>
        <v>0</v>
      </c>
      <c r="F126" s="99"/>
      <c r="G126" s="316">
        <f>SUM('Nord Mobile 1'!G126,'Nord 1'!G126,'Nord 2'!G126,'Nord Mobile 2'!G126,Esplanade!G126,'Est mobile 1'!G126,'Est 1'!G126,'Est mobile 2'!G126,'Est Mobile 3'!G126,'Est 2'!G126,'Est mobile 4'!G126,'Sud 1'!G126,'Sud 2'!G126,Visiteurs!G126,'Principale mobile 1'!G126,'Principale mobile 2'!G126,'Principale mobile 3'!G126,'Principale 2'!G126,'Principale mobile 4'!G126)</f>
        <v>0</v>
      </c>
      <c r="H126" s="18" t="s">
        <v>20</v>
      </c>
      <c r="I126" s="335">
        <v>1.31</v>
      </c>
      <c r="J126" s="267">
        <f t="shared" si="1"/>
        <v>0</v>
      </c>
    </row>
    <row r="127" spans="1:10" x14ac:dyDescent="0.35">
      <c r="A127" s="103"/>
      <c r="B127" s="12" t="s">
        <v>4</v>
      </c>
      <c r="C127" s="10" t="s">
        <v>300</v>
      </c>
      <c r="D127" s="94"/>
      <c r="E127" s="232">
        <f>'Nord 1'!E127+'Nord 2'!E127+'Nord Mobile 1'!E127+'Nord Mobile 2'!E127+Esplanade!E127+'Est mobile 1'!E127+'Est 1'!E127+'Est mobile 2'!E127+'Est Mobile 3'!E127+'Est 2'!E127+'Est mobile 4'!E127+'Réserve Sud'!E127+'Sud 1'!E127+'Sud 2'!E127+Visiteurs!E127+'Principale mobile 1'!E127+'Principale 1 '!E127+'Principale mobile 2'!E127+'Principale mobile 3'!E127+'Principale 2'!E127+'Principale mobile 4'!E127</f>
        <v>0</v>
      </c>
      <c r="F127" s="94"/>
      <c r="G127" s="316">
        <f>SUM('Nord Mobile 1'!G127,'Nord 1'!G127,'Nord 2'!G127,'Nord Mobile 2'!G127,Esplanade!G127,'Est mobile 1'!G127,'Est 1'!G127,'Est mobile 2'!G127,'Est Mobile 3'!G127,'Est 2'!G127,'Est mobile 4'!G127,'Sud 1'!G127,'Sud 2'!G127,Visiteurs!G127,'Principale mobile 1'!G127,'Principale mobile 2'!G127,'Principale mobile 3'!G127,'Principale 2'!G127,'Principale mobile 4'!G127)</f>
        <v>0</v>
      </c>
      <c r="H127" s="10" t="s">
        <v>20</v>
      </c>
      <c r="I127" s="331">
        <v>1.31</v>
      </c>
      <c r="J127" s="267">
        <f t="shared" si="1"/>
        <v>0</v>
      </c>
    </row>
    <row r="128" spans="1:10" x14ac:dyDescent="0.35">
      <c r="A128" s="103"/>
      <c r="B128" s="20" t="s">
        <v>4</v>
      </c>
      <c r="C128" s="18" t="s">
        <v>301</v>
      </c>
      <c r="D128" s="99"/>
      <c r="E128" s="232">
        <f>'Nord 1'!E128+'Nord 2'!E128+'Nord Mobile 1'!E128+'Nord Mobile 2'!E128+Esplanade!E128+'Est mobile 1'!E128+'Est 1'!E128+'Est mobile 2'!E128+'Est Mobile 3'!E128+'Est 2'!E128+'Est mobile 4'!E128+'Réserve Sud'!E128+'Sud 1'!E128+'Sud 2'!E128+Visiteurs!E128+'Principale mobile 1'!E128+'Principale 1 '!E128+'Principale mobile 2'!E128+'Principale mobile 3'!E128+'Principale 2'!E128+'Principale mobile 4'!E128</f>
        <v>0</v>
      </c>
      <c r="F128" s="99"/>
      <c r="G128" s="316">
        <f>SUM('Nord Mobile 1'!G128,'Nord 1'!G128,'Nord 2'!G128,'Nord Mobile 2'!G128,Esplanade!G128,'Est mobile 1'!G128,'Est 1'!G128,'Est mobile 2'!G128,'Est Mobile 3'!G128,'Est 2'!G128,'Est mobile 4'!G128,'Sud 1'!G128,'Sud 2'!G128,Visiteurs!G128,'Principale mobile 1'!G128,'Principale mobile 2'!G128,'Principale mobile 3'!G128,'Principale 2'!G128,'Principale mobile 4'!G128)</f>
        <v>0</v>
      </c>
      <c r="H128" s="18" t="s">
        <v>20</v>
      </c>
      <c r="I128" s="335">
        <v>1.4039999999999999</v>
      </c>
      <c r="J128" s="267">
        <f t="shared" si="1"/>
        <v>0</v>
      </c>
    </row>
    <row r="129" spans="1:10" x14ac:dyDescent="0.35">
      <c r="A129" s="103"/>
      <c r="B129" s="12" t="s">
        <v>4</v>
      </c>
      <c r="C129" s="10" t="s">
        <v>302</v>
      </c>
      <c r="D129" s="94"/>
      <c r="E129" s="232">
        <f>'Nord 1'!E129+'Nord 2'!E129+'Nord Mobile 1'!E129+'Nord Mobile 2'!E129+Esplanade!E129+'Est mobile 1'!E129+'Est 1'!E129+'Est mobile 2'!E129+'Est Mobile 3'!E129+'Est 2'!E129+'Est mobile 4'!E129+'Réserve Sud'!E129+'Sud 1'!E129+'Sud 2'!E129+Visiteurs!E129+'Principale mobile 1'!E129+'Principale 1 '!E129+'Principale mobile 2'!E129+'Principale mobile 3'!E129+'Principale 2'!E129+'Principale mobile 4'!E129</f>
        <v>0</v>
      </c>
      <c r="F129" s="94"/>
      <c r="G129" s="316">
        <f>SUM('Nord Mobile 1'!G129,'Nord 1'!G129,'Nord 2'!G129,'Nord Mobile 2'!G129,Esplanade!G129,'Est mobile 1'!G129,'Est 1'!G129,'Est mobile 2'!G129,'Est Mobile 3'!G129,'Est 2'!G129,'Est mobile 4'!G129,'Sud 1'!G129,'Sud 2'!G129,Visiteurs!G129,'Principale mobile 1'!G129,'Principale mobile 2'!G129,'Principale mobile 3'!G129,'Principale 2'!G129,'Principale mobile 4'!G129)</f>
        <v>0</v>
      </c>
      <c r="H129" s="10" t="s">
        <v>20</v>
      </c>
      <c r="I129" s="331">
        <v>1.4039999999999999</v>
      </c>
      <c r="J129" s="267">
        <f t="shared" si="1"/>
        <v>0</v>
      </c>
    </row>
    <row r="130" spans="1:10" x14ac:dyDescent="0.35">
      <c r="A130" s="103"/>
      <c r="B130" s="12" t="s">
        <v>4</v>
      </c>
      <c r="C130" s="10" t="s">
        <v>303</v>
      </c>
      <c r="D130" s="94"/>
      <c r="E130" s="232">
        <f>'Nord 1'!E130+'Nord 2'!E130+'Nord Mobile 1'!E130+'Nord Mobile 2'!E130+Esplanade!E130+'Est mobile 1'!E130+'Est 1'!E130+'Est mobile 2'!E130+'Est Mobile 3'!E130+'Est 2'!E130+'Est mobile 4'!E130+'Réserve Sud'!E130+'Sud 1'!E130+'Sud 2'!E130+Visiteurs!E130+'Principale mobile 1'!E130+'Principale 1 '!E130+'Principale mobile 2'!E130+'Principale mobile 3'!E130+'Principale 2'!E130+'Principale mobile 4'!E130</f>
        <v>0</v>
      </c>
      <c r="F130" s="94"/>
      <c r="G130" s="316">
        <f>SUM('Nord Mobile 1'!G130,'Nord 1'!G130,'Nord 2'!G130,'Nord Mobile 2'!G130,Esplanade!G130,'Est mobile 1'!G130,'Est 1'!G130,'Est mobile 2'!G130,'Est Mobile 3'!G130,'Est 2'!G130,'Est mobile 4'!G130,'Sud 1'!G130,'Sud 2'!G130,Visiteurs!G130,'Principale mobile 1'!G130,'Principale mobile 2'!G130,'Principale mobile 3'!G130,'Principale 2'!G130,'Principale mobile 4'!G130)</f>
        <v>0</v>
      </c>
      <c r="H130" s="10" t="s">
        <v>20</v>
      </c>
      <c r="I130" s="331">
        <v>1.53</v>
      </c>
      <c r="J130" s="267">
        <f t="shared" si="1"/>
        <v>0</v>
      </c>
    </row>
    <row r="131" spans="1:10" x14ac:dyDescent="0.35">
      <c r="A131" s="103"/>
      <c r="B131" s="12" t="s">
        <v>4</v>
      </c>
      <c r="C131" s="10" t="s">
        <v>304</v>
      </c>
      <c r="D131" s="94"/>
      <c r="E131" s="232">
        <f>'Nord 1'!E131+'Nord 2'!E131+'Nord Mobile 1'!E131+'Nord Mobile 2'!E131+Esplanade!E131+'Est mobile 1'!E131+'Est 1'!E131+'Est mobile 2'!E131+'Est Mobile 3'!E131+'Est 2'!E131+'Est mobile 4'!E131+'Réserve Sud'!E131+'Sud 1'!E131+'Sud 2'!E131+Visiteurs!E131+'Principale mobile 1'!E131+'Principale 1 '!E131+'Principale mobile 2'!E131+'Principale mobile 3'!E131+'Principale 2'!E131+'Principale mobile 4'!E131</f>
        <v>0</v>
      </c>
      <c r="F131" s="94"/>
      <c r="G131" s="316">
        <f>SUM('Nord Mobile 1'!G131,'Nord 1'!G131,'Nord 2'!G131,'Nord Mobile 2'!G131,Esplanade!G131,'Est mobile 1'!G131,'Est 1'!G131,'Est mobile 2'!G131,'Est Mobile 3'!G131,'Est 2'!G131,'Est mobile 4'!G131,'Sud 1'!G131,'Sud 2'!G131,Visiteurs!G131,'Principale mobile 1'!G131,'Principale mobile 2'!G131,'Principale mobile 3'!G131,'Principale 2'!G131,'Principale mobile 4'!G131)</f>
        <v>0</v>
      </c>
      <c r="H131" s="10" t="s">
        <v>20</v>
      </c>
      <c r="I131" s="331">
        <v>1.65</v>
      </c>
      <c r="J131" s="267">
        <f t="shared" si="1"/>
        <v>0</v>
      </c>
    </row>
    <row r="132" spans="1:10" x14ac:dyDescent="0.35">
      <c r="A132" s="103"/>
      <c r="B132" s="12" t="s">
        <v>4</v>
      </c>
      <c r="C132" s="10" t="s">
        <v>83</v>
      </c>
      <c r="D132" s="94"/>
      <c r="E132" s="232">
        <f>'Nord 1'!E132+'Nord 2'!E132+'Nord Mobile 1'!E132+'Nord Mobile 2'!E132+Esplanade!E132+'Est mobile 1'!E132+'Est 1'!E132+'Est mobile 2'!E132+'Est Mobile 3'!E132+'Est 2'!E132+'Est mobile 4'!E132+'Réserve Sud'!E132+'Sud 1'!E132+'Sud 2'!E132+Visiteurs!E132+'Principale mobile 1'!E132+'Principale 1 '!E132+'Principale mobile 2'!E132+'Principale mobile 3'!E132+'Principale 2'!E132+'Principale mobile 4'!E132</f>
        <v>0</v>
      </c>
      <c r="F132" s="94"/>
      <c r="G132" s="316">
        <f>SUM('Nord Mobile 1'!G132,'Nord 1'!G132,'Nord 2'!G132,'Nord Mobile 2'!G132,Esplanade!G132,'Est mobile 1'!G132,'Est 1'!G132,'Est mobile 2'!G132,'Est Mobile 3'!G132,'Est 2'!G132,'Est mobile 4'!G132,'Sud 1'!G132,'Sud 2'!G132,Visiteurs!G132,'Principale mobile 1'!G132,'Principale mobile 2'!G132,'Principale mobile 3'!G132,'Principale 2'!G132,'Principale mobile 4'!G132)</f>
        <v>0</v>
      </c>
      <c r="H132" s="10" t="s">
        <v>20</v>
      </c>
      <c r="I132" s="331">
        <v>1.04</v>
      </c>
      <c r="J132" s="267">
        <f t="shared" si="1"/>
        <v>0</v>
      </c>
    </row>
    <row r="133" spans="1:10" x14ac:dyDescent="0.35">
      <c r="A133" s="103"/>
      <c r="B133" s="12" t="s">
        <v>4</v>
      </c>
      <c r="C133" s="10" t="s">
        <v>305</v>
      </c>
      <c r="D133" s="94"/>
      <c r="E133" s="232">
        <f>'Nord 1'!E133+'Nord 2'!E133+'Nord Mobile 1'!E133+'Nord Mobile 2'!E133+Esplanade!E133+'Est mobile 1'!E133+'Est 1'!E133+'Est mobile 2'!E133+'Est Mobile 3'!E133+'Est 2'!E133+'Est mobile 4'!E133+'Réserve Sud'!E133+'Sud 1'!E133+'Sud 2'!E133+Visiteurs!E133+'Principale mobile 1'!E133+'Principale 1 '!E133+'Principale mobile 2'!E133+'Principale mobile 3'!E133+'Principale 2'!E133+'Principale mobile 4'!E133</f>
        <v>0</v>
      </c>
      <c r="F133" s="94"/>
      <c r="G133" s="316">
        <f>SUM('Nord Mobile 1'!G133,'Nord 1'!G133,'Nord 2'!G133,'Nord Mobile 2'!G133,Esplanade!G133,'Est mobile 1'!G133,'Est 1'!G133,'Est mobile 2'!G133,'Est Mobile 3'!G133,'Est 2'!G133,'Est mobile 4'!G133,'Sud 1'!G133,'Sud 2'!G133,Visiteurs!G133,'Principale mobile 1'!G133,'Principale mobile 2'!G133,'Principale mobile 3'!G133,'Principale 2'!G133,'Principale mobile 4'!G133)</f>
        <v>0</v>
      </c>
      <c r="H133" s="10" t="s">
        <v>20</v>
      </c>
      <c r="I133" s="331">
        <v>1.04</v>
      </c>
      <c r="J133" s="267">
        <f t="shared" si="1"/>
        <v>0</v>
      </c>
    </row>
    <row r="134" spans="1:10" x14ac:dyDescent="0.35">
      <c r="A134" s="103"/>
      <c r="B134" s="12" t="s">
        <v>4</v>
      </c>
      <c r="C134" s="10" t="s">
        <v>306</v>
      </c>
      <c r="D134" s="94"/>
      <c r="E134" s="232">
        <f>'Nord 1'!E134+'Nord 2'!E134+'Nord Mobile 1'!E134+'Nord Mobile 2'!E134+Esplanade!E134+'Est mobile 1'!E134+'Est 1'!E134+'Est mobile 2'!E134+'Est Mobile 3'!E134+'Est 2'!E134+'Est mobile 4'!E134+'Réserve Sud'!E134+'Sud 1'!E134+'Sud 2'!E134+Visiteurs!E134+'Principale mobile 1'!E134+'Principale 1 '!E134+'Principale mobile 2'!E134+'Principale mobile 3'!E134+'Principale 2'!E134+'Principale mobile 4'!E134</f>
        <v>0</v>
      </c>
      <c r="F134" s="94"/>
      <c r="G134" s="316">
        <f>SUM('Nord Mobile 1'!G134,'Nord 1'!G134,'Nord 2'!G134,'Nord Mobile 2'!G134,Esplanade!G134,'Est mobile 1'!G134,'Est 1'!G134,'Est mobile 2'!G134,'Est Mobile 3'!G134,'Est 2'!G134,'Est mobile 4'!G134,'Sud 1'!G134,'Sud 2'!G134,Visiteurs!G134,'Principale mobile 1'!G134,'Principale mobile 2'!G134,'Principale mobile 3'!G134,'Principale 2'!G134,'Principale mobile 4'!G134)</f>
        <v>0</v>
      </c>
      <c r="H134" s="10" t="s">
        <v>20</v>
      </c>
      <c r="I134" s="331">
        <v>1.06</v>
      </c>
      <c r="J134" s="267">
        <f t="shared" si="1"/>
        <v>0</v>
      </c>
    </row>
    <row r="135" spans="1:10" x14ac:dyDescent="0.35">
      <c r="A135" s="103"/>
      <c r="B135" s="12" t="s">
        <v>4</v>
      </c>
      <c r="C135" s="10" t="s">
        <v>307</v>
      </c>
      <c r="D135" s="94"/>
      <c r="E135" s="232">
        <f>'Nord 1'!E135+'Nord 2'!E135+'Nord Mobile 1'!E135+'Nord Mobile 2'!E135+Esplanade!E135+'Est mobile 1'!E135+'Est 1'!E135+'Est mobile 2'!E135+'Est Mobile 3'!E135+'Est 2'!E135+'Est mobile 4'!E135+'Réserve Sud'!E135+'Sud 1'!E135+'Sud 2'!E135+Visiteurs!E135+'Principale mobile 1'!E135+'Principale 1 '!E135+'Principale mobile 2'!E135+'Principale mobile 3'!E135+'Principale 2'!E135+'Principale mobile 4'!E135</f>
        <v>0</v>
      </c>
      <c r="F135" s="94"/>
      <c r="G135" s="316">
        <f>SUM('Nord Mobile 1'!G135,'Nord 1'!G135,'Nord 2'!G135,'Nord Mobile 2'!G135,Esplanade!G135,'Est mobile 1'!G135,'Est 1'!G135,'Est mobile 2'!G135,'Est Mobile 3'!G135,'Est 2'!G135,'Est mobile 4'!G135,'Sud 1'!G135,'Sud 2'!G135,Visiteurs!G135,'Principale mobile 1'!G135,'Principale mobile 2'!G135,'Principale mobile 3'!G135,'Principale 2'!G135,'Principale mobile 4'!G135)</f>
        <v>0</v>
      </c>
      <c r="H135" s="10" t="s">
        <v>20</v>
      </c>
      <c r="I135" s="331">
        <v>1.06</v>
      </c>
      <c r="J135" s="267">
        <f t="shared" si="1"/>
        <v>0</v>
      </c>
    </row>
    <row r="136" spans="1:10" x14ac:dyDescent="0.35">
      <c r="A136" s="103"/>
      <c r="B136" s="12" t="s">
        <v>4</v>
      </c>
      <c r="C136" s="10" t="s">
        <v>308</v>
      </c>
      <c r="D136" s="94"/>
      <c r="E136" s="232">
        <f>'Nord 1'!E136+'Nord 2'!E136+'Nord Mobile 1'!E136+'Nord Mobile 2'!E136+Esplanade!E136+'Est mobile 1'!E136+'Est 1'!E136+'Est mobile 2'!E136+'Est Mobile 3'!E136+'Est 2'!E136+'Est mobile 4'!E136+'Réserve Sud'!E136+'Sud 1'!E136+'Sud 2'!E136+Visiteurs!E136+'Principale mobile 1'!E136+'Principale 1 '!E136+'Principale mobile 2'!E136+'Principale mobile 3'!E136+'Principale 2'!E136+'Principale mobile 4'!E136</f>
        <v>0</v>
      </c>
      <c r="F136" s="94"/>
      <c r="G136" s="316">
        <f>SUM('Nord Mobile 1'!G136,'Nord 1'!G136,'Nord 2'!G136,'Nord Mobile 2'!G136,Esplanade!G136,'Est mobile 1'!G136,'Est 1'!G136,'Est mobile 2'!G136,'Est Mobile 3'!G136,'Est 2'!G136,'Est mobile 4'!G136,'Sud 1'!G136,'Sud 2'!G136,Visiteurs!G136,'Principale mobile 1'!G136,'Principale mobile 2'!G136,'Principale mobile 3'!G136,'Principale 2'!G136,'Principale mobile 4'!G136)</f>
        <v>0</v>
      </c>
      <c r="H136" s="10" t="s">
        <v>20</v>
      </c>
      <c r="I136" s="331">
        <v>1.2869999999999999</v>
      </c>
      <c r="J136" s="267">
        <f t="shared" si="1"/>
        <v>0</v>
      </c>
    </row>
    <row r="137" spans="1:10" x14ac:dyDescent="0.35">
      <c r="A137" s="103"/>
      <c r="B137" s="12" t="s">
        <v>4</v>
      </c>
      <c r="C137" s="10" t="s">
        <v>309</v>
      </c>
      <c r="D137" s="94"/>
      <c r="E137" s="232">
        <f>'Nord 1'!E137+'Nord 2'!E137+'Nord Mobile 1'!E137+'Nord Mobile 2'!E137+Esplanade!E137+'Est mobile 1'!E137+'Est 1'!E137+'Est mobile 2'!E137+'Est Mobile 3'!E137+'Est 2'!E137+'Est mobile 4'!E137+'Réserve Sud'!E137+'Sud 1'!E137+'Sud 2'!E137+Visiteurs!E137+'Principale mobile 1'!E137+'Principale 1 '!E137+'Principale mobile 2'!E137+'Principale mobile 3'!E137+'Principale 2'!E137+'Principale mobile 4'!E137</f>
        <v>0</v>
      </c>
      <c r="F137" s="94"/>
      <c r="G137" s="316">
        <f>SUM('Nord Mobile 1'!G137,'Nord 1'!G137,'Nord 2'!G137,'Nord Mobile 2'!G137,Esplanade!G137,'Est mobile 1'!G137,'Est 1'!G137,'Est mobile 2'!G137,'Est Mobile 3'!G137,'Est 2'!G137,'Est mobile 4'!G137,'Sud 1'!G137,'Sud 2'!G137,Visiteurs!G137,'Principale mobile 1'!G137,'Principale mobile 2'!G137,'Principale mobile 3'!G137,'Principale 2'!G137,'Principale mobile 4'!G137)</f>
        <v>0</v>
      </c>
      <c r="H137" s="10" t="s">
        <v>20</v>
      </c>
      <c r="I137" s="331">
        <v>1.59</v>
      </c>
      <c r="J137" s="267">
        <f t="shared" si="1"/>
        <v>0</v>
      </c>
    </row>
    <row r="138" spans="1:10" x14ac:dyDescent="0.35">
      <c r="A138" s="113" t="s">
        <v>310</v>
      </c>
      <c r="B138" s="124"/>
      <c r="C138" s="124"/>
      <c r="D138" s="124"/>
      <c r="E138" s="232">
        <f>'Nord 1'!E138+'Nord 2'!E138+'Nord Mobile 1'!E138+'Nord Mobile 2'!E138+Esplanade!E138+'Est mobile 1'!E138+'Est 1'!E138+'Est mobile 2'!E138+'Est Mobile 3'!E138+'Est 2'!E138+'Est mobile 4'!E138+'Réserve Sud'!E138+'Sud 1'!E138+'Sud 2'!E138+Visiteurs!E138+'Principale mobile 1'!E138+'Principale 1 '!E138+'Principale mobile 2'!E138+'Principale mobile 3'!E138+'Principale 2'!E138+'Principale mobile 4'!E138</f>
        <v>0</v>
      </c>
      <c r="F138" s="124"/>
      <c r="G138" s="316">
        <f>SUM('Nord Mobile 1'!G138,'Nord 1'!G138,'Nord 2'!G138,'Nord Mobile 2'!G138,Esplanade!G138,'Est mobile 1'!G138,'Est 1'!G138,'Est mobile 2'!G138,'Est Mobile 3'!G138,'Est 2'!G138,'Est mobile 4'!G138,'Sud 1'!G138,'Sud 2'!G138,Visiteurs!G138,'Principale mobile 1'!G138,'Principale mobile 2'!G138,'Principale mobile 3'!G138,'Principale 2'!G138,'Principale mobile 4'!G138)</f>
        <v>0</v>
      </c>
      <c r="H138" s="124"/>
      <c r="I138" s="241"/>
      <c r="J138" s="247"/>
    </row>
    <row r="139" spans="1:10" x14ac:dyDescent="0.35">
      <c r="A139" s="103"/>
      <c r="B139" s="12" t="s">
        <v>4</v>
      </c>
      <c r="C139" s="10" t="s">
        <v>311</v>
      </c>
      <c r="D139" s="94"/>
      <c r="E139" s="232">
        <f>'Nord 1'!E139+'Nord 2'!E139+'Nord Mobile 1'!E139+'Nord Mobile 2'!E139+Esplanade!E139+'Est mobile 1'!E139+'Est 1'!E139+'Est mobile 2'!E139+'Est Mobile 3'!E139+'Est 2'!E139+'Est mobile 4'!E139+'Réserve Sud'!E139+'Sud 1'!E139+'Sud 2'!E139+Visiteurs!E139+'Principale mobile 1'!E139+'Principale 1 '!E139+'Principale mobile 2'!E139+'Principale mobile 3'!E139+'Principale 2'!E139+'Principale mobile 4'!E139</f>
        <v>0</v>
      </c>
      <c r="F139" s="94"/>
      <c r="G139" s="316">
        <f>SUM('Nord Mobile 1'!G139,'Nord 1'!G139,'Nord 2'!G139,'Nord Mobile 2'!G139,Esplanade!G139,'Est mobile 1'!G139,'Est 1'!G139,'Est mobile 2'!G139,'Est Mobile 3'!G139,'Est 2'!G139,'Est mobile 4'!G139,'Sud 1'!G139,'Sud 2'!G139,Visiteurs!G139,'Principale mobile 1'!G139,'Principale mobile 2'!G139,'Principale mobile 3'!G139,'Principale 2'!G139,'Principale mobile 4'!G139)</f>
        <v>0</v>
      </c>
      <c r="H139" s="10" t="s">
        <v>20</v>
      </c>
      <c r="I139" s="331">
        <v>1.1000000000000001</v>
      </c>
      <c r="J139" s="267">
        <f t="shared" si="1"/>
        <v>0</v>
      </c>
    </row>
    <row r="140" spans="1:10" x14ac:dyDescent="0.35">
      <c r="A140" s="103"/>
      <c r="B140" s="12" t="s">
        <v>4</v>
      </c>
      <c r="C140" s="10" t="s">
        <v>312</v>
      </c>
      <c r="D140" s="94"/>
      <c r="E140" s="232">
        <f>'Nord 1'!E140+'Nord 2'!E140+'Nord Mobile 1'!E140+'Nord Mobile 2'!E140+Esplanade!E140+'Est mobile 1'!E140+'Est 1'!E140+'Est mobile 2'!E140+'Est Mobile 3'!E140+'Est 2'!E140+'Est mobile 4'!E140+'Réserve Sud'!E140+'Sud 1'!E140+'Sud 2'!E140+Visiteurs!E140+'Principale mobile 1'!E140+'Principale 1 '!E140+'Principale mobile 2'!E140+'Principale mobile 3'!E140+'Principale 2'!E140+'Principale mobile 4'!E140</f>
        <v>0</v>
      </c>
      <c r="F140" s="94"/>
      <c r="G140" s="316">
        <f>SUM('Nord Mobile 1'!G140,'Nord 1'!G140,'Nord 2'!G140,'Nord Mobile 2'!G140,Esplanade!G140,'Est mobile 1'!G140,'Est 1'!G140,'Est mobile 2'!G140,'Est Mobile 3'!G140,'Est 2'!G140,'Est mobile 4'!G140,'Sud 1'!G140,'Sud 2'!G140,Visiteurs!G140,'Principale mobile 1'!G140,'Principale mobile 2'!G140,'Principale mobile 3'!G140,'Principale 2'!G140,'Principale mobile 4'!G140)</f>
        <v>0</v>
      </c>
      <c r="H140" s="10" t="s">
        <v>20</v>
      </c>
      <c r="I140" s="331">
        <v>1.1000000000000001</v>
      </c>
      <c r="J140" s="267">
        <f t="shared" si="1"/>
        <v>0</v>
      </c>
    </row>
    <row r="141" spans="1:10" x14ac:dyDescent="0.35">
      <c r="A141" s="103"/>
      <c r="B141" s="12" t="s">
        <v>4</v>
      </c>
      <c r="C141" s="10" t="s">
        <v>313</v>
      </c>
      <c r="D141" s="94"/>
      <c r="E141" s="232">
        <f>'Nord 1'!E141+'Nord 2'!E141+'Nord Mobile 1'!E141+'Nord Mobile 2'!E141+Esplanade!E141+'Est mobile 1'!E141+'Est 1'!E141+'Est mobile 2'!E141+'Est Mobile 3'!E141+'Est 2'!E141+'Est mobile 4'!E141+'Réserve Sud'!E141+'Sud 1'!E141+'Sud 2'!E141+Visiteurs!E141+'Principale mobile 1'!E141+'Principale 1 '!E141+'Principale mobile 2'!E141+'Principale mobile 3'!E141+'Principale 2'!E141+'Principale mobile 4'!E141</f>
        <v>0</v>
      </c>
      <c r="F141" s="94"/>
      <c r="G141" s="316">
        <f>SUM('Nord Mobile 1'!G141,'Nord 1'!G141,'Nord 2'!G141,'Nord Mobile 2'!G141,Esplanade!G141,'Est mobile 1'!G141,'Est 1'!G141,'Est mobile 2'!G141,'Est Mobile 3'!G141,'Est 2'!G141,'Est mobile 4'!G141,'Sud 1'!G141,'Sud 2'!G141,Visiteurs!G141,'Principale mobile 1'!G141,'Principale mobile 2'!G141,'Principale mobile 3'!G141,'Principale 2'!G141,'Principale mobile 4'!G141)</f>
        <v>0</v>
      </c>
      <c r="H141" s="10" t="s">
        <v>20</v>
      </c>
      <c r="I141" s="331">
        <v>1.3</v>
      </c>
      <c r="J141" s="267">
        <f t="shared" si="1"/>
        <v>0</v>
      </c>
    </row>
    <row r="142" spans="1:10" x14ac:dyDescent="0.35">
      <c r="A142" s="103"/>
      <c r="B142" s="12" t="s">
        <v>4</v>
      </c>
      <c r="C142" s="10" t="s">
        <v>314</v>
      </c>
      <c r="D142" s="94"/>
      <c r="E142" s="232">
        <f>'Nord 1'!E142+'Nord 2'!E142+'Nord Mobile 1'!E142+'Nord Mobile 2'!E142+Esplanade!E142+'Est mobile 1'!E142+'Est 1'!E142+'Est mobile 2'!E142+'Est Mobile 3'!E142+'Est 2'!E142+'Est mobile 4'!E142+'Réserve Sud'!E142+'Sud 1'!E142+'Sud 2'!E142+Visiteurs!E142+'Principale mobile 1'!E142+'Principale 1 '!E142+'Principale mobile 2'!E142+'Principale mobile 3'!E142+'Principale 2'!E142+'Principale mobile 4'!E142</f>
        <v>0</v>
      </c>
      <c r="F142" s="94"/>
      <c r="G142" s="316">
        <f>SUM('Nord Mobile 1'!G142,'Nord 1'!G142,'Nord 2'!G142,'Nord Mobile 2'!G142,Esplanade!G142,'Est mobile 1'!G142,'Est 1'!G142,'Est mobile 2'!G142,'Est Mobile 3'!G142,'Est 2'!G142,'Est mobile 4'!G142,'Sud 1'!G142,'Sud 2'!G142,Visiteurs!G142,'Principale mobile 1'!G142,'Principale mobile 2'!G142,'Principale mobile 3'!G142,'Principale 2'!G142,'Principale mobile 4'!G142)</f>
        <v>0</v>
      </c>
      <c r="H142" s="10" t="s">
        <v>20</v>
      </c>
      <c r="I142" s="331">
        <v>1.36</v>
      </c>
      <c r="J142" s="267">
        <f t="shared" si="1"/>
        <v>0</v>
      </c>
    </row>
    <row r="143" spans="1:10" x14ac:dyDescent="0.35">
      <c r="A143" s="103"/>
      <c r="B143" s="12" t="s">
        <v>4</v>
      </c>
      <c r="C143" s="10" t="s">
        <v>315</v>
      </c>
      <c r="D143" s="94"/>
      <c r="E143" s="232">
        <f>'Nord 1'!E143+'Nord 2'!E143+'Nord Mobile 1'!E143+'Nord Mobile 2'!E143+Esplanade!E143+'Est mobile 1'!E143+'Est 1'!E143+'Est mobile 2'!E143+'Est Mobile 3'!E143+'Est 2'!E143+'Est mobile 4'!E143+'Réserve Sud'!E143+'Sud 1'!E143+'Sud 2'!E143+Visiteurs!E143+'Principale mobile 1'!E143+'Principale 1 '!E143+'Principale mobile 2'!E143+'Principale mobile 3'!E143+'Principale 2'!E143+'Principale mobile 4'!E143</f>
        <v>0</v>
      </c>
      <c r="F143" s="94"/>
      <c r="G143" s="316">
        <f>SUM('Nord Mobile 1'!G143,'Nord 1'!G143,'Nord 2'!G143,'Nord Mobile 2'!G143,Esplanade!G143,'Est mobile 1'!G143,'Est 1'!G143,'Est mobile 2'!G143,'Est Mobile 3'!G143,'Est 2'!G143,'Est mobile 4'!G143,'Sud 1'!G143,'Sud 2'!G143,Visiteurs!G143,'Principale mobile 1'!G143,'Principale mobile 2'!G143,'Principale mobile 3'!G143,'Principale 2'!G143,'Principale mobile 4'!G143)</f>
        <v>0</v>
      </c>
      <c r="H143" s="10" t="s">
        <v>20</v>
      </c>
      <c r="I143" s="331">
        <v>1.3</v>
      </c>
      <c r="J143" s="267">
        <f t="shared" si="1"/>
        <v>0</v>
      </c>
    </row>
    <row r="144" spans="1:10" x14ac:dyDescent="0.35">
      <c r="A144" s="103"/>
      <c r="B144" s="12" t="s">
        <v>4</v>
      </c>
      <c r="C144" s="10" t="s">
        <v>316</v>
      </c>
      <c r="D144" s="94"/>
      <c r="E144" s="232">
        <f>'Nord 1'!E144+'Nord 2'!E144+'Nord Mobile 1'!E144+'Nord Mobile 2'!E144+Esplanade!E144+'Est mobile 1'!E144+'Est 1'!E144+'Est mobile 2'!E144+'Est Mobile 3'!E144+'Est 2'!E144+'Est mobile 4'!E144+'Réserve Sud'!E144+'Sud 1'!E144+'Sud 2'!E144+Visiteurs!E144+'Principale mobile 1'!E144+'Principale 1 '!E144+'Principale mobile 2'!E144+'Principale mobile 3'!E144+'Principale 2'!E144+'Principale mobile 4'!E144</f>
        <v>0</v>
      </c>
      <c r="F144" s="94"/>
      <c r="G144" s="316">
        <f>SUM('Nord Mobile 1'!G144,'Nord 1'!G144,'Nord 2'!G144,'Nord Mobile 2'!G144,Esplanade!G144,'Est mobile 1'!G144,'Est 1'!G144,'Est mobile 2'!G144,'Est Mobile 3'!G144,'Est 2'!G144,'Est mobile 4'!G144,'Sud 1'!G144,'Sud 2'!G144,Visiteurs!G144,'Principale mobile 1'!G144,'Principale mobile 2'!G144,'Principale mobile 3'!G144,'Principale 2'!G144,'Principale mobile 4'!G144)</f>
        <v>0</v>
      </c>
      <c r="H144" s="10" t="s">
        <v>20</v>
      </c>
      <c r="I144" s="331">
        <v>1.35</v>
      </c>
      <c r="J144" s="267">
        <f t="shared" si="1"/>
        <v>0</v>
      </c>
    </row>
    <row r="145" spans="1:10" x14ac:dyDescent="0.35">
      <c r="A145" s="103"/>
      <c r="B145" s="12" t="s">
        <v>4</v>
      </c>
      <c r="C145" s="10" t="s">
        <v>317</v>
      </c>
      <c r="D145" s="94"/>
      <c r="E145" s="232">
        <f>'Nord 1'!E145+'Nord 2'!E145+'Nord Mobile 1'!E145+'Nord Mobile 2'!E145+Esplanade!E145+'Est mobile 1'!E145+'Est 1'!E145+'Est mobile 2'!E145+'Est Mobile 3'!E145+'Est 2'!E145+'Est mobile 4'!E145+'Réserve Sud'!E145+'Sud 1'!E145+'Sud 2'!E145+Visiteurs!E145+'Principale mobile 1'!E145+'Principale 1 '!E145+'Principale mobile 2'!E145+'Principale mobile 3'!E145+'Principale 2'!E145+'Principale mobile 4'!E145</f>
        <v>0</v>
      </c>
      <c r="F145" s="94"/>
      <c r="G145" s="316">
        <f>SUM('Nord Mobile 1'!G145,'Nord 1'!G145,'Nord 2'!G145,'Nord Mobile 2'!G145,Esplanade!G145,'Est mobile 1'!G145,'Est 1'!G145,'Est mobile 2'!G145,'Est Mobile 3'!G145,'Est 2'!G145,'Est mobile 4'!G145,'Sud 1'!G145,'Sud 2'!G145,Visiteurs!G145,'Principale mobile 1'!G145,'Principale mobile 2'!G145,'Principale mobile 3'!G145,'Principale 2'!G145,'Principale mobile 4'!G145)</f>
        <v>0</v>
      </c>
      <c r="H145" s="10" t="s">
        <v>20</v>
      </c>
      <c r="I145" s="331">
        <v>1.28</v>
      </c>
      <c r="J145" s="267">
        <f t="shared" si="1"/>
        <v>0</v>
      </c>
    </row>
    <row r="146" spans="1:10" x14ac:dyDescent="0.35">
      <c r="A146" s="103"/>
      <c r="B146" s="12" t="s">
        <v>4</v>
      </c>
      <c r="C146" s="10" t="s">
        <v>318</v>
      </c>
      <c r="D146" s="94"/>
      <c r="E146" s="232">
        <f>'Nord 1'!E146+'Nord 2'!E146+'Nord Mobile 1'!E146+'Nord Mobile 2'!E146+Esplanade!E146+'Est mobile 1'!E146+'Est 1'!E146+'Est mobile 2'!E146+'Est Mobile 3'!E146+'Est 2'!E146+'Est mobile 4'!E146+'Réserve Sud'!E146+'Sud 1'!E146+'Sud 2'!E146+Visiteurs!E146+'Principale mobile 1'!E146+'Principale 1 '!E146+'Principale mobile 2'!E146+'Principale mobile 3'!E146+'Principale 2'!E146+'Principale mobile 4'!E146</f>
        <v>0</v>
      </c>
      <c r="F146" s="94"/>
      <c r="G146" s="316">
        <f>SUM('Nord Mobile 1'!G146,'Nord 1'!G146,'Nord 2'!G146,'Nord Mobile 2'!G146,Esplanade!G146,'Est mobile 1'!G146,'Est 1'!G146,'Est mobile 2'!G146,'Est Mobile 3'!G146,'Est 2'!G146,'Est mobile 4'!G146,'Sud 1'!G146,'Sud 2'!G146,Visiteurs!G146,'Principale mobile 1'!G146,'Principale mobile 2'!G146,'Principale mobile 3'!G146,'Principale 2'!G146,'Principale mobile 4'!G146)</f>
        <v>0</v>
      </c>
      <c r="H146" s="10" t="s">
        <v>20</v>
      </c>
      <c r="I146" s="331">
        <v>1.1000000000000001</v>
      </c>
      <c r="J146" s="267">
        <f t="shared" si="1"/>
        <v>0</v>
      </c>
    </row>
    <row r="147" spans="1:10" x14ac:dyDescent="0.35">
      <c r="A147" s="103"/>
      <c r="B147" s="12" t="s">
        <v>4</v>
      </c>
      <c r="C147" s="10" t="s">
        <v>319</v>
      </c>
      <c r="D147" s="94"/>
      <c r="E147" s="232">
        <f>'Nord 1'!E147+'Nord 2'!E147+'Nord Mobile 1'!E147+'Nord Mobile 2'!E147+Esplanade!E147+'Est mobile 1'!E147+'Est 1'!E147+'Est mobile 2'!E147+'Est Mobile 3'!E147+'Est 2'!E147+'Est mobile 4'!E147+'Réserve Sud'!E147+'Sud 1'!E147+'Sud 2'!E147+Visiteurs!E147+'Principale mobile 1'!E147+'Principale 1 '!E147+'Principale mobile 2'!E147+'Principale mobile 3'!E147+'Principale 2'!E147+'Principale mobile 4'!E147</f>
        <v>0</v>
      </c>
      <c r="F147" s="94"/>
      <c r="G147" s="316">
        <f>SUM('Nord Mobile 1'!G147,'Nord 1'!G147,'Nord 2'!G147,'Nord Mobile 2'!G147,Esplanade!G147,'Est mobile 1'!G147,'Est 1'!G147,'Est mobile 2'!G147,'Est Mobile 3'!G147,'Est 2'!G147,'Est mobile 4'!G147,'Sud 1'!G147,'Sud 2'!G147,Visiteurs!G147,'Principale mobile 1'!G147,'Principale mobile 2'!G147,'Principale mobile 3'!G147,'Principale 2'!G147,'Principale mobile 4'!G147)</f>
        <v>0</v>
      </c>
      <c r="H147" s="10" t="s">
        <v>20</v>
      </c>
      <c r="I147" s="331">
        <v>1.1000000000000001</v>
      </c>
      <c r="J147" s="267">
        <f t="shared" si="1"/>
        <v>0</v>
      </c>
    </row>
    <row r="148" spans="1:10" x14ac:dyDescent="0.35">
      <c r="A148" s="103"/>
      <c r="B148" s="12" t="s">
        <v>4</v>
      </c>
      <c r="C148" s="10" t="s">
        <v>320</v>
      </c>
      <c r="D148" s="94"/>
      <c r="E148" s="232">
        <f>'Nord 1'!E148+'Nord 2'!E148+'Nord Mobile 1'!E148+'Nord Mobile 2'!E148+Esplanade!E148+'Est mobile 1'!E148+'Est 1'!E148+'Est mobile 2'!E148+'Est Mobile 3'!E148+'Est 2'!E148+'Est mobile 4'!E148+'Réserve Sud'!E148+'Sud 1'!E148+'Sud 2'!E148+Visiteurs!E148+'Principale mobile 1'!E148+'Principale 1 '!E148+'Principale mobile 2'!E148+'Principale mobile 3'!E148+'Principale 2'!E148+'Principale mobile 4'!E148</f>
        <v>0</v>
      </c>
      <c r="F148" s="94"/>
      <c r="G148" s="316">
        <f>SUM('Nord Mobile 1'!G148,'Nord 1'!G148,'Nord 2'!G148,'Nord Mobile 2'!G148,Esplanade!G148,'Est mobile 1'!G148,'Est 1'!G148,'Est mobile 2'!G148,'Est Mobile 3'!G148,'Est 2'!G148,'Est mobile 4'!G148,'Sud 1'!G148,'Sud 2'!G148,Visiteurs!G148,'Principale mobile 1'!G148,'Principale mobile 2'!G148,'Principale mobile 3'!G148,'Principale 2'!G148,'Principale mobile 4'!G148)</f>
        <v>0</v>
      </c>
      <c r="H148" s="10" t="s">
        <v>20</v>
      </c>
      <c r="I148" s="331">
        <v>1.1000000000000001</v>
      </c>
      <c r="J148" s="267">
        <f t="shared" si="1"/>
        <v>0</v>
      </c>
    </row>
    <row r="149" spans="1:10" x14ac:dyDescent="0.35">
      <c r="A149" s="103"/>
      <c r="B149" s="12" t="s">
        <v>4</v>
      </c>
      <c r="C149" s="10" t="s">
        <v>321</v>
      </c>
      <c r="D149" s="94"/>
      <c r="E149" s="232">
        <f>'Nord 1'!E149+'Nord 2'!E149+'Nord Mobile 1'!E149+'Nord Mobile 2'!E149+Esplanade!E149+'Est mobile 1'!E149+'Est 1'!E149+'Est mobile 2'!E149+'Est Mobile 3'!E149+'Est 2'!E149+'Est mobile 4'!E149+'Réserve Sud'!E149+'Sud 1'!E149+'Sud 2'!E149+Visiteurs!E149+'Principale mobile 1'!E149+'Principale 1 '!E149+'Principale mobile 2'!E149+'Principale mobile 3'!E149+'Principale 2'!E149+'Principale mobile 4'!E149</f>
        <v>0</v>
      </c>
      <c r="F149" s="94"/>
      <c r="G149" s="316">
        <f>SUM('Nord Mobile 1'!G149,'Nord 1'!G149,'Nord 2'!G149,'Nord Mobile 2'!G149,Esplanade!G149,'Est mobile 1'!G149,'Est 1'!G149,'Est mobile 2'!G149,'Est Mobile 3'!G149,'Est 2'!G149,'Est mobile 4'!G149,'Sud 1'!G149,'Sud 2'!G149,Visiteurs!G149,'Principale mobile 1'!G149,'Principale mobile 2'!G149,'Principale mobile 3'!G149,'Principale 2'!G149,'Principale mobile 4'!G149)</f>
        <v>0</v>
      </c>
      <c r="H149" s="10" t="s">
        <v>20</v>
      </c>
      <c r="I149" s="331">
        <v>1.1000000000000001</v>
      </c>
      <c r="J149" s="267">
        <f t="shared" si="1"/>
        <v>0</v>
      </c>
    </row>
    <row r="150" spans="1:10" x14ac:dyDescent="0.35">
      <c r="A150" s="113" t="s">
        <v>41</v>
      </c>
      <c r="B150" s="124"/>
      <c r="C150" s="124"/>
      <c r="D150" s="124"/>
      <c r="E150" s="232">
        <f>'Nord 1'!E150+'Nord 2'!E150+'Nord Mobile 1'!E150+'Nord Mobile 2'!E150+Esplanade!E150+'Est mobile 1'!E150+'Est 1'!E150+'Est mobile 2'!E150+'Est Mobile 3'!E150+'Est 2'!E150+'Est mobile 4'!E150+'Réserve Sud'!E150+'Sud 1'!E150+'Sud 2'!E150+Visiteurs!E150+'Principale mobile 1'!E150+'Principale 1 '!E150+'Principale mobile 2'!E150+'Principale mobile 3'!E150+'Principale 2'!E150+'Principale mobile 4'!E150</f>
        <v>0</v>
      </c>
      <c r="F150" s="124"/>
      <c r="G150" s="316">
        <f>SUM('Nord Mobile 1'!G150,'Nord 1'!G150,'Nord 2'!G150,'Nord Mobile 2'!G150,Esplanade!G150,'Est mobile 1'!G150,'Est 1'!G150,'Est mobile 2'!G150,'Est Mobile 3'!G150,'Est 2'!G150,'Est mobile 4'!G150,'Sud 1'!G150,'Sud 2'!G150,Visiteurs!G150,'Principale mobile 1'!G150,'Principale mobile 2'!G150,'Principale mobile 3'!G150,'Principale 2'!G150,'Principale mobile 4'!G150)</f>
        <v>0</v>
      </c>
      <c r="H150" s="124"/>
      <c r="I150" s="241"/>
      <c r="J150" s="247"/>
    </row>
    <row r="151" spans="1:10" x14ac:dyDescent="0.35">
      <c r="A151" s="103"/>
      <c r="B151" s="12" t="s">
        <v>4</v>
      </c>
      <c r="C151" s="10" t="s">
        <v>24</v>
      </c>
      <c r="D151" s="94"/>
      <c r="E151" s="232">
        <f>'Nord 1'!E151+'Nord 2'!E151+'Nord Mobile 1'!E151+'Nord Mobile 2'!E151+Esplanade!E151+'Est mobile 1'!E151+'Est 1'!E151+'Est mobile 2'!E151+'Est Mobile 3'!E151+'Est 2'!E151+'Est mobile 4'!E151+'Réserve Sud'!E151+'Sud 1'!E151+'Sud 2'!E151+Visiteurs!E151+'Principale mobile 1'!E151+'Principale 1 '!E151+'Principale mobile 2'!E151+'Principale mobile 3'!E151+'Principale 2'!E151+'Principale mobile 4'!E151</f>
        <v>835</v>
      </c>
      <c r="F151" s="94"/>
      <c r="G151" s="316">
        <f>SUM('Nord Mobile 1'!G151,'Nord 1'!G151,'Nord 2'!G151,'Nord Mobile 2'!G151,Esplanade!G151,'Est mobile 1'!G151,'Est 1'!G151,'Est mobile 2'!G151,'Est Mobile 3'!G151,'Est 2'!G151,'Est mobile 4'!G151,'Sud 1'!G151,'Sud 2'!G151,Visiteurs!G151,'Principale mobile 1'!G151,'Principale mobile 2'!G151,'Principale mobile 3'!G151,'Principale 2'!G151,'Principale mobile 4'!G151)</f>
        <v>103</v>
      </c>
      <c r="H151" s="10" t="s">
        <v>20</v>
      </c>
      <c r="I151" s="331">
        <v>3.04</v>
      </c>
      <c r="J151" s="267">
        <f t="shared" si="1"/>
        <v>2538.4</v>
      </c>
    </row>
    <row r="152" spans="1:10" x14ac:dyDescent="0.35">
      <c r="A152" s="103"/>
      <c r="B152" s="12" t="s">
        <v>4</v>
      </c>
      <c r="C152" s="10" t="s">
        <v>80</v>
      </c>
      <c r="D152" s="94"/>
      <c r="E152" s="232">
        <f>'Nord 1'!E152+'Nord 2'!E152+'Nord Mobile 1'!E152+'Nord Mobile 2'!E152+Esplanade!E152+'Est mobile 1'!E152+'Est 1'!E152+'Est mobile 2'!E152+'Est Mobile 3'!E152+'Est 2'!E152+'Est mobile 4'!E152+'Réserve Sud'!E152+'Sud 1'!E152+'Sud 2'!E152+Visiteurs!E152+'Principale mobile 1'!E152+'Principale 1 '!E152+'Principale mobile 2'!E152+'Principale mobile 3'!E152+'Principale 2'!E152+'Principale mobile 4'!E152</f>
        <v>1434</v>
      </c>
      <c r="F152" s="94"/>
      <c r="G152" s="316">
        <f>SUM('Nord Mobile 1'!G152,'Nord 1'!G152,'Nord 2'!G152,'Nord Mobile 2'!G152,Esplanade!G152,'Est mobile 1'!G152,'Est 1'!G152,'Est mobile 2'!G152,'Est Mobile 3'!G152,'Est 2'!G152,'Est mobile 4'!G152,'Sud 1'!G152,'Sud 2'!G152,Visiteurs!G152,'Principale mobile 1'!G152,'Principale mobile 2'!G152,'Principale mobile 3'!G152,'Principale 2'!G152,'Principale mobile 4'!G152)</f>
        <v>172</v>
      </c>
      <c r="H152" s="10" t="s">
        <v>20</v>
      </c>
      <c r="I152" s="331">
        <v>2.31</v>
      </c>
      <c r="J152" s="267">
        <f t="shared" si="1"/>
        <v>3312.54</v>
      </c>
    </row>
    <row r="153" spans="1:10" x14ac:dyDescent="0.35">
      <c r="A153" s="103"/>
      <c r="B153" s="12" t="s">
        <v>4</v>
      </c>
      <c r="C153" s="10" t="s">
        <v>84</v>
      </c>
      <c r="D153" s="94"/>
      <c r="E153" s="232">
        <f>'Nord 1'!E153+'Nord 2'!E153+'Nord Mobile 1'!E153+'Nord Mobile 2'!E153+Esplanade!E153+'Est mobile 1'!E153+'Est 1'!E153+'Est mobile 2'!E153+'Est Mobile 3'!E153+'Est 2'!E153+'Est mobile 4'!E153+'Réserve Sud'!E153+'Sud 1'!E153+'Sud 2'!E153+Visiteurs!E153+'Principale mobile 1'!E153+'Principale 1 '!E153+'Principale mobile 2'!E153+'Principale mobile 3'!E153+'Principale 2'!E153+'Principale mobile 4'!E153</f>
        <v>883</v>
      </c>
      <c r="F153" s="94"/>
      <c r="G153" s="316">
        <f>SUM('Nord Mobile 1'!G153,'Nord 1'!G153,'Nord 2'!G153,'Nord Mobile 2'!G153,Esplanade!G153,'Est mobile 1'!G153,'Est 1'!G153,'Est mobile 2'!G153,'Est Mobile 3'!G153,'Est 2'!G153,'Est mobile 4'!G153,'Sud 1'!G153,'Sud 2'!G153,Visiteurs!G153,'Principale mobile 1'!G153,'Principale mobile 2'!G153,'Principale mobile 3'!G153,'Principale 2'!G153,'Principale mobile 4'!G153)</f>
        <v>92</v>
      </c>
      <c r="H153" s="10" t="s">
        <v>20</v>
      </c>
      <c r="I153" s="331">
        <v>2.31</v>
      </c>
      <c r="J153" s="267">
        <f t="shared" ref="J153:J223" si="2">E153*I153</f>
        <v>2039.73</v>
      </c>
    </row>
    <row r="154" spans="1:10" x14ac:dyDescent="0.35">
      <c r="A154" s="103"/>
      <c r="B154" s="12" t="s">
        <v>4</v>
      </c>
      <c r="C154" s="10" t="s">
        <v>394</v>
      </c>
      <c r="D154" s="94"/>
      <c r="E154" s="232">
        <f>'Nord 1'!E154+'Nord 2'!E154+'Nord Mobile 1'!E154+'Nord Mobile 2'!E154+Esplanade!E154+'Est mobile 1'!E154+'Est 1'!E154+'Est mobile 2'!E154+'Est Mobile 3'!E154+'Est 2'!E154+'Est mobile 4'!E154+'Réserve Sud'!E154+'Sud 1'!E154+'Sud 2'!E154+Visiteurs!E154+'Principale mobile 1'!E154+'Principale 1 '!E154+'Principale mobile 2'!E154+'Principale mobile 3'!E154+'Principale 2'!E154+'Principale mobile 4'!E154</f>
        <v>0</v>
      </c>
      <c r="F154" s="94"/>
      <c r="G154" s="316">
        <f>SUM('Nord Mobile 1'!G154,'Nord 1'!G154,'Nord 2'!G154,'Nord Mobile 2'!G154,Esplanade!G154,'Est mobile 1'!G154,'Est 1'!G154,'Est mobile 2'!G154,'Est Mobile 3'!G154,'Est 2'!G154,'Est mobile 4'!G154,'Sud 1'!G154,'Sud 2'!G154,Visiteurs!G154,'Principale mobile 1'!G154,'Principale mobile 2'!G154,'Principale mobile 3'!G154,'Principale 2'!G154,'Principale mobile 4'!G154)</f>
        <v>0</v>
      </c>
      <c r="H154" s="10" t="s">
        <v>20</v>
      </c>
      <c r="I154" s="331">
        <v>2.54</v>
      </c>
      <c r="J154" s="267">
        <f t="shared" si="2"/>
        <v>0</v>
      </c>
    </row>
    <row r="155" spans="1:10" x14ac:dyDescent="0.35">
      <c r="A155" s="103"/>
      <c r="B155" s="12" t="s">
        <v>4</v>
      </c>
      <c r="C155" s="10" t="s">
        <v>394</v>
      </c>
      <c r="D155" s="94"/>
      <c r="E155" s="232">
        <f>'Nord 1'!E155+'Nord 2'!E155+'Nord Mobile 1'!E155+'Nord Mobile 2'!E155+Esplanade!E155+'Est mobile 1'!E155+'Est 1'!E155+'Est mobile 2'!E155+'Est Mobile 3'!E155+'Est 2'!E155+'Est mobile 4'!E155+'Réserve Sud'!E155+'Sud 1'!E155+'Sud 2'!E155+Visiteurs!E155+'Principale mobile 1'!E155+'Principale 1 '!E155+'Principale mobile 2'!E155+'Principale mobile 3'!E155+'Principale 2'!E155+'Principale mobile 4'!E155</f>
        <v>0</v>
      </c>
      <c r="F155" s="94"/>
      <c r="G155" s="316">
        <f>SUM('Nord Mobile 1'!G155,'Nord 1'!G155,'Nord 2'!G155,'Nord Mobile 2'!G155,Esplanade!G155,'Est mobile 1'!G155,'Est 1'!G155,'Est mobile 2'!G155,'Est Mobile 3'!G155,'Est 2'!G155,'Est mobile 4'!G155,'Sud 1'!G155,'Sud 2'!G155,Visiteurs!G155,'Principale mobile 1'!G155,'Principale mobile 2'!G155,'Principale mobile 3'!G155,'Principale 2'!G155,'Principale mobile 4'!G155)</f>
        <v>0</v>
      </c>
      <c r="H155" s="10" t="s">
        <v>20</v>
      </c>
      <c r="I155" s="331">
        <v>2.54</v>
      </c>
      <c r="J155" s="267">
        <f t="shared" si="2"/>
        <v>0</v>
      </c>
    </row>
    <row r="156" spans="1:10" x14ac:dyDescent="0.35">
      <c r="A156" s="103"/>
      <c r="B156" s="12" t="s">
        <v>4</v>
      </c>
      <c r="C156" s="10" t="s">
        <v>25</v>
      </c>
      <c r="D156" s="94"/>
      <c r="E156" s="232">
        <f>'Nord 1'!E156+'Nord 2'!E156+'Nord Mobile 1'!E156+'Nord Mobile 2'!E156+Esplanade!E156+'Est mobile 1'!E156+'Est 1'!E156+'Est mobile 2'!E156+'Est Mobile 3'!E156+'Est 2'!E156+'Est mobile 4'!E156+'Réserve Sud'!E156+'Sud 1'!E156+'Sud 2'!E156+Visiteurs!E156+'Principale mobile 1'!E156+'Principale 1 '!E156+'Principale mobile 2'!E156+'Principale mobile 3'!E156+'Principale 2'!E156+'Principale mobile 4'!E156</f>
        <v>750</v>
      </c>
      <c r="F156" s="94"/>
      <c r="G156" s="316">
        <f>SUM('Nord Mobile 1'!G156,'Nord 1'!G156,'Nord 2'!G156,'Nord Mobile 2'!G156,Esplanade!G156,'Est mobile 1'!G156,'Est 1'!G156,'Est mobile 2'!G156,'Est Mobile 3'!G156,'Est 2'!G156,'Est mobile 4'!G156,'Sud 1'!G156,'Sud 2'!G156,Visiteurs!G156,'Principale mobile 1'!G156,'Principale mobile 2'!G156,'Principale mobile 3'!G156,'Principale 2'!G156,'Principale mobile 4'!G156)</f>
        <v>148</v>
      </c>
      <c r="H156" s="10" t="s">
        <v>20</v>
      </c>
      <c r="I156" s="331">
        <v>1.79</v>
      </c>
      <c r="J156" s="267">
        <f t="shared" si="2"/>
        <v>1342.5</v>
      </c>
    </row>
    <row r="157" spans="1:10" x14ac:dyDescent="0.35">
      <c r="A157" s="103"/>
      <c r="B157" s="12" t="s">
        <v>4</v>
      </c>
      <c r="C157" s="10" t="s">
        <v>322</v>
      </c>
      <c r="D157" s="94"/>
      <c r="E157" s="232">
        <f>'Nord 1'!E157+'Nord 2'!E157+'Nord Mobile 1'!E157+'Nord Mobile 2'!E157+Esplanade!E157+'Est mobile 1'!E157+'Est 1'!E157+'Est mobile 2'!E157+'Est Mobile 3'!E157+'Est 2'!E157+'Est mobile 4'!E157+'Réserve Sud'!E157+'Sud 1'!E157+'Sud 2'!E157+Visiteurs!E157+'Principale mobile 1'!E157+'Principale 1 '!E157+'Principale mobile 2'!E157+'Principale mobile 3'!E157+'Principale 2'!E157+'Principale mobile 4'!E157</f>
        <v>0</v>
      </c>
      <c r="F157" s="94"/>
      <c r="G157" s="316">
        <f>SUM('Nord Mobile 1'!G157,'Nord 1'!G157,'Nord 2'!G157,'Nord Mobile 2'!G157,Esplanade!G157,'Est mobile 1'!G157,'Est 1'!G157,'Est mobile 2'!G157,'Est Mobile 3'!G157,'Est 2'!G157,'Est mobile 4'!G157,'Sud 1'!G157,'Sud 2'!G157,Visiteurs!G157,'Principale mobile 1'!G157,'Principale mobile 2'!G157,'Principale mobile 3'!G157,'Principale 2'!G157,'Principale mobile 4'!G157)</f>
        <v>0</v>
      </c>
      <c r="H157" s="10" t="s">
        <v>20</v>
      </c>
      <c r="I157" s="331">
        <v>2.46</v>
      </c>
      <c r="J157" s="267">
        <f t="shared" si="2"/>
        <v>0</v>
      </c>
    </row>
    <row r="158" spans="1:10" x14ac:dyDescent="0.35">
      <c r="A158" s="103"/>
      <c r="B158" s="12" t="s">
        <v>4</v>
      </c>
      <c r="C158" s="10" t="s">
        <v>393</v>
      </c>
      <c r="D158" s="94"/>
      <c r="E158" s="232">
        <f>'Nord 1'!E158+'Nord 2'!E158+'Nord Mobile 1'!E158+'Nord Mobile 2'!E158+Esplanade!E158+'Est mobile 1'!E158+'Est 1'!E158+'Est mobile 2'!E158+'Est Mobile 3'!E158+'Est 2'!E158+'Est mobile 4'!E158+'Réserve Sud'!E158+'Sud 1'!E158+'Sud 2'!E158+Visiteurs!E158+'Principale mobile 1'!E158+'Principale 1 '!E158+'Principale mobile 2'!E158+'Principale mobile 3'!E158+'Principale 2'!E158+'Principale mobile 4'!E158</f>
        <v>1673</v>
      </c>
      <c r="F158" s="94"/>
      <c r="G158" s="316">
        <f>SUM('Nord Mobile 1'!G158,'Nord 1'!G158,'Nord 2'!G158,'Nord Mobile 2'!G158,Esplanade!G158,'Est mobile 1'!G158,'Est 1'!G158,'Est mobile 2'!G158,'Est Mobile 3'!G158,'Est 2'!G158,'Est mobile 4'!G158,'Sud 1'!G158,'Sud 2'!G158,Visiteurs!G158,'Principale mobile 1'!G158,'Principale mobile 2'!G158,'Principale mobile 3'!G158,'Principale 2'!G158,'Principale mobile 4'!G158)</f>
        <v>249</v>
      </c>
      <c r="H158" s="10" t="s">
        <v>20</v>
      </c>
      <c r="I158" s="331">
        <v>2.46</v>
      </c>
      <c r="J158" s="267">
        <f t="shared" si="2"/>
        <v>4115.58</v>
      </c>
    </row>
    <row r="159" spans="1:10" x14ac:dyDescent="0.35">
      <c r="A159" s="103"/>
      <c r="B159" s="12" t="s">
        <v>4</v>
      </c>
      <c r="C159" s="10" t="s">
        <v>43</v>
      </c>
      <c r="D159" s="94"/>
      <c r="E159" s="232">
        <f>'Nord 1'!E159+'Nord 2'!E159+'Nord Mobile 1'!E159+'Nord Mobile 2'!E159+Esplanade!E159+'Est mobile 1'!E159+'Est 1'!E159+'Est mobile 2'!E159+'Est Mobile 3'!E159+'Est 2'!E159+'Est mobile 4'!E159+'Réserve Sud'!E159+'Sud 1'!E159+'Sud 2'!E159+Visiteurs!E159+'Principale mobile 1'!E159+'Principale 1 '!E159+'Principale mobile 2'!E159+'Principale mobile 3'!E159+'Principale 2'!E159+'Principale mobile 4'!E159</f>
        <v>0</v>
      </c>
      <c r="F159" s="94"/>
      <c r="G159" s="316">
        <f>SUM('Nord Mobile 1'!G159,'Nord 1'!G159,'Nord 2'!G159,'Nord Mobile 2'!G159,Esplanade!G159,'Est mobile 1'!G159,'Est 1'!G159,'Est mobile 2'!G159,'Est Mobile 3'!G159,'Est 2'!G159,'Est mobile 4'!G159,'Sud 1'!G159,'Sud 2'!G159,Visiteurs!G159,'Principale mobile 1'!G159,'Principale mobile 2'!G159,'Principale mobile 3'!G159,'Principale 2'!G159,'Principale mobile 4'!G159)</f>
        <v>0</v>
      </c>
      <c r="H159" s="10" t="s">
        <v>20</v>
      </c>
      <c r="I159" s="331">
        <v>2.5499999999999998</v>
      </c>
      <c r="J159" s="267">
        <f t="shared" si="2"/>
        <v>0</v>
      </c>
    </row>
    <row r="160" spans="1:10" x14ac:dyDescent="0.35">
      <c r="A160" s="103"/>
      <c r="B160" s="12" t="s">
        <v>4</v>
      </c>
      <c r="C160" s="10" t="s">
        <v>81</v>
      </c>
      <c r="D160" s="94"/>
      <c r="E160" s="232">
        <f>'Nord 1'!E160+'Nord 2'!E160+'Nord Mobile 1'!E160+'Nord Mobile 2'!E160+Esplanade!E160+'Est mobile 1'!E160+'Est 1'!E160+'Est mobile 2'!E160+'Est Mobile 3'!E160+'Est 2'!E160+'Est mobile 4'!E160+'Réserve Sud'!E160+'Sud 1'!E160+'Sud 2'!E160+Visiteurs!E160+'Principale mobile 1'!E160+'Principale 1 '!E160+'Principale mobile 2'!E160+'Principale mobile 3'!E160+'Principale 2'!E160+'Principale mobile 4'!E160</f>
        <v>1518</v>
      </c>
      <c r="F160" s="94"/>
      <c r="G160" s="316">
        <f>SUM('Nord Mobile 1'!G160,'Nord 1'!G160,'Nord 2'!G160,'Nord Mobile 2'!G160,Esplanade!G160,'Est mobile 1'!G160,'Est 1'!G160,'Est mobile 2'!G160,'Est Mobile 3'!G160,'Est 2'!G160,'Est mobile 4'!G160,'Sud 1'!G160,'Sud 2'!G160,Visiteurs!G160,'Principale mobile 1'!G160,'Principale mobile 2'!G160,'Principale mobile 3'!G160,'Principale 2'!G160,'Principale mobile 4'!G160)</f>
        <v>400</v>
      </c>
      <c r="H160" s="10" t="s">
        <v>20</v>
      </c>
      <c r="I160" s="331">
        <v>1.51</v>
      </c>
      <c r="J160" s="267">
        <f t="shared" si="2"/>
        <v>2292.1799999999998</v>
      </c>
    </row>
    <row r="161" spans="1:10" x14ac:dyDescent="0.35">
      <c r="A161" s="103"/>
      <c r="B161" s="12" t="s">
        <v>4</v>
      </c>
      <c r="C161" s="10" t="s">
        <v>82</v>
      </c>
      <c r="D161" s="94"/>
      <c r="E161" s="232">
        <f>'Nord 1'!E161+'Nord 2'!E161+'Nord Mobile 1'!E161+'Nord Mobile 2'!E161+Esplanade!E161+'Est mobile 1'!E161+'Est 1'!E161+'Est mobile 2'!E161+'Est Mobile 3'!E161+'Est 2'!E161+'Est mobile 4'!E161+'Réserve Sud'!E161+'Sud 1'!E161+'Sud 2'!E161+Visiteurs!E161+'Principale mobile 1'!E161+'Principale 1 '!E161+'Principale mobile 2'!E161+'Principale mobile 3'!E161+'Principale 2'!E161+'Principale mobile 4'!E161</f>
        <v>1942</v>
      </c>
      <c r="F161" s="94"/>
      <c r="G161" s="316">
        <f>SUM('Nord Mobile 1'!G161,'Nord 1'!G161,'Nord 2'!G161,'Nord Mobile 2'!G161,Esplanade!G161,'Est mobile 1'!G161,'Est 1'!G161,'Est mobile 2'!G161,'Est Mobile 3'!G161,'Est 2'!G161,'Est mobile 4'!G161,'Sud 1'!G161,'Sud 2'!G161,Visiteurs!G161,'Principale mobile 1'!G161,'Principale mobile 2'!G161,'Principale mobile 3'!G161,'Principale 2'!G161,'Principale mobile 4'!G161)</f>
        <v>231</v>
      </c>
      <c r="H161" s="10" t="s">
        <v>20</v>
      </c>
      <c r="I161" s="331">
        <v>1.51</v>
      </c>
      <c r="J161" s="267">
        <f t="shared" si="2"/>
        <v>2932.42</v>
      </c>
    </row>
    <row r="162" spans="1:10" x14ac:dyDescent="0.35">
      <c r="A162" s="103"/>
      <c r="B162" s="12" t="s">
        <v>4</v>
      </c>
      <c r="C162" s="10" t="s">
        <v>323</v>
      </c>
      <c r="D162" s="94"/>
      <c r="E162" s="232">
        <f>'Nord 1'!E162+'Nord 2'!E162+'Nord Mobile 1'!E162+'Nord Mobile 2'!E162+Esplanade!E162+'Est mobile 1'!E162+'Est 1'!E162+'Est mobile 2'!E162+'Est Mobile 3'!E162+'Est 2'!E162+'Est mobile 4'!E162+'Réserve Sud'!E162+'Sud 1'!E162+'Sud 2'!E162+Visiteurs!E162+'Principale mobile 1'!E162+'Principale 1 '!E162+'Principale mobile 2'!E162+'Principale mobile 3'!E162+'Principale 2'!E162+'Principale mobile 4'!E162</f>
        <v>0</v>
      </c>
      <c r="F162" s="94"/>
      <c r="G162" s="316">
        <f>SUM('Nord Mobile 1'!G162,'Nord 1'!G162,'Nord 2'!G162,'Nord Mobile 2'!G162,Esplanade!G162,'Est mobile 1'!G162,'Est 1'!G162,'Est mobile 2'!G162,'Est Mobile 3'!G162,'Est 2'!G162,'Est mobile 4'!G162,'Sud 1'!G162,'Sud 2'!G162,Visiteurs!G162,'Principale mobile 1'!G162,'Principale mobile 2'!G162,'Principale mobile 3'!G162,'Principale 2'!G162,'Principale mobile 4'!G162)</f>
        <v>0</v>
      </c>
      <c r="H162" s="10" t="s">
        <v>20</v>
      </c>
      <c r="I162" s="331">
        <v>1.54</v>
      </c>
      <c r="J162" s="267">
        <f t="shared" si="2"/>
        <v>0</v>
      </c>
    </row>
    <row r="163" spans="1:10" x14ac:dyDescent="0.35">
      <c r="A163" s="103"/>
      <c r="B163" s="12" t="s">
        <v>4</v>
      </c>
      <c r="C163" s="10" t="s">
        <v>324</v>
      </c>
      <c r="D163" s="94"/>
      <c r="E163" s="232">
        <f>'Nord 1'!E163+'Nord 2'!E163+'Nord Mobile 1'!E163+'Nord Mobile 2'!E163+Esplanade!E163+'Est mobile 1'!E163+'Est 1'!E163+'Est mobile 2'!E163+'Est Mobile 3'!E163+'Est 2'!E163+'Est mobile 4'!E163+'Réserve Sud'!E163+'Sud 1'!E163+'Sud 2'!E163+Visiteurs!E163+'Principale mobile 1'!E163+'Principale 1 '!E163+'Principale mobile 2'!E163+'Principale mobile 3'!E163+'Principale 2'!E163+'Principale mobile 4'!E163</f>
        <v>0</v>
      </c>
      <c r="F163" s="94"/>
      <c r="G163" s="316">
        <f>SUM('Nord Mobile 1'!G163,'Nord 1'!G163,'Nord 2'!G163,'Nord Mobile 2'!G163,Esplanade!G163,'Est mobile 1'!G163,'Est 1'!G163,'Est mobile 2'!G163,'Est Mobile 3'!G163,'Est 2'!G163,'Est mobile 4'!G163,'Sud 1'!G163,'Sud 2'!G163,Visiteurs!G163,'Principale mobile 1'!G163,'Principale mobile 2'!G163,'Principale mobile 3'!G163,'Principale 2'!G163,'Principale mobile 4'!G163)</f>
        <v>0</v>
      </c>
      <c r="H163" s="10" t="s">
        <v>20</v>
      </c>
      <c r="I163" s="331">
        <v>1.6</v>
      </c>
      <c r="J163" s="267">
        <f t="shared" si="2"/>
        <v>0</v>
      </c>
    </row>
    <row r="164" spans="1:10" x14ac:dyDescent="0.35">
      <c r="A164" s="103"/>
      <c r="B164" s="12" t="s">
        <v>4</v>
      </c>
      <c r="C164" s="78" t="s">
        <v>325</v>
      </c>
      <c r="D164" s="97"/>
      <c r="E164" s="232">
        <f>'Nord 1'!E164+'Nord 2'!E164+'Nord Mobile 1'!E164+'Nord Mobile 2'!E164+Esplanade!E164+'Est mobile 1'!E164+'Est 1'!E164+'Est mobile 2'!E164+'Est Mobile 3'!E164+'Est 2'!E164+'Est mobile 4'!E164+'Réserve Sud'!E164+'Sud 1'!E164+'Sud 2'!E164+Visiteurs!E164+'Principale mobile 1'!E164+'Principale 1 '!E164+'Principale mobile 2'!E164+'Principale mobile 3'!E164+'Principale 2'!E164+'Principale mobile 4'!E164</f>
        <v>0</v>
      </c>
      <c r="F164" s="97"/>
      <c r="G164" s="316">
        <f>SUM('Nord Mobile 1'!G164,'Nord 1'!G164,'Nord 2'!G164,'Nord Mobile 2'!G164,Esplanade!G164,'Est mobile 1'!G164,'Est 1'!G164,'Est mobile 2'!G164,'Est Mobile 3'!G164,'Est 2'!G164,'Est mobile 4'!G164,'Sud 1'!G164,'Sud 2'!G164,Visiteurs!G164,'Principale mobile 1'!G164,'Principale mobile 2'!G164,'Principale mobile 3'!G164,'Principale 2'!G164,'Principale mobile 4'!G164)</f>
        <v>0</v>
      </c>
      <c r="H164" s="10" t="s">
        <v>20</v>
      </c>
      <c r="I164" s="333">
        <v>49.95</v>
      </c>
      <c r="J164" s="267">
        <f t="shared" si="2"/>
        <v>0</v>
      </c>
    </row>
    <row r="165" spans="1:10" x14ac:dyDescent="0.35">
      <c r="A165" s="113" t="s">
        <v>44</v>
      </c>
      <c r="B165" s="124"/>
      <c r="C165" s="124"/>
      <c r="D165" s="124"/>
      <c r="E165" s="232">
        <f>'Nord 1'!E165+'Nord 2'!E165+'Nord Mobile 1'!E165+'Nord Mobile 2'!E165+Esplanade!E165+'Est mobile 1'!E165+'Est 1'!E165+'Est mobile 2'!E165+'Est Mobile 3'!E165+'Est 2'!E165+'Est mobile 4'!E165+'Réserve Sud'!E165+'Sud 1'!E165+'Sud 2'!E165+Visiteurs!E165+'Principale mobile 1'!E165+'Principale 1 '!E165+'Principale mobile 2'!E165+'Principale mobile 3'!E165+'Principale 2'!E165+'Principale mobile 4'!E165</f>
        <v>0</v>
      </c>
      <c r="F165" s="124"/>
      <c r="G165" s="316">
        <f>SUM('Nord Mobile 1'!G165,'Nord 1'!G165,'Nord 2'!G165,'Nord Mobile 2'!G165,Esplanade!G165,'Est mobile 1'!G165,'Est 1'!G165,'Est mobile 2'!G165,'Est Mobile 3'!G165,'Est 2'!G165,'Est mobile 4'!G165,'Sud 1'!G165,'Sud 2'!G165,Visiteurs!G165,'Principale mobile 1'!G165,'Principale mobile 2'!G165,'Principale mobile 3'!G165,'Principale 2'!G165,'Principale mobile 4'!G165)</f>
        <v>0</v>
      </c>
      <c r="H165" s="124"/>
      <c r="I165" s="241"/>
      <c r="J165" s="247"/>
    </row>
    <row r="166" spans="1:10" x14ac:dyDescent="0.35">
      <c r="A166" s="103"/>
      <c r="B166" s="12" t="s">
        <v>4</v>
      </c>
      <c r="C166" s="10" t="s">
        <v>48</v>
      </c>
      <c r="D166" s="94"/>
      <c r="E166" s="232">
        <f>'Nord 1'!E166+'Nord 2'!E166+'Nord Mobile 1'!E166+'Nord Mobile 2'!E166+Esplanade!E166+'Est mobile 1'!E166+'Est 1'!E166+'Est mobile 2'!E166+'Est Mobile 3'!E166+'Est 2'!E166+'Est mobile 4'!E166+'Réserve Sud'!E166+'Sud 1'!E166+'Sud 2'!E166+Visiteurs!E166+'Principale mobile 1'!E166+'Principale 1 '!E166+'Principale mobile 2'!E166+'Principale mobile 3'!E166+'Principale 2'!E166+'Principale mobile 4'!E166</f>
        <v>28</v>
      </c>
      <c r="F166" s="94"/>
      <c r="G166" s="316">
        <f>SUM('Nord Mobile 1'!G166,'Nord 1'!G166,'Nord 2'!G166,'Nord Mobile 2'!G166,Esplanade!G166,'Est mobile 1'!G166,'Est 1'!G166,'Est mobile 2'!G166,'Est Mobile 3'!G166,'Est 2'!G166,'Est mobile 4'!G166,'Sud 1'!G166,'Sud 2'!G166,Visiteurs!G166,'Principale mobile 1'!G166,'Principale mobile 2'!G166,'Principale mobile 3'!G166,'Principale 2'!G166,'Principale mobile 4'!G166)</f>
        <v>16</v>
      </c>
      <c r="H166" s="10" t="s">
        <v>20</v>
      </c>
      <c r="I166" s="331">
        <v>1.94</v>
      </c>
      <c r="J166" s="267">
        <f t="shared" si="2"/>
        <v>54.32</v>
      </c>
    </row>
    <row r="167" spans="1:10" x14ac:dyDescent="0.35">
      <c r="A167" s="103"/>
      <c r="B167" s="12" t="s">
        <v>4</v>
      </c>
      <c r="C167" s="10" t="s">
        <v>49</v>
      </c>
      <c r="D167" s="94"/>
      <c r="E167" s="232">
        <f>'Nord 1'!E167+'Nord 2'!E167+'Nord Mobile 1'!E167+'Nord Mobile 2'!E167+Esplanade!E167+'Est mobile 1'!E167+'Est 1'!E167+'Est mobile 2'!E167+'Est Mobile 3'!E167+'Est 2'!E167+'Est mobile 4'!E167+'Réserve Sud'!E167+'Sud 1'!E167+'Sud 2'!E167+Visiteurs!E167+'Principale mobile 1'!E167+'Principale 1 '!E167+'Principale mobile 2'!E167+'Principale mobile 3'!E167+'Principale 2'!E167+'Principale mobile 4'!E167</f>
        <v>45</v>
      </c>
      <c r="F167" s="94"/>
      <c r="G167" s="316">
        <f>SUM('Nord Mobile 1'!G167,'Nord 1'!G167,'Nord 2'!G167,'Nord Mobile 2'!G167,Esplanade!G167,'Est mobile 1'!G167,'Est 1'!G167,'Est mobile 2'!G167,'Est Mobile 3'!G167,'Est 2'!G167,'Est mobile 4'!G167,'Sud 1'!G167,'Sud 2'!G167,Visiteurs!G167,'Principale mobile 1'!G167,'Principale mobile 2'!G167,'Principale mobile 3'!G167,'Principale 2'!G167,'Principale mobile 4'!G167)</f>
        <v>17</v>
      </c>
      <c r="H167" s="10" t="s">
        <v>20</v>
      </c>
      <c r="I167" s="331">
        <v>1.94</v>
      </c>
      <c r="J167" s="267">
        <f t="shared" si="2"/>
        <v>87.3</v>
      </c>
    </row>
    <row r="168" spans="1:10" x14ac:dyDescent="0.35">
      <c r="A168" s="103"/>
      <c r="B168" s="12" t="s">
        <v>4</v>
      </c>
      <c r="C168" s="10" t="s">
        <v>50</v>
      </c>
      <c r="D168" s="94"/>
      <c r="E168" s="232">
        <f>'Nord 1'!E168+'Nord 2'!E168+'Nord Mobile 1'!E168+'Nord Mobile 2'!E168+Esplanade!E168+'Est mobile 1'!E168+'Est 1'!E168+'Est mobile 2'!E168+'Est Mobile 3'!E168+'Est 2'!E168+'Est mobile 4'!E168+'Réserve Sud'!E168+'Sud 1'!E168+'Sud 2'!E168+Visiteurs!E168+'Principale mobile 1'!E168+'Principale 1 '!E168+'Principale mobile 2'!E168+'Principale mobile 3'!E168+'Principale 2'!E168+'Principale mobile 4'!E168</f>
        <v>68</v>
      </c>
      <c r="F168" s="94"/>
      <c r="G168" s="316">
        <f>SUM('Nord Mobile 1'!G168,'Nord 1'!G168,'Nord 2'!G168,'Nord Mobile 2'!G168,Esplanade!G168,'Est mobile 1'!G168,'Est 1'!G168,'Est mobile 2'!G168,'Est Mobile 3'!G168,'Est 2'!G168,'Est mobile 4'!G168,'Sud 1'!G168,'Sud 2'!G168,Visiteurs!G168,'Principale mobile 1'!G168,'Principale mobile 2'!G168,'Principale mobile 3'!G168,'Principale 2'!G168,'Principale mobile 4'!G168)</f>
        <v>10</v>
      </c>
      <c r="H168" s="10" t="s">
        <v>20</v>
      </c>
      <c r="I168" s="331">
        <v>1.94</v>
      </c>
      <c r="J168" s="267">
        <f t="shared" si="2"/>
        <v>131.91999999999999</v>
      </c>
    </row>
    <row r="169" spans="1:10" x14ac:dyDescent="0.35">
      <c r="A169" s="103"/>
      <c r="B169" s="12" t="s">
        <v>4</v>
      </c>
      <c r="C169" s="10" t="s">
        <v>415</v>
      </c>
      <c r="D169" s="94"/>
      <c r="E169" s="232">
        <f>'Nord 1'!E169+'Nord 2'!E169+'Nord Mobile 1'!E169+'Nord Mobile 2'!E169+Esplanade!E169+'Est mobile 1'!E169+'Est 1'!E169+'Est mobile 2'!E169+'Est Mobile 3'!E169+'Est 2'!E169+'Est mobile 4'!E169+'Réserve Sud'!E169+'Sud 1'!E169+'Sud 2'!E169+Visiteurs!E169+'Principale mobile 1'!E169+'Principale 1 '!E169+'Principale mobile 2'!E169+'Principale mobile 3'!E169+'Principale 2'!E169+'Principale mobile 4'!E169</f>
        <v>0</v>
      </c>
      <c r="F169" s="94"/>
      <c r="G169" s="316">
        <f>SUM('Nord Mobile 1'!G169,'Nord 1'!G169,'Nord 2'!G169,'Nord Mobile 2'!G169,Esplanade!G169,'Est mobile 1'!G169,'Est 1'!G169,'Est mobile 2'!G169,'Est Mobile 3'!G169,'Est 2'!G169,'Est mobile 4'!G169,'Sud 1'!G169,'Sud 2'!G169,Visiteurs!G169,'Principale mobile 1'!G169,'Principale mobile 2'!G169,'Principale mobile 3'!G169,'Principale 2'!G169,'Principale mobile 4'!G169)</f>
        <v>0</v>
      </c>
      <c r="H169" s="10" t="s">
        <v>20</v>
      </c>
      <c r="I169" s="331">
        <v>1.98</v>
      </c>
      <c r="J169" s="267">
        <f t="shared" si="2"/>
        <v>0</v>
      </c>
    </row>
    <row r="170" spans="1:10" x14ac:dyDescent="0.35">
      <c r="A170" s="103"/>
      <c r="B170" s="12" t="s">
        <v>4</v>
      </c>
      <c r="C170" s="10" t="s">
        <v>414</v>
      </c>
      <c r="D170" s="94"/>
      <c r="E170" s="232">
        <f>'Nord 1'!E170+'Nord 2'!E170+'Nord Mobile 1'!E170+'Nord Mobile 2'!E170+Esplanade!E170+'Est mobile 1'!E170+'Est 1'!E170+'Est mobile 2'!E170+'Est Mobile 3'!E170+'Est 2'!E170+'Est mobile 4'!E170+'Réserve Sud'!E170+'Sud 1'!E170+'Sud 2'!E170+Visiteurs!E170+'Principale mobile 1'!E170+'Principale 1 '!E170+'Principale mobile 2'!E170+'Principale mobile 3'!E170+'Principale 2'!E170+'Principale mobile 4'!E170</f>
        <v>0</v>
      </c>
      <c r="F170" s="94"/>
      <c r="G170" s="316">
        <f>SUM('Nord Mobile 1'!G170,'Nord 1'!G170,'Nord 2'!G170,'Nord Mobile 2'!G170,Esplanade!G170,'Est mobile 1'!G170,'Est 1'!G170,'Est mobile 2'!G170,'Est Mobile 3'!G170,'Est 2'!G170,'Est mobile 4'!G170,'Sud 1'!G170,'Sud 2'!G170,Visiteurs!G170,'Principale mobile 1'!G170,'Principale mobile 2'!G170,'Principale mobile 3'!G170,'Principale 2'!G170,'Principale mobile 4'!G170)</f>
        <v>0</v>
      </c>
      <c r="H170" s="10" t="s">
        <v>20</v>
      </c>
      <c r="I170" s="331">
        <v>1.98</v>
      </c>
      <c r="J170" s="267">
        <f t="shared" si="2"/>
        <v>0</v>
      </c>
    </row>
    <row r="171" spans="1:10" x14ac:dyDescent="0.35">
      <c r="A171" s="103"/>
      <c r="B171" s="12" t="s">
        <v>4</v>
      </c>
      <c r="C171" s="10" t="s">
        <v>328</v>
      </c>
      <c r="D171" s="94"/>
      <c r="E171" s="232">
        <f>'Nord 1'!E171+'Nord 2'!E171+'Nord Mobile 1'!E171+'Nord Mobile 2'!E171+Esplanade!E171+'Est mobile 1'!E171+'Est 1'!E171+'Est mobile 2'!E171+'Est Mobile 3'!E171+'Est 2'!E171+'Est mobile 4'!E171+'Réserve Sud'!E171+'Sud 1'!E171+'Sud 2'!E171+Visiteurs!E171+'Principale mobile 1'!E171+'Principale 1 '!E171+'Principale mobile 2'!E171+'Principale mobile 3'!E171+'Principale 2'!E171+'Principale mobile 4'!E171</f>
        <v>0</v>
      </c>
      <c r="F171" s="94"/>
      <c r="G171" s="316">
        <f>SUM('Nord Mobile 1'!G171,'Nord 1'!G171,'Nord 2'!G171,'Nord Mobile 2'!G171,Esplanade!G171,'Est mobile 1'!G171,'Est 1'!G171,'Est mobile 2'!G171,'Est Mobile 3'!G171,'Est 2'!G171,'Est mobile 4'!G171,'Sud 1'!G171,'Sud 2'!G171,Visiteurs!G171,'Principale mobile 1'!G171,'Principale mobile 2'!G171,'Principale mobile 3'!G171,'Principale 2'!G171,'Principale mobile 4'!G171)</f>
        <v>0</v>
      </c>
      <c r="H171" s="10" t="s">
        <v>20</v>
      </c>
      <c r="I171" s="331">
        <v>1.98</v>
      </c>
      <c r="J171" s="267">
        <f t="shared" si="2"/>
        <v>0</v>
      </c>
    </row>
    <row r="172" spans="1:10" x14ac:dyDescent="0.35">
      <c r="A172" s="103"/>
      <c r="B172" s="12" t="s">
        <v>4</v>
      </c>
      <c r="C172" s="10" t="s">
        <v>329</v>
      </c>
      <c r="D172" s="94"/>
      <c r="E172" s="232">
        <f>'Nord 1'!E172+'Nord 2'!E172+'Nord Mobile 1'!E172+'Nord Mobile 2'!E172+Esplanade!E172+'Est mobile 1'!E172+'Est 1'!E172+'Est mobile 2'!E172+'Est Mobile 3'!E172+'Est 2'!E172+'Est mobile 4'!E172+'Réserve Sud'!E172+'Sud 1'!E172+'Sud 2'!E172+Visiteurs!E172+'Principale mobile 1'!E172+'Principale 1 '!E172+'Principale mobile 2'!E172+'Principale mobile 3'!E172+'Principale 2'!E172+'Principale mobile 4'!E172</f>
        <v>0</v>
      </c>
      <c r="F172" s="94"/>
      <c r="G172" s="316">
        <f>SUM('Nord Mobile 1'!G172,'Nord 1'!G172,'Nord 2'!G172,'Nord Mobile 2'!G172,Esplanade!G172,'Est mobile 1'!G172,'Est 1'!G172,'Est mobile 2'!G172,'Est Mobile 3'!G172,'Est 2'!G172,'Est mobile 4'!G172,'Sud 1'!G172,'Sud 2'!G172,Visiteurs!G172,'Principale mobile 1'!G172,'Principale mobile 2'!G172,'Principale mobile 3'!G172,'Principale 2'!G172,'Principale mobile 4'!G172)</f>
        <v>0</v>
      </c>
      <c r="H172" s="10" t="s">
        <v>20</v>
      </c>
      <c r="I172" s="331">
        <v>1.98</v>
      </c>
      <c r="J172" s="267">
        <f t="shared" si="2"/>
        <v>0</v>
      </c>
    </row>
    <row r="173" spans="1:10" x14ac:dyDescent="0.35">
      <c r="A173" s="103"/>
      <c r="B173" s="40" t="s">
        <v>4</v>
      </c>
      <c r="C173" s="41" t="s">
        <v>330</v>
      </c>
      <c r="D173" s="98"/>
      <c r="E173" s="232">
        <f>'Nord 1'!E173+'Nord 2'!E173+'Nord Mobile 1'!E173+'Nord Mobile 2'!E173+Esplanade!E173+'Est mobile 1'!E173+'Est 1'!E173+'Est mobile 2'!E173+'Est Mobile 3'!E173+'Est 2'!E173+'Est mobile 4'!E173+'Réserve Sud'!E173+'Sud 1'!E173+'Sud 2'!E173+Visiteurs!E173+'Principale mobile 1'!E173+'Principale 1 '!E173+'Principale mobile 2'!E173+'Principale mobile 3'!E173+'Principale 2'!E173+'Principale mobile 4'!E173</f>
        <v>0</v>
      </c>
      <c r="F173" s="98"/>
      <c r="G173" s="316">
        <f>SUM('Nord Mobile 1'!G173,'Nord 1'!G173,'Nord 2'!G173,'Nord Mobile 2'!G173,Esplanade!G173,'Est mobile 1'!G173,'Est 1'!G173,'Est mobile 2'!G173,'Est Mobile 3'!G173,'Est 2'!G173,'Est mobile 4'!G173,'Sud 1'!G173,'Sud 2'!G173,Visiteurs!G173,'Principale mobile 1'!G173,'Principale mobile 2'!G173,'Principale mobile 3'!G173,'Principale 2'!G173,'Principale mobile 4'!G173)</f>
        <v>0</v>
      </c>
      <c r="H173" s="10" t="s">
        <v>20</v>
      </c>
      <c r="I173" s="331">
        <v>1.98</v>
      </c>
      <c r="J173" s="267">
        <f t="shared" si="2"/>
        <v>0</v>
      </c>
    </row>
    <row r="174" spans="1:10" x14ac:dyDescent="0.35">
      <c r="A174" s="103"/>
      <c r="B174" s="40" t="s">
        <v>4</v>
      </c>
      <c r="C174" s="41" t="s">
        <v>331</v>
      </c>
      <c r="D174" s="98"/>
      <c r="E174" s="232">
        <f>'Nord 1'!E174+'Nord 2'!E174+'Nord Mobile 1'!E174+'Nord Mobile 2'!E174+Esplanade!E174+'Est mobile 1'!E174+'Est 1'!E174+'Est mobile 2'!E174+'Est Mobile 3'!E174+'Est 2'!E174+'Est mobile 4'!E174+'Réserve Sud'!E174+'Sud 1'!E174+'Sud 2'!E174+Visiteurs!E174+'Principale mobile 1'!E174+'Principale 1 '!E174+'Principale mobile 2'!E174+'Principale mobile 3'!E174+'Principale 2'!E174+'Principale mobile 4'!E174</f>
        <v>0</v>
      </c>
      <c r="F174" s="98"/>
      <c r="G174" s="316">
        <f>SUM('Nord Mobile 1'!G174,'Nord 1'!G174,'Nord 2'!G174,'Nord Mobile 2'!G174,Esplanade!G174,'Est mobile 1'!G174,'Est 1'!G174,'Est mobile 2'!G174,'Est Mobile 3'!G174,'Est 2'!G174,'Est mobile 4'!G174,'Sud 1'!G174,'Sud 2'!G174,Visiteurs!G174,'Principale mobile 1'!G174,'Principale mobile 2'!G174,'Principale mobile 3'!G174,'Principale 2'!G174,'Principale mobile 4'!G174)</f>
        <v>0</v>
      </c>
      <c r="H174" s="10" t="s">
        <v>20</v>
      </c>
      <c r="I174" s="331">
        <v>1.98</v>
      </c>
      <c r="J174" s="267">
        <f t="shared" si="2"/>
        <v>0</v>
      </c>
    </row>
    <row r="175" spans="1:10" x14ac:dyDescent="0.35">
      <c r="A175" s="103"/>
      <c r="B175" s="40" t="s">
        <v>4</v>
      </c>
      <c r="C175" s="41" t="s">
        <v>413</v>
      </c>
      <c r="D175" s="98"/>
      <c r="E175" s="232">
        <f>'Nord 1'!E175+'Nord 2'!E175+'Nord Mobile 1'!E175+'Nord Mobile 2'!E175+Esplanade!E175+'Est mobile 1'!E175+'Est 1'!E175+'Est mobile 2'!E175+'Est Mobile 3'!E175+'Est 2'!E175+'Est mobile 4'!E175+'Réserve Sud'!E175+'Sud 1'!E175+'Sud 2'!E175+Visiteurs!E175+'Principale mobile 1'!E175+'Principale 1 '!E175+'Principale mobile 2'!E175+'Principale mobile 3'!E175+'Principale 2'!E175+'Principale mobile 4'!E175</f>
        <v>0</v>
      </c>
      <c r="F175" s="98"/>
      <c r="G175" s="316">
        <f>SUM('Nord Mobile 1'!G175,'Nord 1'!G175,'Nord 2'!G175,'Nord Mobile 2'!G175,Esplanade!G175,'Est mobile 1'!G175,'Est 1'!G175,'Est mobile 2'!G175,'Est Mobile 3'!G175,'Est 2'!G175,'Est mobile 4'!G175,'Sud 1'!G175,'Sud 2'!G175,Visiteurs!G175,'Principale mobile 1'!G175,'Principale mobile 2'!G175,'Principale mobile 3'!G175,'Principale 2'!G175,'Principale mobile 4'!G175)</f>
        <v>0</v>
      </c>
      <c r="H175" s="41" t="s">
        <v>20</v>
      </c>
      <c r="I175" s="334">
        <v>1.98</v>
      </c>
      <c r="J175" s="267">
        <f t="shared" si="2"/>
        <v>0</v>
      </c>
    </row>
    <row r="176" spans="1:10" ht="15.5" x14ac:dyDescent="0.35">
      <c r="A176" s="114" t="s">
        <v>333</v>
      </c>
      <c r="B176" s="120"/>
      <c r="C176" s="120"/>
      <c r="D176" s="120"/>
      <c r="E176" s="232">
        <f>'Nord 1'!E176+'Nord 2'!E176+'Nord Mobile 1'!E176+'Nord Mobile 2'!E176+Esplanade!E176+'Est mobile 1'!E176+'Est 1'!E176+'Est mobile 2'!E176+'Est Mobile 3'!E176+'Est 2'!E176+'Est mobile 4'!E176+'Réserve Sud'!E176+'Sud 1'!E176+'Sud 2'!E176+Visiteurs!E176+'Principale mobile 1'!E176+'Principale 1 '!E176+'Principale mobile 2'!E176+'Principale mobile 3'!E176+'Principale 2'!E176+'Principale mobile 4'!E176</f>
        <v>0</v>
      </c>
      <c r="F176" s="120"/>
      <c r="G176" s="316">
        <f>SUM('Nord Mobile 1'!G176,'Nord 1'!G176,'Nord 2'!G176,'Nord Mobile 2'!G176,Esplanade!G176,'Est mobile 1'!G176,'Est 1'!G176,'Est mobile 2'!G176,'Est Mobile 3'!G176,'Est 2'!G176,'Est mobile 4'!G176,'Sud 1'!G176,'Sud 2'!G176,Visiteurs!G176,'Principale mobile 1'!G176,'Principale mobile 2'!G176,'Principale mobile 3'!G176,'Principale 2'!G176,'Principale mobile 4'!G176)</f>
        <v>0</v>
      </c>
      <c r="H176" s="121"/>
      <c r="I176" s="122" t="s">
        <v>18</v>
      </c>
      <c r="J176" s="247">
        <f>SUM(J177:J186)</f>
        <v>0</v>
      </c>
    </row>
    <row r="177" spans="1:10" x14ac:dyDescent="0.35">
      <c r="A177" s="103"/>
      <c r="B177" s="12" t="s">
        <v>26</v>
      </c>
      <c r="C177" s="10" t="s">
        <v>334</v>
      </c>
      <c r="D177" s="94"/>
      <c r="E177" s="232">
        <f>'Nord 1'!E177+'Nord 2'!E177+'Nord Mobile 1'!E177+'Nord Mobile 2'!E177+Esplanade!E177+'Est mobile 1'!E177+'Est 1'!E177+'Est mobile 2'!E177+'Est Mobile 3'!E177+'Est 2'!E177+'Est mobile 4'!E177+'Réserve Sud'!E177+'Sud 1'!E177+'Sud 2'!E177+Visiteurs!E177+'Principale mobile 1'!E177+'Principale 1 '!E177+'Principale mobile 2'!E177+'Principale mobile 3'!E177+'Principale 2'!E177+'Principale mobile 4'!E177</f>
        <v>0</v>
      </c>
      <c r="F177" s="94"/>
      <c r="G177" s="316">
        <f>SUM('Nord Mobile 1'!G177,'Nord 1'!G177,'Nord 2'!G177,'Nord Mobile 2'!G177,Esplanade!G177,'Est mobile 1'!G177,'Est 1'!G177,'Est mobile 2'!G177,'Est Mobile 3'!G177,'Est 2'!G177,'Est mobile 4'!G177,'Sud 1'!G177,'Sud 2'!G177,Visiteurs!G177,'Principale mobile 1'!G177,'Principale mobile 2'!G177,'Principale mobile 3'!G177,'Principale 2'!G177,'Principale mobile 4'!G177)</f>
        <v>0</v>
      </c>
      <c r="H177" s="10" t="s">
        <v>335</v>
      </c>
      <c r="I177" s="331">
        <v>20</v>
      </c>
      <c r="J177" s="267">
        <f t="shared" si="2"/>
        <v>0</v>
      </c>
    </row>
    <row r="178" spans="1:10" x14ac:dyDescent="0.35">
      <c r="A178" s="103"/>
      <c r="B178" s="20" t="s">
        <v>26</v>
      </c>
      <c r="C178" s="18" t="s">
        <v>53</v>
      </c>
      <c r="D178" s="99"/>
      <c r="E178" s="232">
        <f>'Nord 1'!E178+'Nord 2'!E178+'Nord Mobile 1'!E178+'Nord Mobile 2'!E178+Esplanade!E178+'Est mobile 1'!E178+'Est 1'!E178+'Est mobile 2'!E178+'Est Mobile 3'!E178+'Est 2'!E178+'Est mobile 4'!E178+'Réserve Sud'!E178+'Sud 1'!E178+'Sud 2'!E178+Visiteurs!E178+'Principale mobile 1'!E178+'Principale 1 '!E178+'Principale mobile 2'!E178+'Principale mobile 3'!E178+'Principale 2'!E178+'Principale mobile 4'!E178</f>
        <v>0</v>
      </c>
      <c r="F178" s="99"/>
      <c r="G178" s="316">
        <f>SUM('Nord Mobile 1'!G178,'Nord 1'!G178,'Nord 2'!G178,'Nord Mobile 2'!G178,Esplanade!G178,'Est mobile 1'!G178,'Est 1'!G178,'Est mobile 2'!G178,'Est Mobile 3'!G178,'Est 2'!G178,'Est mobile 4'!G178,'Sud 1'!G178,'Sud 2'!G178,Visiteurs!G178,'Principale mobile 1'!G178,'Principale mobile 2'!G178,'Principale mobile 3'!G178,'Principale 2'!G178,'Principale mobile 4'!G178)</f>
        <v>0</v>
      </c>
      <c r="H178" s="18" t="s">
        <v>20</v>
      </c>
      <c r="I178" s="335">
        <v>0.43</v>
      </c>
      <c r="J178" s="267">
        <f t="shared" si="2"/>
        <v>0</v>
      </c>
    </row>
    <row r="179" spans="1:10" x14ac:dyDescent="0.35">
      <c r="A179" s="103"/>
      <c r="B179" s="20" t="s">
        <v>26</v>
      </c>
      <c r="C179" s="18" t="s">
        <v>336</v>
      </c>
      <c r="D179" s="99"/>
      <c r="E179" s="232">
        <f>'Nord 1'!E179+'Nord 2'!E179+'Nord Mobile 1'!E179+'Nord Mobile 2'!E179+Esplanade!E179+'Est mobile 1'!E179+'Est 1'!E179+'Est mobile 2'!E179+'Est Mobile 3'!E179+'Est 2'!E179+'Est mobile 4'!E179+'Réserve Sud'!E179+'Sud 1'!E179+'Sud 2'!E179+Visiteurs!E179+'Principale mobile 1'!E179+'Principale 1 '!E179+'Principale mobile 2'!E179+'Principale mobile 3'!E179+'Principale 2'!E179+'Principale mobile 4'!E179</f>
        <v>0</v>
      </c>
      <c r="F179" s="99"/>
      <c r="G179" s="316">
        <f>SUM('Nord Mobile 1'!G179,'Nord 1'!G179,'Nord 2'!G179,'Nord Mobile 2'!G179,Esplanade!G179,'Est mobile 1'!G179,'Est 1'!G179,'Est mobile 2'!G179,'Est Mobile 3'!G179,'Est 2'!G179,'Est mobile 4'!G179,'Sud 1'!G179,'Sud 2'!G179,Visiteurs!G179,'Principale mobile 1'!G179,'Principale mobile 2'!G179,'Principale mobile 3'!G179,'Principale 2'!G179,'Principale mobile 4'!G179)</f>
        <v>0</v>
      </c>
      <c r="H179" s="18" t="s">
        <v>20</v>
      </c>
      <c r="I179" s="335">
        <v>0.43</v>
      </c>
      <c r="J179" s="267">
        <f t="shared" si="2"/>
        <v>0</v>
      </c>
    </row>
    <row r="180" spans="1:10" x14ac:dyDescent="0.35">
      <c r="A180" s="103"/>
      <c r="B180" s="12" t="s">
        <v>26</v>
      </c>
      <c r="C180" s="10" t="s">
        <v>337</v>
      </c>
      <c r="D180" s="94"/>
      <c r="E180" s="232">
        <f>'Nord 1'!E180+'Nord 2'!E180+'Nord Mobile 1'!E180+'Nord Mobile 2'!E180+Esplanade!E180+'Est mobile 1'!E180+'Est 1'!E180+'Est mobile 2'!E180+'Est Mobile 3'!E180+'Est 2'!E180+'Est mobile 4'!E180+'Réserve Sud'!E180+'Sud 1'!E180+'Sud 2'!E180+Visiteurs!E180+'Principale mobile 1'!E180+'Principale 1 '!E180+'Principale mobile 2'!E180+'Principale mobile 3'!E180+'Principale 2'!E180+'Principale mobile 4'!E180</f>
        <v>0</v>
      </c>
      <c r="F180" s="94"/>
      <c r="G180" s="316">
        <f>SUM('Nord Mobile 1'!G180,'Nord 1'!G180,'Nord 2'!G180,'Nord Mobile 2'!G180,Esplanade!G180,'Est mobile 1'!G180,'Est 1'!G180,'Est mobile 2'!G180,'Est Mobile 3'!G180,'Est 2'!G180,'Est mobile 4'!G180,'Sud 1'!G180,'Sud 2'!G180,Visiteurs!G180,'Principale mobile 1'!G180,'Principale mobile 2'!G180,'Principale mobile 3'!G180,'Principale 2'!G180,'Principale mobile 4'!G180)</f>
        <v>0</v>
      </c>
      <c r="H180" s="10" t="s">
        <v>20</v>
      </c>
      <c r="I180" s="331">
        <v>0.43</v>
      </c>
      <c r="J180" s="267">
        <f t="shared" si="2"/>
        <v>0</v>
      </c>
    </row>
    <row r="181" spans="1:10" x14ac:dyDescent="0.35">
      <c r="A181" s="103"/>
      <c r="B181" s="12" t="s">
        <v>26</v>
      </c>
      <c r="C181" s="10" t="s">
        <v>51</v>
      </c>
      <c r="D181" s="94"/>
      <c r="E181" s="232">
        <f>'Nord 1'!E181+'Nord 2'!E181+'Nord Mobile 1'!E181+'Nord Mobile 2'!E181+Esplanade!E181+'Est mobile 1'!E181+'Est 1'!E181+'Est mobile 2'!E181+'Est Mobile 3'!E181+'Est 2'!E181+'Est mobile 4'!E181+'Réserve Sud'!E181+'Sud 1'!E181+'Sud 2'!E181+Visiteurs!E181+'Principale mobile 1'!E181+'Principale 1 '!E181+'Principale mobile 2'!E181+'Principale mobile 3'!E181+'Principale 2'!E181+'Principale mobile 4'!E181</f>
        <v>0</v>
      </c>
      <c r="F181" s="94"/>
      <c r="G181" s="316">
        <f>SUM('Nord Mobile 1'!G181,'Nord 1'!G181,'Nord 2'!G181,'Nord Mobile 2'!G181,Esplanade!G181,'Est mobile 1'!G181,'Est 1'!G181,'Est mobile 2'!G181,'Est Mobile 3'!G181,'Est 2'!G181,'Est mobile 4'!G181,'Sud 1'!G181,'Sud 2'!G181,Visiteurs!G181,'Principale mobile 1'!G181,'Principale mobile 2'!G181,'Principale mobile 3'!G181,'Principale 2'!G181,'Principale mobile 4'!G181)</f>
        <v>0</v>
      </c>
      <c r="H181" s="10" t="s">
        <v>61</v>
      </c>
      <c r="I181" s="331">
        <v>14</v>
      </c>
      <c r="J181" s="267">
        <f t="shared" si="2"/>
        <v>0</v>
      </c>
    </row>
    <row r="182" spans="1:10" x14ac:dyDescent="0.35">
      <c r="A182" s="103"/>
      <c r="B182" s="12" t="s">
        <v>26</v>
      </c>
      <c r="C182" s="10" t="s">
        <v>338</v>
      </c>
      <c r="D182" s="94"/>
      <c r="E182" s="232">
        <f>'Nord 1'!E182+'Nord 2'!E182+'Nord Mobile 1'!E182+'Nord Mobile 2'!E182+Esplanade!E182+'Est mobile 1'!E182+'Est 1'!E182+'Est mobile 2'!E182+'Est Mobile 3'!E182+'Est 2'!E182+'Est mobile 4'!E182+'Réserve Sud'!E182+'Sud 1'!E182+'Sud 2'!E182+Visiteurs!E182+'Principale mobile 1'!E182+'Principale 1 '!E182+'Principale mobile 2'!E182+'Principale mobile 3'!E182+'Principale 2'!E182+'Principale mobile 4'!E182</f>
        <v>0</v>
      </c>
      <c r="F182" s="94"/>
      <c r="G182" s="316">
        <f>SUM('Nord Mobile 1'!G182,'Nord 1'!G182,'Nord 2'!G182,'Nord Mobile 2'!G182,Esplanade!G182,'Est mobile 1'!G182,'Est 1'!G182,'Est mobile 2'!G182,'Est Mobile 3'!G182,'Est 2'!G182,'Est mobile 4'!G182,'Sud 1'!G182,'Sud 2'!G182,Visiteurs!G182,'Principale mobile 1'!G182,'Principale mobile 2'!G182,'Principale mobile 3'!G182,'Principale 2'!G182,'Principale mobile 4'!G182)</f>
        <v>0</v>
      </c>
      <c r="H182" s="10" t="s">
        <v>61</v>
      </c>
      <c r="I182" s="331">
        <v>14.78</v>
      </c>
      <c r="J182" s="267">
        <f t="shared" si="2"/>
        <v>0</v>
      </c>
    </row>
    <row r="183" spans="1:10" x14ac:dyDescent="0.35">
      <c r="A183" s="103"/>
      <c r="B183" s="12" t="s">
        <v>26</v>
      </c>
      <c r="C183" s="10" t="s">
        <v>339</v>
      </c>
      <c r="D183" s="94"/>
      <c r="E183" s="232">
        <f>'Nord 1'!E183+'Nord 2'!E183+'Nord Mobile 1'!E183+'Nord Mobile 2'!E183+Esplanade!E183+'Est mobile 1'!E183+'Est 1'!E183+'Est mobile 2'!E183+'Est Mobile 3'!E183+'Est 2'!E183+'Est mobile 4'!E183+'Réserve Sud'!E183+'Sud 1'!E183+'Sud 2'!E183+Visiteurs!E183+'Principale mobile 1'!E183+'Principale 1 '!E183+'Principale mobile 2'!E183+'Principale mobile 3'!E183+'Principale 2'!E183+'Principale mobile 4'!E183</f>
        <v>0</v>
      </c>
      <c r="F183" s="94"/>
      <c r="G183" s="316">
        <f>SUM('Nord Mobile 1'!G183,'Nord 1'!G183,'Nord 2'!G183,'Nord Mobile 2'!G183,Esplanade!G183,'Est mobile 1'!G183,'Est 1'!G183,'Est mobile 2'!G183,'Est Mobile 3'!G183,'Est 2'!G183,'Est mobile 4'!G183,'Sud 1'!G183,'Sud 2'!G183,Visiteurs!G183,'Principale mobile 1'!G183,'Principale mobile 2'!G183,'Principale mobile 3'!G183,'Principale 2'!G183,'Principale mobile 4'!G183)</f>
        <v>0</v>
      </c>
      <c r="H183" s="10" t="s">
        <v>61</v>
      </c>
      <c r="I183" s="331">
        <v>14.78</v>
      </c>
      <c r="J183" s="267">
        <f t="shared" si="2"/>
        <v>0</v>
      </c>
    </row>
    <row r="184" spans="1:10" x14ac:dyDescent="0.35">
      <c r="A184" s="103"/>
      <c r="B184" s="12" t="s">
        <v>26</v>
      </c>
      <c r="C184" s="10" t="s">
        <v>340</v>
      </c>
      <c r="D184" s="94"/>
      <c r="E184" s="232">
        <f>'Nord 1'!E184+'Nord 2'!E184+'Nord Mobile 1'!E184+'Nord Mobile 2'!E184+Esplanade!E184+'Est mobile 1'!E184+'Est 1'!E184+'Est mobile 2'!E184+'Est Mobile 3'!E184+'Est 2'!E184+'Est mobile 4'!E184+'Réserve Sud'!E184+'Sud 1'!E184+'Sud 2'!E184+Visiteurs!E184+'Principale mobile 1'!E184+'Principale 1 '!E184+'Principale mobile 2'!E184+'Principale mobile 3'!E184+'Principale 2'!E184+'Principale mobile 4'!E184</f>
        <v>0</v>
      </c>
      <c r="F184" s="94"/>
      <c r="G184" s="316">
        <f>SUM('Nord Mobile 1'!G184,'Nord 1'!G184,'Nord 2'!G184,'Nord Mobile 2'!G184,Esplanade!G184,'Est mobile 1'!G184,'Est 1'!G184,'Est mobile 2'!G184,'Est Mobile 3'!G184,'Est 2'!G184,'Est mobile 4'!G184,'Sud 1'!G184,'Sud 2'!G184,Visiteurs!G184,'Principale mobile 1'!G184,'Principale mobile 2'!G184,'Principale mobile 3'!G184,'Principale 2'!G184,'Principale mobile 4'!G184)</f>
        <v>0</v>
      </c>
      <c r="H184" s="10" t="s">
        <v>61</v>
      </c>
      <c r="I184" s="331">
        <v>14.78</v>
      </c>
      <c r="J184" s="267">
        <f t="shared" si="2"/>
        <v>0</v>
      </c>
    </row>
    <row r="185" spans="1:10" x14ac:dyDescent="0.35">
      <c r="A185" s="103"/>
      <c r="B185" s="12" t="s">
        <v>26</v>
      </c>
      <c r="C185" s="10" t="s">
        <v>341</v>
      </c>
      <c r="D185" s="94"/>
      <c r="E185" s="232">
        <f>'Nord 1'!E185+'Nord 2'!E185+'Nord Mobile 1'!E185+'Nord Mobile 2'!E185+Esplanade!E185+'Est mobile 1'!E185+'Est 1'!E185+'Est mobile 2'!E185+'Est Mobile 3'!E185+'Est 2'!E185+'Est mobile 4'!E185+'Réserve Sud'!E185+'Sud 1'!E185+'Sud 2'!E185+Visiteurs!E185+'Principale mobile 1'!E185+'Principale 1 '!E185+'Principale mobile 2'!E185+'Principale mobile 3'!E185+'Principale 2'!E185+'Principale mobile 4'!E185</f>
        <v>0</v>
      </c>
      <c r="F185" s="94"/>
      <c r="G185" s="316">
        <f>SUM('Nord Mobile 1'!G185,'Nord 1'!G185,'Nord 2'!G185,'Nord Mobile 2'!G185,Esplanade!G185,'Est mobile 1'!G185,'Est 1'!G185,'Est mobile 2'!G185,'Est Mobile 3'!G185,'Est 2'!G185,'Est mobile 4'!G185,'Sud 1'!G185,'Sud 2'!G185,Visiteurs!G185,'Principale mobile 1'!G185,'Principale mobile 2'!G185,'Principale mobile 3'!G185,'Principale 2'!G185,'Principale mobile 4'!G185)</f>
        <v>0</v>
      </c>
      <c r="H185" s="10" t="s">
        <v>61</v>
      </c>
      <c r="I185" s="331">
        <v>14.78</v>
      </c>
      <c r="J185" s="267">
        <f t="shared" si="2"/>
        <v>0</v>
      </c>
    </row>
    <row r="186" spans="1:10" x14ac:dyDescent="0.35">
      <c r="A186" s="103"/>
      <c r="B186" s="12" t="s">
        <v>26</v>
      </c>
      <c r="C186" s="10" t="s">
        <v>342</v>
      </c>
      <c r="D186" s="94"/>
      <c r="E186" s="232">
        <f>'Nord 1'!E186+'Nord 2'!E186+'Nord Mobile 1'!E186+'Nord Mobile 2'!E186+Esplanade!E186+'Est mobile 1'!E186+'Est 1'!E186+'Est mobile 2'!E186+'Est Mobile 3'!E186+'Est 2'!E186+'Est mobile 4'!E186+'Réserve Sud'!E186+'Sud 1'!E186+'Sud 2'!E186+Visiteurs!E186+'Principale mobile 1'!E186+'Principale 1 '!E186+'Principale mobile 2'!E186+'Principale mobile 3'!E186+'Principale 2'!E186+'Principale mobile 4'!E186</f>
        <v>0</v>
      </c>
      <c r="F186" s="94"/>
      <c r="G186" s="316">
        <f>SUM('Nord Mobile 1'!G186,'Nord 1'!G186,'Nord 2'!G186,'Nord Mobile 2'!G186,Esplanade!G186,'Est mobile 1'!G186,'Est 1'!G186,'Est mobile 2'!G186,'Est Mobile 3'!G186,'Est 2'!G186,'Est mobile 4'!G186,'Sud 1'!G186,'Sud 2'!G186,Visiteurs!G186,'Principale mobile 1'!G186,'Principale mobile 2'!G186,'Principale mobile 3'!G186,'Principale 2'!G186,'Principale mobile 4'!G186)</f>
        <v>0</v>
      </c>
      <c r="H186" s="10" t="s">
        <v>61</v>
      </c>
      <c r="I186" s="331">
        <v>14.78</v>
      </c>
      <c r="J186" s="267">
        <f t="shared" si="2"/>
        <v>0</v>
      </c>
    </row>
    <row r="187" spans="1:10" ht="15.5" x14ac:dyDescent="0.35">
      <c r="A187" s="108" t="s">
        <v>343</v>
      </c>
      <c r="B187" s="108"/>
      <c r="C187" s="108"/>
      <c r="D187" s="108"/>
      <c r="E187" s="232">
        <f>'Nord 1'!E187+'Nord 2'!E187+'Nord Mobile 1'!E187+'Nord Mobile 2'!E187+Esplanade!E187+'Est mobile 1'!E187+'Est 1'!E187+'Est mobile 2'!E187+'Est Mobile 3'!E187+'Est 2'!E187+'Est mobile 4'!E187+'Réserve Sud'!E187+'Sud 1'!E187+'Sud 2'!E187+Visiteurs!E187+'Principale mobile 1'!E187+'Principale 1 '!E187+'Principale mobile 2'!E187+'Principale mobile 3'!E187+'Principale 2'!E187+'Principale mobile 4'!E187</f>
        <v>0</v>
      </c>
      <c r="F187" s="108"/>
      <c r="G187" s="316">
        <f>SUM('Nord Mobile 1'!G187,'Nord 1'!G187,'Nord 2'!G187,'Nord Mobile 2'!G187,Esplanade!G187,'Est mobile 1'!G187,'Est 1'!G187,'Est mobile 2'!G187,'Est Mobile 3'!G187,'Est 2'!G187,'Est mobile 4'!G187,'Sud 1'!G187,'Sud 2'!G187,Visiteurs!G187,'Principale mobile 1'!G187,'Principale mobile 2'!G187,'Principale mobile 3'!G187,'Principale 2'!G187,'Principale mobile 4'!G187)</f>
        <v>0</v>
      </c>
      <c r="H187" s="108"/>
      <c r="I187" s="106" t="s">
        <v>18</v>
      </c>
      <c r="J187" s="247">
        <f>SUM(J188:J192)</f>
        <v>993.11999999999989</v>
      </c>
    </row>
    <row r="188" spans="1:10" x14ac:dyDescent="0.35">
      <c r="A188" s="103"/>
      <c r="B188" s="7" t="s">
        <v>6</v>
      </c>
      <c r="C188" s="14" t="s">
        <v>344</v>
      </c>
      <c r="D188" s="94"/>
      <c r="E188" s="232">
        <f>'Nord 1'!E188+'Nord 2'!E188+'Nord Mobile 1'!E188+'Nord Mobile 2'!E188+Esplanade!E188+'Est mobile 1'!E188+'Est 1'!E188+'Est mobile 2'!E188+'Est Mobile 3'!E188+'Est 2'!E188+'Est mobile 4'!E188+'Réserve Sud'!E188+'Sud 1'!E188+'Sud 2'!E188+Visiteurs!E188+'Principale mobile 1'!E188+'Principale 1 '!E188+'Principale mobile 2'!E188+'Principale mobile 3'!E188+'Principale 2'!E188+'Principale mobile 4'!E188</f>
        <v>0</v>
      </c>
      <c r="F188" s="94"/>
      <c r="G188" s="316">
        <f>SUM('Nord Mobile 1'!G188,'Nord 1'!G188,'Nord 2'!G188,'Nord Mobile 2'!G188,Esplanade!G188,'Est mobile 1'!G188,'Est 1'!G188,'Est mobile 2'!G188,'Est Mobile 3'!G188,'Est 2'!G188,'Est mobile 4'!G188,'Sud 1'!G188,'Sud 2'!G188,Visiteurs!G188,'Principale mobile 1'!G188,'Principale mobile 2'!G188,'Principale mobile 3'!G188,'Principale 2'!G188,'Principale mobile 4'!G188)</f>
        <v>0</v>
      </c>
      <c r="H188" s="14" t="s">
        <v>20</v>
      </c>
      <c r="I188" s="336">
        <v>0.79</v>
      </c>
      <c r="J188" s="267">
        <f t="shared" si="2"/>
        <v>0</v>
      </c>
    </row>
    <row r="189" spans="1:10" x14ac:dyDescent="0.35">
      <c r="A189" s="103"/>
      <c r="B189" s="7" t="s">
        <v>6</v>
      </c>
      <c r="C189" s="14" t="s">
        <v>345</v>
      </c>
      <c r="D189" s="94"/>
      <c r="E189" s="232">
        <f>'Nord 1'!E189+'Nord 2'!E189+'Nord Mobile 1'!E189+'Nord Mobile 2'!E189+Esplanade!E189+'Est mobile 1'!E189+'Est 1'!E189+'Est mobile 2'!E189+'Est Mobile 3'!E189+'Est 2'!E189+'Est mobile 4'!E189+'Réserve Sud'!E189+'Sud 1'!E189+'Sud 2'!E189+Visiteurs!E189+'Principale mobile 1'!E189+'Principale 1 '!E189+'Principale mobile 2'!E189+'Principale mobile 3'!E189+'Principale 2'!E189+'Principale mobile 4'!E189</f>
        <v>337</v>
      </c>
      <c r="F189" s="94"/>
      <c r="G189" s="316">
        <f>SUM('Nord Mobile 1'!G189,'Nord 1'!G189,'Nord 2'!G189,'Nord Mobile 2'!G189,Esplanade!G189,'Est mobile 1'!G189,'Est 1'!G189,'Est mobile 2'!G189,'Est Mobile 3'!G189,'Est 2'!G189,'Est mobile 4'!G189,'Sud 1'!G189,'Sud 2'!G189,Visiteurs!G189,'Principale mobile 1'!G189,'Principale mobile 2'!G189,'Principale mobile 3'!G189,'Principale 2'!G189,'Principale mobile 4'!G189)</f>
        <v>0</v>
      </c>
      <c r="H189" s="14" t="s">
        <v>20</v>
      </c>
      <c r="I189" s="336">
        <v>2.76</v>
      </c>
      <c r="J189" s="267">
        <f t="shared" si="2"/>
        <v>930.11999999999989</v>
      </c>
    </row>
    <row r="190" spans="1:10" x14ac:dyDescent="0.35">
      <c r="A190" s="103"/>
      <c r="B190" s="7" t="s">
        <v>6</v>
      </c>
      <c r="C190" s="14" t="s">
        <v>346</v>
      </c>
      <c r="D190" s="94"/>
      <c r="E190" s="232">
        <f>'Nord 1'!E190+'Nord 2'!E190+'Nord Mobile 1'!E190+'Nord Mobile 2'!E190+Esplanade!E190+'Est mobile 1'!E190+'Est 1'!E190+'Est mobile 2'!E190+'Est Mobile 3'!E190+'Est 2'!E190+'Est mobile 4'!E190+'Réserve Sud'!E190+'Sud 1'!E190+'Sud 2'!E190+Visiteurs!E190+'Principale mobile 1'!E190+'Principale 1 '!E190+'Principale mobile 2'!E190+'Principale mobile 3'!E190+'Principale 2'!E190+'Principale mobile 4'!E190</f>
        <v>0</v>
      </c>
      <c r="F190" s="94"/>
      <c r="G190" s="316">
        <f>SUM('Nord Mobile 1'!G190,'Nord 1'!G190,'Nord 2'!G190,'Nord Mobile 2'!G190,Esplanade!G190,'Est mobile 1'!G190,'Est 1'!G190,'Est mobile 2'!G190,'Est Mobile 3'!G190,'Est 2'!G190,'Est mobile 4'!G190,'Sud 1'!G190,'Sud 2'!G190,Visiteurs!G190,'Principale mobile 1'!G190,'Principale mobile 2'!G190,'Principale mobile 3'!G190,'Principale 2'!G190,'Principale mobile 4'!G190)</f>
        <v>0</v>
      </c>
      <c r="H190" s="14" t="s">
        <v>20</v>
      </c>
      <c r="I190" s="336">
        <v>1</v>
      </c>
      <c r="J190" s="267">
        <f t="shared" si="2"/>
        <v>0</v>
      </c>
    </row>
    <row r="191" spans="1:10" x14ac:dyDescent="0.35">
      <c r="A191" s="103"/>
      <c r="B191" s="7" t="s">
        <v>6</v>
      </c>
      <c r="C191" s="14" t="s">
        <v>34</v>
      </c>
      <c r="D191" s="94"/>
      <c r="E191" s="232">
        <f>'Nord 1'!E191+'Nord 2'!E191+'Nord Mobile 1'!E191+'Nord Mobile 2'!E191+Esplanade!E191+'Est mobile 1'!E191+'Est 1'!E191+'Est mobile 2'!E191+'Est Mobile 3'!E191+'Est 2'!E191+'Est mobile 4'!E191+'Réserve Sud'!E191+'Sud 1'!E191+'Sud 2'!E191+Visiteurs!E191+'Principale mobile 1'!E191+'Principale 1 '!E191+'Principale mobile 2'!E191+'Principale mobile 3'!E191+'Principale 2'!E191+'Principale mobile 4'!E191</f>
        <v>23</v>
      </c>
      <c r="F191" s="94"/>
      <c r="G191" s="316">
        <f>SUM('Nord Mobile 1'!G191,'Nord 1'!G191,'Nord 2'!G191,'Nord Mobile 2'!G191,Esplanade!G191,'Est mobile 1'!G191,'Est 1'!G191,'Est mobile 2'!G191,'Est Mobile 3'!G191,'Est 2'!G191,'Est mobile 4'!G191,'Sud 1'!G191,'Sud 2'!G191,Visiteurs!G191,'Principale mobile 1'!G191,'Principale mobile 2'!G191,'Principale mobile 3'!G191,'Principale 2'!G191,'Principale mobile 4'!G191)</f>
        <v>38</v>
      </c>
      <c r="H191" s="14" t="s">
        <v>20</v>
      </c>
      <c r="I191" s="336">
        <v>1.8</v>
      </c>
      <c r="J191" s="267">
        <f t="shared" si="2"/>
        <v>41.4</v>
      </c>
    </row>
    <row r="192" spans="1:10" x14ac:dyDescent="0.35">
      <c r="A192" s="103"/>
      <c r="B192" s="7" t="s">
        <v>6</v>
      </c>
      <c r="C192" s="14" t="s">
        <v>35</v>
      </c>
      <c r="D192" s="94"/>
      <c r="E192" s="232">
        <f>'Nord 1'!E192+'Nord 2'!E192+'Nord Mobile 1'!E192+'Nord Mobile 2'!E192+Esplanade!E192+'Est mobile 1'!E192+'Est 1'!E192+'Est mobile 2'!E192+'Est Mobile 3'!E192+'Est 2'!E192+'Est mobile 4'!E192+'Réserve Sud'!E192+'Sud 1'!E192+'Sud 2'!E192+Visiteurs!E192+'Principale mobile 1'!E192+'Principale 1 '!E192+'Principale mobile 2'!E192+'Principale mobile 3'!E192+'Principale 2'!E192+'Principale mobile 4'!E192</f>
        <v>12</v>
      </c>
      <c r="F192" s="94"/>
      <c r="G192" s="316">
        <f>SUM('Nord Mobile 1'!G192,'Nord 1'!G192,'Nord 2'!G192,'Nord Mobile 2'!G192,Esplanade!G192,'Est mobile 1'!G192,'Est 1'!G192,'Est mobile 2'!G192,'Est Mobile 3'!G192,'Est 2'!G192,'Est mobile 4'!G192,'Sud 1'!G192,'Sud 2'!G192,Visiteurs!G192,'Principale mobile 1'!G192,'Principale mobile 2'!G192,'Principale mobile 3'!G192,'Principale 2'!G192,'Principale mobile 4'!G192)</f>
        <v>28</v>
      </c>
      <c r="H192" s="14" t="s">
        <v>20</v>
      </c>
      <c r="I192" s="336">
        <v>1.8</v>
      </c>
      <c r="J192" s="267">
        <f t="shared" si="2"/>
        <v>21.6</v>
      </c>
    </row>
    <row r="193" spans="1:10" ht="15.5" x14ac:dyDescent="0.35">
      <c r="A193" s="112" t="s">
        <v>347</v>
      </c>
      <c r="B193" s="116"/>
      <c r="C193" s="116"/>
      <c r="D193" s="116"/>
      <c r="E193" s="232">
        <f>'Nord 1'!E193+'Nord 2'!E193+'Nord Mobile 1'!E193+'Nord Mobile 2'!E193+Esplanade!E193+'Est mobile 1'!E193+'Est 1'!E193+'Est mobile 2'!E193+'Est Mobile 3'!E193+'Est 2'!E193+'Est mobile 4'!E193+'Réserve Sud'!E193+'Sud 1'!E193+'Sud 2'!E193+Visiteurs!E193+'Principale mobile 1'!E193+'Principale 1 '!E193+'Principale mobile 2'!E193+'Principale mobile 3'!E193+'Principale 2'!E193+'Principale mobile 4'!E193</f>
        <v>0</v>
      </c>
      <c r="F193" s="116"/>
      <c r="G193" s="316">
        <f>SUM('Nord Mobile 1'!G193,'Nord 1'!G193,'Nord 2'!G193,'Nord Mobile 2'!G193,Esplanade!G193,'Est mobile 1'!G193,'Est 1'!G193,'Est mobile 2'!G193,'Est Mobile 3'!G193,'Est 2'!G193,'Est mobile 4'!G193,'Sud 1'!G193,'Sud 2'!G193,Visiteurs!G193,'Principale mobile 1'!G193,'Principale mobile 2'!G193,'Principale mobile 3'!G193,'Principale 2'!G193,'Principale mobile 4'!G193)</f>
        <v>0</v>
      </c>
      <c r="H193" s="117"/>
      <c r="I193" s="118" t="s">
        <v>18</v>
      </c>
      <c r="J193" s="247">
        <f>J194</f>
        <v>0</v>
      </c>
    </row>
    <row r="194" spans="1:10" x14ac:dyDescent="0.35">
      <c r="A194" s="103"/>
      <c r="B194" s="12" t="s">
        <v>5</v>
      </c>
      <c r="C194" s="10" t="s">
        <v>55</v>
      </c>
      <c r="D194" s="94"/>
      <c r="E194" s="232">
        <f>'Nord 1'!E194+'Nord 2'!E194+'Nord Mobile 1'!E194+'Nord Mobile 2'!E194+Esplanade!E194+'Est mobile 1'!E194+'Est 1'!E194+'Est mobile 2'!E194+'Est Mobile 3'!E194+'Est 2'!E194+'Est mobile 4'!E194+'Réserve Sud'!E194+'Sud 1'!E194+'Sud 2'!E194+Visiteurs!E194+'Principale mobile 1'!E194+'Principale 1 '!E194+'Principale mobile 2'!E194+'Principale mobile 3'!E194+'Principale 2'!E194+'Principale mobile 4'!E194</f>
        <v>0</v>
      </c>
      <c r="F194" s="94"/>
      <c r="G194" s="316">
        <f>SUM('Nord Mobile 1'!G194,'Nord 1'!G194,'Nord 2'!G194,'Nord Mobile 2'!G194,Esplanade!G194,'Est mobile 1'!G194,'Est 1'!G194,'Est mobile 2'!G194,'Est Mobile 3'!G194,'Est 2'!G194,'Est mobile 4'!G194,'Sud 1'!G194,'Sud 2'!G194,Visiteurs!G194,'Principale mobile 1'!G194,'Principale mobile 2'!G194,'Principale mobile 3'!G194,'Principale 2'!G194,'Principale mobile 4'!G194)</f>
        <v>0</v>
      </c>
      <c r="H194" s="10" t="s">
        <v>20</v>
      </c>
      <c r="I194" s="331">
        <v>1.01</v>
      </c>
      <c r="J194" s="267">
        <f t="shared" si="2"/>
        <v>0</v>
      </c>
    </row>
    <row r="195" spans="1:10" ht="15.5" x14ac:dyDescent="0.35">
      <c r="A195" s="112" t="s">
        <v>348</v>
      </c>
      <c r="B195" s="116"/>
      <c r="C195" s="116"/>
      <c r="D195" s="116"/>
      <c r="E195" s="232">
        <f>'Nord 1'!E195+'Nord 2'!E195+'Nord Mobile 1'!E195+'Nord Mobile 2'!E195+Esplanade!E195+'Est mobile 1'!E195+'Est 1'!E195+'Est mobile 2'!E195+'Est Mobile 3'!E195+'Est 2'!E195+'Est mobile 4'!E195+'Réserve Sud'!E195+'Sud 1'!E195+'Sud 2'!E195+Visiteurs!E195+'Principale mobile 1'!E195+'Principale 1 '!E195+'Principale mobile 2'!E195+'Principale mobile 3'!E195+'Principale 2'!E195+'Principale mobile 4'!E195</f>
        <v>0</v>
      </c>
      <c r="F195" s="116"/>
      <c r="G195" s="316">
        <f>SUM('Nord Mobile 1'!G195,'Nord 1'!G195,'Nord 2'!G195,'Nord Mobile 2'!G195,Esplanade!G195,'Est mobile 1'!G195,'Est 1'!G195,'Est mobile 2'!G195,'Est Mobile 3'!G195,'Est 2'!G195,'Est mobile 4'!G195,'Sud 1'!G195,'Sud 2'!G195,Visiteurs!G195,'Principale mobile 1'!G195,'Principale mobile 2'!G195,'Principale mobile 3'!G195,'Principale 2'!G195,'Principale mobile 4'!G195)</f>
        <v>0</v>
      </c>
      <c r="H195" s="117"/>
      <c r="I195" s="118" t="s">
        <v>18</v>
      </c>
      <c r="J195" s="247">
        <f>SUM('Inventaire Generale'!J196:J207)</f>
        <v>1100.9099999999999</v>
      </c>
    </row>
    <row r="196" spans="1:10" x14ac:dyDescent="0.35">
      <c r="A196" s="103"/>
      <c r="B196" s="20" t="s">
        <v>8</v>
      </c>
      <c r="C196" s="18" t="s">
        <v>349</v>
      </c>
      <c r="D196" s="99"/>
      <c r="E196" s="232">
        <f>'Nord 1'!E196+'Nord 2'!E196+'Nord Mobile 1'!E196+'Nord Mobile 2'!E196+Esplanade!E196+'Est mobile 1'!E196+'Est 1'!E196+'Est mobile 2'!E196+'Est Mobile 3'!E196+'Est 2'!E196+'Est mobile 4'!E196+'Réserve Sud'!E196+'Sud 1'!E196+'Sud 2'!E196+Visiteurs!E196+'Principale mobile 1'!E196+'Principale 1 '!E196+'Principale mobile 2'!E196+'Principale mobile 3'!E196+'Principale 2'!E196+'Principale mobile 4'!E196</f>
        <v>0</v>
      </c>
      <c r="F196" s="99"/>
      <c r="G196" s="316">
        <f>SUM('Nord Mobile 1'!G196,'Nord 1'!G196,'Nord 2'!G196,'Nord Mobile 2'!G196,Esplanade!G196,'Est mobile 1'!G196,'Est 1'!G196,'Est mobile 2'!G196,'Est Mobile 3'!G196,'Est 2'!G196,'Est mobile 4'!G196,'Sud 1'!G196,'Sud 2'!G196,Visiteurs!G196,'Principale mobile 1'!G196,'Principale mobile 2'!G196,'Principale mobile 3'!G196,'Principale 2'!G196,'Principale mobile 4'!G196)</f>
        <v>1</v>
      </c>
      <c r="H196" s="18" t="s">
        <v>27</v>
      </c>
      <c r="I196" s="337">
        <v>28.62</v>
      </c>
      <c r="J196" s="267">
        <f t="shared" si="2"/>
        <v>0</v>
      </c>
    </row>
    <row r="197" spans="1:10" x14ac:dyDescent="0.35">
      <c r="A197" s="103"/>
      <c r="B197" s="12" t="s">
        <v>8</v>
      </c>
      <c r="C197" s="10" t="s">
        <v>350</v>
      </c>
      <c r="D197" s="94"/>
      <c r="E197" s="232">
        <f>'Nord 1'!E197+'Nord 2'!E197+'Nord Mobile 1'!E197+'Nord Mobile 2'!E197+Esplanade!E197+'Est mobile 1'!E197+'Est 1'!E197+'Est mobile 2'!E197+'Est Mobile 3'!E197+'Est 2'!E197+'Est mobile 4'!E197+'Réserve Sud'!E197+'Sud 1'!E197+'Sud 2'!E197+Visiteurs!E197+'Principale mobile 1'!E197+'Principale 1 '!E197+'Principale mobile 2'!E197+'Principale mobile 3'!E197+'Principale 2'!E197+'Principale mobile 4'!E197</f>
        <v>0</v>
      </c>
      <c r="F197" s="94"/>
      <c r="G197" s="316">
        <f>SUM('Nord Mobile 1'!G197,'Nord 1'!G197,'Nord 2'!G197,'Nord Mobile 2'!G197,Esplanade!G197,'Est mobile 1'!G197,'Est 1'!G197,'Est mobile 2'!G197,'Est Mobile 3'!G197,'Est 2'!G197,'Est mobile 4'!G197,'Sud 1'!G197,'Sud 2'!G197,Visiteurs!G197,'Principale mobile 1'!G197,'Principale mobile 2'!G197,'Principale mobile 3'!G197,'Principale 2'!G197,'Principale mobile 4'!G197)</f>
        <v>0</v>
      </c>
      <c r="H197" s="10" t="s">
        <v>335</v>
      </c>
      <c r="I197" s="338">
        <v>30</v>
      </c>
      <c r="J197" s="267">
        <f t="shared" si="2"/>
        <v>0</v>
      </c>
    </row>
    <row r="198" spans="1:10" x14ac:dyDescent="0.35">
      <c r="A198" s="103"/>
      <c r="B198" s="12" t="s">
        <v>8</v>
      </c>
      <c r="C198" s="10" t="s">
        <v>351</v>
      </c>
      <c r="D198" s="94"/>
      <c r="E198" s="232">
        <f>'Nord 1'!E198+'Nord 2'!E198+'Nord Mobile 1'!E198+'Nord Mobile 2'!E198+Esplanade!E198+'Est mobile 1'!E198+'Est 1'!E198+'Est mobile 2'!E198+'Est Mobile 3'!E198+'Est 2'!E198+'Est mobile 4'!E198+'Réserve Sud'!E198+'Sud 1'!E198+'Sud 2'!E198+Visiteurs!E198+'Principale mobile 1'!E198+'Principale 1 '!E198+'Principale mobile 2'!E198+'Principale mobile 3'!E198+'Principale 2'!E198+'Principale mobile 4'!E198</f>
        <v>0</v>
      </c>
      <c r="F198" s="94"/>
      <c r="G198" s="316">
        <f>SUM('Nord Mobile 1'!G198,'Nord 1'!G198,'Nord 2'!G198,'Nord Mobile 2'!G198,Esplanade!G198,'Est mobile 1'!G198,'Est 1'!G198,'Est mobile 2'!G198,'Est Mobile 3'!G198,'Est 2'!G198,'Est mobile 4'!G198,'Sud 1'!G198,'Sud 2'!G198,Visiteurs!G198,'Principale mobile 1'!G198,'Principale mobile 2'!G198,'Principale mobile 3'!G198,'Principale 2'!G198,'Principale mobile 4'!G198)</f>
        <v>0</v>
      </c>
      <c r="H198" s="10" t="s">
        <v>335</v>
      </c>
      <c r="I198" s="331">
        <v>1.1499999999999999</v>
      </c>
      <c r="J198" s="267">
        <f t="shared" si="2"/>
        <v>0</v>
      </c>
    </row>
    <row r="199" spans="1:10" x14ac:dyDescent="0.35">
      <c r="A199" s="103"/>
      <c r="B199" s="12" t="s">
        <v>8</v>
      </c>
      <c r="C199" s="10" t="s">
        <v>352</v>
      </c>
      <c r="D199" s="94"/>
      <c r="E199" s="232">
        <f>'Nord 1'!E199+'Nord 2'!E199+'Nord Mobile 1'!E199+'Nord Mobile 2'!E199+Esplanade!E199+'Est mobile 1'!E199+'Est 1'!E199+'Est mobile 2'!E199+'Est Mobile 3'!E199+'Est 2'!E199+'Est mobile 4'!E199+'Réserve Sud'!E199+'Sud 1'!E199+'Sud 2'!E199+Visiteurs!E199+'Principale mobile 1'!E199+'Principale 1 '!E199+'Principale mobile 2'!E199+'Principale mobile 3'!E199+'Principale 2'!E199+'Principale mobile 4'!E199</f>
        <v>15</v>
      </c>
      <c r="F199" s="94"/>
      <c r="G199" s="316">
        <f>SUM('Nord Mobile 1'!G199,'Nord 1'!G199,'Nord 2'!G199,'Nord Mobile 2'!G199,Esplanade!G199,'Est mobile 1'!G199,'Est 1'!G199,'Est mobile 2'!G199,'Est Mobile 3'!G199,'Est 2'!G199,'Est mobile 4'!G199,'Sud 1'!G199,'Sud 2'!G199,Visiteurs!G199,'Principale mobile 1'!G199,'Principale mobile 2'!G199,'Principale mobile 3'!G199,'Principale 2'!G199,'Principale mobile 4'!G199)</f>
        <v>7</v>
      </c>
      <c r="H199" s="10" t="s">
        <v>27</v>
      </c>
      <c r="I199" s="331">
        <v>23.83</v>
      </c>
      <c r="J199" s="267">
        <f t="shared" si="2"/>
        <v>357.45</v>
      </c>
    </row>
    <row r="200" spans="1:10" x14ac:dyDescent="0.35">
      <c r="A200" s="103"/>
      <c r="B200" s="12" t="s">
        <v>8</v>
      </c>
      <c r="C200" s="10" t="s">
        <v>353</v>
      </c>
      <c r="D200" s="94"/>
      <c r="E200" s="232">
        <f>'Nord 1'!E200+'Nord 2'!E200+'Nord Mobile 1'!E200+'Nord Mobile 2'!E200+Esplanade!E200+'Est mobile 1'!E200+'Est 1'!E200+'Est mobile 2'!E200+'Est Mobile 3'!E200+'Est 2'!E200+'Est mobile 4'!E200+'Réserve Sud'!E200+'Sud 1'!E200+'Sud 2'!E200+Visiteurs!E200+'Principale mobile 1'!E200+'Principale 1 '!E200+'Principale mobile 2'!E200+'Principale mobile 3'!E200+'Principale 2'!E200+'Principale mobile 4'!E200</f>
        <v>13</v>
      </c>
      <c r="F200" s="94"/>
      <c r="G200" s="316">
        <f>SUM('Nord Mobile 1'!G200,'Nord 1'!G200,'Nord 2'!G200,'Nord Mobile 2'!G200,Esplanade!G200,'Est mobile 1'!G200,'Est 1'!G200,'Est mobile 2'!G200,'Est Mobile 3'!G200,'Est 2'!G200,'Est mobile 4'!G200,'Sud 1'!G200,'Sud 2'!G200,Visiteurs!G200,'Principale mobile 1'!G200,'Principale mobile 2'!G200,'Principale mobile 3'!G200,'Principale 2'!G200,'Principale mobile 4'!G200)</f>
        <v>4</v>
      </c>
      <c r="H200" s="10" t="s">
        <v>27</v>
      </c>
      <c r="I200" s="331">
        <v>28.89</v>
      </c>
      <c r="J200" s="267">
        <f t="shared" si="2"/>
        <v>375.57</v>
      </c>
    </row>
    <row r="201" spans="1:10" x14ac:dyDescent="0.35">
      <c r="A201" s="103"/>
      <c r="B201" s="12" t="s">
        <v>8</v>
      </c>
      <c r="C201" s="10" t="s">
        <v>354</v>
      </c>
      <c r="D201" s="94"/>
      <c r="E201" s="232">
        <f>'Nord 1'!E201+'Nord 2'!E201+'Nord Mobile 1'!E201+'Nord Mobile 2'!E201+Esplanade!E201+'Est mobile 1'!E201+'Est 1'!E201+'Est mobile 2'!E201+'Est Mobile 3'!E201+'Est 2'!E201+'Est mobile 4'!E201+'Réserve Sud'!E201+'Sud 1'!E201+'Sud 2'!E201+Visiteurs!E201+'Principale mobile 1'!E201+'Principale 1 '!E201+'Principale mobile 2'!E201+'Principale mobile 3'!E201+'Principale 2'!E201+'Principale mobile 4'!E201</f>
        <v>13</v>
      </c>
      <c r="F201" s="94"/>
      <c r="G201" s="316">
        <f>SUM('Nord Mobile 1'!G201,'Nord 1'!G201,'Nord 2'!G201,'Nord Mobile 2'!G201,Esplanade!G201,'Est mobile 1'!G201,'Est 1'!G201,'Est mobile 2'!G201,'Est Mobile 3'!G201,'Est 2'!G201,'Est mobile 4'!G201,'Sud 1'!G201,'Sud 2'!G201,Visiteurs!G201,'Principale mobile 1'!G201,'Principale mobile 2'!G201,'Principale mobile 3'!G201,'Principale 2'!G201,'Principale mobile 4'!G201)</f>
        <v>6</v>
      </c>
      <c r="H201" s="10" t="s">
        <v>27</v>
      </c>
      <c r="I201" s="331">
        <v>19.37</v>
      </c>
      <c r="J201" s="267">
        <f>E201*I201</f>
        <v>251.81</v>
      </c>
    </row>
    <row r="202" spans="1:10" x14ac:dyDescent="0.35">
      <c r="A202" s="103"/>
      <c r="B202" s="12" t="s">
        <v>8</v>
      </c>
      <c r="C202" s="10" t="s">
        <v>429</v>
      </c>
      <c r="D202" s="94"/>
      <c r="E202" s="232">
        <f>'Nord 1'!E202+'Nord 2'!E202+'Nord Mobile 1'!E202+'Nord Mobile 2'!E202+Esplanade!E202+'Est mobile 1'!E202+'Est 1'!E202+'Est mobile 2'!E202+'Est Mobile 3'!E202+'Est 2'!E202+'Est mobile 4'!E202+'Réserve Sud'!E202+'Sud 1'!E202+'Sud 2'!E202+Visiteurs!E202+'Principale mobile 1'!E202+'Principale 1 '!E202+'Principale mobile 2'!E202+'Principale mobile 3'!E202+'Principale 2'!E202+'Principale mobile 4'!E202</f>
        <v>0</v>
      </c>
      <c r="F202" s="94"/>
      <c r="G202" s="316">
        <f>SUM('Nord Mobile 1'!G202,'Nord 1'!G202,'Nord 2'!G202,'Nord Mobile 2'!G202,Esplanade!G202,'Est mobile 1'!G202,'Est 1'!G202,'Est mobile 2'!G202,'Est Mobile 3'!G202,'Est 2'!G202,'Est mobile 4'!G202,'Sud 1'!G202,'Sud 2'!G202,Visiteurs!G202,'Principale mobile 1'!G202,'Principale mobile 2'!G202,'Principale mobile 3'!G202,'Principale 2'!G202,'Principale mobile 4'!G202)</f>
        <v>0</v>
      </c>
      <c r="H202" s="10" t="s">
        <v>27</v>
      </c>
      <c r="I202" s="331">
        <v>14.07</v>
      </c>
      <c r="J202" s="267"/>
    </row>
    <row r="203" spans="1:10" x14ac:dyDescent="0.35">
      <c r="A203" s="103"/>
      <c r="B203" s="12" t="s">
        <v>8</v>
      </c>
      <c r="C203" s="10" t="s">
        <v>430</v>
      </c>
      <c r="D203" s="94"/>
      <c r="E203" s="232">
        <f>'Nord 1'!E203+'Nord 2'!E203+'Nord Mobile 1'!E203+'Nord Mobile 2'!E203+Esplanade!E203+'Est mobile 1'!E203+'Est 1'!E203+'Est mobile 2'!E203+'Est Mobile 3'!E203+'Est 2'!E203+'Est mobile 4'!E203+'Réserve Sud'!E203+'Sud 1'!E203+'Sud 2'!E203+Visiteurs!E203+'Principale mobile 1'!E203+'Principale 1 '!E203+'Principale mobile 2'!E203+'Principale mobile 3'!E203+'Principale 2'!E203+'Principale mobile 4'!E203</f>
        <v>0</v>
      </c>
      <c r="F203" s="94"/>
      <c r="G203" s="316">
        <f>SUM('Nord Mobile 1'!G203,'Nord 1'!G203,'Nord 2'!G203,'Nord Mobile 2'!G203,Esplanade!G203,'Est mobile 1'!G203,'Est 1'!G203,'Est mobile 2'!G203,'Est Mobile 3'!G203,'Est 2'!G203,'Est mobile 4'!G203,'Sud 1'!G203,'Sud 2'!G203,Visiteurs!G203,'Principale mobile 1'!G203,'Principale mobile 2'!G203,'Principale mobile 3'!G203,'Principale 2'!G203,'Principale mobile 4'!G203)</f>
        <v>0</v>
      </c>
      <c r="H203" s="10" t="s">
        <v>27</v>
      </c>
      <c r="I203" s="331">
        <v>16.07</v>
      </c>
      <c r="J203" s="267"/>
    </row>
    <row r="204" spans="1:10" x14ac:dyDescent="0.35">
      <c r="A204" s="103"/>
      <c r="B204" s="12" t="s">
        <v>8</v>
      </c>
      <c r="C204" s="10" t="s">
        <v>431</v>
      </c>
      <c r="D204" s="94"/>
      <c r="E204" s="232">
        <f>'Nord 1'!E204+'Nord 2'!E204+'Nord Mobile 1'!E204+'Nord Mobile 2'!E204+Esplanade!E204+'Est mobile 1'!E204+'Est 1'!E204+'Est mobile 2'!E204+'Est Mobile 3'!E204+'Est 2'!E204+'Est mobile 4'!E204+'Réserve Sud'!E204+'Sud 1'!E204+'Sud 2'!E204+Visiteurs!E204+'Principale mobile 1'!E204+'Principale 1 '!E204+'Principale mobile 2'!E204+'Principale mobile 3'!E204+'Principale 2'!E204+'Principale mobile 4'!E204</f>
        <v>0</v>
      </c>
      <c r="G204" s="316">
        <f>SUM('Nord Mobile 1'!G204,'Nord 1'!G204,'Nord 2'!G204,'Nord Mobile 2'!G204,Esplanade!G204,'Est mobile 1'!G204,'Est 1'!G204,'Est mobile 2'!G204,'Est Mobile 3'!G204,'Est 2'!G204,'Est mobile 4'!G204,'Sud 1'!G204,'Sud 2'!G204,Visiteurs!G204,'Principale mobile 1'!G204,'Principale mobile 2'!G204,'Principale mobile 3'!G204,'Principale 2'!G204,'Principale mobile 4'!G204)</f>
        <v>0</v>
      </c>
      <c r="H204" s="10" t="s">
        <v>27</v>
      </c>
      <c r="I204" s="339">
        <v>14.62</v>
      </c>
      <c r="J204" s="267"/>
    </row>
    <row r="205" spans="1:10" x14ac:dyDescent="0.35">
      <c r="A205" s="103"/>
      <c r="B205" s="12" t="s">
        <v>8</v>
      </c>
      <c r="C205" s="10" t="s">
        <v>355</v>
      </c>
      <c r="D205" s="94"/>
      <c r="E205" s="232">
        <f>'Nord 1'!E205+'Nord 2'!E205+'Nord Mobile 1'!E205+'Nord Mobile 2'!E205+Esplanade!E205+'Est mobile 1'!E205+'Est 1'!E205+'Est mobile 2'!E205+'Est Mobile 3'!E205+'Est 2'!E205+'Est mobile 4'!E205+'Réserve Sud'!E205+'Sud 1'!E205+'Sud 2'!E205+Visiteurs!E205+'Principale mobile 1'!E205+'Principale 1 '!E205+'Principale mobile 2'!E205+'Principale mobile 3'!E205+'Principale 2'!E205+'Principale mobile 4'!E205</f>
        <v>2</v>
      </c>
      <c r="F205" s="94"/>
      <c r="G205" s="316">
        <f>SUM('Nord Mobile 1'!G205,'Nord 1'!G205,'Nord 2'!G205,'Nord Mobile 2'!G205,Esplanade!G205,'Est mobile 1'!G205,'Est 1'!G205,'Est mobile 2'!G205,'Est Mobile 3'!G205,'Est 2'!G205,'Est mobile 4'!G205,'Sud 1'!G205,'Sud 2'!G205,Visiteurs!G205,'Principale mobile 1'!G205,'Principale mobile 2'!G205,'Principale mobile 3'!G205,'Principale 2'!G205,'Principale mobile 4'!G205)</f>
        <v>0</v>
      </c>
      <c r="H205" s="10" t="s">
        <v>61</v>
      </c>
      <c r="I205" s="331">
        <v>17.11</v>
      </c>
      <c r="J205" s="267">
        <f t="shared" si="2"/>
        <v>34.22</v>
      </c>
    </row>
    <row r="206" spans="1:10" x14ac:dyDescent="0.35">
      <c r="A206" s="103"/>
      <c r="B206" s="12" t="s">
        <v>8</v>
      </c>
      <c r="C206" s="10" t="s">
        <v>356</v>
      </c>
      <c r="D206" s="94"/>
      <c r="E206" s="232">
        <f>'Nord 1'!E206+'Nord 2'!E206+'Nord Mobile 1'!E206+'Nord Mobile 2'!E206+Esplanade!E206+'Est mobile 1'!E206+'Est 1'!E206+'Est mobile 2'!E206+'Est Mobile 3'!E206+'Est 2'!E206+'Est mobile 4'!E206+'Réserve Sud'!E206+'Sud 1'!E206+'Sud 2'!E206+Visiteurs!E206+'Principale mobile 1'!E206+'Principale 1 '!E206+'Principale mobile 2'!E206+'Principale mobile 3'!E206+'Principale 2'!E206+'Principale mobile 4'!E206</f>
        <v>2</v>
      </c>
      <c r="F206" s="94"/>
      <c r="G206" s="316">
        <f>SUM('Nord Mobile 1'!G206,'Nord 1'!G206,'Nord 2'!G206,'Nord Mobile 2'!G206,Esplanade!G206,'Est mobile 1'!G206,'Est 1'!G206,'Est mobile 2'!G206,'Est Mobile 3'!G206,'Est 2'!G206,'Est mobile 4'!G206,'Sud 1'!G206,'Sud 2'!G206,Visiteurs!G206,'Principale mobile 1'!G206,'Principale mobile 2'!G206,'Principale mobile 3'!G206,'Principale 2'!G206,'Principale mobile 4'!G206)</f>
        <v>0</v>
      </c>
      <c r="H206" s="10" t="s">
        <v>61</v>
      </c>
      <c r="I206" s="331">
        <v>22.13</v>
      </c>
      <c r="J206" s="267">
        <f t="shared" si="2"/>
        <v>44.26</v>
      </c>
    </row>
    <row r="207" spans="1:10" x14ac:dyDescent="0.35">
      <c r="A207" s="103"/>
      <c r="B207" s="40" t="s">
        <v>8</v>
      </c>
      <c r="C207" s="41" t="s">
        <v>357</v>
      </c>
      <c r="D207" s="98"/>
      <c r="E207" s="232">
        <f>'Nord 1'!E207+'Nord 2'!E207+'Nord Mobile 1'!E207+'Nord Mobile 2'!E207+Esplanade!E207+'Est mobile 1'!E207+'Est 1'!E207+'Est mobile 2'!E207+'Est Mobile 3'!E207+'Est 2'!E207+'Est mobile 4'!E207+'Réserve Sud'!E207+'Sud 1'!E207+'Sud 2'!E207+Visiteurs!E207+'Principale mobile 1'!E207+'Principale 1 '!E207+'Principale mobile 2'!E207+'Principale mobile 3'!E207+'Principale 2'!E207+'Principale mobile 4'!E207</f>
        <v>2</v>
      </c>
      <c r="F207" s="98"/>
      <c r="G207" s="316">
        <f>SUM('Nord Mobile 1'!G207,'Nord 1'!G207,'Nord 2'!G207,'Nord Mobile 2'!G207,Esplanade!G207,'Est mobile 1'!G207,'Est 1'!G207,'Est mobile 2'!G207,'Est Mobile 3'!G207,'Est 2'!G207,'Est mobile 4'!G207,'Sud 1'!G207,'Sud 2'!G207,Visiteurs!G207,'Principale mobile 1'!G207,'Principale mobile 2'!G207,'Principale mobile 3'!G207,'Principale 2'!G207,'Principale mobile 4'!G207)</f>
        <v>0</v>
      </c>
      <c r="H207" s="41" t="s">
        <v>61</v>
      </c>
      <c r="I207" s="334">
        <v>18.8</v>
      </c>
      <c r="J207" s="267">
        <f t="shared" si="2"/>
        <v>37.6</v>
      </c>
    </row>
    <row r="208" spans="1:10" ht="15.5" x14ac:dyDescent="0.35">
      <c r="A208" s="112" t="s">
        <v>358</v>
      </c>
      <c r="B208" s="116"/>
      <c r="C208" s="116"/>
      <c r="D208" s="116"/>
      <c r="E208" s="232">
        <f>'Nord 1'!E208+'Nord 2'!E208+'Nord Mobile 1'!E208+'Nord Mobile 2'!E208+Esplanade!E208+'Est mobile 1'!E208+'Est 1'!E208+'Est mobile 2'!E208+'Est Mobile 3'!E208+'Est 2'!E208+'Est mobile 4'!E208+'Réserve Sud'!E208+'Sud 1'!E208+'Sud 2'!E208+Visiteurs!E208+'Principale mobile 1'!E208+'Principale 1 '!E208+'Principale mobile 2'!E208+'Principale mobile 3'!E208+'Principale 2'!E208+'Principale mobile 4'!E208</f>
        <v>0</v>
      </c>
      <c r="F208" s="116"/>
      <c r="G208" s="316">
        <f>SUM('Nord Mobile 1'!G208,'Nord 1'!G208,'Nord 2'!G208,'Nord Mobile 2'!G208,Esplanade!G208,'Est mobile 1'!G208,'Est 1'!G208,'Est mobile 2'!G208,'Est Mobile 3'!G208,'Est 2'!G208,'Est mobile 4'!G208,'Sud 1'!G208,'Sud 2'!G208,Visiteurs!G208,'Principale mobile 1'!G208,'Principale mobile 2'!G208,'Principale mobile 3'!G208,'Principale 2'!G208,'Principale mobile 4'!G208)</f>
        <v>0</v>
      </c>
      <c r="H208" s="117"/>
      <c r="I208" s="118" t="s">
        <v>18</v>
      </c>
      <c r="J208" s="247">
        <f>J209+J210+J211+J212+J213</f>
        <v>9168.26</v>
      </c>
    </row>
    <row r="209" spans="1:10" x14ac:dyDescent="0.35">
      <c r="A209" s="103"/>
      <c r="B209" s="13" t="s">
        <v>11</v>
      </c>
      <c r="C209" s="298" t="s">
        <v>359</v>
      </c>
      <c r="D209" s="303"/>
      <c r="E209" s="308">
        <f>'Nord 1'!E209+'Nord 2'!E209+'Nord Mobile 1'!E209+'Nord Mobile 2'!E209+Esplanade!E209+'Est mobile 1'!E209+'Est 1'!E209+'Est mobile 2'!E209+'Est Mobile 3'!E209+'Est 2'!E209+'Est mobile 4'!E209+'Réserve Sud'!E209+'Sud 1'!E209+'Sud 2'!E209+Visiteurs!E209+'Principale mobile 1'!E209+'Principale 1 '!E209+'Principale mobile 2'!E209+'Principale mobile 3'!E209+'Principale 2'!E209+'Principale mobile 4'!E209</f>
        <v>42</v>
      </c>
      <c r="F209" s="303"/>
      <c r="G209" s="316">
        <f>SUM('Nord Mobile 1'!G209,'Nord 1'!G209,'Nord 2'!G209,'Nord Mobile 2'!G209,Esplanade!G209,'Est mobile 1'!G209,'Est 1'!G209,'Est mobile 2'!G209,'Est Mobile 3'!G209,'Est 2'!G209,'Est mobile 4'!G209,'Sud 1'!G209,'Sud 2'!G209,Visiteurs!G209,'Principale mobile 1'!G209,'Principale mobile 2'!G209,'Principale mobile 3'!G209,'Principale 2'!G209,'Principale mobile 4'!G209)</f>
        <v>248</v>
      </c>
      <c r="H209" s="41" t="s">
        <v>52</v>
      </c>
      <c r="I209" s="334">
        <v>11.63</v>
      </c>
      <c r="J209" s="309">
        <f t="shared" si="2"/>
        <v>488.46000000000004</v>
      </c>
    </row>
    <row r="210" spans="1:10" x14ac:dyDescent="0.35">
      <c r="A210" s="103"/>
      <c r="B210" s="12" t="s">
        <v>11</v>
      </c>
      <c r="C210" s="10" t="s">
        <v>436</v>
      </c>
      <c r="D210" s="94"/>
      <c r="E210" s="308">
        <f>'Nord 1'!E210+'Nord 2'!E210+'Nord Mobile 1'!E210+'Nord Mobile 2'!E210+Esplanade!E210+'Est mobile 1'!E210+'Est 1'!E210+'Est mobile 2'!E210+'Est Mobile 3'!E210+'Est 2'!E210+'Est mobile 4'!E210+'Réserve Sud'!E210+'Sud 1'!E210+'Sud 2'!E210+Visiteurs!E210+'Principale mobile 1'!E210+'Principale 1 '!E210+'Principale mobile 2'!E210+'Principale mobile 3'!E210+'Principale 2'!E210+'Principale mobile 4'!E210</f>
        <v>221</v>
      </c>
      <c r="F210" s="94"/>
      <c r="G210" s="316">
        <f>SUM('Nord Mobile 1'!G210,'Nord 1'!G210,'Nord 2'!G210,'Nord Mobile 2'!G210,Esplanade!G210,'Est mobile 1'!G210,'Est 1'!G210,'Est mobile 2'!G210,'Est Mobile 3'!G210,'Est 2'!G210,'Est mobile 4'!G210,'Sud 1'!G210,'Sud 2'!G210,Visiteurs!G210,'Principale mobile 1'!G210,'Principale mobile 2'!G210,'Principale mobile 3'!G210,'Principale 2'!G210,'Principale mobile 4'!G210)</f>
        <v>0</v>
      </c>
      <c r="H210" s="10" t="s">
        <v>52</v>
      </c>
      <c r="I210" s="331">
        <v>16.8</v>
      </c>
      <c r="J210" s="309">
        <f t="shared" si="2"/>
        <v>3712.8</v>
      </c>
    </row>
    <row r="211" spans="1:10" x14ac:dyDescent="0.35">
      <c r="A211" s="103"/>
      <c r="B211" s="12" t="s">
        <v>11</v>
      </c>
      <c r="C211" s="10" t="s">
        <v>437</v>
      </c>
      <c r="D211" s="94"/>
      <c r="E211" s="308">
        <f>'Nord 1'!E211+'Nord 2'!E211+'Nord Mobile 1'!E211+'Nord Mobile 2'!E211+Esplanade!E211+'Est mobile 1'!E211+'Est 1'!E211+'Est mobile 2'!E211+'Est Mobile 3'!E211+'Est 2'!E211+'Est mobile 4'!E211+'Réserve Sud'!E211+'Sud 1'!E211+'Sud 2'!E211+Visiteurs!E211+'Principale mobile 1'!E211+'Principale 1 '!E211+'Principale mobile 2'!E211+'Principale mobile 3'!E211+'Principale 2'!E211+'Principale mobile 4'!E211</f>
        <v>60</v>
      </c>
      <c r="F211" s="94"/>
      <c r="G211" s="316">
        <f>SUM('Nord Mobile 1'!G211,'Nord 1'!G211,'Nord 2'!G211,'Nord Mobile 2'!G211,Esplanade!G211,'Est mobile 1'!G211,'Est 1'!G211,'Est mobile 2'!G211,'Est Mobile 3'!G211,'Est 2'!G211,'Est mobile 4'!G211,'Sud 1'!G211,'Sud 2'!G211,Visiteurs!G211,'Principale mobile 1'!G211,'Principale mobile 2'!G211,'Principale mobile 3'!G211,'Principale 2'!G211,'Principale mobile 4'!G211)</f>
        <v>0</v>
      </c>
      <c r="H211" s="10" t="s">
        <v>440</v>
      </c>
      <c r="I211" s="331">
        <v>9.35</v>
      </c>
      <c r="J211" s="309">
        <f>E211*I211</f>
        <v>561</v>
      </c>
    </row>
    <row r="212" spans="1:10" x14ac:dyDescent="0.35">
      <c r="A212" s="103"/>
      <c r="B212" s="12" t="s">
        <v>11</v>
      </c>
      <c r="C212" s="10" t="s">
        <v>438</v>
      </c>
      <c r="D212" s="94"/>
      <c r="E212" s="308">
        <f>'Nord 1'!E212+'Nord 2'!E212+'Nord Mobile 1'!E212+'Nord Mobile 2'!E212+Esplanade!E212+'Est mobile 1'!E212+'Est 1'!E212+'Est mobile 2'!E212+'Est Mobile 3'!E212+'Est 2'!E212+'Est mobile 4'!E212+'Réserve Sud'!E212+'Sud 1'!E212+'Sud 2'!E212+Visiteurs!E212+'Principale mobile 1'!E212+'Principale 1 '!E212+'Principale mobile 2'!E212+'Principale mobile 3'!E212+'Principale 2'!E212+'Principale mobile 4'!E212</f>
        <v>38</v>
      </c>
      <c r="F212" s="94"/>
      <c r="G212" s="316">
        <f>SUM('Nord Mobile 1'!G212,'Nord 1'!G212,'Nord 2'!G212,'Nord Mobile 2'!G212,Esplanade!G212,'Est mobile 1'!G212,'Est 1'!G212,'Est mobile 2'!G212,'Est Mobile 3'!G212,'Est 2'!G212,'Est mobile 4'!G212,'Sud 1'!G212,'Sud 2'!G212,Visiteurs!G212,'Principale mobile 1'!G212,'Principale mobile 2'!G212,'Principale mobile 3'!G212,'Principale 2'!G212,'Principale mobile 4'!G212)</f>
        <v>0</v>
      </c>
      <c r="H212" s="10" t="s">
        <v>52</v>
      </c>
      <c r="I212" s="331">
        <v>87</v>
      </c>
      <c r="J212" s="309">
        <f t="shared" si="2"/>
        <v>3306</v>
      </c>
    </row>
    <row r="213" spans="1:10" x14ac:dyDescent="0.35">
      <c r="A213" s="103"/>
      <c r="B213" s="12" t="s">
        <v>11</v>
      </c>
      <c r="C213" s="10" t="s">
        <v>439</v>
      </c>
      <c r="D213" s="94"/>
      <c r="E213" s="308">
        <f>'Nord 1'!E213+'Nord 2'!E213+'Nord Mobile 1'!E213+'Nord Mobile 2'!E213+Esplanade!E213+'Est mobile 1'!E213+'Est 1'!E213+'Est mobile 2'!E213+'Est Mobile 3'!E213+'Est 2'!E213+'Est mobile 4'!E213+'Réserve Sud'!E213+'Sud 1'!E213+'Sud 2'!E213+Visiteurs!E213+'Principale mobile 1'!E213+'Principale 1 '!E213+'Principale mobile 2'!E213+'Principale mobile 3'!E213+'Principale 2'!E213+'Principale mobile 4'!E213</f>
        <v>20</v>
      </c>
      <c r="F213" s="94"/>
      <c r="G213" s="316">
        <f>SUM('Nord Mobile 1'!G213,'Nord 1'!G213,'Nord 2'!G213,'Nord Mobile 2'!G213,Esplanade!G213,'Est mobile 1'!G213,'Est 1'!G213,'Est mobile 2'!G213,'Est Mobile 3'!G213,'Est 2'!G213,'Est mobile 4'!G213,'Sud 1'!G213,'Sud 2'!G213,Visiteurs!G213,'Principale mobile 1'!G213,'Principale mobile 2'!G213,'Principale mobile 3'!G213,'Principale 2'!G213,'Principale mobile 4'!G213)</f>
        <v>0</v>
      </c>
      <c r="H213" s="10" t="s">
        <v>52</v>
      </c>
      <c r="I213" s="331">
        <v>55</v>
      </c>
      <c r="J213" s="309">
        <f t="shared" si="2"/>
        <v>1100</v>
      </c>
    </row>
    <row r="214" spans="1:10" ht="15.5" x14ac:dyDescent="0.35">
      <c r="A214" s="108" t="s">
        <v>360</v>
      </c>
      <c r="B214" s="108"/>
      <c r="C214" s="108"/>
      <c r="D214" s="108"/>
      <c r="E214" s="314">
        <f>'Nord 1'!E214+'Nord 2'!E214+'Nord Mobile 1'!E214+'Nord Mobile 2'!E214+Esplanade!E214+'Est mobile 1'!E214+'Est 1'!E214+'Est mobile 2'!E214+'Est Mobile 3'!E214+'Est 2'!E214+'Est mobile 4'!E214+'Réserve Sud'!E214+'Sud 1'!E214+'Sud 2'!E214+Visiteurs!E214+'Principale mobile 1'!E214+'Principale 1 '!E214+'Principale mobile 2'!E214+'Principale mobile 3'!E214+'Principale 2'!E214+'Principale mobile 4'!E214</f>
        <v>0</v>
      </c>
      <c r="F214" s="108"/>
      <c r="G214" s="316">
        <f>SUM('Nord Mobile 1'!G214,'Nord 1'!G214,'Nord 2'!G214,'Nord Mobile 2'!G214,Esplanade!G214,'Est mobile 1'!G214,'Est 1'!G214,'Est mobile 2'!G214,'Est Mobile 3'!G214,'Est 2'!G214,'Est mobile 4'!G214,'Sud 1'!G214,'Sud 2'!G214,Visiteurs!G214,'Principale mobile 1'!G214,'Principale mobile 2'!G214,'Principale mobile 3'!G214,'Principale 2'!G214,'Principale mobile 4'!G214)</f>
        <v>0</v>
      </c>
      <c r="H214" s="108"/>
      <c r="I214" s="106" t="s">
        <v>18</v>
      </c>
      <c r="J214" s="315">
        <f>SUM(J215:J216)</f>
        <v>0</v>
      </c>
    </row>
    <row r="215" spans="1:10" x14ac:dyDescent="0.35">
      <c r="A215" s="103"/>
      <c r="B215" s="12" t="s">
        <v>12</v>
      </c>
      <c r="C215" s="10" t="s">
        <v>70</v>
      </c>
      <c r="D215" s="94"/>
      <c r="E215" s="232">
        <f>'Nord 1'!E215+'Nord 2'!E215+'Nord Mobile 1'!E215+'Nord Mobile 2'!E215+Esplanade!E215+'Est mobile 1'!E215+'Est 1'!E215+'Est mobile 2'!E215+'Est Mobile 3'!E215+'Est 2'!E215+'Est mobile 4'!E215+'Réserve Sud'!E215+'Sud 1'!E215+'Sud 2'!E215+Visiteurs!E215+'Principale mobile 1'!E215+'Principale 1 '!E215+'Principale mobile 2'!E215+'Principale mobile 3'!E215+'Principale 2'!E215+'Principale mobile 4'!E215</f>
        <v>0</v>
      </c>
      <c r="F215" s="94"/>
      <c r="G215" s="316">
        <f>SUM('Nord Mobile 1'!G215,'Nord 1'!G215,'Nord 2'!G215,'Nord Mobile 2'!G215,Esplanade!G215,'Est mobile 1'!G215,'Est 1'!G215,'Est mobile 2'!G215,'Est Mobile 3'!G215,'Est 2'!G215,'Est mobile 4'!G215,'Sud 1'!G215,'Sud 2'!G215,Visiteurs!G215,'Principale mobile 1'!G215,'Principale mobile 2'!G215,'Principale mobile 3'!G215,'Principale 2'!G215,'Principale mobile 4'!G215)</f>
        <v>0</v>
      </c>
      <c r="H215" s="10" t="s">
        <v>27</v>
      </c>
      <c r="I215" s="331">
        <v>20.7</v>
      </c>
      <c r="J215" s="267">
        <f t="shared" si="2"/>
        <v>0</v>
      </c>
    </row>
    <row r="216" spans="1:10" x14ac:dyDescent="0.35">
      <c r="A216" s="103"/>
      <c r="B216" s="12" t="s">
        <v>12</v>
      </c>
      <c r="C216" s="10" t="s">
        <v>71</v>
      </c>
      <c r="D216" s="94"/>
      <c r="E216" s="232">
        <f>'Nord 1'!E216+'Nord 2'!E216+'Nord Mobile 1'!E216+'Nord Mobile 2'!E216+Esplanade!E216+'Est mobile 1'!E216+'Est 1'!E216+'Est mobile 2'!E216+'Est Mobile 3'!E216+'Est 2'!E216+'Est mobile 4'!E216+'Réserve Sud'!E216+'Sud 1'!E216+'Sud 2'!E216+Visiteurs!E216+'Principale mobile 1'!E216+'Principale 1 '!E216+'Principale mobile 2'!E216+'Principale mobile 3'!E216+'Principale 2'!E216+'Principale mobile 4'!E216</f>
        <v>0</v>
      </c>
      <c r="F216" s="94"/>
      <c r="G216" s="316">
        <f>SUM('Nord Mobile 1'!G216,'Nord 1'!G216,'Nord 2'!G216,'Nord Mobile 2'!G216,Esplanade!G216,'Est mobile 1'!G216,'Est 1'!G216,'Est mobile 2'!G216,'Est Mobile 3'!G216,'Est 2'!G216,'Est mobile 4'!G216,'Sud 1'!G216,'Sud 2'!G216,Visiteurs!G216,'Principale mobile 1'!G216,'Principale mobile 2'!G216,'Principale mobile 3'!G216,'Principale 2'!G216,'Principale mobile 4'!G216)</f>
        <v>40</v>
      </c>
      <c r="H216" s="10" t="s">
        <v>27</v>
      </c>
      <c r="I216" s="331">
        <v>13.7</v>
      </c>
      <c r="J216" s="267">
        <f t="shared" si="2"/>
        <v>0</v>
      </c>
    </row>
    <row r="217" spans="1:10" ht="15.5" x14ac:dyDescent="0.35">
      <c r="A217" s="108" t="s">
        <v>361</v>
      </c>
      <c r="B217" s="108"/>
      <c r="C217" s="108"/>
      <c r="D217" s="108"/>
      <c r="E217" s="232">
        <f>'Nord 1'!E217+'Nord 2'!E217+'Nord Mobile 1'!E217+'Nord Mobile 2'!E217+Esplanade!E217+'Est mobile 1'!E217+'Est 1'!E217+'Est mobile 2'!E217+'Est Mobile 3'!E217+'Est 2'!E217+'Est mobile 4'!E217+'Réserve Sud'!E217+'Sud 1'!E217+'Sud 2'!E217+Visiteurs!E217+'Principale mobile 1'!E217+'Principale 1 '!E217+'Principale mobile 2'!E217+'Principale mobile 3'!E217+'Principale 2'!E217+'Principale mobile 4'!E217</f>
        <v>0</v>
      </c>
      <c r="F217" s="108"/>
      <c r="G217" s="316">
        <f>SUM('Nord Mobile 1'!G217,'Nord 1'!G217,'Nord 2'!G217,'Nord Mobile 2'!G217,Esplanade!G217,'Est mobile 1'!G217,'Est 1'!G217,'Est mobile 2'!G217,'Est Mobile 3'!G217,'Est 2'!G217,'Est mobile 4'!G217,'Sud 1'!G217,'Sud 2'!G217,Visiteurs!G217,'Principale mobile 1'!G217,'Principale mobile 2'!G217,'Principale mobile 3'!G217,'Principale 2'!G217,'Principale mobile 4'!G217)</f>
        <v>40</v>
      </c>
      <c r="H217" s="108"/>
      <c r="I217" s="106" t="s">
        <v>18</v>
      </c>
      <c r="J217" s="247">
        <f>SUM(J218:J221)</f>
        <v>0</v>
      </c>
    </row>
    <row r="218" spans="1:10" x14ac:dyDescent="0.35">
      <c r="A218" s="103"/>
      <c r="B218" s="12" t="s">
        <v>10</v>
      </c>
      <c r="C218" s="10" t="s">
        <v>362</v>
      </c>
      <c r="D218" s="94"/>
      <c r="E218" s="232">
        <f>'Nord 1'!E218+'Nord 2'!E218+'Nord Mobile 1'!E218+'Nord Mobile 2'!E218+Esplanade!E218+'Est mobile 1'!E218+'Est 1'!E218+'Est mobile 2'!E218+'Est Mobile 3'!E218+'Est 2'!E218+'Est mobile 4'!E218+'Réserve Sud'!E218+'Sud 1'!E218+'Sud 2'!E218+Visiteurs!E218+'Principale mobile 1'!E218+'Principale 1 '!E218+'Principale mobile 2'!E218+'Principale mobile 3'!E218+'Principale 2'!E218+'Principale mobile 4'!E218</f>
        <v>0</v>
      </c>
      <c r="F218" s="94"/>
      <c r="G218" s="316">
        <f>SUM('Nord Mobile 1'!G218,'Nord 1'!G218,'Nord 2'!G218,'Nord Mobile 2'!G218,Esplanade!G218,'Est mobile 1'!G218,'Est 1'!G218,'Est mobile 2'!G218,'Est Mobile 3'!G218,'Est 2'!G218,'Est mobile 4'!G218,'Sud 1'!G218,'Sud 2'!G218,Visiteurs!G218,'Principale mobile 1'!G218,'Principale mobile 2'!G218,'Principale mobile 3'!G218,'Principale 2'!G218,'Principale mobile 4'!G218)</f>
        <v>0</v>
      </c>
      <c r="H218" s="10" t="s">
        <v>20</v>
      </c>
      <c r="I218" s="331">
        <v>11.08</v>
      </c>
      <c r="J218" s="267">
        <f t="shared" si="2"/>
        <v>0</v>
      </c>
    </row>
    <row r="219" spans="1:10" x14ac:dyDescent="0.35">
      <c r="A219" s="103"/>
      <c r="B219" s="12" t="s">
        <v>10</v>
      </c>
      <c r="C219" s="10" t="s">
        <v>363</v>
      </c>
      <c r="D219" s="94"/>
      <c r="E219" s="232">
        <f>'Nord 1'!E219+'Nord 2'!E219+'Nord Mobile 1'!E219+'Nord Mobile 2'!E219+Esplanade!E219+'Est mobile 1'!E219+'Est 1'!E219+'Est mobile 2'!E219+'Est Mobile 3'!E219+'Est 2'!E219+'Est mobile 4'!E219+'Réserve Sud'!E219+'Sud 1'!E219+'Sud 2'!E219+Visiteurs!E219+'Principale mobile 1'!E219+'Principale 1 '!E219+'Principale mobile 2'!E219+'Principale mobile 3'!E219+'Principale 2'!E219+'Principale mobile 4'!E219</f>
        <v>0</v>
      </c>
      <c r="F219" s="94"/>
      <c r="G219" s="316">
        <f>SUM('Nord Mobile 1'!G219,'Nord 1'!G219,'Nord 2'!G219,'Nord Mobile 2'!G219,Esplanade!G219,'Est mobile 1'!G219,'Est 1'!G219,'Est mobile 2'!G219,'Est Mobile 3'!G219,'Est 2'!G219,'Est mobile 4'!G219,'Sud 1'!G219,'Sud 2'!G219,Visiteurs!G219,'Principale mobile 1'!G219,'Principale mobile 2'!G219,'Principale mobile 3'!G219,'Principale 2'!G219,'Principale mobile 4'!G219)</f>
        <v>0</v>
      </c>
      <c r="H219" s="10" t="s">
        <v>27</v>
      </c>
      <c r="I219" s="331">
        <v>16.21</v>
      </c>
      <c r="J219" s="267">
        <f t="shared" si="2"/>
        <v>0</v>
      </c>
    </row>
    <row r="220" spans="1:10" x14ac:dyDescent="0.35">
      <c r="A220" s="103"/>
      <c r="B220" s="12" t="s">
        <v>10</v>
      </c>
      <c r="C220" s="10" t="s">
        <v>364</v>
      </c>
      <c r="D220" s="94"/>
      <c r="E220" s="232">
        <f>'Nord 1'!E220+'Nord 2'!E220+'Nord Mobile 1'!E220+'Nord Mobile 2'!E220+Esplanade!E220+'Est mobile 1'!E220+'Est 1'!E220+'Est mobile 2'!E220+'Est Mobile 3'!E220+'Est 2'!E220+'Est mobile 4'!E220+'Réserve Sud'!E220+'Sud 1'!E220+'Sud 2'!E220+Visiteurs!E220+'Principale mobile 1'!E220+'Principale 1 '!E220+'Principale mobile 2'!E220+'Principale mobile 3'!E220+'Principale 2'!E220+'Principale mobile 4'!E220</f>
        <v>0</v>
      </c>
      <c r="F220" s="94"/>
      <c r="G220" s="316">
        <f>SUM('Nord Mobile 1'!G220,'Nord 1'!G220,'Nord 2'!G220,'Nord Mobile 2'!G220,Esplanade!G220,'Est mobile 1'!G220,'Est 1'!G220,'Est mobile 2'!G220,'Est Mobile 3'!G220,'Est 2'!G220,'Est mobile 4'!G220,'Sud 1'!G220,'Sud 2'!G220,Visiteurs!G220,'Principale mobile 1'!G220,'Principale mobile 2'!G220,'Principale mobile 3'!G220,'Principale 2'!G220,'Principale mobile 4'!G220)</f>
        <v>0</v>
      </c>
      <c r="H220" s="10" t="s">
        <v>27</v>
      </c>
      <c r="I220" s="331">
        <v>19.350000000000001</v>
      </c>
      <c r="J220" s="267">
        <f t="shared" si="2"/>
        <v>0</v>
      </c>
    </row>
    <row r="221" spans="1:10" x14ac:dyDescent="0.35">
      <c r="A221" s="103"/>
      <c r="B221" s="12" t="s">
        <v>10</v>
      </c>
      <c r="C221" s="10" t="s">
        <v>365</v>
      </c>
      <c r="D221" s="94"/>
      <c r="E221" s="232">
        <f>'Nord 1'!E221+'Nord 2'!E221+'Nord Mobile 1'!E221+'Nord Mobile 2'!E221+Esplanade!E221+'Est mobile 1'!E221+'Est 1'!E221+'Est mobile 2'!E221+'Est Mobile 3'!E221+'Est 2'!E221+'Est mobile 4'!E221+'Réserve Sud'!E221+'Sud 1'!E221+'Sud 2'!E221+Visiteurs!E221+'Principale mobile 1'!E221+'Principale 1 '!E221+'Principale mobile 2'!E221+'Principale mobile 3'!E221+'Principale 2'!E221+'Principale mobile 4'!E221</f>
        <v>0</v>
      </c>
      <c r="F221" s="94"/>
      <c r="G221" s="316">
        <f>SUM('Nord Mobile 1'!G221,'Nord 1'!G221,'Nord 2'!G221,'Nord Mobile 2'!G221,Esplanade!G221,'Est mobile 1'!G221,'Est 1'!G221,'Est mobile 2'!G221,'Est Mobile 3'!G221,'Est 2'!G221,'Est mobile 4'!G221,'Sud 1'!G221,'Sud 2'!G221,Visiteurs!G221,'Principale mobile 1'!G221,'Principale mobile 2'!G221,'Principale mobile 3'!G221,'Principale 2'!G221,'Principale mobile 4'!G221)</f>
        <v>0</v>
      </c>
      <c r="H221" s="10" t="s">
        <v>27</v>
      </c>
      <c r="I221" s="331">
        <v>19.809999999999999</v>
      </c>
      <c r="J221" s="267">
        <f t="shared" si="2"/>
        <v>0</v>
      </c>
    </row>
    <row r="222" spans="1:10" ht="15.5" x14ac:dyDescent="0.35">
      <c r="A222" s="108" t="s">
        <v>366</v>
      </c>
      <c r="B222" s="108"/>
      <c r="C222" s="108"/>
      <c r="D222" s="108"/>
      <c r="E222" s="232">
        <f>'Nord 1'!E222+'Nord 2'!E222+'Nord Mobile 1'!E222+'Nord Mobile 2'!E222+Esplanade!E222+'Est mobile 1'!E222+'Est 1'!E222+'Est mobile 2'!E222+'Est Mobile 3'!E222+'Est 2'!E222+'Est mobile 4'!E222+'Réserve Sud'!E222+'Sud 1'!E222+'Sud 2'!E222+Visiteurs!E222+'Principale mobile 1'!E222+'Principale 1 '!E222+'Principale mobile 2'!E222+'Principale mobile 3'!E222+'Principale 2'!E222+'Principale mobile 4'!E222</f>
        <v>0</v>
      </c>
      <c r="F222" s="108"/>
      <c r="G222" s="316">
        <f>SUM('Nord Mobile 1'!G222,'Nord 1'!G222,'Nord 2'!G222,'Nord Mobile 2'!G222,Esplanade!G222,'Est mobile 1'!G222,'Est 1'!G222,'Est mobile 2'!G222,'Est Mobile 3'!G222,'Est 2'!G222,'Est mobile 4'!G222,'Sud 1'!G222,'Sud 2'!G222,Visiteurs!G222,'Principale mobile 1'!G222,'Principale mobile 2'!G222,'Principale mobile 3'!G222,'Principale 2'!G222,'Principale mobile 4'!G222)</f>
        <v>0</v>
      </c>
      <c r="H222" s="108"/>
      <c r="I222" s="106" t="s">
        <v>18</v>
      </c>
      <c r="J222" s="247">
        <f>J223</f>
        <v>416</v>
      </c>
    </row>
    <row r="223" spans="1:10" x14ac:dyDescent="0.35">
      <c r="A223" s="103"/>
      <c r="B223" s="12" t="s">
        <v>28</v>
      </c>
      <c r="C223" s="10" t="s">
        <v>29</v>
      </c>
      <c r="D223" s="100"/>
      <c r="E223" s="232">
        <f>'Nord 1'!E223+'Nord 2'!E223+'Nord Mobile 1'!E223+'Nord Mobile 2'!E223+Esplanade!E223+'Est mobile 1'!E223+'Est 1'!E223+'Est mobile 2'!E223+'Est Mobile 3'!E223+'Est 2'!E223+'Est mobile 4'!E223+'Réserve Sud'!E223+'Sud 1'!E223+'Sud 2'!E223+Visiteurs!E223+'Principale mobile 1'!E223+'Principale 1 '!E223+'Principale mobile 2'!E223+'Principale mobile 3'!E223+'Principale 2'!E223+'Principale mobile 4'!E223</f>
        <v>4</v>
      </c>
      <c r="F223" s="100"/>
      <c r="G223" s="316">
        <f>SUM('Nord Mobile 1'!G223,'Nord 1'!G223,'Nord 2'!G223,'Nord Mobile 2'!G223,Esplanade!G223,'Est mobile 1'!G223,'Est 1'!G223,'Est mobile 2'!G223,'Est Mobile 3'!G223,'Est 2'!G223,'Est mobile 4'!G223,'Sud 1'!G223,'Sud 2'!G223,Visiteurs!G223,'Principale mobile 1'!G223,'Principale mobile 2'!G223,'Principale mobile 3'!G223,'Principale 2'!G223,'Principale mobile 4'!G223)</f>
        <v>0</v>
      </c>
      <c r="H223" s="10" t="s">
        <v>54</v>
      </c>
      <c r="I223" s="331">
        <v>104</v>
      </c>
      <c r="J223" s="267">
        <f t="shared" si="2"/>
        <v>416</v>
      </c>
    </row>
    <row r="224" spans="1:10" ht="15.5" x14ac:dyDescent="0.35">
      <c r="A224" s="108" t="s">
        <v>367</v>
      </c>
      <c r="B224" s="108"/>
      <c r="C224" s="108"/>
      <c r="D224" s="108"/>
      <c r="E224" s="232">
        <f>'Nord 1'!E224+'Nord 2'!E224+'Nord Mobile 1'!E224+'Nord Mobile 2'!E224+Esplanade!E224+'Est mobile 1'!E224+'Est 1'!E224+'Est mobile 2'!E224+'Est Mobile 3'!E224+'Est 2'!E224+'Est mobile 4'!E224+'Réserve Sud'!E224+'Sud 1'!E224+'Sud 2'!E224+Visiteurs!E224+'Principale mobile 1'!E224+'Principale 1 '!E224+'Principale mobile 2'!E224+'Principale mobile 3'!E224+'Principale 2'!E224+'Principale mobile 4'!E224</f>
        <v>0</v>
      </c>
      <c r="F224" s="108"/>
      <c r="G224" s="316">
        <f>SUM('Nord Mobile 1'!G224,'Nord 1'!G224,'Nord 2'!G224,'Nord Mobile 2'!G224,Esplanade!G224,'Est mobile 1'!G224,'Est 1'!G224,'Est mobile 2'!G224,'Est Mobile 3'!G224,'Est 2'!G224,'Est mobile 4'!G224,'Sud 1'!G224,'Sud 2'!G224,Visiteurs!G224,'Principale mobile 1'!G224,'Principale mobile 2'!G224,'Principale mobile 3'!G224,'Principale 2'!G224,'Principale mobile 4'!G224)</f>
        <v>1</v>
      </c>
      <c r="H224" s="108"/>
      <c r="I224" s="106" t="s">
        <v>18</v>
      </c>
      <c r="J224" s="247">
        <f>SUM(J225:J244)</f>
        <v>3677.2700000000004</v>
      </c>
    </row>
    <row r="225" spans="1:10" x14ac:dyDescent="0.35">
      <c r="A225" s="103"/>
      <c r="B225" s="12" t="s">
        <v>9</v>
      </c>
      <c r="C225" s="10" t="s">
        <v>423</v>
      </c>
      <c r="D225" s="94"/>
      <c r="E225" s="232">
        <f>'Nord 1'!E225+'Nord 2'!E225+'Nord Mobile 1'!E225+'Nord Mobile 2'!E225+Esplanade!E225+'Est mobile 1'!E225+'Est 1'!E225+'Est mobile 2'!E225+'Est Mobile 3'!E225+'Est 2'!E225+'Est mobile 4'!E225+'Réserve Sud'!E225+'Sud 1'!E225+'Sud 2'!E225+Visiteurs!E225+'Principale mobile 1'!E225+'Principale 1 '!E225+'Principale mobile 2'!E225+'Principale mobile 3'!E225+'Principale 2'!E225+'Principale mobile 4'!E225</f>
        <v>14</v>
      </c>
      <c r="F225" s="94"/>
      <c r="G225" s="316">
        <f>SUM('Nord Mobile 1'!G225,'Nord 1'!G225,'Nord 2'!G225,'Nord Mobile 2'!G225,Esplanade!G225,'Est mobile 1'!G225,'Est 1'!G225,'Est mobile 2'!G225,'Est Mobile 3'!G225,'Est 2'!G225,'Est mobile 4'!G225,'Sud 1'!G225,'Sud 2'!G225,Visiteurs!G225,'Principale mobile 1'!G225,'Principale mobile 2'!G225,'Principale mobile 3'!G225,'Principale 2'!G225,'Principale mobile 4'!G225)</f>
        <v>0</v>
      </c>
      <c r="H225" s="10" t="s">
        <v>20</v>
      </c>
      <c r="I225" s="331">
        <v>78</v>
      </c>
      <c r="J225" s="267">
        <f t="shared" ref="J225:J259" si="3">E225*I225</f>
        <v>1092</v>
      </c>
    </row>
    <row r="226" spans="1:10" x14ac:dyDescent="0.35">
      <c r="A226" s="103"/>
      <c r="B226" s="12" t="s">
        <v>9</v>
      </c>
      <c r="C226" s="10" t="s">
        <v>424</v>
      </c>
      <c r="D226" s="94"/>
      <c r="E226" s="232">
        <f>'Nord 1'!E226+'Nord 2'!E226+'Nord Mobile 1'!E226+'Nord Mobile 2'!E226+Esplanade!E226+'Est mobile 1'!E226+'Est 1'!E226+'Est mobile 2'!E226+'Est Mobile 3'!E226+'Est 2'!E226+'Est mobile 4'!E226+'Réserve Sud'!E226+'Sud 1'!E226+'Sud 2'!E226+Visiteurs!E226+'Principale mobile 1'!E226+'Principale 1 '!E226+'Principale mobile 2'!E226+'Principale mobile 3'!E226+'Principale 2'!E226+'Principale mobile 4'!E226</f>
        <v>11</v>
      </c>
      <c r="F226" s="94"/>
      <c r="G226" s="316">
        <f>SUM('Nord Mobile 1'!G226,'Nord 1'!G226,'Nord 2'!G226,'Nord Mobile 2'!G226,Esplanade!G226,'Est mobile 1'!G226,'Est 1'!G226,'Est mobile 2'!G226,'Est Mobile 3'!G226,'Est 2'!G226,'Est mobile 4'!G226,'Sud 1'!G226,'Sud 2'!G226,Visiteurs!G226,'Principale mobile 1'!G226,'Principale mobile 2'!G226,'Principale mobile 3'!G226,'Principale 2'!G226,'Principale mobile 4'!G226)</f>
        <v>0</v>
      </c>
      <c r="H226" s="10" t="s">
        <v>61</v>
      </c>
      <c r="I226" s="340">
        <v>107.12</v>
      </c>
      <c r="J226" s="267">
        <f t="shared" si="3"/>
        <v>1178.3200000000002</v>
      </c>
    </row>
    <row r="227" spans="1:10" x14ac:dyDescent="0.35">
      <c r="A227" s="103"/>
      <c r="B227" s="12" t="s">
        <v>9</v>
      </c>
      <c r="C227" s="10" t="s">
        <v>369</v>
      </c>
      <c r="D227" s="94"/>
      <c r="E227" s="232">
        <f>'Nord 1'!E227+'Nord 2'!E227+'Nord Mobile 1'!E227+'Nord Mobile 2'!E227+Esplanade!E227+'Est mobile 1'!E227+'Est 1'!E227+'Est mobile 2'!E227+'Est Mobile 3'!E227+'Est 2'!E227+'Est mobile 4'!E227+'Réserve Sud'!E227+'Sud 1'!E227+'Sud 2'!E227+Visiteurs!E227+'Principale mobile 1'!E227+'Principale 1 '!E227+'Principale mobile 2'!E227+'Principale mobile 3'!E227+'Principale 2'!E227+'Principale mobile 4'!E227</f>
        <v>0</v>
      </c>
      <c r="F227" s="94"/>
      <c r="G227" s="316">
        <f>SUM('Nord Mobile 1'!G227,'Nord 1'!G227,'Nord 2'!G227,'Nord Mobile 2'!G227,Esplanade!G227,'Est mobile 1'!G227,'Est 1'!G227,'Est mobile 2'!G227,'Est Mobile 3'!G227,'Est 2'!G227,'Est mobile 4'!G227,'Sud 1'!G227,'Sud 2'!G227,Visiteurs!G227,'Principale mobile 1'!G227,'Principale mobile 2'!G227,'Principale mobile 3'!G227,'Principale 2'!G227,'Principale mobile 4'!G227)</f>
        <v>0</v>
      </c>
      <c r="H227" s="10" t="s">
        <v>20</v>
      </c>
      <c r="I227" s="331">
        <v>0.04</v>
      </c>
      <c r="J227" s="267">
        <f t="shared" si="3"/>
        <v>0</v>
      </c>
    </row>
    <row r="228" spans="1:10" x14ac:dyDescent="0.35">
      <c r="A228" s="103"/>
      <c r="B228" s="12" t="s">
        <v>9</v>
      </c>
      <c r="C228" s="10" t="s">
        <v>370</v>
      </c>
      <c r="D228" s="94"/>
      <c r="E228" s="232">
        <f>'Nord 1'!E228+'Nord 2'!E228+'Nord Mobile 1'!E228+'Nord Mobile 2'!E228+Esplanade!E228+'Est mobile 1'!E228+'Est 1'!E228+'Est mobile 2'!E228+'Est Mobile 3'!E228+'Est 2'!E228+'Est mobile 4'!E228+'Réserve Sud'!E228+'Sud 1'!E228+'Sud 2'!E228+Visiteurs!E228+'Principale mobile 1'!E228+'Principale 1 '!E228+'Principale mobile 2'!E228+'Principale mobile 3'!E228+'Principale 2'!E228+'Principale mobile 4'!E228</f>
        <v>0</v>
      </c>
      <c r="F228" s="94"/>
      <c r="G228" s="316">
        <f>SUM('Nord Mobile 1'!G228,'Nord 1'!G228,'Nord 2'!G228,'Nord Mobile 2'!G228,Esplanade!G228,'Est mobile 1'!G228,'Est 1'!G228,'Est mobile 2'!G228,'Est Mobile 3'!G228,'Est 2'!G228,'Est mobile 4'!G228,'Sud 1'!G228,'Sud 2'!G228,Visiteurs!G228,'Principale mobile 1'!G228,'Principale mobile 2'!G228,'Principale mobile 3'!G228,'Principale 2'!G228,'Principale mobile 4'!G228)</f>
        <v>0</v>
      </c>
      <c r="H228" s="10" t="s">
        <v>20</v>
      </c>
      <c r="I228" s="331">
        <v>7.0999999999999994E-2</v>
      </c>
      <c r="J228" s="267">
        <f t="shared" si="3"/>
        <v>0</v>
      </c>
    </row>
    <row r="229" spans="1:10" x14ac:dyDescent="0.35">
      <c r="A229" s="103"/>
      <c r="B229" s="12" t="s">
        <v>9</v>
      </c>
      <c r="C229" s="10" t="s">
        <v>411</v>
      </c>
      <c r="D229" s="94"/>
      <c r="E229" s="232">
        <f>'Nord 1'!E229+'Nord 2'!E229+'Nord Mobile 1'!E229+'Nord Mobile 2'!E229+Esplanade!E229+'Est mobile 1'!E229+'Est 1'!E229+'Est mobile 2'!E229+'Est Mobile 3'!E229+'Est 2'!E229+'Est mobile 4'!E229+'Réserve Sud'!E229+'Sud 1'!E229+'Sud 2'!E229+Visiteurs!E229+'Principale mobile 1'!E229+'Principale 1 '!E229+'Principale mobile 2'!E229+'Principale mobile 3'!E229+'Principale 2'!E229+'Principale mobile 4'!E229</f>
        <v>0</v>
      </c>
      <c r="F229" s="94"/>
      <c r="G229" s="316">
        <f>SUM('Nord Mobile 1'!G229,'Nord 1'!G229,'Nord 2'!G229,'Nord Mobile 2'!G229,Esplanade!G229,'Est mobile 1'!G229,'Est 1'!G229,'Est mobile 2'!G229,'Est Mobile 3'!G229,'Est 2'!G229,'Est mobile 4'!G229,'Sud 1'!G229,'Sud 2'!G229,Visiteurs!G229,'Principale mobile 1'!G229,'Principale mobile 2'!G229,'Principale mobile 3'!G229,'Principale 2'!G229,'Principale mobile 4'!G229)</f>
        <v>0</v>
      </c>
      <c r="H229" s="10" t="s">
        <v>20</v>
      </c>
      <c r="I229" s="331">
        <v>1.97</v>
      </c>
      <c r="J229" s="267">
        <f t="shared" si="3"/>
        <v>0</v>
      </c>
    </row>
    <row r="230" spans="1:10" x14ac:dyDescent="0.35">
      <c r="A230" s="103"/>
      <c r="B230" s="12" t="s">
        <v>9</v>
      </c>
      <c r="C230" s="10" t="s">
        <v>371</v>
      </c>
      <c r="D230" s="94"/>
      <c r="E230" s="232">
        <f>'Nord 1'!E230+'Nord 2'!E230+'Nord Mobile 1'!E230+'Nord Mobile 2'!E230+Esplanade!E230+'Est mobile 1'!E230+'Est 1'!E230+'Est mobile 2'!E230+'Est Mobile 3'!E230+'Est 2'!E230+'Est mobile 4'!E230+'Réserve Sud'!E230+'Sud 1'!E230+'Sud 2'!E230+Visiteurs!E230+'Principale mobile 1'!E230+'Principale 1 '!E230+'Principale mobile 2'!E230+'Principale mobile 3'!E230+'Principale 2'!E230+'Principale mobile 4'!E230</f>
        <v>0</v>
      </c>
      <c r="F230" s="94"/>
      <c r="G230" s="316">
        <f>SUM('Nord Mobile 1'!G230,'Nord 1'!G230,'Nord 2'!G230,'Nord Mobile 2'!G230,Esplanade!G230,'Est mobile 1'!G230,'Est 1'!G230,'Est mobile 2'!G230,'Est Mobile 3'!G230,'Est 2'!G230,'Est mobile 4'!G230,'Sud 1'!G230,'Sud 2'!G230,Visiteurs!G230,'Principale mobile 1'!G230,'Principale mobile 2'!G230,'Principale mobile 3'!G230,'Principale 2'!G230,'Principale mobile 4'!G230)</f>
        <v>0</v>
      </c>
      <c r="H230" s="10" t="s">
        <v>61</v>
      </c>
      <c r="I230" s="331">
        <v>163.80000000000001</v>
      </c>
      <c r="J230" s="267">
        <f t="shared" si="3"/>
        <v>0</v>
      </c>
    </row>
    <row r="231" spans="1:10" x14ac:dyDescent="0.35">
      <c r="A231" s="103"/>
      <c r="B231" s="12" t="s">
        <v>9</v>
      </c>
      <c r="C231" s="10" t="s">
        <v>372</v>
      </c>
      <c r="D231" s="101"/>
      <c r="E231" s="232">
        <f>'Nord 1'!E231+'Nord 2'!E231+'Nord Mobile 1'!E231+'Nord Mobile 2'!E231+Esplanade!E231+'Est mobile 1'!E231+'Est 1'!E231+'Est mobile 2'!E231+'Est Mobile 3'!E231+'Est 2'!E231+'Est mobile 4'!E231+'Réserve Sud'!E231+'Sud 1'!E231+'Sud 2'!E231+Visiteurs!E231+'Principale mobile 1'!E231+'Principale 1 '!E231+'Principale mobile 2'!E231+'Principale mobile 3'!E231+'Principale 2'!E231+'Principale mobile 4'!E231</f>
        <v>0</v>
      </c>
      <c r="F231" s="101"/>
      <c r="G231" s="316">
        <f>SUM('Nord Mobile 1'!G231,'Nord 1'!G231,'Nord 2'!G231,'Nord Mobile 2'!G231,Esplanade!G231,'Est mobile 1'!G231,'Est 1'!G231,'Est mobile 2'!G231,'Est Mobile 3'!G231,'Est 2'!G231,'Est mobile 4'!G231,'Sud 1'!G231,'Sud 2'!G231,Visiteurs!G231,'Principale mobile 1'!G231,'Principale mobile 2'!G231,'Principale mobile 3'!G231,'Principale 2'!G231,'Principale mobile 4'!G231)</f>
        <v>0</v>
      </c>
      <c r="H231" s="10" t="s">
        <v>61</v>
      </c>
      <c r="I231" s="331">
        <v>49.33</v>
      </c>
      <c r="J231" s="267">
        <f t="shared" si="3"/>
        <v>0</v>
      </c>
    </row>
    <row r="232" spans="1:10" x14ac:dyDescent="0.35">
      <c r="A232" s="103"/>
      <c r="B232" s="12" t="s">
        <v>9</v>
      </c>
      <c r="C232" s="10" t="s">
        <v>373</v>
      </c>
      <c r="D232" s="102"/>
      <c r="E232" s="232">
        <f>'Nord 1'!E232+'Nord 2'!E232+'Nord Mobile 1'!E232+'Nord Mobile 2'!E232+Esplanade!E232+'Est mobile 1'!E232+'Est 1'!E232+'Est mobile 2'!E232+'Est Mobile 3'!E232+'Est 2'!E232+'Est mobile 4'!E232+'Réserve Sud'!E232+'Sud 1'!E232+'Sud 2'!E232+Visiteurs!E232+'Principale mobile 1'!E232+'Principale 1 '!E232+'Principale mobile 2'!E232+'Principale mobile 3'!E232+'Principale 2'!E232+'Principale mobile 4'!E232</f>
        <v>0</v>
      </c>
      <c r="F232" s="102"/>
      <c r="G232" s="316">
        <f>SUM('Nord Mobile 1'!G232,'Nord 1'!G232,'Nord 2'!G232,'Nord Mobile 2'!G232,Esplanade!G232,'Est mobile 1'!G232,'Est 1'!G232,'Est mobile 2'!G232,'Est Mobile 3'!G232,'Est 2'!G232,'Est mobile 4'!G232,'Sud 1'!G232,'Sud 2'!G232,Visiteurs!G232,'Principale mobile 1'!G232,'Principale mobile 2'!G232,'Principale mobile 3'!G232,'Principale 2'!G232,'Principale mobile 4'!G232)</f>
        <v>0</v>
      </c>
      <c r="H232" s="10" t="s">
        <v>61</v>
      </c>
      <c r="I232" s="331">
        <v>105.6</v>
      </c>
      <c r="J232" s="267">
        <f t="shared" si="3"/>
        <v>0</v>
      </c>
    </row>
    <row r="233" spans="1:10" x14ac:dyDescent="0.35">
      <c r="A233" s="103"/>
      <c r="B233" s="12" t="s">
        <v>9</v>
      </c>
      <c r="C233" s="10" t="s">
        <v>374</v>
      </c>
      <c r="D233" s="102"/>
      <c r="E233" s="232">
        <f>'Nord 1'!E233+'Nord 2'!E233+'Nord Mobile 1'!E233+'Nord Mobile 2'!E233+Esplanade!E233+'Est mobile 1'!E233+'Est 1'!E233+'Est mobile 2'!E233+'Est Mobile 3'!E233+'Est 2'!E233+'Est mobile 4'!E233+'Réserve Sud'!E233+'Sud 1'!E233+'Sud 2'!E233+Visiteurs!E233+'Principale mobile 1'!E233+'Principale 1 '!E233+'Principale mobile 2'!E233+'Principale mobile 3'!E233+'Principale 2'!E233+'Principale mobile 4'!E233</f>
        <v>0</v>
      </c>
      <c r="F233" s="102"/>
      <c r="G233" s="316">
        <f>SUM('Nord Mobile 1'!G233,'Nord 1'!G233,'Nord 2'!G233,'Nord Mobile 2'!G233,Esplanade!G233,'Est mobile 1'!G233,'Est 1'!G233,'Est mobile 2'!G233,'Est Mobile 3'!G233,'Est 2'!G233,'Est mobile 4'!G233,'Sud 1'!G233,'Sud 2'!G233,Visiteurs!G233,'Principale mobile 1'!G233,'Principale mobile 2'!G233,'Principale mobile 3'!G233,'Principale 2'!G233,'Principale mobile 4'!G233)</f>
        <v>0</v>
      </c>
      <c r="H233" s="10" t="s">
        <v>61</v>
      </c>
      <c r="I233" s="331">
        <v>114.75</v>
      </c>
      <c r="J233" s="267">
        <f t="shared" si="3"/>
        <v>0</v>
      </c>
    </row>
    <row r="234" spans="1:10" x14ac:dyDescent="0.35">
      <c r="A234" s="103"/>
      <c r="B234" s="12" t="s">
        <v>9</v>
      </c>
      <c r="C234" s="10" t="s">
        <v>375</v>
      </c>
      <c r="D234" s="94"/>
      <c r="E234" s="232">
        <f>'Nord 1'!E234+'Nord 2'!E234+'Nord Mobile 1'!E234+'Nord Mobile 2'!E234+Esplanade!E234+'Est mobile 1'!E234+'Est 1'!E234+'Est mobile 2'!E234+'Est Mobile 3'!E234+'Est 2'!E234+'Est mobile 4'!E234+'Réserve Sud'!E234+'Sud 1'!E234+'Sud 2'!E234+Visiteurs!E234+'Principale mobile 1'!E234+'Principale 1 '!E234+'Principale mobile 2'!E234+'Principale mobile 3'!E234+'Principale 2'!E234+'Principale mobile 4'!E234</f>
        <v>0</v>
      </c>
      <c r="F234" s="94"/>
      <c r="G234" s="316">
        <f>SUM('Nord Mobile 1'!G234,'Nord 1'!G234,'Nord 2'!G234,'Nord Mobile 2'!G234,Esplanade!G234,'Est mobile 1'!G234,'Est 1'!G234,'Est mobile 2'!G234,'Est Mobile 3'!G234,'Est 2'!G234,'Est mobile 4'!G234,'Sud 1'!G234,'Sud 2'!G234,Visiteurs!G234,'Principale mobile 1'!G234,'Principale mobile 2'!G234,'Principale mobile 3'!G234,'Principale 2'!G234,'Principale mobile 4'!G234)</f>
        <v>0</v>
      </c>
      <c r="H234" s="10" t="s">
        <v>61</v>
      </c>
      <c r="I234" s="331">
        <v>105.55</v>
      </c>
      <c r="J234" s="267">
        <f t="shared" si="3"/>
        <v>0</v>
      </c>
    </row>
    <row r="235" spans="1:10" x14ac:dyDescent="0.35">
      <c r="A235" s="103"/>
      <c r="B235" s="12" t="s">
        <v>9</v>
      </c>
      <c r="C235" s="10" t="s">
        <v>376</v>
      </c>
      <c r="D235" s="94"/>
      <c r="E235" s="232">
        <f>'Nord 1'!E235+'Nord 2'!E235+'Nord Mobile 1'!E235+'Nord Mobile 2'!E235+Esplanade!E235+'Est mobile 1'!E235+'Est 1'!E235+'Est mobile 2'!E235+'Est Mobile 3'!E235+'Est 2'!E235+'Est mobile 4'!E235+'Réserve Sud'!E235+'Sud 1'!E235+'Sud 2'!E235+Visiteurs!E235+'Principale mobile 1'!E235+'Principale 1 '!E235+'Principale mobile 2'!E235+'Principale mobile 3'!E235+'Principale 2'!E235+'Principale mobile 4'!E235</f>
        <v>8</v>
      </c>
      <c r="F235" s="94"/>
      <c r="G235" s="316">
        <f>SUM('Nord Mobile 1'!G235,'Nord 1'!G235,'Nord 2'!G235,'Nord Mobile 2'!G235,Esplanade!G235,'Est mobile 1'!G235,'Est 1'!G235,'Est mobile 2'!G235,'Est Mobile 3'!G235,'Est 2'!G235,'Est mobile 4'!G235,'Sud 1'!G235,'Sud 2'!G235,Visiteurs!G235,'Principale mobile 1'!G235,'Principale mobile 2'!G235,'Principale mobile 3'!G235,'Principale 2'!G235,'Principale mobile 4'!G235)</f>
        <v>0</v>
      </c>
      <c r="H235" s="10" t="s">
        <v>61</v>
      </c>
      <c r="I235" s="331">
        <v>33.25</v>
      </c>
      <c r="J235" s="267">
        <f t="shared" si="3"/>
        <v>266</v>
      </c>
    </row>
    <row r="236" spans="1:10" x14ac:dyDescent="0.35">
      <c r="A236" s="103"/>
      <c r="B236" s="12" t="s">
        <v>9</v>
      </c>
      <c r="C236" s="10" t="s">
        <v>377</v>
      </c>
      <c r="D236" s="94"/>
      <c r="E236" s="232">
        <f>'Nord 1'!E236+'Nord 2'!E236+'Nord Mobile 1'!E236+'Nord Mobile 2'!E236+Esplanade!E236+'Est mobile 1'!E236+'Est 1'!E236+'Est mobile 2'!E236+'Est Mobile 3'!E236+'Est 2'!E236+'Est mobile 4'!E236+'Réserve Sud'!E236+'Sud 1'!E236+'Sud 2'!E236+Visiteurs!E236+'Principale mobile 1'!E236+'Principale 1 '!E236+'Principale mobile 2'!E236+'Principale mobile 3'!E236+'Principale 2'!E236+'Principale mobile 4'!E236</f>
        <v>0</v>
      </c>
      <c r="F236" s="94"/>
      <c r="G236" s="316">
        <f>SUM('Nord Mobile 1'!G236,'Nord 1'!G236,'Nord 2'!G236,'Nord Mobile 2'!G236,Esplanade!G236,'Est mobile 1'!G236,'Est 1'!G236,'Est mobile 2'!G236,'Est Mobile 3'!G236,'Est 2'!G236,'Est mobile 4'!G236,'Sud 1'!G236,'Sud 2'!G236,Visiteurs!G236,'Principale mobile 1'!G236,'Principale mobile 2'!G236,'Principale mobile 3'!G236,'Principale 2'!G236,'Principale mobile 4'!G236)</f>
        <v>1</v>
      </c>
      <c r="H236" s="10" t="s">
        <v>20</v>
      </c>
      <c r="I236" s="331">
        <v>0.28999999999999998</v>
      </c>
      <c r="J236" s="267">
        <f t="shared" si="3"/>
        <v>0</v>
      </c>
    </row>
    <row r="237" spans="1:10" x14ac:dyDescent="0.35">
      <c r="A237" s="103"/>
      <c r="B237" s="12" t="s">
        <v>9</v>
      </c>
      <c r="C237" s="10" t="s">
        <v>378</v>
      </c>
      <c r="D237" s="94"/>
      <c r="E237" s="232">
        <f>'Nord 1'!E237+'Nord 2'!E237+'Nord Mobile 1'!E237+'Nord Mobile 2'!E237+Esplanade!E237+'Est mobile 1'!E237+'Est 1'!E237+'Est mobile 2'!E237+'Est Mobile 3'!E237+'Est 2'!E237+'Est mobile 4'!E237+'Réserve Sud'!E237+'Sud 1'!E237+'Sud 2'!E237+Visiteurs!E237+'Principale mobile 1'!E237+'Principale 1 '!E237+'Principale mobile 2'!E237+'Principale mobile 3'!E237+'Principale 2'!E237+'Principale mobile 4'!E237</f>
        <v>0</v>
      </c>
      <c r="F237" s="94"/>
      <c r="G237" s="316">
        <f>SUM('Nord Mobile 1'!G237,'Nord 1'!G237,'Nord 2'!G237,'Nord Mobile 2'!G237,Esplanade!G237,'Est mobile 1'!G237,'Est 1'!G237,'Est mobile 2'!G237,'Est Mobile 3'!G237,'Est 2'!G237,'Est mobile 4'!G237,'Sud 1'!G237,'Sud 2'!G237,Visiteurs!G237,'Principale mobile 1'!G237,'Principale mobile 2'!G237,'Principale mobile 3'!G237,'Principale 2'!G237,'Principale mobile 4'!G237)</f>
        <v>0</v>
      </c>
      <c r="H237" s="10" t="s">
        <v>61</v>
      </c>
      <c r="I237" s="336">
        <v>37.85</v>
      </c>
      <c r="J237" s="267">
        <f t="shared" si="3"/>
        <v>0</v>
      </c>
    </row>
    <row r="238" spans="1:10" x14ac:dyDescent="0.35">
      <c r="A238" s="103"/>
      <c r="B238" s="12" t="s">
        <v>9</v>
      </c>
      <c r="C238" s="10" t="s">
        <v>425</v>
      </c>
      <c r="D238" s="94"/>
      <c r="E238" s="232">
        <f>'Nord 1'!E238+'Nord 2'!E238+'Nord Mobile 1'!E238+'Nord Mobile 2'!E238+Esplanade!E238+'Est mobile 1'!E238+'Est 1'!E238+'Est mobile 2'!E238+'Est Mobile 3'!E238+'Est 2'!E238+'Est mobile 4'!E238+'Réserve Sud'!E238+'Sud 1'!E238+'Sud 2'!E238+Visiteurs!E238+'Principale mobile 1'!E238+'Principale 1 '!E238+'Principale mobile 2'!E238+'Principale mobile 3'!E238+'Principale 2'!E238+'Principale mobile 4'!E238</f>
        <v>6</v>
      </c>
      <c r="F238" s="94"/>
      <c r="G238" s="316">
        <f>SUM('Nord Mobile 1'!G238,'Nord 1'!G238,'Nord 2'!G238,'Nord Mobile 2'!G238,Esplanade!G238,'Est mobile 1'!G238,'Est 1'!G238,'Est mobile 2'!G238,'Est Mobile 3'!G238,'Est 2'!G238,'Est mobile 4'!G238,'Sud 1'!G238,'Sud 2'!G238,Visiteurs!G238,'Principale mobile 1'!G238,'Principale mobile 2'!G238,'Principale mobile 3'!G238,'Principale 2'!G238,'Principale mobile 4'!G238)</f>
        <v>1</v>
      </c>
      <c r="H238" s="10" t="s">
        <v>61</v>
      </c>
      <c r="I238" s="336">
        <v>111.47</v>
      </c>
      <c r="J238" s="267">
        <f t="shared" si="3"/>
        <v>668.81999999999994</v>
      </c>
    </row>
    <row r="239" spans="1:10" x14ac:dyDescent="0.35">
      <c r="A239" s="103"/>
      <c r="B239" s="12" t="s">
        <v>9</v>
      </c>
      <c r="C239" s="10" t="s">
        <v>379</v>
      </c>
      <c r="D239" s="94"/>
      <c r="E239" s="232">
        <f>'Nord 1'!E239+'Nord 2'!E239+'Nord Mobile 1'!E239+'Nord Mobile 2'!E239+Esplanade!E239+'Est mobile 1'!E239+'Est 1'!E239+'Est mobile 2'!E239+'Est Mobile 3'!E239+'Est 2'!E239+'Est mobile 4'!E239+'Réserve Sud'!E239+'Sud 1'!E239+'Sud 2'!E239+Visiteurs!E239+'Principale mobile 1'!E239+'Principale 1 '!E239+'Principale mobile 2'!E239+'Principale mobile 3'!E239+'Principale 2'!E239+'Principale mobile 4'!E239</f>
        <v>0</v>
      </c>
      <c r="F239" s="94"/>
      <c r="G239" s="316">
        <f>SUM('Nord Mobile 1'!G239,'Nord 1'!G239,'Nord 2'!G239,'Nord Mobile 2'!G239,Esplanade!G239,'Est mobile 1'!G239,'Est 1'!G239,'Est mobile 2'!G239,'Est Mobile 3'!G239,'Est 2'!G239,'Est mobile 4'!G239,'Sud 1'!G239,'Sud 2'!G239,Visiteurs!G239,'Principale mobile 1'!G239,'Principale mobile 2'!G239,'Principale mobile 3'!G239,'Principale 2'!G239,'Principale mobile 4'!G239)</f>
        <v>1</v>
      </c>
      <c r="H239" s="10" t="s">
        <v>61</v>
      </c>
      <c r="I239" s="336">
        <v>174.97</v>
      </c>
      <c r="J239" s="267">
        <f t="shared" si="3"/>
        <v>0</v>
      </c>
    </row>
    <row r="240" spans="1:10" x14ac:dyDescent="0.35">
      <c r="A240" s="103"/>
      <c r="B240" s="12" t="s">
        <v>9</v>
      </c>
      <c r="C240" s="10" t="s">
        <v>380</v>
      </c>
      <c r="D240" s="94"/>
      <c r="E240" s="232">
        <f>'Nord 1'!E240+'Nord 2'!E240+'Nord Mobile 1'!E240+'Nord Mobile 2'!E240+Esplanade!E240+'Est mobile 1'!E240+'Est 1'!E240+'Est mobile 2'!E240+'Est Mobile 3'!E240+'Est 2'!E240+'Est mobile 4'!E240+'Réserve Sud'!E240+'Sud 1'!E240+'Sud 2'!E240+Visiteurs!E240+'Principale mobile 1'!E240+'Principale 1 '!E240+'Principale mobile 2'!E240+'Principale mobile 3'!E240+'Principale 2'!E240+'Principale mobile 4'!E240</f>
        <v>0</v>
      </c>
      <c r="F240" s="94"/>
      <c r="G240" s="316">
        <f>SUM('Nord Mobile 1'!G240,'Nord 1'!G240,'Nord 2'!G240,'Nord Mobile 2'!G240,Esplanade!G240,'Est mobile 1'!G240,'Est 1'!G240,'Est mobile 2'!G240,'Est Mobile 3'!G240,'Est 2'!G240,'Est mobile 4'!G240,'Sud 1'!G240,'Sud 2'!G240,Visiteurs!G240,'Principale mobile 1'!G240,'Principale mobile 2'!G240,'Principale mobile 3'!G240,'Principale 2'!G240,'Principale mobile 4'!G240)</f>
        <v>0</v>
      </c>
      <c r="H240" s="10" t="s">
        <v>61</v>
      </c>
      <c r="I240" s="336">
        <v>44.93</v>
      </c>
      <c r="J240" s="267">
        <f t="shared" si="3"/>
        <v>0</v>
      </c>
    </row>
    <row r="241" spans="1:10" x14ac:dyDescent="0.35">
      <c r="A241" s="103"/>
      <c r="B241" s="12" t="s">
        <v>9</v>
      </c>
      <c r="C241" s="10" t="s">
        <v>426</v>
      </c>
      <c r="D241" s="94"/>
      <c r="E241" s="232">
        <f>'Nord 1'!E241+'Nord 2'!E241+'Nord Mobile 1'!E241+'Nord Mobile 2'!E241+Esplanade!E241+'Est mobile 1'!E241+'Est 1'!E241+'Est mobile 2'!E241+'Est Mobile 3'!E241+'Est 2'!E241+'Est mobile 4'!E241+'Réserve Sud'!E241+'Sud 1'!E241+'Sud 2'!E241+Visiteurs!E241+'Principale mobile 1'!E241+'Principale 1 '!E241+'Principale mobile 2'!E241+'Principale mobile 3'!E241+'Principale 2'!E241+'Principale mobile 4'!E241</f>
        <v>9</v>
      </c>
      <c r="F241" s="94"/>
      <c r="G241" s="316">
        <f>SUM('Nord Mobile 1'!G241,'Nord 1'!G241,'Nord 2'!G241,'Nord Mobile 2'!G241,Esplanade!G241,'Est mobile 1'!G241,'Est 1'!G241,'Est mobile 2'!G241,'Est Mobile 3'!G241,'Est 2'!G241,'Est mobile 4'!G241,'Sud 1'!G241,'Sud 2'!G241,Visiteurs!G241,'Principale mobile 1'!G241,'Principale mobile 2'!G241,'Principale mobile 3'!G241,'Principale 2'!G241,'Principale mobile 4'!G241)</f>
        <v>0</v>
      </c>
      <c r="H241" s="10" t="s">
        <v>20</v>
      </c>
      <c r="I241" s="336">
        <v>29.2</v>
      </c>
      <c r="J241" s="267">
        <f t="shared" si="3"/>
        <v>262.8</v>
      </c>
    </row>
    <row r="242" spans="1:10" x14ac:dyDescent="0.35">
      <c r="A242" s="103"/>
      <c r="B242" s="12" t="s">
        <v>9</v>
      </c>
      <c r="C242" s="10" t="s">
        <v>427</v>
      </c>
      <c r="D242" s="94"/>
      <c r="E242" s="232">
        <f>'Nord 1'!E242+'Nord 2'!E242+'Nord Mobile 1'!E242+'Nord Mobile 2'!E242+Esplanade!E242+'Est mobile 1'!E242+'Est 1'!E242+'Est mobile 2'!E242+'Est Mobile 3'!E242+'Est 2'!E242+'Est mobile 4'!E242+'Réserve Sud'!E242+'Sud 1'!E242+'Sud 2'!E242+Visiteurs!E242+'Principale mobile 1'!E242+'Principale 1 '!E242+'Principale mobile 2'!E242+'Principale mobile 3'!E242+'Principale 2'!E242+'Principale mobile 4'!E242</f>
        <v>11</v>
      </c>
      <c r="F242" s="94"/>
      <c r="G242" s="316">
        <f>SUM('Nord Mobile 1'!G242,'Nord 1'!G242,'Nord 2'!G242,'Nord Mobile 2'!G242,Esplanade!G242,'Est mobile 1'!G242,'Est 1'!G242,'Est mobile 2'!G242,'Est Mobile 3'!G242,'Est 2'!G242,'Est mobile 4'!G242,'Sud 1'!G242,'Sud 2'!G242,Visiteurs!G242,'Principale mobile 1'!G242,'Principale mobile 2'!G242,'Principale mobile 3'!G242,'Principale 2'!G242,'Principale mobile 4'!G242)</f>
        <v>2</v>
      </c>
      <c r="H242" s="10" t="s">
        <v>20</v>
      </c>
      <c r="I242" s="336">
        <v>19.03</v>
      </c>
      <c r="J242" s="267">
        <f t="shared" si="3"/>
        <v>209.33</v>
      </c>
    </row>
    <row r="243" spans="1:10" x14ac:dyDescent="0.35">
      <c r="A243" s="103"/>
      <c r="B243" s="12" t="s">
        <v>9</v>
      </c>
      <c r="C243" s="10" t="s">
        <v>428</v>
      </c>
      <c r="D243" s="94"/>
      <c r="E243" s="232">
        <f>'Nord 1'!E243+'Nord 2'!E243+'Nord Mobile 1'!E243+'Nord Mobile 2'!E243+Esplanade!E243+'Est mobile 1'!E243+'Est 1'!E243+'Est mobile 2'!E243+'Est Mobile 3'!E243+'Est 2'!E243+'Est mobile 4'!E243+'Réserve Sud'!E243+'Sud 1'!E243+'Sud 2'!E243+Visiteurs!E243+'Principale mobile 1'!E243+'Principale 1 '!E243+'Principale mobile 2'!E243+'Principale mobile 3'!E243+'Principale 2'!E243+'Principale mobile 4'!E243</f>
        <v>0</v>
      </c>
      <c r="F243" s="94"/>
      <c r="G243" s="316">
        <f>SUM('Nord Mobile 1'!G243,'Nord 1'!G243,'Nord 2'!G243,'Nord Mobile 2'!G243,Esplanade!G243,'Est mobile 1'!G243,'Est 1'!G243,'Est mobile 2'!G243,'Est Mobile 3'!G243,'Est 2'!G243,'Est mobile 4'!G243,'Sud 1'!G243,'Sud 2'!G243,Visiteurs!G243,'Principale mobile 1'!G243,'Principale mobile 2'!G243,'Principale mobile 3'!G243,'Principale 2'!G243,'Principale mobile 4'!G243)</f>
        <v>2</v>
      </c>
      <c r="H243" s="10" t="s">
        <v>20</v>
      </c>
      <c r="I243" s="336">
        <v>8.4600000000000009</v>
      </c>
      <c r="J243" s="267">
        <f t="shared" si="3"/>
        <v>0</v>
      </c>
    </row>
    <row r="244" spans="1:10" x14ac:dyDescent="0.35">
      <c r="A244" s="103"/>
      <c r="B244" s="12" t="s">
        <v>9</v>
      </c>
      <c r="C244" s="10" t="s">
        <v>381</v>
      </c>
      <c r="D244" s="94"/>
      <c r="E244" s="232">
        <f>'Nord 1'!E244+'Nord 2'!E244+'Nord Mobile 1'!E244+'Nord Mobile 2'!E244+Esplanade!E244+'Est mobile 1'!E244+'Est 1'!E244+'Est mobile 2'!E244+'Est Mobile 3'!E244+'Est 2'!E244+'Est mobile 4'!E244+'Réserve Sud'!E244+'Sud 1'!E244+'Sud 2'!E244+Visiteurs!E244+'Principale mobile 1'!E244+'Principale 1 '!E244+'Principale mobile 2'!E244+'Principale mobile 3'!E244+'Principale 2'!E244+'Principale mobile 4'!E244</f>
        <v>0</v>
      </c>
      <c r="F244" s="94"/>
      <c r="G244" s="316">
        <f>SUM('Nord Mobile 1'!G244,'Nord 1'!G244,'Nord 2'!G244,'Nord Mobile 2'!G244,Esplanade!G244,'Est mobile 1'!G244,'Est 1'!G244,'Est mobile 2'!G244,'Est Mobile 3'!G244,'Est 2'!G244,'Est mobile 4'!G244,'Sud 1'!G244,'Sud 2'!G244,Visiteurs!G244,'Principale mobile 1'!G244,'Principale mobile 2'!G244,'Principale mobile 3'!G244,'Principale 2'!G244,'Principale mobile 4'!G244)</f>
        <v>0</v>
      </c>
      <c r="H244" s="10" t="s">
        <v>20</v>
      </c>
      <c r="I244" s="336">
        <v>0.02</v>
      </c>
      <c r="J244" s="267">
        <f t="shared" si="3"/>
        <v>0</v>
      </c>
    </row>
    <row r="245" spans="1:10" ht="15.5" x14ac:dyDescent="0.35">
      <c r="A245" s="108" t="s">
        <v>382</v>
      </c>
      <c r="B245" s="108"/>
      <c r="C245" s="108"/>
      <c r="D245" s="108"/>
      <c r="E245" s="232">
        <f>'Nord 1'!E245+'Nord 2'!E245+'Nord Mobile 1'!E245+'Nord Mobile 2'!E245+Esplanade!E245+'Est mobile 1'!E245+'Est 1'!E245+'Est mobile 2'!E245+'Est Mobile 3'!E245+'Est 2'!E245+'Est mobile 4'!E245+'Réserve Sud'!E245+'Sud 1'!E245+'Sud 2'!E245+Visiteurs!E245+'Principale mobile 1'!E245+'Principale 1 '!E245+'Principale mobile 2'!E245+'Principale mobile 3'!E245+'Principale 2'!E245+'Principale mobile 4'!E245</f>
        <v>0</v>
      </c>
      <c r="F245" s="108"/>
      <c r="G245" s="316">
        <f>SUM('Nord Mobile 1'!G245,'Nord 1'!G245,'Nord 2'!G245,'Nord Mobile 2'!G245,Esplanade!G245,'Est mobile 1'!G245,'Est 1'!G245,'Est mobile 2'!G245,'Est Mobile 3'!G245,'Est 2'!G245,'Est mobile 4'!G245,'Sud 1'!G245,'Sud 2'!G245,Visiteurs!G245,'Principale mobile 1'!G245,'Principale mobile 2'!G245,'Principale mobile 3'!G245,'Principale 2'!G245,'Principale mobile 4'!G245)</f>
        <v>0</v>
      </c>
      <c r="H245" s="108"/>
      <c r="I245" s="106" t="s">
        <v>18</v>
      </c>
      <c r="J245" s="247">
        <f>SUM(J246:J256)</f>
        <v>1257.18</v>
      </c>
    </row>
    <row r="246" spans="1:10" x14ac:dyDescent="0.35">
      <c r="A246" s="103"/>
      <c r="B246" s="12" t="s">
        <v>31</v>
      </c>
      <c r="C246" s="10" t="s">
        <v>383</v>
      </c>
      <c r="D246" s="94"/>
      <c r="E246" s="232">
        <f>'Nord 1'!E246+'Nord 2'!E246+'Nord Mobile 1'!E246+'Nord Mobile 2'!E246+Esplanade!E246+'Est mobile 1'!E246+'Est 1'!E246+'Est mobile 2'!E246+'Est Mobile 3'!E246+'Est 2'!E246+'Est mobile 4'!E246+'Réserve Sud'!E246+'Sud 1'!E246+'Sud 2'!E246+Visiteurs!E246+'Principale mobile 1'!E246+'Principale 1 '!E246+'Principale mobile 2'!E246+'Principale mobile 3'!E246+'Principale 2'!E246+'Principale mobile 4'!E246</f>
        <v>1</v>
      </c>
      <c r="F246" s="94"/>
      <c r="G246" s="316">
        <f>SUM('Nord Mobile 1'!G246,'Nord 1'!G246,'Nord 2'!G246,'Nord Mobile 2'!G246,Esplanade!G246,'Est mobile 1'!G246,'Est 1'!G246,'Est mobile 2'!G246,'Est Mobile 3'!G246,'Est 2'!G246,'Est mobile 4'!G246,'Sud 1'!G246,'Sud 2'!G246,Visiteurs!G246,'Principale mobile 1'!G246,'Principale mobile 2'!G246,'Principale mobile 3'!G246,'Principale 2'!G246,'Principale mobile 4'!G246)</f>
        <v>0</v>
      </c>
      <c r="H246" s="10" t="s">
        <v>20</v>
      </c>
      <c r="I246" s="331">
        <v>5.5</v>
      </c>
      <c r="J246" s="267">
        <f t="shared" si="3"/>
        <v>5.5</v>
      </c>
    </row>
    <row r="247" spans="1:10" x14ac:dyDescent="0.35">
      <c r="A247" s="103"/>
      <c r="B247" s="12" t="s">
        <v>31</v>
      </c>
      <c r="C247" s="10" t="s">
        <v>39</v>
      </c>
      <c r="D247" s="94"/>
      <c r="E247" s="232">
        <f>'Nord 1'!E247+'Nord 2'!E247+'Nord Mobile 1'!E247+'Nord Mobile 2'!E247+Esplanade!E247+'Est mobile 1'!E247+'Est 1'!E247+'Est mobile 2'!E247+'Est Mobile 3'!E247+'Est 2'!E247+'Est mobile 4'!E247+'Réserve Sud'!E247+'Sud 1'!E247+'Sud 2'!E247+Visiteurs!E247+'Principale mobile 1'!E247+'Principale 1 '!E247+'Principale mobile 2'!E247+'Principale mobile 3'!E247+'Principale 2'!E247+'Principale mobile 4'!E247</f>
        <v>66</v>
      </c>
      <c r="F247" s="94"/>
      <c r="G247" s="316">
        <f>SUM('Nord Mobile 1'!G247,'Nord 1'!G247,'Nord 2'!G247,'Nord Mobile 2'!G247,Esplanade!G247,'Est mobile 1'!G247,'Est 1'!G247,'Est mobile 2'!G247,'Est Mobile 3'!G247,'Est 2'!G247,'Est mobile 4'!G247,'Sud 1'!G247,'Sud 2'!G247,Visiteurs!G247,'Principale mobile 1'!G247,'Principale mobile 2'!G247,'Principale mobile 3'!G247,'Principale 2'!G247,'Principale mobile 4'!G247)</f>
        <v>0</v>
      </c>
      <c r="H247" s="10" t="s">
        <v>20</v>
      </c>
      <c r="I247" s="331">
        <v>4.55</v>
      </c>
      <c r="J247" s="267">
        <f t="shared" si="3"/>
        <v>300.3</v>
      </c>
    </row>
    <row r="248" spans="1:10" x14ac:dyDescent="0.35">
      <c r="A248" s="103"/>
      <c r="B248" s="12" t="s">
        <v>31</v>
      </c>
      <c r="C248" s="10" t="s">
        <v>422</v>
      </c>
      <c r="D248" s="94"/>
      <c r="E248" s="232">
        <f>'Nord 1'!E248+'Nord 2'!E248+'Nord Mobile 1'!E248+'Nord Mobile 2'!E248+Esplanade!E248+'Est mobile 1'!E248+'Est 1'!E248+'Est mobile 2'!E248+'Est Mobile 3'!E248+'Est 2'!E248+'Est mobile 4'!E248+'Réserve Sud'!E248+'Sud 1'!E248+'Sud 2'!E248+Visiteurs!E248+'Principale mobile 1'!E248+'Principale 1 '!E248+'Principale mobile 2'!E248+'Principale mobile 3'!E248+'Principale 2'!E248+'Principale mobile 4'!E248</f>
        <v>70</v>
      </c>
      <c r="F248" s="94"/>
      <c r="G248" s="316">
        <f>SUM('Nord Mobile 1'!G248,'Nord 1'!G248,'Nord 2'!G248,'Nord Mobile 2'!G248,Esplanade!G248,'Est mobile 1'!G248,'Est 1'!G248,'Est mobile 2'!G248,'Est Mobile 3'!G248,'Est 2'!G248,'Est mobile 4'!G248,'Sud 1'!G248,'Sud 2'!G248,Visiteurs!G248,'Principale mobile 1'!G248,'Principale mobile 2'!G248,'Principale mobile 3'!G248,'Principale 2'!G248,'Principale mobile 4'!G248)</f>
        <v>2</v>
      </c>
      <c r="H248" s="10" t="s">
        <v>20</v>
      </c>
      <c r="I248" s="331">
        <v>3.7</v>
      </c>
      <c r="J248" s="267">
        <f t="shared" si="3"/>
        <v>259</v>
      </c>
    </row>
    <row r="249" spans="1:10" x14ac:dyDescent="0.35">
      <c r="A249" s="103"/>
      <c r="B249" s="12" t="s">
        <v>31</v>
      </c>
      <c r="C249" s="10" t="s">
        <v>67</v>
      </c>
      <c r="D249" s="94"/>
      <c r="E249" s="232">
        <f>'Nord 1'!E249+'Nord 2'!E249+'Nord Mobile 1'!E249+'Nord Mobile 2'!E249+Esplanade!E249+'Est mobile 1'!E249+'Est 1'!E249+'Est mobile 2'!E249+'Est Mobile 3'!E249+'Est 2'!E249+'Est mobile 4'!E249+'Réserve Sud'!E249+'Sud 1'!E249+'Sud 2'!E249+Visiteurs!E249+'Principale mobile 1'!E249+'Principale 1 '!E249+'Principale mobile 2'!E249+'Principale mobile 3'!E249+'Principale 2'!E249+'Principale mobile 4'!E249</f>
        <v>16</v>
      </c>
      <c r="F249" s="94"/>
      <c r="G249" s="316">
        <f>SUM('Nord Mobile 1'!G249,'Nord 1'!G249,'Nord 2'!G249,'Nord Mobile 2'!G249,Esplanade!G249,'Est mobile 1'!G249,'Est 1'!G249,'Est mobile 2'!G249,'Est Mobile 3'!G249,'Est 2'!G249,'Est mobile 4'!G249,'Sud 1'!G249,'Sud 2'!G249,Visiteurs!G249,'Principale mobile 1'!G249,'Principale mobile 2'!G249,'Principale mobile 3'!G249,'Principale 2'!G249,'Principale mobile 4'!G249)</f>
        <v>2</v>
      </c>
      <c r="H249" s="10" t="s">
        <v>20</v>
      </c>
      <c r="I249" s="331">
        <v>15.56</v>
      </c>
      <c r="J249" s="267">
        <f t="shared" si="3"/>
        <v>248.96</v>
      </c>
    </row>
    <row r="250" spans="1:10" x14ac:dyDescent="0.35">
      <c r="A250" s="103"/>
      <c r="B250" s="12" t="s">
        <v>31</v>
      </c>
      <c r="C250" s="10" t="s">
        <v>384</v>
      </c>
      <c r="D250" s="94"/>
      <c r="E250" s="232">
        <f>'Nord 1'!E250+'Nord 2'!E250+'Nord Mobile 1'!E250+'Nord Mobile 2'!E250+Esplanade!E250+'Est mobile 1'!E250+'Est 1'!E250+'Est mobile 2'!E250+'Est Mobile 3'!E250+'Est 2'!E250+'Est mobile 4'!E250+'Réserve Sud'!E250+'Sud 1'!E250+'Sud 2'!E250+Visiteurs!E250+'Principale mobile 1'!E250+'Principale 1 '!E250+'Principale mobile 2'!E250+'Principale mobile 3'!E250+'Principale 2'!E250+'Principale mobile 4'!E250</f>
        <v>0</v>
      </c>
      <c r="F250" s="94"/>
      <c r="G250" s="316">
        <f>SUM('Nord Mobile 1'!G250,'Nord 1'!G250,'Nord 2'!G250,'Nord Mobile 2'!G250,Esplanade!G250,'Est mobile 1'!G250,'Est 1'!G250,'Est mobile 2'!G250,'Est Mobile 3'!G250,'Est 2'!G250,'Est mobile 4'!G250,'Sud 1'!G250,'Sud 2'!G250,Visiteurs!G250,'Principale mobile 1'!G250,'Principale mobile 2'!G250,'Principale mobile 3'!G250,'Principale 2'!G250,'Principale mobile 4'!G250)</f>
        <v>1</v>
      </c>
      <c r="H250" s="10" t="s">
        <v>20</v>
      </c>
      <c r="I250" s="331">
        <v>0.8</v>
      </c>
      <c r="J250" s="267">
        <f t="shared" si="3"/>
        <v>0</v>
      </c>
    </row>
    <row r="251" spans="1:10" x14ac:dyDescent="0.35">
      <c r="A251" s="103"/>
      <c r="B251" s="12" t="s">
        <v>31</v>
      </c>
      <c r="C251" s="10" t="s">
        <v>385</v>
      </c>
      <c r="D251" s="94"/>
      <c r="E251" s="232">
        <f>'Nord 1'!E251+'Nord 2'!E251+'Nord Mobile 1'!E251+'Nord Mobile 2'!E251+Esplanade!E251+'Est mobile 1'!E251+'Est 1'!E251+'Est mobile 2'!E251+'Est Mobile 3'!E251+'Est 2'!E251+'Est mobile 4'!E251+'Réserve Sud'!E251+'Sud 1'!E251+'Sud 2'!E251+Visiteurs!E251+'Principale mobile 1'!E251+'Principale 1 '!E251+'Principale mobile 2'!E251+'Principale mobile 3'!E251+'Principale 2'!E251+'Principale mobile 4'!E251</f>
        <v>0</v>
      </c>
      <c r="F251" s="94"/>
      <c r="G251" s="316">
        <f>SUM('Nord Mobile 1'!G251,'Nord 1'!G251,'Nord 2'!G251,'Nord Mobile 2'!G251,Esplanade!G251,'Est mobile 1'!G251,'Est 1'!G251,'Est mobile 2'!G251,'Est Mobile 3'!G251,'Est 2'!G251,'Est mobile 4'!G251,'Sud 1'!G251,'Sud 2'!G251,Visiteurs!G251,'Principale mobile 1'!G251,'Principale mobile 2'!G251,'Principale mobile 3'!G251,'Principale 2'!G251,'Principale mobile 4'!G251)</f>
        <v>0</v>
      </c>
      <c r="H251" s="10" t="s">
        <v>20</v>
      </c>
      <c r="I251" s="331">
        <v>1.83</v>
      </c>
      <c r="J251" s="267">
        <f t="shared" si="3"/>
        <v>0</v>
      </c>
    </row>
    <row r="252" spans="1:10" x14ac:dyDescent="0.35">
      <c r="A252" s="103"/>
      <c r="B252" s="12" t="s">
        <v>31</v>
      </c>
      <c r="C252" s="10" t="s">
        <v>386</v>
      </c>
      <c r="D252" s="94"/>
      <c r="E252" s="232">
        <f>'Nord 1'!E252+'Nord 2'!E252+'Nord Mobile 1'!E252+'Nord Mobile 2'!E252+Esplanade!E252+'Est mobile 1'!E252+'Est 1'!E252+'Est mobile 2'!E252+'Est Mobile 3'!E252+'Est 2'!E252+'Est mobile 4'!E252+'Réserve Sud'!E252+'Sud 1'!E252+'Sud 2'!E252+Visiteurs!E252+'Principale mobile 1'!E252+'Principale 1 '!E252+'Principale mobile 2'!E252+'Principale mobile 3'!E252+'Principale 2'!E252+'Principale mobile 4'!E252</f>
        <v>78</v>
      </c>
      <c r="F252" s="94"/>
      <c r="G252" s="316">
        <f>SUM('Nord Mobile 1'!G252,'Nord 1'!G252,'Nord 2'!G252,'Nord Mobile 2'!G252,Esplanade!G252,'Est mobile 1'!G252,'Est 1'!G252,'Est mobile 2'!G252,'Est Mobile 3'!G252,'Est 2'!G252,'Est mobile 4'!G252,'Sud 1'!G252,'Sud 2'!G252,Visiteurs!G252,'Principale mobile 1'!G252,'Principale mobile 2'!G252,'Principale mobile 3'!G252,'Principale 2'!G252,'Principale mobile 4'!G252)</f>
        <v>0</v>
      </c>
      <c r="H252" s="10" t="s">
        <v>20</v>
      </c>
      <c r="I252" s="331">
        <v>2.65</v>
      </c>
      <c r="J252" s="267">
        <f t="shared" si="3"/>
        <v>206.7</v>
      </c>
    </row>
    <row r="253" spans="1:10" x14ac:dyDescent="0.35">
      <c r="A253" s="103"/>
      <c r="B253" s="12" t="s">
        <v>31</v>
      </c>
      <c r="C253" s="10" t="s">
        <v>65</v>
      </c>
      <c r="D253" s="94"/>
      <c r="E253" s="232">
        <f>'Nord 1'!E253+'Nord 2'!E253+'Nord Mobile 1'!E253+'Nord Mobile 2'!E253+Esplanade!E253+'Est mobile 1'!E253+'Est 1'!E253+'Est mobile 2'!E253+'Est Mobile 3'!E253+'Est 2'!E253+'Est mobile 4'!E253+'Réserve Sud'!E253+'Sud 1'!E253+'Sud 2'!E253+Visiteurs!E253+'Principale mobile 1'!E253+'Principale 1 '!E253+'Principale mobile 2'!E253+'Principale mobile 3'!E253+'Principale 2'!E253+'Principale mobile 4'!E253</f>
        <v>0</v>
      </c>
      <c r="F253" s="94"/>
      <c r="G253" s="316">
        <f>SUM('Nord Mobile 1'!G253,'Nord 1'!G253,'Nord 2'!G253,'Nord Mobile 2'!G253,Esplanade!G253,'Est mobile 1'!G253,'Est 1'!G253,'Est mobile 2'!G253,'Est Mobile 3'!G253,'Est 2'!G253,'Est mobile 4'!G253,'Sud 1'!G253,'Sud 2'!G253,Visiteurs!G253,'Principale mobile 1'!G253,'Principale mobile 2'!G253,'Principale mobile 3'!G253,'Principale 2'!G253,'Principale mobile 4'!G253)</f>
        <v>2</v>
      </c>
      <c r="H253" s="10" t="s">
        <v>20</v>
      </c>
      <c r="I253" s="331">
        <v>13.43</v>
      </c>
      <c r="J253" s="267">
        <f t="shared" si="3"/>
        <v>0</v>
      </c>
    </row>
    <row r="254" spans="1:10" x14ac:dyDescent="0.35">
      <c r="A254" s="103"/>
      <c r="B254" s="12" t="s">
        <v>31</v>
      </c>
      <c r="C254" s="10" t="s">
        <v>66</v>
      </c>
      <c r="D254" s="94"/>
      <c r="E254" s="232">
        <f>'Nord 1'!E254+'Nord 2'!E254+'Nord Mobile 1'!E254+'Nord Mobile 2'!E254+Esplanade!E254+'Est mobile 1'!E254+'Est 1'!E254+'Est mobile 2'!E254+'Est Mobile 3'!E254+'Est 2'!E254+'Est mobile 4'!E254+'Réserve Sud'!E254+'Sud 1'!E254+'Sud 2'!E254+Visiteurs!E254+'Principale mobile 1'!E254+'Principale 1 '!E254+'Principale mobile 2'!E254+'Principale mobile 3'!E254+'Principale 2'!E254+'Principale mobile 4'!E254</f>
        <v>0</v>
      </c>
      <c r="F254" s="94"/>
      <c r="G254" s="316">
        <f>SUM('Nord Mobile 1'!G254,'Nord 1'!G254,'Nord 2'!G254,'Nord Mobile 2'!G254,Esplanade!G254,'Est mobile 1'!G254,'Est 1'!G254,'Est mobile 2'!G254,'Est Mobile 3'!G254,'Est 2'!G254,'Est mobile 4'!G254,'Sud 1'!G254,'Sud 2'!G254,Visiteurs!G254,'Principale mobile 1'!G254,'Principale mobile 2'!G254,'Principale mobile 3'!G254,'Principale 2'!G254,'Principale mobile 4'!G254)</f>
        <v>1</v>
      </c>
      <c r="H254" s="10" t="s">
        <v>20</v>
      </c>
      <c r="I254" s="331">
        <v>75.38</v>
      </c>
      <c r="J254" s="267">
        <f t="shared" si="3"/>
        <v>0</v>
      </c>
    </row>
    <row r="255" spans="1:10" x14ac:dyDescent="0.35">
      <c r="A255" s="103"/>
      <c r="B255" s="12" t="s">
        <v>31</v>
      </c>
      <c r="C255" s="10" t="s">
        <v>412</v>
      </c>
      <c r="D255" s="94"/>
      <c r="E255" s="232">
        <f>'Nord 1'!E255+'Nord 2'!E255+'Nord Mobile 1'!E255+'Nord Mobile 2'!E255+Esplanade!E255+'Est mobile 1'!E255+'Est 1'!E255+'Est mobile 2'!E255+'Est Mobile 3'!E255+'Est 2'!E255+'Est mobile 4'!E255+'Réserve Sud'!E255+'Sud 1'!E255+'Sud 2'!E255+Visiteurs!E255+'Principale mobile 1'!E255+'Principale 1 '!E255+'Principale mobile 2'!E255+'Principale mobile 3'!E255+'Principale 2'!E255+'Principale mobile 4'!E255</f>
        <v>4</v>
      </c>
      <c r="F255" s="94"/>
      <c r="G255" s="316">
        <f>SUM('Nord Mobile 1'!G255,'Nord 1'!G255,'Nord 2'!G255,'Nord Mobile 2'!G255,Esplanade!G255,'Est mobile 1'!G255,'Est 1'!G255,'Est mobile 2'!G255,'Est Mobile 3'!G255,'Est 2'!G255,'Est mobile 4'!G255,'Sud 1'!G255,'Sud 2'!G255,Visiteurs!G255,'Principale mobile 1'!G255,'Principale mobile 2'!G255,'Principale mobile 3'!G255,'Principale 2'!G255,'Principale mobile 4'!G255)</f>
        <v>0</v>
      </c>
      <c r="H255" s="10" t="s">
        <v>20</v>
      </c>
      <c r="I255" s="331">
        <v>8.43</v>
      </c>
      <c r="J255" s="267">
        <f t="shared" si="3"/>
        <v>33.72</v>
      </c>
    </row>
    <row r="256" spans="1:10" x14ac:dyDescent="0.35">
      <c r="A256" s="103"/>
      <c r="B256" s="12" t="s">
        <v>31</v>
      </c>
      <c r="C256" s="10" t="s">
        <v>69</v>
      </c>
      <c r="D256" s="94"/>
      <c r="E256" s="232">
        <f>'Nord 1'!E256+'Nord 2'!E256+'Nord Mobile 1'!E256+'Nord Mobile 2'!E256+Esplanade!E256+'Est mobile 1'!E256+'Est 1'!E256+'Est mobile 2'!E256+'Est Mobile 3'!E256+'Est 2'!E256+'Est mobile 4'!E256+'Réserve Sud'!E256+'Sud 1'!E256+'Sud 2'!E256+Visiteurs!E256+'Principale mobile 1'!E256+'Principale 1 '!E256+'Principale mobile 2'!E256+'Principale mobile 3'!E256+'Principale 2'!E256+'Principale mobile 4'!E256</f>
        <v>58</v>
      </c>
      <c r="F256" s="94"/>
      <c r="G256" s="316">
        <f>SUM('Nord Mobile 1'!G256,'Nord 1'!G256,'Nord 2'!G256,'Nord Mobile 2'!G256,Esplanade!G256,'Est mobile 1'!G256,'Est 1'!G256,'Est mobile 2'!G256,'Est Mobile 3'!G256,'Est 2'!G256,'Est mobile 4'!G256,'Sud 1'!G256,'Sud 2'!G256,Visiteurs!G256,'Principale mobile 1'!G256,'Principale mobile 2'!G256,'Principale mobile 3'!G256,'Principale 2'!G256,'Principale mobile 4'!G256)</f>
        <v>1</v>
      </c>
      <c r="H256" s="10" t="s">
        <v>63</v>
      </c>
      <c r="I256" s="331">
        <v>3.5</v>
      </c>
      <c r="J256" s="267">
        <f t="shared" si="3"/>
        <v>203</v>
      </c>
    </row>
    <row r="257" spans="1:10" ht="15.5" x14ac:dyDescent="0.35">
      <c r="A257" s="108" t="s">
        <v>57</v>
      </c>
      <c r="B257" s="108"/>
      <c r="C257" s="108"/>
      <c r="D257" s="108"/>
      <c r="E257" s="232">
        <f>'Nord 1'!E257+'Nord 2'!E257+'Nord Mobile 1'!E257+'Nord Mobile 2'!E257+Esplanade!E257+'Est mobile 1'!E257+'Est 1'!E257+'Est mobile 2'!E257+'Est Mobile 3'!E257+'Est 2'!E257+'Est mobile 4'!E257+'Réserve Sud'!E257+'Sud 1'!E257+'Sud 2'!E257+Visiteurs!E257+'Principale mobile 1'!E257+'Principale 1 '!E257+'Principale mobile 2'!E257+'Principale mobile 3'!E257+'Principale 2'!E257+'Principale mobile 4'!E257</f>
        <v>0</v>
      </c>
      <c r="F257" s="108"/>
      <c r="G257" s="316">
        <f>SUM('Nord Mobile 1'!G257,'Nord 1'!G257,'Nord 2'!G257,'Nord Mobile 2'!G257,Esplanade!G257,'Est mobile 1'!G257,'Est 1'!G257,'Est mobile 2'!G257,'Est Mobile 3'!G257,'Est 2'!G257,'Est mobile 4'!G257,'Sud 1'!G257,'Sud 2'!G257,Visiteurs!G257,'Principale mobile 1'!G257,'Principale mobile 2'!G257,'Principale mobile 3'!G257,'Principale 2'!G257,'Principale mobile 4'!G257)</f>
        <v>0</v>
      </c>
      <c r="H257" s="108"/>
      <c r="I257" s="106" t="s">
        <v>18</v>
      </c>
      <c r="J257" s="247">
        <f>SUM(J258:J259)</f>
        <v>0</v>
      </c>
    </row>
    <row r="258" spans="1:10" x14ac:dyDescent="0.35">
      <c r="A258" s="103"/>
      <c r="B258" s="12" t="s">
        <v>56</v>
      </c>
      <c r="C258" s="10" t="s">
        <v>58</v>
      </c>
      <c r="D258" s="94"/>
      <c r="E258" s="232">
        <f>'Nord 1'!E258+'Nord 2'!E258+'Nord Mobile 1'!E258+'Nord Mobile 2'!E258+Esplanade!E258+'Est mobile 1'!E258+'Est 1'!E258+'Est mobile 2'!E258+'Est Mobile 3'!E258+'Est 2'!E258+'Est mobile 4'!E258+'Réserve Sud'!E258+'Sud 1'!E258+'Sud 2'!E258+Visiteurs!E258+'Principale mobile 1'!E258+'Principale 1 '!E258+'Principale mobile 2'!E258+'Principale mobile 3'!E258+'Principale 2'!E258+'Principale mobile 4'!E258</f>
        <v>0</v>
      </c>
      <c r="F258" s="94"/>
      <c r="G258" s="316">
        <f>SUM('Nord Mobile 1'!G258,'Nord 1'!G258,'Nord 2'!G258,'Nord Mobile 2'!G258,Esplanade!G258,'Est mobile 1'!G258,'Est 1'!G258,'Est mobile 2'!G258,'Est Mobile 3'!G258,'Est 2'!G258,'Est mobile 4'!G258,'Sud 1'!G258,'Sud 2'!G258,Visiteurs!G258,'Principale mobile 1'!G258,'Principale mobile 2'!G258,'Principale mobile 3'!G258,'Principale 2'!G258,'Principale mobile 4'!G258)</f>
        <v>0</v>
      </c>
      <c r="H258" s="10" t="s">
        <v>20</v>
      </c>
      <c r="I258" s="331">
        <v>54.05</v>
      </c>
      <c r="J258" s="267">
        <f t="shared" si="3"/>
        <v>0</v>
      </c>
    </row>
    <row r="259" spans="1:10" x14ac:dyDescent="0.35">
      <c r="A259" s="103"/>
      <c r="B259" s="12" t="s">
        <v>56</v>
      </c>
      <c r="C259" s="10" t="s">
        <v>388</v>
      </c>
      <c r="D259" s="94"/>
      <c r="E259" s="232">
        <f>'Nord 1'!E259+'Nord 2'!E259+'Nord Mobile 1'!E259+'Nord Mobile 2'!E259+Esplanade!E259+'Est mobile 1'!E259+'Est 1'!E259+'Est mobile 2'!E259+'Est Mobile 3'!E259+'Est 2'!E259+'Est mobile 4'!E259+'Réserve Sud'!E259+'Sud 1'!E259+'Sud 2'!E259+Visiteurs!E259+'Principale mobile 1'!E259+'Principale 1 '!E259+'Principale mobile 2'!E259+'Principale mobile 3'!E259+'Principale 2'!E259+'Principale mobile 4'!E259</f>
        <v>0</v>
      </c>
      <c r="F259" s="94"/>
      <c r="G259" s="316">
        <f>SUM('Nord Mobile 1'!G259,'Nord 1'!G259,'Nord 2'!G259,'Nord Mobile 2'!G259,Esplanade!G259,'Est mobile 1'!G259,'Est 1'!G259,'Est mobile 2'!G259,'Est Mobile 3'!G259,'Est 2'!G259,'Est mobile 4'!G259,'Sud 1'!G259,'Sud 2'!G259,Visiteurs!G259,'Principale mobile 1'!G259,'Principale mobile 2'!G259,'Principale mobile 3'!G259,'Principale 2'!G259,'Principale mobile 4'!G259)</f>
        <v>0</v>
      </c>
      <c r="H259" s="10" t="s">
        <v>20</v>
      </c>
      <c r="I259" s="331">
        <v>0</v>
      </c>
      <c r="J259" s="267">
        <f t="shared" si="3"/>
        <v>0</v>
      </c>
    </row>
  </sheetData>
  <mergeCells count="2">
    <mergeCell ref="B1:C1"/>
    <mergeCell ref="B2:C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4717-B9DE-5741-A94D-5EBC5B1BF9FA}">
  <sheetPr codeName="Feuil5">
    <tabColor theme="8" tint="0.39997558519241921"/>
    <pageSetUpPr fitToPage="1"/>
  </sheetPr>
  <dimension ref="A1:O259"/>
  <sheetViews>
    <sheetView topLeftCell="A23" zoomScaleNormal="100" workbookViewId="0">
      <selection activeCell="J209" sqref="J209"/>
    </sheetView>
  </sheetViews>
  <sheetFormatPr baseColWidth="10" defaultColWidth="8.453125" defaultRowHeight="14.5" x14ac:dyDescent="0.35"/>
  <cols>
    <col min="1" max="1" width="2.54296875" customWidth="1"/>
    <col min="2" max="2" width="28" bestFit="1" customWidth="1"/>
    <col min="3" max="3" width="44.54296875" bestFit="1" customWidth="1"/>
    <col min="4" max="4" width="18.453125" style="34" hidden="1" customWidth="1"/>
    <col min="5" max="5" width="18.453125" style="34" bestFit="1" customWidth="1"/>
    <col min="6" max="6" width="18.26953125" style="34" hidden="1" customWidth="1"/>
    <col min="7" max="7" width="16.26953125" style="34" hidden="1" customWidth="1"/>
    <col min="8" max="8" width="6.26953125" bestFit="1" customWidth="1"/>
    <col min="9" max="9" width="7.81640625" style="86" bestFit="1" customWidth="1"/>
    <col min="10" max="10" width="7.1796875" customWidth="1"/>
    <col min="12" max="12" width="12" customWidth="1"/>
    <col min="13" max="13" width="12.54296875" customWidth="1"/>
  </cols>
  <sheetData>
    <row r="1" spans="2:7" ht="15" thickBot="1" x14ac:dyDescent="0.4">
      <c r="B1" s="321" t="s">
        <v>198</v>
      </c>
      <c r="C1" s="322"/>
      <c r="F1" s="154"/>
      <c r="G1" s="154"/>
    </row>
    <row r="2" spans="2:7" ht="15" thickBot="1" x14ac:dyDescent="0.4">
      <c r="B2" s="319"/>
      <c r="C2" s="320"/>
      <c r="F2" s="155"/>
      <c r="G2" s="155"/>
    </row>
    <row r="3" spans="2:7" x14ac:dyDescent="0.35">
      <c r="B3" s="75"/>
      <c r="C3" s="75"/>
      <c r="F3" s="156"/>
      <c r="G3" s="156"/>
    </row>
    <row r="4" spans="2:7" ht="15.5" x14ac:dyDescent="0.35">
      <c r="B4" s="70" t="s">
        <v>0</v>
      </c>
      <c r="C4" s="70" t="s">
        <v>1</v>
      </c>
      <c r="F4" s="157"/>
      <c r="G4" s="157"/>
    </row>
    <row r="5" spans="2:7" x14ac:dyDescent="0.35">
      <c r="B5" s="71" t="s">
        <v>2</v>
      </c>
      <c r="C5" s="72">
        <f>J23</f>
        <v>0</v>
      </c>
      <c r="F5" s="158"/>
      <c r="G5" s="158"/>
    </row>
    <row r="6" spans="2:7" x14ac:dyDescent="0.35">
      <c r="B6" s="71" t="s">
        <v>7</v>
      </c>
      <c r="C6" s="72">
        <f>J4</f>
        <v>0</v>
      </c>
      <c r="F6" s="158"/>
      <c r="G6" s="158"/>
    </row>
    <row r="7" spans="2:7" x14ac:dyDescent="0.35">
      <c r="B7" s="71" t="s">
        <v>13</v>
      </c>
      <c r="C7" s="72">
        <f>J50</f>
        <v>0</v>
      </c>
      <c r="F7" s="158"/>
      <c r="G7" s="158"/>
    </row>
    <row r="8" spans="2:7" x14ac:dyDescent="0.35">
      <c r="B8" s="71" t="s">
        <v>3</v>
      </c>
      <c r="C8" s="72">
        <f>J78</f>
        <v>0</v>
      </c>
      <c r="F8" s="158"/>
      <c r="G8" s="158"/>
    </row>
    <row r="9" spans="2:7" x14ac:dyDescent="0.35">
      <c r="B9" s="71" t="s">
        <v>4</v>
      </c>
      <c r="C9" s="72">
        <f>J122</f>
        <v>0</v>
      </c>
      <c r="F9" s="158"/>
      <c r="G9" s="158"/>
    </row>
    <row r="10" spans="2:7" x14ac:dyDescent="0.35">
      <c r="B10" s="71" t="s">
        <v>199</v>
      </c>
      <c r="C10" s="72">
        <f>J176</f>
        <v>0</v>
      </c>
      <c r="F10" s="158"/>
      <c r="G10" s="158"/>
    </row>
    <row r="11" spans="2:7" x14ac:dyDescent="0.35">
      <c r="B11" s="71" t="s">
        <v>200</v>
      </c>
      <c r="C11" s="72">
        <f>J187</f>
        <v>0</v>
      </c>
      <c r="F11" s="158"/>
      <c r="G11" s="158"/>
    </row>
    <row r="12" spans="2:7" x14ac:dyDescent="0.35">
      <c r="B12" s="71" t="s">
        <v>201</v>
      </c>
      <c r="C12" s="72">
        <f>J193</f>
        <v>0</v>
      </c>
      <c r="F12" s="158"/>
      <c r="G12" s="158"/>
    </row>
    <row r="13" spans="2:7" x14ac:dyDescent="0.35">
      <c r="B13" s="71" t="s">
        <v>202</v>
      </c>
      <c r="C13" s="72">
        <f>J195</f>
        <v>0</v>
      </c>
      <c r="F13" s="158"/>
      <c r="G13" s="158"/>
    </row>
    <row r="14" spans="2:7" x14ac:dyDescent="0.35">
      <c r="B14" s="71" t="s">
        <v>203</v>
      </c>
      <c r="C14" s="72">
        <f>J208</f>
        <v>0</v>
      </c>
      <c r="F14" s="158"/>
      <c r="G14" s="158"/>
    </row>
    <row r="15" spans="2:7" x14ac:dyDescent="0.35">
      <c r="B15" s="71" t="s">
        <v>12</v>
      </c>
      <c r="C15" s="72">
        <f>J214</f>
        <v>0</v>
      </c>
      <c r="F15" s="158"/>
      <c r="G15" s="158"/>
    </row>
    <row r="16" spans="2:7" x14ac:dyDescent="0.35">
      <c r="B16" s="71" t="s">
        <v>204</v>
      </c>
      <c r="C16" s="72">
        <f>J222</f>
        <v>0</v>
      </c>
      <c r="F16" s="158"/>
      <c r="G16" s="158"/>
    </row>
    <row r="17" spans="1:12" x14ac:dyDescent="0.35">
      <c r="B17" s="71" t="s">
        <v>9</v>
      </c>
      <c r="C17" s="72">
        <f>J224</f>
        <v>0</v>
      </c>
      <c r="F17" s="158"/>
      <c r="G17" s="158"/>
    </row>
    <row r="18" spans="1:12" x14ac:dyDescent="0.35">
      <c r="B18" s="71" t="s">
        <v>205</v>
      </c>
      <c r="C18" s="72">
        <f>J245</f>
        <v>0</v>
      </c>
      <c r="F18" s="158"/>
      <c r="G18" s="158"/>
    </row>
    <row r="19" spans="1:12" x14ac:dyDescent="0.35">
      <c r="B19" s="71" t="s">
        <v>56</v>
      </c>
      <c r="C19" s="72">
        <f>J257</f>
        <v>0</v>
      </c>
      <c r="F19" s="158"/>
      <c r="G19" s="158"/>
    </row>
    <row r="20" spans="1:12" x14ac:dyDescent="0.35">
      <c r="B20" s="73" t="s">
        <v>14</v>
      </c>
      <c r="C20" s="74">
        <f>C5+C6+C7+C8+C9+C10+C11+C12+C13+C14+C15+C16+C17+C18+C19</f>
        <v>0</v>
      </c>
      <c r="F20" s="159"/>
      <c r="G20" s="159"/>
    </row>
    <row r="21" spans="1:12" ht="18.75" customHeight="1" x14ac:dyDescent="0.45">
      <c r="A21" s="76" t="s">
        <v>207</v>
      </c>
      <c r="B21" s="76"/>
      <c r="C21" s="76"/>
      <c r="D21" s="160"/>
      <c r="E21" s="167"/>
      <c r="F21" s="160"/>
      <c r="G21" s="160"/>
      <c r="H21" s="76"/>
      <c r="I21" s="262"/>
      <c r="J21" s="76"/>
    </row>
    <row r="22" spans="1:12" ht="14.25" customHeight="1" x14ac:dyDescent="0.35">
      <c r="A22" s="129"/>
      <c r="B22" s="129" t="s">
        <v>15</v>
      </c>
      <c r="C22" s="129" t="s">
        <v>16</v>
      </c>
      <c r="D22" s="185"/>
      <c r="E22" s="168" t="s">
        <v>407</v>
      </c>
      <c r="F22" s="185" t="s">
        <v>399</v>
      </c>
      <c r="G22" s="185" t="s">
        <v>400</v>
      </c>
      <c r="H22" s="132" t="s">
        <v>406</v>
      </c>
      <c r="I22" s="341" t="s">
        <v>45</v>
      </c>
      <c r="J22" s="132" t="s">
        <v>402</v>
      </c>
    </row>
    <row r="23" spans="1:12" s="6" customFormat="1" ht="15.5" x14ac:dyDescent="0.35">
      <c r="A23" s="108" t="s">
        <v>208</v>
      </c>
      <c r="B23" s="108"/>
      <c r="C23" s="108"/>
      <c r="D23" s="162"/>
      <c r="E23" s="169"/>
      <c r="F23" s="162"/>
      <c r="G23" s="162"/>
      <c r="H23" s="108"/>
      <c r="I23" s="110" t="s">
        <v>18</v>
      </c>
      <c r="J23" s="107">
        <f>SUM(J24:J40)</f>
        <v>0</v>
      </c>
    </row>
    <row r="24" spans="1:12" x14ac:dyDescent="0.35">
      <c r="A24" s="103"/>
      <c r="B24" s="7" t="s">
        <v>2</v>
      </c>
      <c r="C24" s="14" t="s">
        <v>19</v>
      </c>
      <c r="D24" s="209"/>
      <c r="E24" s="170"/>
      <c r="F24" s="163"/>
      <c r="G24" s="210" t="str">
        <f>IF(D24-E24&gt;0,D24-E24,"")</f>
        <v/>
      </c>
      <c r="H24" s="10" t="s">
        <v>20</v>
      </c>
      <c r="I24" s="331">
        <v>55.95</v>
      </c>
      <c r="J24" s="12">
        <f t="shared" ref="J24:J40" si="0">E24*I24</f>
        <v>0</v>
      </c>
      <c r="K24" s="13"/>
    </row>
    <row r="25" spans="1:12" x14ac:dyDescent="0.35">
      <c r="A25" s="103"/>
      <c r="B25" s="7" t="s">
        <v>2</v>
      </c>
      <c r="C25" s="14" t="s">
        <v>209</v>
      </c>
      <c r="D25" s="209"/>
      <c r="E25" s="170"/>
      <c r="F25" s="163"/>
      <c r="G25" s="210" t="str">
        <f t="shared" ref="G25:G88" si="1">IF(D25-E25&gt;0,D25-E25,"")</f>
        <v/>
      </c>
      <c r="H25" s="10" t="s">
        <v>20</v>
      </c>
      <c r="I25" s="331">
        <v>173.1</v>
      </c>
      <c r="J25" s="12">
        <f t="shared" si="0"/>
        <v>0</v>
      </c>
      <c r="K25" s="13"/>
    </row>
    <row r="26" spans="1:12" x14ac:dyDescent="0.35">
      <c r="A26" s="103"/>
      <c r="B26" s="12" t="s">
        <v>2</v>
      </c>
      <c r="C26" s="10" t="s">
        <v>21</v>
      </c>
      <c r="D26" s="209"/>
      <c r="E26" s="170"/>
      <c r="F26" s="163"/>
      <c r="G26" s="210" t="str">
        <f t="shared" si="1"/>
        <v/>
      </c>
      <c r="H26" s="10" t="s">
        <v>20</v>
      </c>
      <c r="I26" s="331">
        <v>75.400000000000006</v>
      </c>
      <c r="J26" s="12">
        <f t="shared" si="0"/>
        <v>0</v>
      </c>
      <c r="K26" s="13"/>
    </row>
    <row r="27" spans="1:12" x14ac:dyDescent="0.35">
      <c r="A27" s="103"/>
      <c r="B27" s="12" t="s">
        <v>2</v>
      </c>
      <c r="C27" s="10" t="s">
        <v>210</v>
      </c>
      <c r="D27" s="209"/>
      <c r="E27" s="170"/>
      <c r="F27" s="163"/>
      <c r="G27" s="210" t="str">
        <f t="shared" si="1"/>
        <v/>
      </c>
      <c r="H27" s="10" t="s">
        <v>20</v>
      </c>
      <c r="I27" s="331">
        <v>84.9</v>
      </c>
      <c r="J27" s="12">
        <f t="shared" si="0"/>
        <v>0</v>
      </c>
      <c r="K27" s="13"/>
    </row>
    <row r="28" spans="1:12" x14ac:dyDescent="0.35">
      <c r="A28" s="103"/>
      <c r="B28" s="12" t="s">
        <v>2</v>
      </c>
      <c r="C28" s="10" t="s">
        <v>211</v>
      </c>
      <c r="D28" s="209"/>
      <c r="E28" s="170"/>
      <c r="F28" s="163"/>
      <c r="G28" s="210" t="str">
        <f t="shared" si="1"/>
        <v/>
      </c>
      <c r="H28" s="10" t="s">
        <v>20</v>
      </c>
      <c r="I28" s="331">
        <v>2.96</v>
      </c>
      <c r="J28" s="12">
        <f t="shared" si="0"/>
        <v>0</v>
      </c>
      <c r="K28" s="13"/>
      <c r="L28" t="s">
        <v>47</v>
      </c>
    </row>
    <row r="29" spans="1:12" x14ac:dyDescent="0.35">
      <c r="A29" s="103"/>
      <c r="B29" s="12" t="s">
        <v>2</v>
      </c>
      <c r="C29" s="10" t="s">
        <v>212</v>
      </c>
      <c r="D29" s="209"/>
      <c r="E29" s="170"/>
      <c r="F29" s="163"/>
      <c r="G29" s="210" t="str">
        <f t="shared" si="1"/>
        <v/>
      </c>
      <c r="H29" s="10" t="s">
        <v>20</v>
      </c>
      <c r="I29" s="331">
        <v>2.96</v>
      </c>
      <c r="J29" s="12">
        <f t="shared" si="0"/>
        <v>0</v>
      </c>
      <c r="K29" s="13"/>
    </row>
    <row r="30" spans="1:12" x14ac:dyDescent="0.35">
      <c r="A30" s="103"/>
      <c r="B30" s="12" t="s">
        <v>2</v>
      </c>
      <c r="C30" s="10" t="s">
        <v>213</v>
      </c>
      <c r="D30" s="209"/>
      <c r="E30" s="170"/>
      <c r="F30" s="163"/>
      <c r="G30" s="210" t="str">
        <f t="shared" si="1"/>
        <v/>
      </c>
      <c r="H30" s="10" t="s">
        <v>20</v>
      </c>
      <c r="I30" s="331">
        <v>2.96</v>
      </c>
      <c r="J30" s="12">
        <f t="shared" si="0"/>
        <v>0</v>
      </c>
      <c r="K30" s="13"/>
    </row>
    <row r="31" spans="1:12" x14ac:dyDescent="0.35">
      <c r="A31" s="103"/>
      <c r="B31" s="7" t="s">
        <v>2</v>
      </c>
      <c r="C31" s="14" t="s">
        <v>22</v>
      </c>
      <c r="D31" s="209"/>
      <c r="E31" s="170"/>
      <c r="F31" s="163"/>
      <c r="G31" s="210" t="str">
        <f t="shared" si="1"/>
        <v/>
      </c>
      <c r="H31" s="10" t="s">
        <v>20</v>
      </c>
      <c r="I31" s="331">
        <v>107.2</v>
      </c>
      <c r="J31" s="12">
        <f t="shared" si="0"/>
        <v>0</v>
      </c>
      <c r="K31" s="13"/>
    </row>
    <row r="32" spans="1:12" ht="14.5" customHeight="1" x14ac:dyDescent="0.35">
      <c r="A32" s="103"/>
      <c r="B32" s="7" t="s">
        <v>2</v>
      </c>
      <c r="C32" s="14" t="s">
        <v>214</v>
      </c>
      <c r="D32" s="209"/>
      <c r="E32" s="170"/>
      <c r="F32" s="163"/>
      <c r="G32" s="210" t="str">
        <f t="shared" si="1"/>
        <v/>
      </c>
      <c r="H32" s="10" t="s">
        <v>20</v>
      </c>
      <c r="I32" s="331">
        <v>170.7</v>
      </c>
      <c r="J32" s="12">
        <f t="shared" si="0"/>
        <v>0</v>
      </c>
      <c r="K32" s="13"/>
    </row>
    <row r="33" spans="1:12" ht="14.5" customHeight="1" x14ac:dyDescent="0.35">
      <c r="A33" s="103"/>
      <c r="B33" s="12" t="s">
        <v>2</v>
      </c>
      <c r="C33" s="10" t="s">
        <v>215</v>
      </c>
      <c r="D33" s="209"/>
      <c r="E33" s="170"/>
      <c r="F33" s="163"/>
      <c r="G33" s="210" t="str">
        <f t="shared" si="1"/>
        <v/>
      </c>
      <c r="H33" s="10" t="s">
        <v>216</v>
      </c>
      <c r="I33" s="331">
        <v>3.77</v>
      </c>
      <c r="J33" s="12">
        <f t="shared" si="0"/>
        <v>0</v>
      </c>
      <c r="K33" s="13"/>
    </row>
    <row r="34" spans="1:12" s="6" customFormat="1" ht="15.65" customHeight="1" x14ac:dyDescent="0.35">
      <c r="A34" s="103"/>
      <c r="B34" s="12" t="s">
        <v>2</v>
      </c>
      <c r="C34" s="10" t="s">
        <v>217</v>
      </c>
      <c r="D34" s="209"/>
      <c r="E34" s="170"/>
      <c r="F34" s="163"/>
      <c r="G34" s="210" t="str">
        <f t="shared" si="1"/>
        <v/>
      </c>
      <c r="H34" s="10" t="s">
        <v>20</v>
      </c>
      <c r="I34" s="331">
        <v>2.56</v>
      </c>
      <c r="J34" s="12">
        <f t="shared" si="0"/>
        <v>0</v>
      </c>
    </row>
    <row r="35" spans="1:12" ht="14.5" customHeight="1" x14ac:dyDescent="0.35">
      <c r="A35" s="103"/>
      <c r="B35" s="12" t="s">
        <v>2</v>
      </c>
      <c r="C35" s="10" t="s">
        <v>218</v>
      </c>
      <c r="D35" s="209"/>
      <c r="E35" s="170"/>
      <c r="F35" s="163"/>
      <c r="G35" s="210" t="str">
        <f t="shared" si="1"/>
        <v/>
      </c>
      <c r="H35" s="10" t="s">
        <v>20</v>
      </c>
      <c r="I35" s="331">
        <v>3.08</v>
      </c>
      <c r="J35" s="12">
        <f t="shared" si="0"/>
        <v>0</v>
      </c>
      <c r="K35" s="13"/>
    </row>
    <row r="36" spans="1:12" ht="14.5" customHeight="1" x14ac:dyDescent="0.35">
      <c r="A36" s="103"/>
      <c r="B36" s="12" t="s">
        <v>2</v>
      </c>
      <c r="C36" s="10" t="s">
        <v>219</v>
      </c>
      <c r="D36" s="209"/>
      <c r="E36" s="170"/>
      <c r="F36" s="163"/>
      <c r="G36" s="210" t="str">
        <f t="shared" si="1"/>
        <v/>
      </c>
      <c r="H36" s="10" t="s">
        <v>20</v>
      </c>
      <c r="I36" s="331">
        <v>2.56</v>
      </c>
      <c r="J36" s="12">
        <f t="shared" si="0"/>
        <v>0</v>
      </c>
      <c r="K36" s="13"/>
    </row>
    <row r="37" spans="1:12" x14ac:dyDescent="0.35">
      <c r="A37" s="103"/>
      <c r="B37" s="12" t="s">
        <v>2</v>
      </c>
      <c r="C37" s="10" t="s">
        <v>220</v>
      </c>
      <c r="D37" s="209"/>
      <c r="E37" s="170"/>
      <c r="F37" s="163"/>
      <c r="G37" s="210" t="str">
        <f t="shared" si="1"/>
        <v/>
      </c>
      <c r="H37" s="10" t="s">
        <v>20</v>
      </c>
      <c r="I37" s="331">
        <v>1.41</v>
      </c>
      <c r="J37" s="12">
        <f t="shared" si="0"/>
        <v>0</v>
      </c>
      <c r="K37" s="13"/>
    </row>
    <row r="38" spans="1:12" x14ac:dyDescent="0.35">
      <c r="A38" s="103"/>
      <c r="B38" s="12" t="s">
        <v>2</v>
      </c>
      <c r="C38" s="10" t="s">
        <v>221</v>
      </c>
      <c r="D38" s="209"/>
      <c r="E38" s="170"/>
      <c r="F38" s="163"/>
      <c r="G38" s="210" t="str">
        <f t="shared" si="1"/>
        <v/>
      </c>
      <c r="H38" s="10" t="s">
        <v>20</v>
      </c>
      <c r="I38" s="331">
        <v>1.73</v>
      </c>
      <c r="J38" s="12">
        <f t="shared" si="0"/>
        <v>0</v>
      </c>
      <c r="K38" s="13"/>
    </row>
    <row r="39" spans="1:12" x14ac:dyDescent="0.35">
      <c r="A39" s="103"/>
      <c r="B39" s="12" t="s">
        <v>2</v>
      </c>
      <c r="C39" s="10" t="s">
        <v>222</v>
      </c>
      <c r="D39" s="209"/>
      <c r="E39" s="170"/>
      <c r="F39" s="163"/>
      <c r="G39" s="210" t="str">
        <f t="shared" si="1"/>
        <v/>
      </c>
      <c r="H39" s="10" t="s">
        <v>20</v>
      </c>
      <c r="I39" s="331">
        <v>1.46</v>
      </c>
      <c r="J39" s="12">
        <f t="shared" si="0"/>
        <v>0</v>
      </c>
      <c r="K39" s="13"/>
    </row>
    <row r="40" spans="1:12" ht="14.5" customHeight="1" x14ac:dyDescent="0.35">
      <c r="A40" s="103"/>
      <c r="B40" s="12" t="s">
        <v>2</v>
      </c>
      <c r="C40" s="10" t="s">
        <v>223</v>
      </c>
      <c r="D40" s="211"/>
      <c r="E40" s="170"/>
      <c r="F40" s="189"/>
      <c r="G40" s="210" t="str">
        <f t="shared" si="1"/>
        <v/>
      </c>
      <c r="H40" s="10" t="s">
        <v>20</v>
      </c>
      <c r="I40" s="332">
        <v>3.45</v>
      </c>
      <c r="J40" s="12">
        <f t="shared" si="0"/>
        <v>0</v>
      </c>
      <c r="K40" s="13"/>
    </row>
    <row r="41" spans="1:12" s="6" customFormat="1" ht="15.65" customHeight="1" x14ac:dyDescent="0.35">
      <c r="A41" s="108" t="s">
        <v>119</v>
      </c>
      <c r="B41" s="108"/>
      <c r="C41" s="108"/>
      <c r="D41" s="212"/>
      <c r="E41" s="162"/>
      <c r="F41" s="162"/>
      <c r="G41" s="213" t="str">
        <f t="shared" si="1"/>
        <v/>
      </c>
      <c r="H41" s="108"/>
      <c r="I41" s="106" t="s">
        <v>18</v>
      </c>
      <c r="J41" s="107">
        <f>SUM(J42:J49)</f>
        <v>0</v>
      </c>
    </row>
    <row r="42" spans="1:12" ht="14.5" customHeight="1" x14ac:dyDescent="0.35">
      <c r="A42" s="103"/>
      <c r="B42" s="12" t="s">
        <v>7</v>
      </c>
      <c r="C42" s="10" t="s">
        <v>224</v>
      </c>
      <c r="D42" s="209"/>
      <c r="E42" s="170"/>
      <c r="F42" s="163"/>
      <c r="G42" s="210" t="str">
        <f t="shared" si="1"/>
        <v/>
      </c>
      <c r="H42" s="10" t="s">
        <v>20</v>
      </c>
      <c r="I42" s="331">
        <v>100</v>
      </c>
      <c r="J42" s="12">
        <f t="shared" ref="J42:J49" si="2">E42*I42</f>
        <v>0</v>
      </c>
      <c r="K42" s="13"/>
    </row>
    <row r="43" spans="1:12" x14ac:dyDescent="0.35">
      <c r="A43" s="103"/>
      <c r="B43" s="12" t="s">
        <v>7</v>
      </c>
      <c r="C43" s="10" t="s">
        <v>225</v>
      </c>
      <c r="D43" s="209"/>
      <c r="E43" s="170"/>
      <c r="F43" s="163"/>
      <c r="G43" s="210" t="str">
        <f t="shared" si="1"/>
        <v/>
      </c>
      <c r="H43" s="10" t="s">
        <v>20</v>
      </c>
      <c r="I43" s="331">
        <v>12.2</v>
      </c>
      <c r="J43" s="12">
        <f t="shared" si="2"/>
        <v>0</v>
      </c>
      <c r="K43" s="13"/>
    </row>
    <row r="44" spans="1:12" ht="14.5" customHeight="1" x14ac:dyDescent="0.35">
      <c r="A44" s="103"/>
      <c r="B44" s="12" t="s">
        <v>7</v>
      </c>
      <c r="C44" s="10" t="s">
        <v>226</v>
      </c>
      <c r="D44" s="209"/>
      <c r="E44" s="170"/>
      <c r="F44" s="163"/>
      <c r="G44" s="210" t="str">
        <f t="shared" si="1"/>
        <v/>
      </c>
      <c r="H44" s="10" t="s">
        <v>20</v>
      </c>
      <c r="I44" s="331">
        <v>11</v>
      </c>
      <c r="J44" s="12">
        <f t="shared" si="2"/>
        <v>0</v>
      </c>
      <c r="K44" s="323"/>
      <c r="L44" s="324"/>
    </row>
    <row r="45" spans="1:12" x14ac:dyDescent="0.35">
      <c r="A45" s="103"/>
      <c r="B45" s="12" t="s">
        <v>7</v>
      </c>
      <c r="C45" s="10" t="s">
        <v>227</v>
      </c>
      <c r="D45" s="209"/>
      <c r="E45" s="170"/>
      <c r="F45" s="163"/>
      <c r="G45" s="210" t="str">
        <f t="shared" si="1"/>
        <v/>
      </c>
      <c r="H45" s="10" t="s">
        <v>20</v>
      </c>
      <c r="I45" s="331">
        <v>5</v>
      </c>
      <c r="J45" s="12">
        <f t="shared" si="2"/>
        <v>0</v>
      </c>
      <c r="K45" s="13" t="s">
        <v>47</v>
      </c>
    </row>
    <row r="46" spans="1:12" x14ac:dyDescent="0.35">
      <c r="A46" s="103"/>
      <c r="B46" s="12" t="s">
        <v>7</v>
      </c>
      <c r="C46" s="10" t="s">
        <v>46</v>
      </c>
      <c r="D46" s="209"/>
      <c r="E46" s="170"/>
      <c r="F46" s="163"/>
      <c r="G46" s="210" t="str">
        <f t="shared" si="1"/>
        <v/>
      </c>
      <c r="H46" s="10" t="s">
        <v>20</v>
      </c>
      <c r="I46" s="331">
        <v>5</v>
      </c>
      <c r="J46" s="12">
        <f t="shared" si="2"/>
        <v>0</v>
      </c>
      <c r="K46" s="13"/>
    </row>
    <row r="47" spans="1:12" ht="14.5" customHeight="1" x14ac:dyDescent="0.35">
      <c r="A47" s="103"/>
      <c r="B47" s="12" t="s">
        <v>7</v>
      </c>
      <c r="C47" s="10" t="s">
        <v>228</v>
      </c>
      <c r="D47" s="209"/>
      <c r="E47" s="170"/>
      <c r="F47" s="163"/>
      <c r="G47" s="210" t="str">
        <f t="shared" si="1"/>
        <v/>
      </c>
      <c r="H47" s="10" t="s">
        <v>20</v>
      </c>
      <c r="I47" s="331">
        <v>11</v>
      </c>
      <c r="J47" s="12">
        <f t="shared" si="2"/>
        <v>0</v>
      </c>
      <c r="K47" s="13"/>
    </row>
    <row r="48" spans="1:12" ht="16.399999999999999" customHeight="1" x14ac:dyDescent="0.35">
      <c r="A48" s="103"/>
      <c r="B48" s="12" t="s">
        <v>7</v>
      </c>
      <c r="C48" s="10" t="s">
        <v>229</v>
      </c>
      <c r="D48" s="209"/>
      <c r="E48" s="170"/>
      <c r="F48" s="163"/>
      <c r="G48" s="210" t="str">
        <f t="shared" si="1"/>
        <v/>
      </c>
      <c r="H48" s="10" t="s">
        <v>20</v>
      </c>
      <c r="I48" s="331">
        <v>50</v>
      </c>
      <c r="J48" s="12">
        <f t="shared" si="2"/>
        <v>0</v>
      </c>
      <c r="K48" s="13"/>
    </row>
    <row r="49" spans="1:11" x14ac:dyDescent="0.35">
      <c r="A49" s="103"/>
      <c r="B49" s="12" t="s">
        <v>7</v>
      </c>
      <c r="C49" s="78" t="s">
        <v>206</v>
      </c>
      <c r="D49" s="214"/>
      <c r="E49" s="170"/>
      <c r="F49" s="192"/>
      <c r="G49" s="210" t="str">
        <f t="shared" si="1"/>
        <v/>
      </c>
      <c r="H49" s="10" t="s">
        <v>20</v>
      </c>
      <c r="I49" s="333">
        <v>5</v>
      </c>
      <c r="J49" s="12">
        <f t="shared" si="2"/>
        <v>0</v>
      </c>
      <c r="K49" s="13"/>
    </row>
    <row r="50" spans="1:11" ht="14.5" customHeight="1" x14ac:dyDescent="0.35">
      <c r="A50" s="103"/>
      <c r="B50" s="104" t="s">
        <v>230</v>
      </c>
      <c r="C50" s="105"/>
      <c r="D50" s="215"/>
      <c r="E50" s="176"/>
      <c r="F50" s="176"/>
      <c r="G50" s="213" t="str">
        <f t="shared" si="1"/>
        <v/>
      </c>
      <c r="H50" s="105"/>
      <c r="I50" s="106" t="s">
        <v>18</v>
      </c>
      <c r="J50" s="107">
        <f>SUM(J52:J77)</f>
        <v>0</v>
      </c>
      <c r="K50" s="13"/>
    </row>
    <row r="51" spans="1:11" ht="14.5" customHeight="1" x14ac:dyDescent="0.35">
      <c r="A51" s="111"/>
      <c r="B51" s="126" t="s">
        <v>231</v>
      </c>
      <c r="C51" s="127"/>
      <c r="D51" s="216"/>
      <c r="E51" s="177"/>
      <c r="F51" s="177"/>
      <c r="G51" s="213" t="str">
        <f t="shared" si="1"/>
        <v/>
      </c>
      <c r="H51" s="127"/>
      <c r="I51" s="239"/>
      <c r="J51" s="128"/>
      <c r="K51" s="13"/>
    </row>
    <row r="52" spans="1:11" ht="14.5" customHeight="1" x14ac:dyDescent="0.35">
      <c r="A52" s="103"/>
      <c r="B52" s="12" t="s">
        <v>13</v>
      </c>
      <c r="C52" s="10" t="s">
        <v>78</v>
      </c>
      <c r="D52" s="209"/>
      <c r="E52" s="170"/>
      <c r="F52" s="163"/>
      <c r="G52" s="210" t="str">
        <f t="shared" si="1"/>
        <v/>
      </c>
      <c r="H52" s="10" t="s">
        <v>20</v>
      </c>
      <c r="I52" s="331">
        <v>13</v>
      </c>
      <c r="J52" s="12">
        <f t="shared" ref="J52:J58" si="3">E52*I52</f>
        <v>0</v>
      </c>
      <c r="K52" s="13"/>
    </row>
    <row r="53" spans="1:11" x14ac:dyDescent="0.35">
      <c r="A53" s="103"/>
      <c r="B53" s="12" t="s">
        <v>13</v>
      </c>
      <c r="C53" s="10" t="s">
        <v>232</v>
      </c>
      <c r="D53" s="209"/>
      <c r="E53" s="170"/>
      <c r="F53" s="163"/>
      <c r="G53" s="210" t="str">
        <f t="shared" si="1"/>
        <v/>
      </c>
      <c r="H53" s="10" t="s">
        <v>20</v>
      </c>
      <c r="I53" s="331">
        <v>13</v>
      </c>
      <c r="J53" s="12">
        <f t="shared" si="3"/>
        <v>0</v>
      </c>
      <c r="K53" s="134"/>
    </row>
    <row r="54" spans="1:11" x14ac:dyDescent="0.35">
      <c r="A54" s="103"/>
      <c r="B54" s="12" t="s">
        <v>13</v>
      </c>
      <c r="C54" s="10" t="s">
        <v>233</v>
      </c>
      <c r="D54" s="209"/>
      <c r="E54" s="170"/>
      <c r="F54" s="163"/>
      <c r="G54" s="210" t="str">
        <f t="shared" si="1"/>
        <v/>
      </c>
      <c r="H54" s="10" t="s">
        <v>20</v>
      </c>
      <c r="I54" s="331">
        <v>8.9</v>
      </c>
      <c r="J54" s="12">
        <f t="shared" si="3"/>
        <v>0</v>
      </c>
      <c r="K54" s="13"/>
    </row>
    <row r="55" spans="1:11" x14ac:dyDescent="0.35">
      <c r="A55" s="103"/>
      <c r="B55" s="12" t="s">
        <v>13</v>
      </c>
      <c r="C55" s="10" t="s">
        <v>32</v>
      </c>
      <c r="D55" s="209"/>
      <c r="E55" s="170"/>
      <c r="F55" s="163"/>
      <c r="G55" s="210" t="str">
        <f t="shared" si="1"/>
        <v/>
      </c>
      <c r="H55" s="10" t="s">
        <v>20</v>
      </c>
      <c r="I55" s="331">
        <v>8.35</v>
      </c>
      <c r="J55" s="12">
        <f t="shared" si="3"/>
        <v>0</v>
      </c>
      <c r="K55" s="13"/>
    </row>
    <row r="56" spans="1:11" s="6" customFormat="1" ht="15.65" customHeight="1" x14ac:dyDescent="0.35">
      <c r="A56" s="103"/>
      <c r="B56" s="12" t="s">
        <v>13</v>
      </c>
      <c r="C56" s="10" t="s">
        <v>33</v>
      </c>
      <c r="D56" s="209"/>
      <c r="E56" s="170"/>
      <c r="F56" s="163"/>
      <c r="G56" s="210" t="str">
        <f t="shared" si="1"/>
        <v/>
      </c>
      <c r="H56" s="10" t="s">
        <v>20</v>
      </c>
      <c r="I56" s="331">
        <v>8.9</v>
      </c>
      <c r="J56" s="12">
        <f t="shared" si="3"/>
        <v>0</v>
      </c>
    </row>
    <row r="57" spans="1:11" s="6" customFormat="1" ht="15.65" customHeight="1" x14ac:dyDescent="0.35">
      <c r="A57" s="103"/>
      <c r="B57" s="12" t="s">
        <v>13</v>
      </c>
      <c r="C57" s="10" t="s">
        <v>59</v>
      </c>
      <c r="D57" s="209"/>
      <c r="E57" s="170"/>
      <c r="F57" s="163"/>
      <c r="G57" s="210" t="str">
        <f t="shared" si="1"/>
        <v/>
      </c>
      <c r="H57" s="10" t="s">
        <v>20</v>
      </c>
      <c r="I57" s="331">
        <v>8.6999999999999993</v>
      </c>
      <c r="J57" s="12">
        <f t="shared" si="3"/>
        <v>0</v>
      </c>
    </row>
    <row r="58" spans="1:11" ht="14.5" customHeight="1" x14ac:dyDescent="0.35">
      <c r="A58" s="103"/>
      <c r="B58" s="12" t="s">
        <v>13</v>
      </c>
      <c r="C58" s="10" t="s">
        <v>234</v>
      </c>
      <c r="D58" s="209"/>
      <c r="E58" s="170"/>
      <c r="F58" s="163"/>
      <c r="G58" s="210" t="str">
        <f t="shared" si="1"/>
        <v/>
      </c>
      <c r="H58" s="10" t="s">
        <v>20</v>
      </c>
      <c r="I58" s="331">
        <v>12.15</v>
      </c>
      <c r="J58" s="12">
        <f t="shared" si="3"/>
        <v>0</v>
      </c>
      <c r="K58" s="13"/>
    </row>
    <row r="59" spans="1:11" ht="14.5" customHeight="1" x14ac:dyDescent="0.35">
      <c r="A59" s="103"/>
      <c r="B59" s="12" t="s">
        <v>13</v>
      </c>
      <c r="C59" s="10" t="s">
        <v>235</v>
      </c>
      <c r="D59" s="209"/>
      <c r="E59" s="170"/>
      <c r="F59" s="163"/>
      <c r="G59" s="210" t="str">
        <f t="shared" si="1"/>
        <v/>
      </c>
      <c r="H59" s="10" t="s">
        <v>20</v>
      </c>
      <c r="I59" s="331">
        <v>11.35</v>
      </c>
      <c r="J59" s="12">
        <f t="shared" ref="J59:J64" si="4">E59*I59</f>
        <v>0</v>
      </c>
      <c r="K59" s="13"/>
    </row>
    <row r="60" spans="1:11" s="6" customFormat="1" ht="15.65" customHeight="1" x14ac:dyDescent="0.35">
      <c r="A60" s="103"/>
      <c r="B60" s="12" t="s">
        <v>13</v>
      </c>
      <c r="C60" s="10" t="s">
        <v>236</v>
      </c>
      <c r="D60" s="209"/>
      <c r="E60" s="170"/>
      <c r="F60" s="163"/>
      <c r="G60" s="210" t="str">
        <f t="shared" si="1"/>
        <v/>
      </c>
      <c r="H60" s="10" t="s">
        <v>20</v>
      </c>
      <c r="I60" s="331">
        <v>14.65</v>
      </c>
      <c r="J60" s="12">
        <f t="shared" si="4"/>
        <v>0</v>
      </c>
    </row>
    <row r="61" spans="1:11" ht="14.5" customHeight="1" x14ac:dyDescent="0.35">
      <c r="A61" s="103"/>
      <c r="B61" s="12" t="s">
        <v>13</v>
      </c>
      <c r="C61" s="10" t="s">
        <v>237</v>
      </c>
      <c r="D61" s="209"/>
      <c r="E61" s="170"/>
      <c r="F61" s="163"/>
      <c r="G61" s="210" t="str">
        <f t="shared" si="1"/>
        <v/>
      </c>
      <c r="H61" s="10" t="s">
        <v>20</v>
      </c>
      <c r="I61" s="331">
        <v>16.25</v>
      </c>
      <c r="J61" s="12">
        <f t="shared" si="4"/>
        <v>0</v>
      </c>
      <c r="K61" s="13"/>
    </row>
    <row r="62" spans="1:11" s="6" customFormat="1" ht="15.65" customHeight="1" x14ac:dyDescent="0.35">
      <c r="A62" s="103"/>
      <c r="B62" s="12" t="s">
        <v>13</v>
      </c>
      <c r="C62" s="10" t="s">
        <v>238</v>
      </c>
      <c r="D62" s="209"/>
      <c r="E62" s="170"/>
      <c r="F62" s="163"/>
      <c r="G62" s="210" t="str">
        <f t="shared" si="1"/>
        <v/>
      </c>
      <c r="H62" s="10" t="s">
        <v>20</v>
      </c>
      <c r="I62" s="331">
        <v>17.899999999999999</v>
      </c>
      <c r="J62" s="12">
        <f t="shared" si="4"/>
        <v>0</v>
      </c>
    </row>
    <row r="63" spans="1:11" ht="14.5" customHeight="1" x14ac:dyDescent="0.35">
      <c r="A63" s="103"/>
      <c r="B63" s="12" t="s">
        <v>13</v>
      </c>
      <c r="C63" s="10" t="s">
        <v>239</v>
      </c>
      <c r="D63" s="209"/>
      <c r="E63" s="170"/>
      <c r="F63" s="163"/>
      <c r="G63" s="210" t="str">
        <f t="shared" si="1"/>
        <v/>
      </c>
      <c r="H63" s="10" t="s">
        <v>20</v>
      </c>
      <c r="I63" s="331">
        <v>15.95</v>
      </c>
      <c r="J63" s="12">
        <f t="shared" si="4"/>
        <v>0</v>
      </c>
      <c r="K63" s="13"/>
    </row>
    <row r="64" spans="1:11" ht="14.5" customHeight="1" x14ac:dyDescent="0.35">
      <c r="A64" s="103"/>
      <c r="B64" s="12" t="s">
        <v>13</v>
      </c>
      <c r="C64" s="10" t="s">
        <v>240</v>
      </c>
      <c r="D64" s="209"/>
      <c r="E64" s="170"/>
      <c r="F64" s="163"/>
      <c r="G64" s="210" t="str">
        <f t="shared" si="1"/>
        <v/>
      </c>
      <c r="H64" s="10" t="s">
        <v>20</v>
      </c>
      <c r="I64" s="331">
        <v>15.45</v>
      </c>
      <c r="J64" s="12">
        <f t="shared" si="4"/>
        <v>0</v>
      </c>
      <c r="K64" s="13"/>
    </row>
    <row r="65" spans="1:13" s="6" customFormat="1" ht="15.65" customHeight="1" x14ac:dyDescent="0.35">
      <c r="A65" s="111"/>
      <c r="B65" s="126" t="s">
        <v>241</v>
      </c>
      <c r="C65" s="127"/>
      <c r="D65" s="216"/>
      <c r="E65" s="177"/>
      <c r="F65" s="177"/>
      <c r="G65" s="213" t="str">
        <f t="shared" si="1"/>
        <v/>
      </c>
      <c r="H65" s="127"/>
      <c r="I65" s="239"/>
      <c r="J65" s="128"/>
    </row>
    <row r="66" spans="1:13" ht="14.5" customHeight="1" x14ac:dyDescent="0.35">
      <c r="A66" s="103"/>
      <c r="B66" s="12" t="s">
        <v>13</v>
      </c>
      <c r="C66" s="10" t="s">
        <v>242</v>
      </c>
      <c r="D66" s="209"/>
      <c r="E66" s="170"/>
      <c r="F66" s="163"/>
      <c r="G66" s="210" t="str">
        <f t="shared" si="1"/>
        <v/>
      </c>
      <c r="H66" s="10" t="s">
        <v>20</v>
      </c>
      <c r="I66" s="331">
        <v>31.05</v>
      </c>
      <c r="J66" s="12">
        <f t="shared" ref="J66:J72" si="5">E66*I66</f>
        <v>0</v>
      </c>
      <c r="K66" s="13"/>
    </row>
    <row r="67" spans="1:13" ht="14.5" customHeight="1" x14ac:dyDescent="0.35">
      <c r="A67" s="103"/>
      <c r="B67" s="12" t="s">
        <v>13</v>
      </c>
      <c r="C67" s="10" t="s">
        <v>243</v>
      </c>
      <c r="D67" s="209"/>
      <c r="E67" s="170"/>
      <c r="F67" s="163"/>
      <c r="G67" s="210" t="str">
        <f t="shared" si="1"/>
        <v/>
      </c>
      <c r="H67" s="10" t="s">
        <v>20</v>
      </c>
      <c r="I67" s="331">
        <v>60.79</v>
      </c>
      <c r="J67" s="12">
        <f t="shared" si="5"/>
        <v>0</v>
      </c>
      <c r="K67" s="13"/>
    </row>
    <row r="68" spans="1:13" x14ac:dyDescent="0.35">
      <c r="A68" s="103"/>
      <c r="B68" s="12" t="s">
        <v>13</v>
      </c>
      <c r="C68" s="10" t="s">
        <v>244</v>
      </c>
      <c r="D68" s="209"/>
      <c r="E68" s="170"/>
      <c r="F68" s="163"/>
      <c r="G68" s="210" t="str">
        <f t="shared" si="1"/>
        <v/>
      </c>
      <c r="H68" s="10" t="s">
        <v>20</v>
      </c>
      <c r="I68" s="331">
        <v>56.55</v>
      </c>
      <c r="J68" s="12">
        <f t="shared" si="5"/>
        <v>0</v>
      </c>
      <c r="K68" s="13"/>
    </row>
    <row r="69" spans="1:13" x14ac:dyDescent="0.35">
      <c r="A69" s="103"/>
      <c r="B69" s="12" t="s">
        <v>13</v>
      </c>
      <c r="C69" s="10" t="s">
        <v>245</v>
      </c>
      <c r="D69" s="209"/>
      <c r="E69" s="170"/>
      <c r="F69" s="163"/>
      <c r="G69" s="210" t="str">
        <f t="shared" si="1"/>
        <v/>
      </c>
      <c r="H69" s="10" t="s">
        <v>20</v>
      </c>
      <c r="I69" s="331">
        <v>107.44</v>
      </c>
      <c r="J69" s="12">
        <f t="shared" si="5"/>
        <v>0</v>
      </c>
      <c r="K69" s="13"/>
    </row>
    <row r="70" spans="1:13" ht="14.5" customHeight="1" x14ac:dyDescent="0.35">
      <c r="A70" s="103"/>
      <c r="B70" s="12" t="s">
        <v>13</v>
      </c>
      <c r="C70" s="10" t="s">
        <v>246</v>
      </c>
      <c r="D70" s="209"/>
      <c r="E70" s="170"/>
      <c r="F70" s="163"/>
      <c r="G70" s="210" t="str">
        <f t="shared" si="1"/>
        <v/>
      </c>
      <c r="H70" s="10" t="s">
        <v>20</v>
      </c>
      <c r="I70" s="331">
        <v>47.4</v>
      </c>
      <c r="J70" s="12">
        <f t="shared" si="5"/>
        <v>0</v>
      </c>
      <c r="K70" s="13"/>
    </row>
    <row r="71" spans="1:13" ht="15.65" customHeight="1" x14ac:dyDescent="0.35">
      <c r="A71" s="103"/>
      <c r="B71" s="12" t="s">
        <v>13</v>
      </c>
      <c r="C71" s="10" t="s">
        <v>247</v>
      </c>
      <c r="D71" s="209"/>
      <c r="E71" s="170"/>
      <c r="F71" s="163"/>
      <c r="G71" s="210" t="str">
        <f t="shared" si="1"/>
        <v/>
      </c>
      <c r="H71" s="10" t="s">
        <v>20</v>
      </c>
      <c r="I71" s="331">
        <v>87.63</v>
      </c>
      <c r="J71" s="12">
        <f t="shared" si="5"/>
        <v>0</v>
      </c>
      <c r="K71" s="13"/>
    </row>
    <row r="72" spans="1:13" x14ac:dyDescent="0.35">
      <c r="A72" s="103"/>
      <c r="B72" s="12" t="s">
        <v>13</v>
      </c>
      <c r="C72" s="10" t="s">
        <v>248</v>
      </c>
      <c r="D72" s="209"/>
      <c r="E72" s="170"/>
      <c r="F72" s="163"/>
      <c r="G72" s="210" t="str">
        <f t="shared" si="1"/>
        <v/>
      </c>
      <c r="H72" s="10" t="s">
        <v>20</v>
      </c>
      <c r="I72" s="331">
        <v>52.31</v>
      </c>
      <c r="J72" s="12">
        <f t="shared" si="5"/>
        <v>0</v>
      </c>
      <c r="K72" s="13"/>
      <c r="M72" s="22"/>
    </row>
    <row r="73" spans="1:13" ht="16.399999999999999" customHeight="1" x14ac:dyDescent="0.35">
      <c r="A73" s="111"/>
      <c r="B73" s="126" t="s">
        <v>249</v>
      </c>
      <c r="C73" s="127"/>
      <c r="D73" s="216"/>
      <c r="E73" s="177"/>
      <c r="F73" s="177"/>
      <c r="G73" s="213" t="str">
        <f t="shared" si="1"/>
        <v/>
      </c>
      <c r="H73" s="127"/>
      <c r="I73" s="239"/>
      <c r="J73" s="128"/>
      <c r="K73" s="13"/>
    </row>
    <row r="74" spans="1:13" x14ac:dyDescent="0.35">
      <c r="A74" s="103"/>
      <c r="B74" s="12" t="s">
        <v>13</v>
      </c>
      <c r="C74" s="10" t="s">
        <v>250</v>
      </c>
      <c r="D74" s="209"/>
      <c r="E74" s="170"/>
      <c r="F74" s="163"/>
      <c r="G74" s="210" t="str">
        <f t="shared" si="1"/>
        <v/>
      </c>
      <c r="H74" s="10" t="s">
        <v>20</v>
      </c>
      <c r="I74" s="331">
        <v>10.8</v>
      </c>
      <c r="J74" s="12">
        <f>E74*I74</f>
        <v>0</v>
      </c>
      <c r="K74" s="13"/>
    </row>
    <row r="75" spans="1:13" ht="14.5" customHeight="1" x14ac:dyDescent="0.35">
      <c r="A75" s="103"/>
      <c r="B75" s="12" t="s">
        <v>13</v>
      </c>
      <c r="C75" s="10" t="s">
        <v>251</v>
      </c>
      <c r="D75" s="209"/>
      <c r="E75" s="170"/>
      <c r="F75" s="163"/>
      <c r="G75" s="210" t="str">
        <f t="shared" si="1"/>
        <v/>
      </c>
      <c r="H75" s="10" t="s">
        <v>20</v>
      </c>
      <c r="I75" s="331">
        <v>11.2</v>
      </c>
      <c r="J75" s="12">
        <f>E75*I75</f>
        <v>0</v>
      </c>
      <c r="K75" s="13"/>
    </row>
    <row r="76" spans="1:13" s="24" customFormat="1" ht="15.65" customHeight="1" x14ac:dyDescent="0.35">
      <c r="A76" s="103"/>
      <c r="B76" s="12" t="s">
        <v>13</v>
      </c>
      <c r="C76" s="10" t="s">
        <v>252</v>
      </c>
      <c r="D76" s="209"/>
      <c r="E76" s="170"/>
      <c r="F76" s="163"/>
      <c r="G76" s="210" t="str">
        <f t="shared" si="1"/>
        <v/>
      </c>
      <c r="H76" s="10" t="s">
        <v>23</v>
      </c>
      <c r="I76" s="331">
        <v>4.5599999999999996</v>
      </c>
      <c r="J76" s="12">
        <f>E76*I76</f>
        <v>0</v>
      </c>
    </row>
    <row r="77" spans="1:13" s="6" customFormat="1" ht="15.65" customHeight="1" x14ac:dyDescent="0.35">
      <c r="A77" s="103"/>
      <c r="B77" s="12" t="s">
        <v>13</v>
      </c>
      <c r="C77" s="10" t="s">
        <v>253</v>
      </c>
      <c r="D77" s="209"/>
      <c r="E77" s="170"/>
      <c r="F77" s="163"/>
      <c r="G77" s="210" t="str">
        <f t="shared" si="1"/>
        <v/>
      </c>
      <c r="H77" s="10" t="s">
        <v>23</v>
      </c>
      <c r="I77" s="331">
        <v>37.700000000000003</v>
      </c>
      <c r="J77" s="12">
        <f>E77*I77</f>
        <v>0</v>
      </c>
    </row>
    <row r="78" spans="1:13" ht="15.5" x14ac:dyDescent="0.35">
      <c r="A78" s="108" t="s">
        <v>254</v>
      </c>
      <c r="B78" s="108"/>
      <c r="C78" s="108"/>
      <c r="D78" s="212"/>
      <c r="E78" s="162"/>
      <c r="F78" s="162"/>
      <c r="G78" s="213" t="str">
        <f t="shared" si="1"/>
        <v/>
      </c>
      <c r="H78" s="108"/>
      <c r="I78" s="110" t="s">
        <v>18</v>
      </c>
      <c r="J78" s="115">
        <f>SUM(J80:J121)</f>
        <v>0</v>
      </c>
    </row>
    <row r="79" spans="1:13" ht="15.5" x14ac:dyDescent="0.35">
      <c r="A79" s="111"/>
      <c r="B79" s="126" t="s">
        <v>255</v>
      </c>
      <c r="C79" s="127"/>
      <c r="D79" s="216"/>
      <c r="E79" s="177"/>
      <c r="F79" s="177"/>
      <c r="G79" s="213" t="str">
        <f t="shared" si="1"/>
        <v/>
      </c>
      <c r="H79" s="127"/>
      <c r="I79" s="239"/>
      <c r="J79" s="128"/>
      <c r="K79" s="13"/>
    </row>
    <row r="80" spans="1:13" x14ac:dyDescent="0.35">
      <c r="A80" s="103"/>
      <c r="B80" s="12" t="s">
        <v>3</v>
      </c>
      <c r="C80" s="10" t="s">
        <v>256</v>
      </c>
      <c r="D80" s="209"/>
      <c r="E80" s="170"/>
      <c r="F80" s="163"/>
      <c r="G80" s="210" t="str">
        <f t="shared" si="1"/>
        <v/>
      </c>
      <c r="H80" s="10" t="s">
        <v>20</v>
      </c>
      <c r="I80" s="331">
        <v>32.950000000000003</v>
      </c>
      <c r="J80" s="12">
        <f t="shared" ref="J80:J86" si="6">E80*I80</f>
        <v>0</v>
      </c>
      <c r="K80" s="13"/>
    </row>
    <row r="81" spans="1:15" ht="14.5" customHeight="1" x14ac:dyDescent="0.35">
      <c r="A81" s="103"/>
      <c r="B81" s="12" t="s">
        <v>3</v>
      </c>
      <c r="C81" s="10" t="s">
        <v>257</v>
      </c>
      <c r="D81" s="209"/>
      <c r="E81" s="170"/>
      <c r="F81" s="163"/>
      <c r="G81" s="210" t="str">
        <f t="shared" si="1"/>
        <v/>
      </c>
      <c r="H81" s="10" t="s">
        <v>20</v>
      </c>
      <c r="I81" s="331">
        <v>56.95</v>
      </c>
      <c r="J81" s="12">
        <f t="shared" si="6"/>
        <v>0</v>
      </c>
      <c r="K81" s="13" t="s">
        <v>47</v>
      </c>
    </row>
    <row r="82" spans="1:15" ht="14.5" customHeight="1" x14ac:dyDescent="0.35">
      <c r="A82" s="103"/>
      <c r="B82" s="12" t="s">
        <v>3</v>
      </c>
      <c r="C82" s="10" t="s">
        <v>258</v>
      </c>
      <c r="D82" s="209"/>
      <c r="E82" s="170"/>
      <c r="F82" s="163"/>
      <c r="G82" s="210" t="str">
        <f t="shared" si="1"/>
        <v/>
      </c>
      <c r="H82" s="10" t="s">
        <v>20</v>
      </c>
      <c r="I82" s="331">
        <v>15.95</v>
      </c>
      <c r="J82" s="12">
        <f t="shared" si="6"/>
        <v>0</v>
      </c>
    </row>
    <row r="83" spans="1:15" ht="14.5" customHeight="1" x14ac:dyDescent="0.35">
      <c r="A83" s="103"/>
      <c r="B83" s="12" t="s">
        <v>3</v>
      </c>
      <c r="C83" s="10" t="s">
        <v>259</v>
      </c>
      <c r="D83" s="209"/>
      <c r="E83" s="170"/>
      <c r="F83" s="163"/>
      <c r="G83" s="210" t="str">
        <f t="shared" si="1"/>
        <v/>
      </c>
      <c r="H83" s="10" t="s">
        <v>20</v>
      </c>
      <c r="I83" s="331">
        <v>19.95</v>
      </c>
      <c r="J83" s="12">
        <f t="shared" si="6"/>
        <v>0</v>
      </c>
      <c r="K83" s="28"/>
    </row>
    <row r="84" spans="1:15" s="6" customFormat="1" ht="15.65" customHeight="1" x14ac:dyDescent="0.35">
      <c r="A84" s="103"/>
      <c r="B84" s="12" t="s">
        <v>3</v>
      </c>
      <c r="C84" s="10" t="s">
        <v>260</v>
      </c>
      <c r="D84" s="209"/>
      <c r="E84" s="170"/>
      <c r="F84" s="163"/>
      <c r="G84" s="210" t="str">
        <f t="shared" si="1"/>
        <v/>
      </c>
      <c r="H84" s="10" t="s">
        <v>20</v>
      </c>
      <c r="I84" s="331">
        <v>46.95</v>
      </c>
      <c r="J84" s="12">
        <f t="shared" si="6"/>
        <v>0</v>
      </c>
      <c r="K84" s="30"/>
    </row>
    <row r="85" spans="1:15" ht="14.5" customHeight="1" x14ac:dyDescent="0.35">
      <c r="A85" s="103"/>
      <c r="B85" s="12" t="s">
        <v>3</v>
      </c>
      <c r="C85" s="10" t="s">
        <v>261</v>
      </c>
      <c r="D85" s="209"/>
      <c r="E85" s="170"/>
      <c r="F85" s="163"/>
      <c r="G85" s="210" t="str">
        <f t="shared" si="1"/>
        <v/>
      </c>
      <c r="H85" s="10" t="s">
        <v>20</v>
      </c>
      <c r="I85" s="331">
        <v>34.950000000000003</v>
      </c>
      <c r="J85" s="12">
        <f t="shared" si="6"/>
        <v>0</v>
      </c>
      <c r="K85" s="28"/>
    </row>
    <row r="86" spans="1:15" s="6" customFormat="1" ht="15.65" customHeight="1" x14ac:dyDescent="0.35">
      <c r="A86" s="103"/>
      <c r="B86" s="12" t="s">
        <v>3</v>
      </c>
      <c r="C86" s="10" t="s">
        <v>262</v>
      </c>
      <c r="D86" s="209"/>
      <c r="E86" s="170"/>
      <c r="F86" s="163"/>
      <c r="G86" s="210" t="str">
        <f t="shared" si="1"/>
        <v/>
      </c>
      <c r="H86" s="10" t="s">
        <v>20</v>
      </c>
      <c r="I86" s="331">
        <v>24.95</v>
      </c>
      <c r="J86" s="12">
        <f t="shared" si="6"/>
        <v>0</v>
      </c>
    </row>
    <row r="87" spans="1:15" ht="15.5" x14ac:dyDescent="0.35">
      <c r="A87" s="111"/>
      <c r="B87" s="126" t="s">
        <v>263</v>
      </c>
      <c r="C87" s="127"/>
      <c r="D87" s="216"/>
      <c r="E87" s="177"/>
      <c r="F87" s="177"/>
      <c r="G87" s="213" t="str">
        <f t="shared" si="1"/>
        <v/>
      </c>
      <c r="H87" s="127"/>
      <c r="I87" s="239"/>
      <c r="J87" s="128"/>
      <c r="K87" s="28"/>
      <c r="O87" t="s">
        <v>47</v>
      </c>
    </row>
    <row r="88" spans="1:15" x14ac:dyDescent="0.35">
      <c r="A88" s="103"/>
      <c r="B88" s="12" t="s">
        <v>3</v>
      </c>
      <c r="C88" s="10" t="s">
        <v>264</v>
      </c>
      <c r="D88" s="209"/>
      <c r="E88" s="170"/>
      <c r="F88" s="163"/>
      <c r="G88" s="210" t="str">
        <f t="shared" si="1"/>
        <v/>
      </c>
      <c r="H88" s="10" t="s">
        <v>20</v>
      </c>
      <c r="I88" s="331">
        <v>19.5</v>
      </c>
      <c r="J88" s="12">
        <f t="shared" ref="J88:J94" si="7">E88*I88</f>
        <v>0</v>
      </c>
      <c r="K88" s="28"/>
    </row>
    <row r="89" spans="1:15" x14ac:dyDescent="0.35">
      <c r="A89" s="103"/>
      <c r="B89" s="12" t="s">
        <v>3</v>
      </c>
      <c r="C89" s="10" t="s">
        <v>265</v>
      </c>
      <c r="D89" s="209"/>
      <c r="E89" s="170"/>
      <c r="F89" s="163"/>
      <c r="G89" s="210" t="str">
        <f t="shared" ref="G89:G152" si="8">IF(D89-E89&gt;0,D89-E89,"")</f>
        <v/>
      </c>
      <c r="H89" s="10" t="s">
        <v>20</v>
      </c>
      <c r="I89" s="331">
        <v>16.95</v>
      </c>
      <c r="J89" s="12">
        <f t="shared" si="7"/>
        <v>0</v>
      </c>
      <c r="K89" s="28"/>
    </row>
    <row r="90" spans="1:15" x14ac:dyDescent="0.35">
      <c r="A90" s="103"/>
      <c r="B90" s="12" t="s">
        <v>3</v>
      </c>
      <c r="C90" s="10" t="s">
        <v>266</v>
      </c>
      <c r="D90" s="209"/>
      <c r="E90" s="170"/>
      <c r="F90" s="163"/>
      <c r="G90" s="210" t="str">
        <f t="shared" si="8"/>
        <v/>
      </c>
      <c r="H90" s="10" t="s">
        <v>20</v>
      </c>
      <c r="I90" s="331">
        <v>17.95</v>
      </c>
      <c r="J90" s="12">
        <f t="shared" si="7"/>
        <v>0</v>
      </c>
      <c r="K90" s="28"/>
    </row>
    <row r="91" spans="1:15" x14ac:dyDescent="0.35">
      <c r="A91" s="103"/>
      <c r="B91" s="12" t="s">
        <v>3</v>
      </c>
      <c r="C91" s="10" t="s">
        <v>267</v>
      </c>
      <c r="D91" s="209"/>
      <c r="E91" s="170"/>
      <c r="F91" s="163"/>
      <c r="G91" s="210" t="str">
        <f t="shared" si="8"/>
        <v/>
      </c>
      <c r="H91" s="10" t="s">
        <v>20</v>
      </c>
      <c r="I91" s="331">
        <v>15.95</v>
      </c>
      <c r="J91" s="12">
        <f t="shared" si="7"/>
        <v>0</v>
      </c>
      <c r="K91" s="28"/>
    </row>
    <row r="92" spans="1:15" s="6" customFormat="1" ht="15.5" x14ac:dyDescent="0.35">
      <c r="A92" s="103"/>
      <c r="B92" s="12" t="s">
        <v>3</v>
      </c>
      <c r="C92" s="10" t="s">
        <v>268</v>
      </c>
      <c r="D92" s="209"/>
      <c r="E92" s="170"/>
      <c r="F92" s="163"/>
      <c r="G92" s="210" t="str">
        <f t="shared" si="8"/>
        <v/>
      </c>
      <c r="H92" s="10" t="s">
        <v>20</v>
      </c>
      <c r="I92" s="331">
        <v>20.95</v>
      </c>
      <c r="J92" s="12">
        <f t="shared" si="7"/>
        <v>0</v>
      </c>
      <c r="K92" s="30"/>
      <c r="L92" s="6" t="s">
        <v>47</v>
      </c>
      <c r="M92" s="6" t="s">
        <v>47</v>
      </c>
    </row>
    <row r="93" spans="1:15" x14ac:dyDescent="0.35">
      <c r="A93" s="103"/>
      <c r="B93" s="12" t="s">
        <v>3</v>
      </c>
      <c r="C93" s="10" t="s">
        <v>269</v>
      </c>
      <c r="D93" s="209"/>
      <c r="E93" s="170"/>
      <c r="F93" s="163"/>
      <c r="G93" s="210" t="str">
        <f t="shared" si="8"/>
        <v/>
      </c>
      <c r="H93" s="10" t="s">
        <v>20</v>
      </c>
      <c r="I93" s="331">
        <v>26.95</v>
      </c>
      <c r="J93" s="12">
        <f t="shared" si="7"/>
        <v>0</v>
      </c>
      <c r="K93" s="31"/>
    </row>
    <row r="94" spans="1:15" x14ac:dyDescent="0.35">
      <c r="A94" s="103"/>
      <c r="B94" s="12" t="s">
        <v>3</v>
      </c>
      <c r="C94" s="10" t="s">
        <v>270</v>
      </c>
      <c r="D94" s="209"/>
      <c r="E94" s="170"/>
      <c r="F94" s="163"/>
      <c r="G94" s="210" t="str">
        <f t="shared" si="8"/>
        <v/>
      </c>
      <c r="H94" s="10" t="s">
        <v>20</v>
      </c>
      <c r="I94" s="331">
        <v>26.95</v>
      </c>
      <c r="J94" s="12">
        <f t="shared" si="7"/>
        <v>0</v>
      </c>
      <c r="K94" s="31"/>
    </row>
    <row r="95" spans="1:15" s="6" customFormat="1" ht="15.5" x14ac:dyDescent="0.35">
      <c r="A95" s="111"/>
      <c r="B95" s="126" t="s">
        <v>271</v>
      </c>
      <c r="C95" s="127"/>
      <c r="D95" s="216"/>
      <c r="E95" s="177"/>
      <c r="F95" s="177"/>
      <c r="G95" s="213" t="str">
        <f t="shared" si="8"/>
        <v/>
      </c>
      <c r="H95" s="127"/>
      <c r="I95" s="239"/>
      <c r="J95" s="128"/>
      <c r="K95" s="30"/>
    </row>
    <row r="96" spans="1:15" ht="14.15" customHeight="1" x14ac:dyDescent="0.35">
      <c r="A96" s="103"/>
      <c r="B96" s="12" t="s">
        <v>3</v>
      </c>
      <c r="C96" s="10" t="s">
        <v>272</v>
      </c>
      <c r="D96" s="209"/>
      <c r="E96" s="170"/>
      <c r="F96" s="163"/>
      <c r="G96" s="210" t="str">
        <f t="shared" si="8"/>
        <v/>
      </c>
      <c r="H96" s="10" t="s">
        <v>20</v>
      </c>
      <c r="I96" s="331">
        <v>20.95</v>
      </c>
      <c r="J96" s="12">
        <f>E96*I96</f>
        <v>0</v>
      </c>
      <c r="K96" s="28"/>
    </row>
    <row r="97" spans="1:13" x14ac:dyDescent="0.35">
      <c r="A97" s="103"/>
      <c r="B97" s="12" t="s">
        <v>3</v>
      </c>
      <c r="C97" s="10" t="s">
        <v>273</v>
      </c>
      <c r="D97" s="209"/>
      <c r="E97" s="170"/>
      <c r="F97" s="163"/>
      <c r="G97" s="210" t="str">
        <f t="shared" si="8"/>
        <v/>
      </c>
      <c r="H97" s="10" t="s">
        <v>20</v>
      </c>
      <c r="I97" s="331">
        <v>23.95</v>
      </c>
      <c r="J97" s="12">
        <f>E97*I97</f>
        <v>0</v>
      </c>
      <c r="K97" s="28"/>
      <c r="M97" t="s">
        <v>47</v>
      </c>
    </row>
    <row r="98" spans="1:13" s="6" customFormat="1" ht="15.65" customHeight="1" x14ac:dyDescent="0.35">
      <c r="A98" s="103"/>
      <c r="B98" s="12" t="s">
        <v>3</v>
      </c>
      <c r="C98" s="10" t="s">
        <v>274</v>
      </c>
      <c r="D98" s="209"/>
      <c r="E98" s="170"/>
      <c r="F98" s="163"/>
      <c r="G98" s="210" t="str">
        <f t="shared" si="8"/>
        <v/>
      </c>
      <c r="H98" s="10" t="s">
        <v>20</v>
      </c>
      <c r="I98" s="331">
        <v>22.5</v>
      </c>
      <c r="J98" s="12">
        <f>E98*I98</f>
        <v>0</v>
      </c>
      <c r="K98" s="30"/>
    </row>
    <row r="99" spans="1:13" ht="14.5" customHeight="1" x14ac:dyDescent="0.35">
      <c r="A99" s="103"/>
      <c r="B99" s="12" t="s">
        <v>3</v>
      </c>
      <c r="C99" s="10" t="s">
        <v>275</v>
      </c>
      <c r="D99" s="209"/>
      <c r="E99" s="170"/>
      <c r="F99" s="163"/>
      <c r="G99" s="210" t="str">
        <f t="shared" si="8"/>
        <v/>
      </c>
      <c r="H99" s="10" t="s">
        <v>20</v>
      </c>
      <c r="I99" s="331">
        <v>29.95</v>
      </c>
      <c r="J99" s="12">
        <f>E99*I99</f>
        <v>0</v>
      </c>
      <c r="K99" s="31"/>
    </row>
    <row r="100" spans="1:13" s="6" customFormat="1" ht="15.65" customHeight="1" x14ac:dyDescent="0.35">
      <c r="A100" s="111"/>
      <c r="B100" s="126" t="s">
        <v>276</v>
      </c>
      <c r="C100" s="127"/>
      <c r="D100" s="216"/>
      <c r="E100" s="177"/>
      <c r="F100" s="177"/>
      <c r="G100" s="213" t="str">
        <f t="shared" si="8"/>
        <v/>
      </c>
      <c r="H100" s="127"/>
      <c r="I100" s="239"/>
      <c r="J100" s="128"/>
    </row>
    <row r="101" spans="1:13" x14ac:dyDescent="0.35">
      <c r="A101" s="103"/>
      <c r="B101" s="12" t="s">
        <v>3</v>
      </c>
      <c r="C101" s="10" t="s">
        <v>277</v>
      </c>
      <c r="D101" s="209"/>
      <c r="E101" s="170"/>
      <c r="F101" s="163"/>
      <c r="G101" s="210" t="str">
        <f t="shared" si="8"/>
        <v/>
      </c>
      <c r="H101" s="10" t="s">
        <v>20</v>
      </c>
      <c r="I101" s="331">
        <v>17.95</v>
      </c>
      <c r="J101" s="12">
        <f>E101*I101</f>
        <v>0</v>
      </c>
      <c r="K101" s="28"/>
    </row>
    <row r="102" spans="1:13" s="6" customFormat="1" ht="15.5" x14ac:dyDescent="0.35">
      <c r="A102" s="103"/>
      <c r="B102" s="12" t="s">
        <v>3</v>
      </c>
      <c r="C102" s="10" t="s">
        <v>278</v>
      </c>
      <c r="D102" s="209"/>
      <c r="E102" s="170"/>
      <c r="F102" s="163"/>
      <c r="G102" s="210" t="str">
        <f t="shared" si="8"/>
        <v/>
      </c>
      <c r="H102" s="10" t="s">
        <v>20</v>
      </c>
      <c r="I102" s="331">
        <v>20.95</v>
      </c>
      <c r="J102" s="12">
        <f>E102*I102</f>
        <v>0</v>
      </c>
    </row>
    <row r="103" spans="1:13" x14ac:dyDescent="0.35">
      <c r="A103" s="103"/>
      <c r="B103" s="12" t="s">
        <v>3</v>
      </c>
      <c r="C103" s="10" t="s">
        <v>279</v>
      </c>
      <c r="D103" s="209"/>
      <c r="E103" s="170"/>
      <c r="F103" s="163"/>
      <c r="G103" s="210" t="str">
        <f t="shared" si="8"/>
        <v/>
      </c>
      <c r="H103" s="10" t="s">
        <v>20</v>
      </c>
      <c r="I103" s="331">
        <v>19.95</v>
      </c>
      <c r="J103" s="12">
        <f>E103*I103</f>
        <v>0</v>
      </c>
      <c r="K103" s="13"/>
    </row>
    <row r="104" spans="1:13" x14ac:dyDescent="0.35">
      <c r="A104" s="103"/>
      <c r="B104" s="40" t="s">
        <v>3</v>
      </c>
      <c r="C104" s="41" t="s">
        <v>280</v>
      </c>
      <c r="D104" s="217"/>
      <c r="E104" s="170"/>
      <c r="F104" s="198"/>
      <c r="G104" s="210" t="str">
        <f t="shared" si="8"/>
        <v/>
      </c>
      <c r="H104" s="41" t="s">
        <v>20</v>
      </c>
      <c r="I104" s="334">
        <v>59.95</v>
      </c>
      <c r="J104" s="40">
        <f>E104*I104</f>
        <v>0</v>
      </c>
      <c r="K104" s="13"/>
    </row>
    <row r="105" spans="1:13" ht="15.5" x14ac:dyDescent="0.35">
      <c r="A105" s="111"/>
      <c r="B105" s="126" t="s">
        <v>281</v>
      </c>
      <c r="C105" s="127"/>
      <c r="D105" s="216"/>
      <c r="E105" s="177"/>
      <c r="F105" s="177"/>
      <c r="G105" s="213" t="str">
        <f t="shared" si="8"/>
        <v/>
      </c>
      <c r="H105" s="127"/>
      <c r="I105" s="239"/>
      <c r="J105" s="128"/>
      <c r="K105" s="13"/>
    </row>
    <row r="106" spans="1:13" x14ac:dyDescent="0.35">
      <c r="A106" s="103"/>
      <c r="B106" s="12" t="s">
        <v>3</v>
      </c>
      <c r="C106" s="10" t="s">
        <v>282</v>
      </c>
      <c r="D106" s="209"/>
      <c r="E106" s="170"/>
      <c r="F106" s="163"/>
      <c r="G106" s="210" t="str">
        <f t="shared" si="8"/>
        <v/>
      </c>
      <c r="H106" s="10" t="s">
        <v>20</v>
      </c>
      <c r="I106" s="331">
        <v>54.95</v>
      </c>
      <c r="J106" s="12">
        <f>E106*I106</f>
        <v>0</v>
      </c>
      <c r="K106" s="13"/>
    </row>
    <row r="107" spans="1:13" ht="14.5" customHeight="1" x14ac:dyDescent="0.35">
      <c r="A107" s="103"/>
      <c r="B107" s="12" t="s">
        <v>3</v>
      </c>
      <c r="C107" s="10" t="s">
        <v>283</v>
      </c>
      <c r="D107" s="209"/>
      <c r="E107" s="170"/>
      <c r="F107" s="163"/>
      <c r="G107" s="210" t="str">
        <f t="shared" si="8"/>
        <v/>
      </c>
      <c r="H107" s="10" t="s">
        <v>20</v>
      </c>
      <c r="I107" s="331">
        <v>49.95</v>
      </c>
      <c r="J107" s="12">
        <f>E107*I107</f>
        <v>0</v>
      </c>
      <c r="K107" s="13"/>
    </row>
    <row r="108" spans="1:13" ht="14.5" customHeight="1" x14ac:dyDescent="0.35">
      <c r="A108" s="111"/>
      <c r="B108" s="126" t="s">
        <v>284</v>
      </c>
      <c r="C108" s="127"/>
      <c r="D108" s="216"/>
      <c r="E108" s="177"/>
      <c r="F108" s="177"/>
      <c r="G108" s="213" t="str">
        <f t="shared" si="8"/>
        <v/>
      </c>
      <c r="H108" s="127"/>
      <c r="I108" s="239"/>
      <c r="J108" s="128"/>
      <c r="K108" s="13"/>
    </row>
    <row r="109" spans="1:13" ht="14.5" customHeight="1" x14ac:dyDescent="0.35">
      <c r="A109" s="103"/>
      <c r="B109" s="12" t="s">
        <v>3</v>
      </c>
      <c r="C109" s="10" t="s">
        <v>285</v>
      </c>
      <c r="D109" s="209"/>
      <c r="E109" s="170"/>
      <c r="F109" s="163"/>
      <c r="G109" s="210" t="str">
        <f t="shared" si="8"/>
        <v/>
      </c>
      <c r="H109" s="10" t="s">
        <v>20</v>
      </c>
      <c r="I109" s="331">
        <v>41.5</v>
      </c>
      <c r="J109" s="12">
        <f t="shared" ref="J109:J114" si="9">E109*I109</f>
        <v>0</v>
      </c>
      <c r="K109" s="13"/>
    </row>
    <row r="110" spans="1:13" ht="15.65" customHeight="1" x14ac:dyDescent="0.35">
      <c r="A110" s="103"/>
      <c r="B110" s="12" t="s">
        <v>3</v>
      </c>
      <c r="C110" s="10" t="s">
        <v>286</v>
      </c>
      <c r="D110" s="209"/>
      <c r="E110" s="170"/>
      <c r="F110" s="163"/>
      <c r="G110" s="210" t="str">
        <f t="shared" si="8"/>
        <v/>
      </c>
      <c r="H110" s="10" t="s">
        <v>20</v>
      </c>
      <c r="I110" s="331">
        <v>36.200000000000003</v>
      </c>
      <c r="J110" s="12">
        <f t="shared" si="9"/>
        <v>0</v>
      </c>
      <c r="K110" s="13"/>
    </row>
    <row r="111" spans="1:13" x14ac:dyDescent="0.35">
      <c r="A111" s="103"/>
      <c r="B111" s="12" t="s">
        <v>3</v>
      </c>
      <c r="C111" s="10" t="s">
        <v>287</v>
      </c>
      <c r="D111" s="209"/>
      <c r="E111" s="170"/>
      <c r="F111" s="163"/>
      <c r="G111" s="210" t="str">
        <f t="shared" si="8"/>
        <v/>
      </c>
      <c r="H111" s="10" t="s">
        <v>20</v>
      </c>
      <c r="I111" s="331">
        <v>25.95</v>
      </c>
      <c r="J111" s="12">
        <f t="shared" si="9"/>
        <v>0</v>
      </c>
      <c r="K111" s="13"/>
    </row>
    <row r="112" spans="1:13" x14ac:dyDescent="0.35">
      <c r="A112" s="103"/>
      <c r="B112" s="12" t="s">
        <v>3</v>
      </c>
      <c r="C112" s="10" t="s">
        <v>288</v>
      </c>
      <c r="D112" s="209"/>
      <c r="E112" s="170"/>
      <c r="F112" s="163"/>
      <c r="G112" s="210" t="str">
        <f t="shared" si="8"/>
        <v/>
      </c>
      <c r="H112" s="10" t="s">
        <v>20</v>
      </c>
      <c r="I112" s="331">
        <v>32.799999999999997</v>
      </c>
      <c r="J112" s="12">
        <f t="shared" si="9"/>
        <v>0</v>
      </c>
      <c r="K112" s="13"/>
    </row>
    <row r="113" spans="1:13" s="6" customFormat="1" ht="15.5" x14ac:dyDescent="0.35">
      <c r="A113" s="103"/>
      <c r="B113" s="12" t="s">
        <v>3</v>
      </c>
      <c r="C113" s="10" t="s">
        <v>289</v>
      </c>
      <c r="D113" s="209"/>
      <c r="E113" s="170"/>
      <c r="F113" s="163"/>
      <c r="G113" s="210" t="str">
        <f t="shared" si="8"/>
        <v/>
      </c>
      <c r="H113" s="10" t="s">
        <v>20</v>
      </c>
      <c r="I113" s="331">
        <v>29.2</v>
      </c>
      <c r="J113" s="12">
        <f t="shared" si="9"/>
        <v>0</v>
      </c>
    </row>
    <row r="114" spans="1:13" x14ac:dyDescent="0.35">
      <c r="A114" s="103"/>
      <c r="B114" s="12" t="s">
        <v>3</v>
      </c>
      <c r="C114" s="10" t="s">
        <v>290</v>
      </c>
      <c r="D114" s="209"/>
      <c r="E114" s="170"/>
      <c r="F114" s="163"/>
      <c r="G114" s="210" t="str">
        <f t="shared" si="8"/>
        <v/>
      </c>
      <c r="H114" s="10" t="s">
        <v>20</v>
      </c>
      <c r="I114" s="331">
        <v>22.95</v>
      </c>
      <c r="J114" s="12">
        <f t="shared" si="9"/>
        <v>0</v>
      </c>
      <c r="K114" s="13"/>
    </row>
    <row r="115" spans="1:13" ht="15.5" x14ac:dyDescent="0.35">
      <c r="A115" s="111"/>
      <c r="B115" s="126" t="s">
        <v>291</v>
      </c>
      <c r="C115" s="127"/>
      <c r="D115" s="216"/>
      <c r="E115" s="177"/>
      <c r="F115" s="177"/>
      <c r="G115" s="213" t="str">
        <f t="shared" si="8"/>
        <v/>
      </c>
      <c r="H115" s="127"/>
      <c r="I115" s="239"/>
      <c r="J115" s="128"/>
      <c r="K115" s="13"/>
    </row>
    <row r="116" spans="1:13" ht="14.5" customHeight="1" x14ac:dyDescent="0.35">
      <c r="A116" s="103"/>
      <c r="B116" s="12" t="s">
        <v>3</v>
      </c>
      <c r="C116" s="10" t="s">
        <v>292</v>
      </c>
      <c r="D116" s="209"/>
      <c r="E116" s="170"/>
      <c r="F116" s="163"/>
      <c r="G116" s="210" t="str">
        <f t="shared" si="8"/>
        <v/>
      </c>
      <c r="H116" s="10" t="s">
        <v>20</v>
      </c>
      <c r="I116" s="331">
        <v>17.95</v>
      </c>
      <c r="J116" s="12">
        <f t="shared" ref="J116:J121" si="10">E116*I116</f>
        <v>0</v>
      </c>
      <c r="K116" s="13"/>
    </row>
    <row r="117" spans="1:13" ht="14.5" customHeight="1" x14ac:dyDescent="0.35">
      <c r="A117" s="103"/>
      <c r="B117" s="12" t="s">
        <v>3</v>
      </c>
      <c r="C117" s="10" t="s">
        <v>293</v>
      </c>
      <c r="D117" s="209"/>
      <c r="E117" s="170"/>
      <c r="F117" s="163"/>
      <c r="G117" s="210" t="str">
        <f t="shared" si="8"/>
        <v/>
      </c>
      <c r="H117" s="10" t="s">
        <v>20</v>
      </c>
      <c r="I117" s="331">
        <v>12.95</v>
      </c>
      <c r="J117" s="12">
        <f t="shared" si="10"/>
        <v>0</v>
      </c>
      <c r="K117" s="13"/>
    </row>
    <row r="118" spans="1:13" ht="14.5" customHeight="1" x14ac:dyDescent="0.35">
      <c r="A118" s="103"/>
      <c r="B118" s="12" t="s">
        <v>3</v>
      </c>
      <c r="C118" s="10" t="s">
        <v>294</v>
      </c>
      <c r="D118" s="209"/>
      <c r="E118" s="170"/>
      <c r="F118" s="163"/>
      <c r="G118" s="210" t="str">
        <f t="shared" si="8"/>
        <v/>
      </c>
      <c r="H118" s="10" t="s">
        <v>20</v>
      </c>
      <c r="I118" s="331">
        <v>21.95</v>
      </c>
      <c r="J118" s="12">
        <f t="shared" si="10"/>
        <v>0</v>
      </c>
      <c r="K118" s="13"/>
    </row>
    <row r="119" spans="1:13" ht="14.5" customHeight="1" x14ac:dyDescent="0.35">
      <c r="A119" s="103"/>
      <c r="B119" s="12" t="s">
        <v>3</v>
      </c>
      <c r="C119" s="10" t="s">
        <v>295</v>
      </c>
      <c r="D119" s="209"/>
      <c r="E119" s="170"/>
      <c r="F119" s="163"/>
      <c r="G119" s="210" t="str">
        <f t="shared" si="8"/>
        <v/>
      </c>
      <c r="H119" s="10" t="s">
        <v>20</v>
      </c>
      <c r="I119" s="331"/>
      <c r="J119" s="12">
        <f t="shared" si="10"/>
        <v>0</v>
      </c>
      <c r="K119" s="13"/>
      <c r="M119" t="s">
        <v>47</v>
      </c>
    </row>
    <row r="120" spans="1:13" ht="15.65" customHeight="1" x14ac:dyDescent="0.35">
      <c r="A120" s="103"/>
      <c r="B120" s="12" t="s">
        <v>3</v>
      </c>
      <c r="C120" s="10" t="s">
        <v>296</v>
      </c>
      <c r="D120" s="209"/>
      <c r="E120" s="170"/>
      <c r="F120" s="163"/>
      <c r="G120" s="210" t="str">
        <f t="shared" si="8"/>
        <v/>
      </c>
      <c r="H120" s="10" t="s">
        <v>20</v>
      </c>
      <c r="I120" s="331"/>
      <c r="J120" s="12">
        <f t="shared" si="10"/>
        <v>0</v>
      </c>
      <c r="K120" s="13"/>
    </row>
    <row r="121" spans="1:13" x14ac:dyDescent="0.35">
      <c r="A121" s="103"/>
      <c r="B121" s="12" t="s">
        <v>3</v>
      </c>
      <c r="C121" s="10" t="s">
        <v>297</v>
      </c>
      <c r="D121" s="209"/>
      <c r="E121" s="170"/>
      <c r="F121" s="163"/>
      <c r="G121" s="210" t="str">
        <f t="shared" si="8"/>
        <v/>
      </c>
      <c r="H121" s="10" t="s">
        <v>20</v>
      </c>
      <c r="I121" s="331">
        <v>22.95</v>
      </c>
      <c r="J121" s="12">
        <f t="shared" si="10"/>
        <v>0</v>
      </c>
      <c r="K121" s="13"/>
    </row>
    <row r="122" spans="1:13" ht="15.5" x14ac:dyDescent="0.35">
      <c r="A122" s="112" t="s">
        <v>298</v>
      </c>
      <c r="B122" s="116"/>
      <c r="C122" s="116"/>
      <c r="D122" s="218"/>
      <c r="E122" s="178"/>
      <c r="F122" s="178"/>
      <c r="G122" s="213" t="str">
        <f t="shared" si="8"/>
        <v/>
      </c>
      <c r="H122" s="117"/>
      <c r="I122" s="106" t="s">
        <v>18</v>
      </c>
      <c r="J122" s="115">
        <f>SUM(J123:J175)</f>
        <v>0</v>
      </c>
      <c r="K122" s="13"/>
    </row>
    <row r="123" spans="1:13" x14ac:dyDescent="0.35">
      <c r="A123" s="103"/>
      <c r="B123" s="20" t="s">
        <v>4</v>
      </c>
      <c r="C123" s="18" t="s">
        <v>62</v>
      </c>
      <c r="D123" s="219"/>
      <c r="E123" s="170"/>
      <c r="F123" s="202"/>
      <c r="G123" s="210" t="str">
        <f t="shared" si="8"/>
        <v/>
      </c>
      <c r="H123" s="18" t="s">
        <v>20</v>
      </c>
      <c r="I123" s="335">
        <v>7.35</v>
      </c>
      <c r="J123" s="20">
        <f>E123*I123</f>
        <v>0</v>
      </c>
      <c r="K123" s="13"/>
    </row>
    <row r="124" spans="1:13" x14ac:dyDescent="0.35">
      <c r="A124" s="103"/>
      <c r="B124" s="20" t="s">
        <v>4</v>
      </c>
      <c r="C124" s="18" t="s">
        <v>60</v>
      </c>
      <c r="D124" s="219"/>
      <c r="E124" s="170"/>
      <c r="F124" s="202"/>
      <c r="G124" s="210" t="str">
        <f t="shared" si="8"/>
        <v/>
      </c>
      <c r="H124" s="18" t="s">
        <v>20</v>
      </c>
      <c r="I124" s="335">
        <v>10.65</v>
      </c>
      <c r="J124" s="20">
        <f>E124*I124</f>
        <v>0</v>
      </c>
      <c r="K124" s="13"/>
    </row>
    <row r="125" spans="1:13" x14ac:dyDescent="0.35">
      <c r="A125" s="113" t="s">
        <v>40</v>
      </c>
      <c r="B125" s="124"/>
      <c r="C125" s="124"/>
      <c r="D125" s="220"/>
      <c r="E125" s="179"/>
      <c r="F125" s="179"/>
      <c r="G125" s="213" t="str">
        <f t="shared" si="8"/>
        <v/>
      </c>
      <c r="H125" s="124"/>
      <c r="I125" s="241"/>
      <c r="J125" s="125"/>
      <c r="K125" s="13"/>
    </row>
    <row r="126" spans="1:13" x14ac:dyDescent="0.35">
      <c r="A126" s="103"/>
      <c r="B126" s="20" t="s">
        <v>4</v>
      </c>
      <c r="C126" s="18" t="s">
        <v>299</v>
      </c>
      <c r="D126" s="219"/>
      <c r="E126" s="170"/>
      <c r="F126" s="202"/>
      <c r="G126" s="210" t="str">
        <f t="shared" si="8"/>
        <v/>
      </c>
      <c r="H126" s="18" t="s">
        <v>20</v>
      </c>
      <c r="I126" s="335">
        <v>1.31</v>
      </c>
      <c r="J126" s="12">
        <f t="shared" ref="J126:J137" si="11">E126*I126</f>
        <v>0</v>
      </c>
      <c r="K126" s="13"/>
    </row>
    <row r="127" spans="1:13" x14ac:dyDescent="0.35">
      <c r="A127" s="103"/>
      <c r="B127" s="12" t="s">
        <v>4</v>
      </c>
      <c r="C127" s="10" t="s">
        <v>300</v>
      </c>
      <c r="D127" s="209"/>
      <c r="E127" s="170"/>
      <c r="F127" s="163"/>
      <c r="G127" s="210" t="str">
        <f t="shared" si="8"/>
        <v/>
      </c>
      <c r="H127" s="10" t="s">
        <v>20</v>
      </c>
      <c r="I127" s="331">
        <v>1.31</v>
      </c>
      <c r="J127" s="12">
        <f t="shared" si="11"/>
        <v>0</v>
      </c>
    </row>
    <row r="128" spans="1:13" x14ac:dyDescent="0.35">
      <c r="A128" s="103"/>
      <c r="B128" s="20" t="s">
        <v>4</v>
      </c>
      <c r="C128" s="18" t="s">
        <v>301</v>
      </c>
      <c r="D128" s="219"/>
      <c r="E128" s="170"/>
      <c r="F128" s="202"/>
      <c r="G128" s="210" t="str">
        <f t="shared" si="8"/>
        <v/>
      </c>
      <c r="H128" s="18" t="s">
        <v>20</v>
      </c>
      <c r="I128" s="335">
        <v>1.4039999999999999</v>
      </c>
      <c r="J128" s="12">
        <f t="shared" si="11"/>
        <v>0</v>
      </c>
    </row>
    <row r="129" spans="1:11" x14ac:dyDescent="0.35">
      <c r="A129" s="103"/>
      <c r="B129" s="12" t="s">
        <v>4</v>
      </c>
      <c r="C129" s="10" t="s">
        <v>302</v>
      </c>
      <c r="D129" s="209"/>
      <c r="E129" s="170"/>
      <c r="F129" s="163"/>
      <c r="G129" s="210" t="str">
        <f t="shared" si="8"/>
        <v/>
      </c>
      <c r="H129" s="10" t="s">
        <v>20</v>
      </c>
      <c r="I129" s="331">
        <v>1.4039999999999999</v>
      </c>
      <c r="J129" s="12">
        <f t="shared" si="11"/>
        <v>0</v>
      </c>
    </row>
    <row r="130" spans="1:11" x14ac:dyDescent="0.35">
      <c r="A130" s="103"/>
      <c r="B130" s="12" t="s">
        <v>4</v>
      </c>
      <c r="C130" s="10" t="s">
        <v>303</v>
      </c>
      <c r="D130" s="209"/>
      <c r="E130" s="170"/>
      <c r="F130" s="163"/>
      <c r="G130" s="210" t="str">
        <f t="shared" si="8"/>
        <v/>
      </c>
      <c r="H130" s="10" t="s">
        <v>20</v>
      </c>
      <c r="I130" s="331">
        <v>1.53</v>
      </c>
      <c r="J130" s="12">
        <f t="shared" si="11"/>
        <v>0</v>
      </c>
    </row>
    <row r="131" spans="1:11" x14ac:dyDescent="0.35">
      <c r="A131" s="103"/>
      <c r="B131" s="12" t="s">
        <v>4</v>
      </c>
      <c r="C131" s="10" t="s">
        <v>304</v>
      </c>
      <c r="D131" s="209"/>
      <c r="E131" s="170"/>
      <c r="F131" s="163"/>
      <c r="G131" s="210" t="str">
        <f t="shared" si="8"/>
        <v/>
      </c>
      <c r="H131" s="10" t="s">
        <v>20</v>
      </c>
      <c r="I131" s="331">
        <v>1.65</v>
      </c>
      <c r="J131" s="12">
        <f t="shared" si="11"/>
        <v>0</v>
      </c>
    </row>
    <row r="132" spans="1:11" x14ac:dyDescent="0.35">
      <c r="A132" s="103"/>
      <c r="B132" s="12" t="s">
        <v>4</v>
      </c>
      <c r="C132" s="10" t="s">
        <v>83</v>
      </c>
      <c r="D132" s="209"/>
      <c r="E132" s="170"/>
      <c r="F132" s="163"/>
      <c r="G132" s="210" t="str">
        <f t="shared" si="8"/>
        <v/>
      </c>
      <c r="H132" s="10" t="s">
        <v>20</v>
      </c>
      <c r="I132" s="331">
        <v>1.04</v>
      </c>
      <c r="J132" s="12">
        <f t="shared" si="11"/>
        <v>0</v>
      </c>
    </row>
    <row r="133" spans="1:11" x14ac:dyDescent="0.35">
      <c r="A133" s="103"/>
      <c r="B133" s="12" t="s">
        <v>4</v>
      </c>
      <c r="C133" s="10" t="s">
        <v>305</v>
      </c>
      <c r="D133" s="209"/>
      <c r="E133" s="170"/>
      <c r="F133" s="163"/>
      <c r="G133" s="210" t="str">
        <f t="shared" si="8"/>
        <v/>
      </c>
      <c r="H133" s="10" t="s">
        <v>20</v>
      </c>
      <c r="I133" s="331">
        <v>1.04</v>
      </c>
      <c r="J133" s="12">
        <f t="shared" si="11"/>
        <v>0</v>
      </c>
    </row>
    <row r="134" spans="1:11" ht="14.5" customHeight="1" x14ac:dyDescent="0.35">
      <c r="A134" s="103"/>
      <c r="B134" s="12" t="s">
        <v>4</v>
      </c>
      <c r="C134" s="10" t="s">
        <v>306</v>
      </c>
      <c r="D134" s="209"/>
      <c r="E134" s="170"/>
      <c r="F134" s="163"/>
      <c r="G134" s="210" t="str">
        <f t="shared" si="8"/>
        <v/>
      </c>
      <c r="H134" s="10" t="s">
        <v>20</v>
      </c>
      <c r="I134" s="331">
        <v>1.06</v>
      </c>
      <c r="J134" s="12">
        <f t="shared" si="11"/>
        <v>0</v>
      </c>
    </row>
    <row r="135" spans="1:11" ht="14.5" customHeight="1" x14ac:dyDescent="0.35">
      <c r="A135" s="103"/>
      <c r="B135" s="12" t="s">
        <v>4</v>
      </c>
      <c r="C135" s="10" t="s">
        <v>307</v>
      </c>
      <c r="D135" s="209"/>
      <c r="E135" s="170"/>
      <c r="F135" s="163"/>
      <c r="G135" s="210" t="str">
        <f t="shared" si="8"/>
        <v/>
      </c>
      <c r="H135" s="10" t="s">
        <v>20</v>
      </c>
      <c r="I135" s="331">
        <v>1.06</v>
      </c>
      <c r="J135" s="12">
        <f t="shared" si="11"/>
        <v>0</v>
      </c>
    </row>
    <row r="136" spans="1:11" ht="14.5" customHeight="1" x14ac:dyDescent="0.35">
      <c r="A136" s="103"/>
      <c r="B136" s="12" t="s">
        <v>4</v>
      </c>
      <c r="C136" s="10" t="s">
        <v>308</v>
      </c>
      <c r="D136" s="209"/>
      <c r="E136" s="170"/>
      <c r="F136" s="163"/>
      <c r="G136" s="210" t="str">
        <f t="shared" si="8"/>
        <v/>
      </c>
      <c r="H136" s="10" t="s">
        <v>20</v>
      </c>
      <c r="I136" s="331">
        <v>1.2869999999999999</v>
      </c>
      <c r="J136" s="12">
        <f t="shared" si="11"/>
        <v>0</v>
      </c>
    </row>
    <row r="137" spans="1:11" ht="15.65" customHeight="1" x14ac:dyDescent="0.35">
      <c r="A137" s="103"/>
      <c r="B137" s="12" t="s">
        <v>4</v>
      </c>
      <c r="C137" s="10" t="s">
        <v>309</v>
      </c>
      <c r="D137" s="209"/>
      <c r="E137" s="170"/>
      <c r="F137" s="163"/>
      <c r="G137" s="210" t="str">
        <f t="shared" si="8"/>
        <v/>
      </c>
      <c r="H137" s="10" t="s">
        <v>20</v>
      </c>
      <c r="I137" s="331">
        <v>1.59</v>
      </c>
      <c r="J137" s="12">
        <f t="shared" si="11"/>
        <v>0</v>
      </c>
      <c r="K137" s="13"/>
    </row>
    <row r="138" spans="1:11" x14ac:dyDescent="0.35">
      <c r="A138" s="113" t="s">
        <v>310</v>
      </c>
      <c r="B138" s="124"/>
      <c r="C138" s="124"/>
      <c r="D138" s="220"/>
      <c r="E138" s="179"/>
      <c r="F138" s="179"/>
      <c r="G138" s="213" t="str">
        <f t="shared" si="8"/>
        <v/>
      </c>
      <c r="H138" s="124"/>
      <c r="I138" s="241"/>
      <c r="J138" s="125"/>
    </row>
    <row r="139" spans="1:11" x14ac:dyDescent="0.35">
      <c r="A139" s="103"/>
      <c r="B139" s="12" t="s">
        <v>4</v>
      </c>
      <c r="C139" s="10" t="s">
        <v>311</v>
      </c>
      <c r="D139" s="209"/>
      <c r="E139" s="170"/>
      <c r="F139" s="163"/>
      <c r="G139" s="210" t="str">
        <f t="shared" si="8"/>
        <v/>
      </c>
      <c r="H139" s="10" t="s">
        <v>20</v>
      </c>
      <c r="I139" s="331">
        <v>1.1000000000000001</v>
      </c>
      <c r="J139" s="12">
        <f t="shared" ref="J139:J149" si="12">E139*I139</f>
        <v>0</v>
      </c>
    </row>
    <row r="140" spans="1:11" x14ac:dyDescent="0.35">
      <c r="A140" s="103"/>
      <c r="B140" s="12" t="s">
        <v>4</v>
      </c>
      <c r="C140" s="10" t="s">
        <v>312</v>
      </c>
      <c r="D140" s="209"/>
      <c r="E140" s="170"/>
      <c r="F140" s="163"/>
      <c r="G140" s="210" t="str">
        <f t="shared" si="8"/>
        <v/>
      </c>
      <c r="H140" s="10" t="s">
        <v>20</v>
      </c>
      <c r="I140" s="331">
        <v>1.1000000000000001</v>
      </c>
      <c r="J140" s="12">
        <f t="shared" si="12"/>
        <v>0</v>
      </c>
    </row>
    <row r="141" spans="1:11" x14ac:dyDescent="0.35">
      <c r="A141" s="103"/>
      <c r="B141" s="12" t="s">
        <v>4</v>
      </c>
      <c r="C141" s="10" t="s">
        <v>313</v>
      </c>
      <c r="D141" s="209"/>
      <c r="E141" s="170"/>
      <c r="F141" s="163"/>
      <c r="G141" s="210" t="str">
        <f t="shared" si="8"/>
        <v/>
      </c>
      <c r="H141" s="10" t="s">
        <v>20</v>
      </c>
      <c r="I141" s="331">
        <v>1.3</v>
      </c>
      <c r="J141" s="12">
        <f t="shared" si="12"/>
        <v>0</v>
      </c>
    </row>
    <row r="142" spans="1:11" ht="14.5" customHeight="1" x14ac:dyDescent="0.35">
      <c r="A142" s="103"/>
      <c r="B142" s="12" t="s">
        <v>4</v>
      </c>
      <c r="C142" s="10" t="s">
        <v>314</v>
      </c>
      <c r="D142" s="209"/>
      <c r="E142" s="170"/>
      <c r="F142" s="163"/>
      <c r="G142" s="210" t="str">
        <f t="shared" si="8"/>
        <v/>
      </c>
      <c r="H142" s="10" t="s">
        <v>20</v>
      </c>
      <c r="I142" s="331">
        <v>1.36</v>
      </c>
      <c r="J142" s="12">
        <f t="shared" si="12"/>
        <v>0</v>
      </c>
    </row>
    <row r="143" spans="1:11" ht="14.5" customHeight="1" x14ac:dyDescent="0.35">
      <c r="A143" s="103"/>
      <c r="B143" s="12" t="s">
        <v>4</v>
      </c>
      <c r="C143" s="10" t="s">
        <v>315</v>
      </c>
      <c r="D143" s="209"/>
      <c r="E143" s="170"/>
      <c r="F143" s="163"/>
      <c r="G143" s="210" t="str">
        <f t="shared" si="8"/>
        <v/>
      </c>
      <c r="H143" s="10" t="s">
        <v>20</v>
      </c>
      <c r="I143" s="331">
        <v>1.3</v>
      </c>
      <c r="J143" s="12">
        <f t="shared" si="12"/>
        <v>0</v>
      </c>
    </row>
    <row r="144" spans="1:11" ht="15.65" customHeight="1" x14ac:dyDescent="0.35">
      <c r="A144" s="103"/>
      <c r="B144" s="12" t="s">
        <v>4</v>
      </c>
      <c r="C144" s="10" t="s">
        <v>316</v>
      </c>
      <c r="D144" s="209"/>
      <c r="E144" s="170"/>
      <c r="F144" s="163"/>
      <c r="G144" s="210" t="str">
        <f t="shared" si="8"/>
        <v/>
      </c>
      <c r="H144" s="10" t="s">
        <v>20</v>
      </c>
      <c r="I144" s="331">
        <v>1.35</v>
      </c>
      <c r="J144" s="12">
        <f t="shared" si="12"/>
        <v>0</v>
      </c>
      <c r="K144" s="13"/>
    </row>
    <row r="145" spans="1:11" x14ac:dyDescent="0.35">
      <c r="A145" s="103"/>
      <c r="B145" s="12" t="s">
        <v>4</v>
      </c>
      <c r="C145" s="10" t="s">
        <v>317</v>
      </c>
      <c r="D145" s="209"/>
      <c r="E145" s="170"/>
      <c r="F145" s="163"/>
      <c r="G145" s="210" t="str">
        <f t="shared" si="8"/>
        <v/>
      </c>
      <c r="H145" s="10" t="s">
        <v>20</v>
      </c>
      <c r="I145" s="331">
        <v>1.28</v>
      </c>
      <c r="J145" s="12">
        <f t="shared" si="12"/>
        <v>0</v>
      </c>
    </row>
    <row r="146" spans="1:11" x14ac:dyDescent="0.35">
      <c r="A146" s="103"/>
      <c r="B146" s="12" t="s">
        <v>4</v>
      </c>
      <c r="C146" s="10" t="s">
        <v>318</v>
      </c>
      <c r="D146" s="209"/>
      <c r="E146" s="170"/>
      <c r="F146" s="163"/>
      <c r="G146" s="210" t="str">
        <f t="shared" si="8"/>
        <v/>
      </c>
      <c r="H146" s="10" t="s">
        <v>20</v>
      </c>
      <c r="I146" s="331">
        <v>1.1000000000000001</v>
      </c>
      <c r="J146" s="12">
        <f t="shared" si="12"/>
        <v>0</v>
      </c>
    </row>
    <row r="147" spans="1:11" x14ac:dyDescent="0.35">
      <c r="A147" s="103"/>
      <c r="B147" s="12" t="s">
        <v>4</v>
      </c>
      <c r="C147" s="10" t="s">
        <v>319</v>
      </c>
      <c r="D147" s="209"/>
      <c r="E147" s="170"/>
      <c r="F147" s="163"/>
      <c r="G147" s="210" t="str">
        <f t="shared" si="8"/>
        <v/>
      </c>
      <c r="H147" s="10" t="s">
        <v>20</v>
      </c>
      <c r="I147" s="331">
        <v>1.1000000000000001</v>
      </c>
      <c r="J147" s="12">
        <f t="shared" si="12"/>
        <v>0</v>
      </c>
    </row>
    <row r="148" spans="1:11" x14ac:dyDescent="0.35">
      <c r="A148" s="103"/>
      <c r="B148" s="12" t="s">
        <v>4</v>
      </c>
      <c r="C148" s="10" t="s">
        <v>320</v>
      </c>
      <c r="D148" s="209"/>
      <c r="E148" s="170"/>
      <c r="F148" s="163"/>
      <c r="G148" s="210" t="str">
        <f t="shared" si="8"/>
        <v/>
      </c>
      <c r="H148" s="10" t="s">
        <v>20</v>
      </c>
      <c r="I148" s="331">
        <v>1.1000000000000001</v>
      </c>
      <c r="J148" s="12">
        <f t="shared" si="12"/>
        <v>0</v>
      </c>
    </row>
    <row r="149" spans="1:11" x14ac:dyDescent="0.35">
      <c r="A149" s="103"/>
      <c r="B149" s="12" t="s">
        <v>4</v>
      </c>
      <c r="C149" s="10" t="s">
        <v>321</v>
      </c>
      <c r="D149" s="209"/>
      <c r="E149" s="170"/>
      <c r="F149" s="163"/>
      <c r="G149" s="210" t="str">
        <f t="shared" si="8"/>
        <v/>
      </c>
      <c r="H149" s="10" t="s">
        <v>20</v>
      </c>
      <c r="I149" s="331">
        <v>1.1000000000000001</v>
      </c>
      <c r="J149" s="12">
        <f t="shared" si="12"/>
        <v>0</v>
      </c>
    </row>
    <row r="150" spans="1:11" x14ac:dyDescent="0.35">
      <c r="A150" s="113" t="s">
        <v>41</v>
      </c>
      <c r="B150" s="124"/>
      <c r="C150" s="124"/>
      <c r="D150" s="220"/>
      <c r="E150" s="179"/>
      <c r="F150" s="179"/>
      <c r="G150" s="213" t="str">
        <f t="shared" si="8"/>
        <v/>
      </c>
      <c r="H150" s="124"/>
      <c r="I150" s="241"/>
      <c r="J150" s="125"/>
    </row>
    <row r="151" spans="1:11" x14ac:dyDescent="0.35">
      <c r="A151" s="103"/>
      <c r="B151" s="12" t="s">
        <v>4</v>
      </c>
      <c r="C151" s="10" t="s">
        <v>24</v>
      </c>
      <c r="D151" s="209"/>
      <c r="E151" s="170"/>
      <c r="F151" s="163"/>
      <c r="G151" s="210" t="str">
        <f t="shared" si="8"/>
        <v/>
      </c>
      <c r="H151" s="10" t="s">
        <v>20</v>
      </c>
      <c r="I151" s="331">
        <v>3.04</v>
      </c>
      <c r="J151" s="12">
        <f t="shared" ref="J151:J164" si="13">E151*I151</f>
        <v>0</v>
      </c>
      <c r="K151" s="13"/>
    </row>
    <row r="152" spans="1:11" x14ac:dyDescent="0.35">
      <c r="A152" s="103"/>
      <c r="B152" s="12" t="s">
        <v>4</v>
      </c>
      <c r="C152" s="10" t="s">
        <v>80</v>
      </c>
      <c r="D152" s="209"/>
      <c r="E152" s="170"/>
      <c r="F152" s="163"/>
      <c r="G152" s="210" t="str">
        <f t="shared" si="8"/>
        <v/>
      </c>
      <c r="H152" s="10" t="s">
        <v>20</v>
      </c>
      <c r="I152" s="331">
        <v>2.31</v>
      </c>
      <c r="J152" s="12">
        <f t="shared" si="13"/>
        <v>0</v>
      </c>
    </row>
    <row r="153" spans="1:11" x14ac:dyDescent="0.35">
      <c r="A153" s="103"/>
      <c r="B153" s="12" t="s">
        <v>4</v>
      </c>
      <c r="C153" s="10" t="s">
        <v>84</v>
      </c>
      <c r="D153" s="209"/>
      <c r="E153" s="170"/>
      <c r="F153" s="163"/>
      <c r="G153" s="210" t="str">
        <f t="shared" ref="G153:G223" si="14">IF(D153-E153&gt;0,D153-E153,"")</f>
        <v/>
      </c>
      <c r="H153" s="10" t="s">
        <v>20</v>
      </c>
      <c r="I153" s="331">
        <v>2.31</v>
      </c>
      <c r="J153" s="12">
        <f t="shared" si="13"/>
        <v>0</v>
      </c>
    </row>
    <row r="154" spans="1:11" x14ac:dyDescent="0.35">
      <c r="A154" s="103"/>
      <c r="B154" s="12" t="s">
        <v>4</v>
      </c>
      <c r="C154" s="10" t="s">
        <v>394</v>
      </c>
      <c r="D154" s="209"/>
      <c r="E154" s="170"/>
      <c r="F154" s="163"/>
      <c r="G154" s="210" t="str">
        <f t="shared" si="14"/>
        <v/>
      </c>
      <c r="H154" s="10" t="s">
        <v>20</v>
      </c>
      <c r="I154" s="331">
        <v>2.54</v>
      </c>
      <c r="J154" s="12">
        <f t="shared" si="13"/>
        <v>0</v>
      </c>
    </row>
    <row r="155" spans="1:11" x14ac:dyDescent="0.35">
      <c r="A155" s="103"/>
      <c r="B155" s="12" t="s">
        <v>4</v>
      </c>
      <c r="C155" s="10" t="s">
        <v>394</v>
      </c>
      <c r="D155" s="209"/>
      <c r="E155" s="170"/>
      <c r="F155" s="163"/>
      <c r="G155" s="210" t="str">
        <f t="shared" si="14"/>
        <v/>
      </c>
      <c r="H155" s="10" t="s">
        <v>20</v>
      </c>
      <c r="I155" s="331">
        <v>2.54</v>
      </c>
      <c r="J155" s="12">
        <f t="shared" si="13"/>
        <v>0</v>
      </c>
    </row>
    <row r="156" spans="1:11" x14ac:dyDescent="0.35">
      <c r="A156" s="103"/>
      <c r="B156" s="12" t="s">
        <v>4</v>
      </c>
      <c r="C156" s="10" t="s">
        <v>25</v>
      </c>
      <c r="D156" s="209"/>
      <c r="E156" s="170"/>
      <c r="F156" s="163"/>
      <c r="G156" s="210" t="str">
        <f t="shared" si="14"/>
        <v/>
      </c>
      <c r="H156" s="10" t="s">
        <v>20</v>
      </c>
      <c r="I156" s="331">
        <v>1.79</v>
      </c>
      <c r="J156" s="12">
        <f t="shared" si="13"/>
        <v>0</v>
      </c>
      <c r="K156" s="13"/>
    </row>
    <row r="157" spans="1:11" x14ac:dyDescent="0.35">
      <c r="A157" s="103"/>
      <c r="B157" s="12" t="s">
        <v>4</v>
      </c>
      <c r="C157" s="10" t="s">
        <v>322</v>
      </c>
      <c r="D157" s="209"/>
      <c r="E157" s="170"/>
      <c r="F157" s="163"/>
      <c r="G157" s="210" t="str">
        <f t="shared" si="14"/>
        <v/>
      </c>
      <c r="H157" s="10" t="s">
        <v>20</v>
      </c>
      <c r="I157" s="331">
        <v>2.46</v>
      </c>
      <c r="J157" s="12">
        <f t="shared" si="13"/>
        <v>0</v>
      </c>
    </row>
    <row r="158" spans="1:11" x14ac:dyDescent="0.35">
      <c r="A158" s="103"/>
      <c r="B158" s="12" t="s">
        <v>4</v>
      </c>
      <c r="C158" s="10" t="s">
        <v>393</v>
      </c>
      <c r="D158" s="209"/>
      <c r="E158" s="170"/>
      <c r="F158" s="163"/>
      <c r="G158" s="210" t="str">
        <f t="shared" si="14"/>
        <v/>
      </c>
      <c r="H158" s="10" t="s">
        <v>20</v>
      </c>
      <c r="I158" s="331">
        <v>2.46</v>
      </c>
      <c r="J158" s="12">
        <f t="shared" si="13"/>
        <v>0</v>
      </c>
    </row>
    <row r="159" spans="1:11" x14ac:dyDescent="0.35">
      <c r="A159" s="103"/>
      <c r="B159" s="12" t="s">
        <v>4</v>
      </c>
      <c r="C159" s="10" t="s">
        <v>43</v>
      </c>
      <c r="D159" s="209"/>
      <c r="E159" s="170"/>
      <c r="F159" s="163"/>
      <c r="G159" s="210" t="str">
        <f t="shared" si="14"/>
        <v/>
      </c>
      <c r="H159" s="10" t="s">
        <v>20</v>
      </c>
      <c r="I159" s="331">
        <v>2.5499999999999998</v>
      </c>
      <c r="J159" s="12">
        <f t="shared" si="13"/>
        <v>0</v>
      </c>
    </row>
    <row r="160" spans="1:11" ht="14.5" customHeight="1" x14ac:dyDescent="0.35">
      <c r="A160" s="103"/>
      <c r="B160" s="12" t="s">
        <v>4</v>
      </c>
      <c r="C160" s="10" t="s">
        <v>81</v>
      </c>
      <c r="D160" s="209"/>
      <c r="E160" s="170"/>
      <c r="F160" s="163"/>
      <c r="G160" s="210" t="str">
        <f t="shared" si="14"/>
        <v/>
      </c>
      <c r="H160" s="10" t="s">
        <v>20</v>
      </c>
      <c r="I160" s="331">
        <v>1.51</v>
      </c>
      <c r="J160" s="12">
        <f t="shared" si="13"/>
        <v>0</v>
      </c>
      <c r="K160" s="13"/>
    </row>
    <row r="161" spans="1:11" ht="15.65" customHeight="1" x14ac:dyDescent="0.35">
      <c r="A161" s="103"/>
      <c r="B161" s="12" t="s">
        <v>4</v>
      </c>
      <c r="C161" s="10" t="s">
        <v>82</v>
      </c>
      <c r="D161" s="209"/>
      <c r="E161" s="170"/>
      <c r="F161" s="163"/>
      <c r="G161" s="210" t="str">
        <f t="shared" si="14"/>
        <v/>
      </c>
      <c r="H161" s="10" t="s">
        <v>20</v>
      </c>
      <c r="I161" s="331">
        <v>1.51</v>
      </c>
      <c r="J161" s="12">
        <f t="shared" si="13"/>
        <v>0</v>
      </c>
    </row>
    <row r="162" spans="1:11" x14ac:dyDescent="0.35">
      <c r="A162" s="103"/>
      <c r="B162" s="12" t="s">
        <v>4</v>
      </c>
      <c r="C162" s="10" t="s">
        <v>323</v>
      </c>
      <c r="D162" s="209"/>
      <c r="E162" s="170"/>
      <c r="F162" s="163"/>
      <c r="G162" s="210" t="str">
        <f t="shared" si="14"/>
        <v/>
      </c>
      <c r="H162" s="10" t="s">
        <v>20</v>
      </c>
      <c r="I162" s="331">
        <v>1.54</v>
      </c>
      <c r="J162" s="12">
        <f t="shared" si="13"/>
        <v>0</v>
      </c>
    </row>
    <row r="163" spans="1:11" x14ac:dyDescent="0.35">
      <c r="A163" s="103"/>
      <c r="B163" s="12" t="s">
        <v>4</v>
      </c>
      <c r="C163" s="10" t="s">
        <v>324</v>
      </c>
      <c r="D163" s="209"/>
      <c r="E163" s="170"/>
      <c r="F163" s="163"/>
      <c r="G163" s="210" t="str">
        <f t="shared" si="14"/>
        <v/>
      </c>
      <c r="H163" s="10" t="s">
        <v>20</v>
      </c>
      <c r="I163" s="331">
        <v>1.6</v>
      </c>
      <c r="J163" s="12">
        <f t="shared" si="13"/>
        <v>0</v>
      </c>
    </row>
    <row r="164" spans="1:11" x14ac:dyDescent="0.35">
      <c r="A164" s="103"/>
      <c r="B164" s="12" t="s">
        <v>4</v>
      </c>
      <c r="C164" s="78" t="s">
        <v>325</v>
      </c>
      <c r="D164" s="214"/>
      <c r="E164" s="170"/>
      <c r="F164" s="192"/>
      <c r="G164" s="210" t="str">
        <f t="shared" si="14"/>
        <v/>
      </c>
      <c r="H164" s="10" t="s">
        <v>20</v>
      </c>
      <c r="I164" s="333">
        <v>49.95</v>
      </c>
      <c r="J164" s="12">
        <f t="shared" si="13"/>
        <v>0</v>
      </c>
    </row>
    <row r="165" spans="1:11" x14ac:dyDescent="0.35">
      <c r="A165" s="113" t="s">
        <v>44</v>
      </c>
      <c r="B165" s="124"/>
      <c r="C165" s="124"/>
      <c r="D165" s="220"/>
      <c r="E165" s="179"/>
      <c r="F165" s="179"/>
      <c r="G165" s="213" t="str">
        <f t="shared" si="14"/>
        <v/>
      </c>
      <c r="H165" s="124"/>
      <c r="I165" s="241"/>
      <c r="J165" s="125"/>
    </row>
    <row r="166" spans="1:11" x14ac:dyDescent="0.35">
      <c r="A166" s="103"/>
      <c r="B166" s="12" t="s">
        <v>4</v>
      </c>
      <c r="C166" s="10" t="s">
        <v>48</v>
      </c>
      <c r="D166" s="209"/>
      <c r="E166" s="170"/>
      <c r="F166" s="163"/>
      <c r="G166" s="210" t="str">
        <f t="shared" si="14"/>
        <v/>
      </c>
      <c r="H166" s="10" t="s">
        <v>20</v>
      </c>
      <c r="I166" s="331">
        <v>1.94</v>
      </c>
      <c r="J166" s="12">
        <f t="shared" ref="J166:J175" si="15">E166*I166</f>
        <v>0</v>
      </c>
    </row>
    <row r="167" spans="1:11" x14ac:dyDescent="0.35">
      <c r="A167" s="103"/>
      <c r="B167" s="12" t="s">
        <v>4</v>
      </c>
      <c r="C167" s="10" t="s">
        <v>49</v>
      </c>
      <c r="D167" s="209"/>
      <c r="E167" s="170"/>
      <c r="F167" s="163"/>
      <c r="G167" s="210" t="str">
        <f t="shared" si="14"/>
        <v/>
      </c>
      <c r="H167" s="10" t="s">
        <v>20</v>
      </c>
      <c r="I167" s="331">
        <v>1.94</v>
      </c>
      <c r="J167" s="12">
        <f t="shared" si="15"/>
        <v>0</v>
      </c>
    </row>
    <row r="168" spans="1:11" x14ac:dyDescent="0.35">
      <c r="A168" s="103"/>
      <c r="B168" s="12" t="s">
        <v>4</v>
      </c>
      <c r="C168" s="10" t="s">
        <v>50</v>
      </c>
      <c r="D168" s="209"/>
      <c r="E168" s="170"/>
      <c r="F168" s="163"/>
      <c r="G168" s="210" t="str">
        <f t="shared" si="14"/>
        <v/>
      </c>
      <c r="H168" s="10" t="s">
        <v>20</v>
      </c>
      <c r="I168" s="331">
        <v>1.94</v>
      </c>
      <c r="J168" s="12">
        <f t="shared" si="15"/>
        <v>0</v>
      </c>
    </row>
    <row r="169" spans="1:11" x14ac:dyDescent="0.35">
      <c r="A169" s="103"/>
      <c r="B169" s="12" t="s">
        <v>4</v>
      </c>
      <c r="C169" s="10" t="s">
        <v>415</v>
      </c>
      <c r="D169" s="209"/>
      <c r="E169" s="170"/>
      <c r="F169" s="163"/>
      <c r="G169" s="210" t="str">
        <f t="shared" si="14"/>
        <v/>
      </c>
      <c r="H169" s="10" t="s">
        <v>20</v>
      </c>
      <c r="I169" s="331">
        <v>1.98</v>
      </c>
      <c r="J169" s="12">
        <f t="shared" si="15"/>
        <v>0</v>
      </c>
    </row>
    <row r="170" spans="1:11" ht="14.5" customHeight="1" x14ac:dyDescent="0.35">
      <c r="A170" s="103"/>
      <c r="B170" s="12" t="s">
        <v>4</v>
      </c>
      <c r="C170" s="10" t="s">
        <v>414</v>
      </c>
      <c r="D170" s="209"/>
      <c r="E170" s="170"/>
      <c r="F170" s="163"/>
      <c r="G170" s="210" t="str">
        <f t="shared" si="14"/>
        <v/>
      </c>
      <c r="H170" s="10" t="s">
        <v>20</v>
      </c>
      <c r="I170" s="331">
        <v>1.98</v>
      </c>
      <c r="J170" s="12">
        <f t="shared" si="15"/>
        <v>0</v>
      </c>
    </row>
    <row r="171" spans="1:11" ht="14.5" customHeight="1" x14ac:dyDescent="0.35">
      <c r="A171" s="103"/>
      <c r="B171" s="12" t="s">
        <v>4</v>
      </c>
      <c r="C171" s="10" t="s">
        <v>328</v>
      </c>
      <c r="D171" s="209"/>
      <c r="E171" s="170"/>
      <c r="F171" s="163"/>
      <c r="G171" s="210" t="str">
        <f t="shared" si="14"/>
        <v/>
      </c>
      <c r="H171" s="10" t="s">
        <v>20</v>
      </c>
      <c r="I171" s="331">
        <v>1.98</v>
      </c>
      <c r="J171" s="12">
        <f t="shared" si="15"/>
        <v>0</v>
      </c>
    </row>
    <row r="172" spans="1:11" x14ac:dyDescent="0.35">
      <c r="A172" s="103"/>
      <c r="B172" s="12" t="s">
        <v>4</v>
      </c>
      <c r="C172" s="10" t="s">
        <v>329</v>
      </c>
      <c r="D172" s="209"/>
      <c r="E172" s="170"/>
      <c r="F172" s="163"/>
      <c r="G172" s="210" t="str">
        <f t="shared" si="14"/>
        <v/>
      </c>
      <c r="H172" s="10" t="s">
        <v>20</v>
      </c>
      <c r="I172" s="331">
        <v>1.98</v>
      </c>
      <c r="J172" s="12">
        <f t="shared" si="15"/>
        <v>0</v>
      </c>
    </row>
    <row r="173" spans="1:11" ht="14.5" customHeight="1" x14ac:dyDescent="0.35">
      <c r="A173" s="103"/>
      <c r="B173" s="40" t="s">
        <v>4</v>
      </c>
      <c r="C173" s="41" t="s">
        <v>330</v>
      </c>
      <c r="D173" s="217"/>
      <c r="E173" s="170"/>
      <c r="F173" s="198"/>
      <c r="G173" s="210" t="str">
        <f t="shared" si="14"/>
        <v/>
      </c>
      <c r="H173" s="10" t="s">
        <v>20</v>
      </c>
      <c r="I173" s="331">
        <v>1.98</v>
      </c>
      <c r="J173" s="12">
        <f t="shared" si="15"/>
        <v>0</v>
      </c>
    </row>
    <row r="174" spans="1:11" ht="14.5" customHeight="1" x14ac:dyDescent="0.35">
      <c r="A174" s="103"/>
      <c r="B174" s="40" t="s">
        <v>4</v>
      </c>
      <c r="C174" s="41" t="s">
        <v>331</v>
      </c>
      <c r="D174" s="217"/>
      <c r="E174" s="170"/>
      <c r="F174" s="198"/>
      <c r="G174" s="210" t="str">
        <f t="shared" si="14"/>
        <v/>
      </c>
      <c r="H174" s="10" t="s">
        <v>20</v>
      </c>
      <c r="I174" s="331">
        <v>1.98</v>
      </c>
      <c r="J174" s="12">
        <f t="shared" si="15"/>
        <v>0</v>
      </c>
    </row>
    <row r="175" spans="1:11" ht="14.5" customHeight="1" x14ac:dyDescent="0.35">
      <c r="A175" s="103"/>
      <c r="B175" s="40" t="s">
        <v>4</v>
      </c>
      <c r="C175" s="41" t="s">
        <v>413</v>
      </c>
      <c r="D175" s="217"/>
      <c r="E175" s="170"/>
      <c r="F175" s="198"/>
      <c r="G175" s="210" t="str">
        <f t="shared" si="14"/>
        <v/>
      </c>
      <c r="H175" s="41" t="s">
        <v>20</v>
      </c>
      <c r="I175" s="334">
        <v>1.98</v>
      </c>
      <c r="J175" s="12">
        <f t="shared" si="15"/>
        <v>0</v>
      </c>
    </row>
    <row r="176" spans="1:11" ht="15.5" x14ac:dyDescent="0.35">
      <c r="A176" s="114" t="s">
        <v>333</v>
      </c>
      <c r="B176" s="120"/>
      <c r="C176" s="120"/>
      <c r="D176" s="218"/>
      <c r="E176" s="180"/>
      <c r="F176" s="180"/>
      <c r="G176" s="213" t="str">
        <f t="shared" si="14"/>
        <v/>
      </c>
      <c r="H176" s="121"/>
      <c r="I176" s="122" t="s">
        <v>18</v>
      </c>
      <c r="J176" s="123">
        <f>SUM(J177:J186)</f>
        <v>0</v>
      </c>
      <c r="K176" s="13"/>
    </row>
    <row r="177" spans="1:12" x14ac:dyDescent="0.35">
      <c r="A177" s="103"/>
      <c r="B177" s="12" t="s">
        <v>26</v>
      </c>
      <c r="C177" s="10" t="s">
        <v>334</v>
      </c>
      <c r="D177" s="209"/>
      <c r="E177" s="170"/>
      <c r="F177" s="163"/>
      <c r="G177" s="210" t="str">
        <f t="shared" si="14"/>
        <v/>
      </c>
      <c r="H177" s="10" t="s">
        <v>335</v>
      </c>
      <c r="I177" s="331">
        <v>20</v>
      </c>
      <c r="J177" s="12">
        <f t="shared" ref="J177:J186" si="16">E177*I177</f>
        <v>0</v>
      </c>
    </row>
    <row r="178" spans="1:12" x14ac:dyDescent="0.35">
      <c r="A178" s="103"/>
      <c r="B178" s="20" t="s">
        <v>26</v>
      </c>
      <c r="C178" s="18" t="s">
        <v>53</v>
      </c>
      <c r="D178" s="219"/>
      <c r="E178" s="170"/>
      <c r="F178" s="202"/>
      <c r="G178" s="210" t="str">
        <f t="shared" si="14"/>
        <v/>
      </c>
      <c r="H178" s="18" t="s">
        <v>20</v>
      </c>
      <c r="I178" s="335">
        <v>0.43</v>
      </c>
      <c r="J178" s="20">
        <f t="shared" si="16"/>
        <v>0</v>
      </c>
    </row>
    <row r="179" spans="1:12" x14ac:dyDescent="0.35">
      <c r="A179" s="103"/>
      <c r="B179" s="20" t="s">
        <v>26</v>
      </c>
      <c r="C179" s="18" t="s">
        <v>336</v>
      </c>
      <c r="D179" s="219"/>
      <c r="E179" s="170"/>
      <c r="F179" s="202"/>
      <c r="G179" s="210" t="str">
        <f t="shared" si="14"/>
        <v/>
      </c>
      <c r="H179" s="18" t="s">
        <v>20</v>
      </c>
      <c r="I179" s="335">
        <v>0.43</v>
      </c>
      <c r="J179" s="20">
        <f t="shared" si="16"/>
        <v>0</v>
      </c>
    </row>
    <row r="180" spans="1:12" ht="16.399999999999999" customHeight="1" x14ac:dyDescent="0.35">
      <c r="A180" s="103"/>
      <c r="B180" s="12" t="s">
        <v>26</v>
      </c>
      <c r="C180" s="10" t="s">
        <v>337</v>
      </c>
      <c r="D180" s="209"/>
      <c r="E180" s="170"/>
      <c r="F180" s="163"/>
      <c r="G180" s="210" t="str">
        <f t="shared" si="14"/>
        <v/>
      </c>
      <c r="H180" s="10" t="s">
        <v>20</v>
      </c>
      <c r="I180" s="331">
        <v>0.43</v>
      </c>
      <c r="J180" s="12">
        <f t="shared" si="16"/>
        <v>0</v>
      </c>
    </row>
    <row r="181" spans="1:12" x14ac:dyDescent="0.35">
      <c r="A181" s="103"/>
      <c r="B181" s="12" t="s">
        <v>26</v>
      </c>
      <c r="C181" s="10" t="s">
        <v>51</v>
      </c>
      <c r="D181" s="209"/>
      <c r="E181" s="170"/>
      <c r="F181" s="163"/>
      <c r="G181" s="210" t="str">
        <f t="shared" si="14"/>
        <v/>
      </c>
      <c r="H181" s="10" t="s">
        <v>61</v>
      </c>
      <c r="I181" s="331">
        <v>14</v>
      </c>
      <c r="J181" s="12">
        <f t="shared" si="16"/>
        <v>0</v>
      </c>
    </row>
    <row r="182" spans="1:12" x14ac:dyDescent="0.35">
      <c r="A182" s="103"/>
      <c r="B182" s="12" t="s">
        <v>26</v>
      </c>
      <c r="C182" s="10" t="s">
        <v>338</v>
      </c>
      <c r="D182" s="209"/>
      <c r="E182" s="170"/>
      <c r="F182" s="163"/>
      <c r="G182" s="210" t="str">
        <f t="shared" si="14"/>
        <v/>
      </c>
      <c r="H182" s="10" t="s">
        <v>61</v>
      </c>
      <c r="I182" s="331">
        <v>14.78</v>
      </c>
      <c r="J182" s="12">
        <f t="shared" si="16"/>
        <v>0</v>
      </c>
    </row>
    <row r="183" spans="1:12" x14ac:dyDescent="0.35">
      <c r="A183" s="103"/>
      <c r="B183" s="12" t="s">
        <v>26</v>
      </c>
      <c r="C183" s="10" t="s">
        <v>339</v>
      </c>
      <c r="D183" s="209"/>
      <c r="E183" s="170"/>
      <c r="F183" s="163"/>
      <c r="G183" s="210" t="str">
        <f t="shared" si="14"/>
        <v/>
      </c>
      <c r="H183" s="10" t="s">
        <v>61</v>
      </c>
      <c r="I183" s="331">
        <v>14.78</v>
      </c>
      <c r="J183" s="12">
        <f t="shared" si="16"/>
        <v>0</v>
      </c>
    </row>
    <row r="184" spans="1:12" x14ac:dyDescent="0.35">
      <c r="A184" s="103"/>
      <c r="B184" s="12" t="s">
        <v>26</v>
      </c>
      <c r="C184" s="10" t="s">
        <v>340</v>
      </c>
      <c r="D184" s="209"/>
      <c r="E184" s="170"/>
      <c r="F184" s="163"/>
      <c r="G184" s="210" t="str">
        <f t="shared" si="14"/>
        <v/>
      </c>
      <c r="H184" s="10" t="s">
        <v>61</v>
      </c>
      <c r="I184" s="331">
        <v>14.78</v>
      </c>
      <c r="J184" s="12">
        <f t="shared" si="16"/>
        <v>0</v>
      </c>
    </row>
    <row r="185" spans="1:12" x14ac:dyDescent="0.35">
      <c r="A185" s="103"/>
      <c r="B185" s="12" t="s">
        <v>26</v>
      </c>
      <c r="C185" s="10" t="s">
        <v>341</v>
      </c>
      <c r="D185" s="209"/>
      <c r="E185" s="170"/>
      <c r="F185" s="163"/>
      <c r="G185" s="210" t="str">
        <f t="shared" si="14"/>
        <v/>
      </c>
      <c r="H185" s="10" t="s">
        <v>61</v>
      </c>
      <c r="I185" s="331">
        <v>14.78</v>
      </c>
      <c r="J185" s="12">
        <f t="shared" si="16"/>
        <v>0</v>
      </c>
    </row>
    <row r="186" spans="1:12" x14ac:dyDescent="0.35">
      <c r="A186" s="103"/>
      <c r="B186" s="12" t="s">
        <v>26</v>
      </c>
      <c r="C186" s="10" t="s">
        <v>342</v>
      </c>
      <c r="D186" s="209"/>
      <c r="E186" s="170"/>
      <c r="F186" s="163"/>
      <c r="G186" s="210" t="str">
        <f t="shared" si="14"/>
        <v/>
      </c>
      <c r="H186" s="10" t="s">
        <v>61</v>
      </c>
      <c r="I186" s="331">
        <v>14.78</v>
      </c>
      <c r="J186" s="10">
        <f t="shared" si="16"/>
        <v>0</v>
      </c>
    </row>
    <row r="187" spans="1:12" ht="15.5" x14ac:dyDescent="0.35">
      <c r="A187" s="108" t="s">
        <v>343</v>
      </c>
      <c r="B187" s="108"/>
      <c r="C187" s="108"/>
      <c r="D187" s="212"/>
      <c r="E187" s="162"/>
      <c r="F187" s="162"/>
      <c r="G187" s="213" t="str">
        <f t="shared" si="14"/>
        <v/>
      </c>
      <c r="H187" s="108"/>
      <c r="I187" s="106" t="s">
        <v>18</v>
      </c>
      <c r="J187" s="107">
        <f>SUM(J188:J192)</f>
        <v>0</v>
      </c>
      <c r="L187" t="s">
        <v>47</v>
      </c>
    </row>
    <row r="188" spans="1:12" x14ac:dyDescent="0.35">
      <c r="A188" s="103"/>
      <c r="B188" s="7" t="s">
        <v>6</v>
      </c>
      <c r="C188" s="14" t="s">
        <v>344</v>
      </c>
      <c r="D188" s="209"/>
      <c r="E188" s="170"/>
      <c r="F188" s="163"/>
      <c r="G188" s="210" t="str">
        <f t="shared" si="14"/>
        <v/>
      </c>
      <c r="H188" s="14" t="s">
        <v>20</v>
      </c>
      <c r="I188" s="336">
        <v>0.79</v>
      </c>
      <c r="J188" s="7">
        <f>E188*I188</f>
        <v>0</v>
      </c>
    </row>
    <row r="189" spans="1:12" x14ac:dyDescent="0.35">
      <c r="A189" s="103"/>
      <c r="B189" s="7" t="s">
        <v>6</v>
      </c>
      <c r="C189" s="14" t="s">
        <v>345</v>
      </c>
      <c r="D189" s="209"/>
      <c r="E189" s="170"/>
      <c r="F189" s="163"/>
      <c r="G189" s="210" t="str">
        <f t="shared" si="14"/>
        <v/>
      </c>
      <c r="H189" s="14" t="s">
        <v>20</v>
      </c>
      <c r="I189" s="336">
        <v>2.76</v>
      </c>
      <c r="J189" s="7">
        <f>E189*I189</f>
        <v>0</v>
      </c>
    </row>
    <row r="190" spans="1:12" x14ac:dyDescent="0.35">
      <c r="A190" s="103"/>
      <c r="B190" s="7" t="s">
        <v>6</v>
      </c>
      <c r="C190" s="14" t="s">
        <v>346</v>
      </c>
      <c r="D190" s="209"/>
      <c r="E190" s="170"/>
      <c r="F190" s="163"/>
      <c r="G190" s="210" t="str">
        <f t="shared" si="14"/>
        <v/>
      </c>
      <c r="H190" s="14" t="s">
        <v>20</v>
      </c>
      <c r="I190" s="336">
        <v>1</v>
      </c>
      <c r="J190" s="7">
        <f>E190*I190</f>
        <v>0</v>
      </c>
    </row>
    <row r="191" spans="1:12" x14ac:dyDescent="0.35">
      <c r="A191" s="103"/>
      <c r="B191" s="7" t="s">
        <v>6</v>
      </c>
      <c r="C191" s="14" t="s">
        <v>34</v>
      </c>
      <c r="D191" s="209"/>
      <c r="E191" s="170"/>
      <c r="F191" s="163"/>
      <c r="G191" s="210" t="str">
        <f t="shared" si="14"/>
        <v/>
      </c>
      <c r="H191" s="14" t="s">
        <v>20</v>
      </c>
      <c r="I191" s="336">
        <v>1.8</v>
      </c>
      <c r="J191" s="7">
        <f>E191*I191</f>
        <v>0</v>
      </c>
    </row>
    <row r="192" spans="1:12" x14ac:dyDescent="0.35">
      <c r="A192" s="103"/>
      <c r="B192" s="7" t="s">
        <v>6</v>
      </c>
      <c r="C192" s="14" t="s">
        <v>35</v>
      </c>
      <c r="D192" s="209"/>
      <c r="E192" s="170"/>
      <c r="F192" s="163"/>
      <c r="G192" s="210" t="str">
        <f t="shared" si="14"/>
        <v/>
      </c>
      <c r="H192" s="14" t="s">
        <v>20</v>
      </c>
      <c r="I192" s="336">
        <v>1.8</v>
      </c>
      <c r="J192" s="7">
        <f>E192*I192</f>
        <v>0</v>
      </c>
    </row>
    <row r="193" spans="1:10" ht="15.5" x14ac:dyDescent="0.35">
      <c r="A193" s="112" t="s">
        <v>347</v>
      </c>
      <c r="B193" s="116"/>
      <c r="C193" s="116"/>
      <c r="D193" s="218"/>
      <c r="E193" s="178"/>
      <c r="F193" s="178"/>
      <c r="G193" s="213" t="str">
        <f t="shared" si="14"/>
        <v/>
      </c>
      <c r="H193" s="117"/>
      <c r="I193" s="118" t="s">
        <v>18</v>
      </c>
      <c r="J193" s="119">
        <f>SUM(J194)</f>
        <v>0</v>
      </c>
    </row>
    <row r="194" spans="1:10" x14ac:dyDescent="0.35">
      <c r="A194" s="103"/>
      <c r="B194" s="12" t="s">
        <v>5</v>
      </c>
      <c r="C194" s="10" t="s">
        <v>55</v>
      </c>
      <c r="D194" s="209"/>
      <c r="E194" s="170"/>
      <c r="F194" s="163"/>
      <c r="G194" s="210" t="str">
        <f t="shared" si="14"/>
        <v/>
      </c>
      <c r="H194" s="10" t="s">
        <v>20</v>
      </c>
      <c r="I194" s="331">
        <v>1.01</v>
      </c>
      <c r="J194" s="12">
        <f>E194*I194</f>
        <v>0</v>
      </c>
    </row>
    <row r="195" spans="1:10" ht="15.5" x14ac:dyDescent="0.35">
      <c r="A195" s="112" t="s">
        <v>348</v>
      </c>
      <c r="B195" s="116"/>
      <c r="C195" s="116"/>
      <c r="D195" s="218"/>
      <c r="E195" s="178"/>
      <c r="F195" s="178"/>
      <c r="G195" s="213" t="str">
        <f t="shared" si="14"/>
        <v/>
      </c>
      <c r="H195" s="117"/>
      <c r="I195" s="118" t="s">
        <v>18</v>
      </c>
      <c r="J195" s="119">
        <f>SUM(J196:J207)</f>
        <v>0</v>
      </c>
    </row>
    <row r="196" spans="1:10" x14ac:dyDescent="0.35">
      <c r="A196" s="103"/>
      <c r="B196" s="20" t="s">
        <v>8</v>
      </c>
      <c r="C196" s="18" t="s">
        <v>349</v>
      </c>
      <c r="D196" s="219"/>
      <c r="E196" s="170"/>
      <c r="F196" s="202"/>
      <c r="G196" s="210" t="str">
        <f t="shared" si="14"/>
        <v/>
      </c>
      <c r="H196" s="18" t="s">
        <v>27</v>
      </c>
      <c r="I196" s="337">
        <v>28.62</v>
      </c>
      <c r="J196" s="12">
        <f t="shared" ref="J196:J207" si="17">E196*I196</f>
        <v>0</v>
      </c>
    </row>
    <row r="197" spans="1:10" x14ac:dyDescent="0.35">
      <c r="A197" s="103"/>
      <c r="B197" s="12" t="s">
        <v>8</v>
      </c>
      <c r="C197" s="10" t="s">
        <v>350</v>
      </c>
      <c r="D197" s="209"/>
      <c r="E197" s="170"/>
      <c r="F197" s="163"/>
      <c r="G197" s="210" t="str">
        <f t="shared" si="14"/>
        <v/>
      </c>
      <c r="H197" s="10" t="s">
        <v>335</v>
      </c>
      <c r="I197" s="338">
        <v>30</v>
      </c>
      <c r="J197" s="12">
        <f t="shared" si="17"/>
        <v>0</v>
      </c>
    </row>
    <row r="198" spans="1:10" x14ac:dyDescent="0.35">
      <c r="A198" s="103"/>
      <c r="B198" s="12" t="s">
        <v>8</v>
      </c>
      <c r="C198" s="10" t="s">
        <v>351</v>
      </c>
      <c r="D198" s="209"/>
      <c r="E198" s="170"/>
      <c r="F198" s="163"/>
      <c r="G198" s="210" t="str">
        <f t="shared" si="14"/>
        <v/>
      </c>
      <c r="H198" s="10" t="s">
        <v>335</v>
      </c>
      <c r="I198" s="331">
        <v>1.1499999999999999</v>
      </c>
      <c r="J198" s="12">
        <f t="shared" si="17"/>
        <v>0</v>
      </c>
    </row>
    <row r="199" spans="1:10" x14ac:dyDescent="0.35">
      <c r="A199" s="103"/>
      <c r="B199" s="12" t="s">
        <v>8</v>
      </c>
      <c r="C199" s="10" t="s">
        <v>352</v>
      </c>
      <c r="D199" s="209"/>
      <c r="E199" s="170"/>
      <c r="F199" s="163"/>
      <c r="G199" s="210" t="str">
        <f t="shared" si="14"/>
        <v/>
      </c>
      <c r="H199" s="10" t="s">
        <v>27</v>
      </c>
      <c r="I199" s="331">
        <v>23.83</v>
      </c>
      <c r="J199" s="12">
        <f t="shared" si="17"/>
        <v>0</v>
      </c>
    </row>
    <row r="200" spans="1:10" x14ac:dyDescent="0.35">
      <c r="A200" s="103"/>
      <c r="B200" s="12" t="s">
        <v>8</v>
      </c>
      <c r="C200" s="10" t="s">
        <v>353</v>
      </c>
      <c r="D200" s="209"/>
      <c r="E200" s="170"/>
      <c r="F200" s="163"/>
      <c r="G200" s="210" t="str">
        <f t="shared" si="14"/>
        <v/>
      </c>
      <c r="H200" s="10" t="s">
        <v>27</v>
      </c>
      <c r="I200" s="331">
        <v>28.89</v>
      </c>
      <c r="J200" s="12">
        <f t="shared" si="17"/>
        <v>0</v>
      </c>
    </row>
    <row r="201" spans="1:10" x14ac:dyDescent="0.35">
      <c r="A201" s="103"/>
      <c r="B201" s="12" t="s">
        <v>8</v>
      </c>
      <c r="C201" s="10" t="s">
        <v>354</v>
      </c>
      <c r="D201" s="209"/>
      <c r="E201" s="170"/>
      <c r="F201" s="163"/>
      <c r="G201" s="210" t="str">
        <f>IF(D201-E201&gt;0,D201-E201,"")</f>
        <v/>
      </c>
      <c r="H201" s="10" t="s">
        <v>27</v>
      </c>
      <c r="I201" s="331">
        <v>19.37</v>
      </c>
      <c r="J201" s="12">
        <f>E201*I201</f>
        <v>0</v>
      </c>
    </row>
    <row r="202" spans="1:10" x14ac:dyDescent="0.35">
      <c r="A202" s="103"/>
      <c r="B202" s="12" t="s">
        <v>8</v>
      </c>
      <c r="C202" s="10" t="s">
        <v>429</v>
      </c>
      <c r="D202" s="209"/>
      <c r="E202" s="170"/>
      <c r="F202" s="163"/>
      <c r="G202" s="210"/>
      <c r="H202" s="10" t="s">
        <v>27</v>
      </c>
      <c r="I202" s="331">
        <v>14.07</v>
      </c>
      <c r="J202" s="12"/>
    </row>
    <row r="203" spans="1:10" x14ac:dyDescent="0.35">
      <c r="A203" s="103"/>
      <c r="B203" s="12" t="s">
        <v>8</v>
      </c>
      <c r="C203" s="10" t="s">
        <v>430</v>
      </c>
      <c r="D203" s="209"/>
      <c r="E203" s="170"/>
      <c r="F203" s="163"/>
      <c r="G203" s="210"/>
      <c r="H203" s="10" t="s">
        <v>27</v>
      </c>
      <c r="I203" s="331">
        <v>16.07</v>
      </c>
      <c r="J203" s="12"/>
    </row>
    <row r="204" spans="1:10" x14ac:dyDescent="0.35">
      <c r="A204" s="103"/>
      <c r="B204" s="12" t="s">
        <v>8</v>
      </c>
      <c r="C204" s="10" t="s">
        <v>431</v>
      </c>
      <c r="D204" s="209"/>
      <c r="G204" s="210"/>
      <c r="H204" s="10" t="s">
        <v>27</v>
      </c>
      <c r="I204" s="339">
        <v>14.62</v>
      </c>
      <c r="J204" s="12"/>
    </row>
    <row r="205" spans="1:10" x14ac:dyDescent="0.35">
      <c r="A205" s="103"/>
      <c r="B205" s="12" t="s">
        <v>8</v>
      </c>
      <c r="C205" s="10" t="s">
        <v>355</v>
      </c>
      <c r="D205" s="209"/>
      <c r="E205" s="170"/>
      <c r="F205" s="163"/>
      <c r="G205" s="210" t="str">
        <f t="shared" si="14"/>
        <v/>
      </c>
      <c r="H205" s="10" t="s">
        <v>61</v>
      </c>
      <c r="I205" s="331">
        <v>17.11</v>
      </c>
      <c r="J205" s="12">
        <f t="shared" si="17"/>
        <v>0</v>
      </c>
    </row>
    <row r="206" spans="1:10" x14ac:dyDescent="0.35">
      <c r="A206" s="103"/>
      <c r="B206" s="12" t="s">
        <v>8</v>
      </c>
      <c r="C206" s="10" t="s">
        <v>356</v>
      </c>
      <c r="D206" s="209"/>
      <c r="E206" s="170"/>
      <c r="F206" s="163"/>
      <c r="G206" s="210" t="str">
        <f t="shared" si="14"/>
        <v/>
      </c>
      <c r="H206" s="10" t="s">
        <v>61</v>
      </c>
      <c r="I206" s="331">
        <v>22.13</v>
      </c>
      <c r="J206" s="12">
        <f t="shared" si="17"/>
        <v>0</v>
      </c>
    </row>
    <row r="207" spans="1:10" x14ac:dyDescent="0.35">
      <c r="A207" s="103"/>
      <c r="B207" s="40" t="s">
        <v>8</v>
      </c>
      <c r="C207" s="41" t="s">
        <v>357</v>
      </c>
      <c r="D207" s="217"/>
      <c r="E207" s="170"/>
      <c r="F207" s="198"/>
      <c r="G207" s="210" t="str">
        <f t="shared" si="14"/>
        <v/>
      </c>
      <c r="H207" s="41" t="s">
        <v>61</v>
      </c>
      <c r="I207" s="334">
        <v>18.8</v>
      </c>
      <c r="J207" s="40">
        <f t="shared" si="17"/>
        <v>0</v>
      </c>
    </row>
    <row r="208" spans="1:10" ht="15.5" x14ac:dyDescent="0.35">
      <c r="A208" s="112" t="s">
        <v>358</v>
      </c>
      <c r="B208" s="116"/>
      <c r="C208" s="116"/>
      <c r="D208" s="218"/>
      <c r="E208" s="178"/>
      <c r="F208" s="178"/>
      <c r="G208" s="213" t="str">
        <f t="shared" si="14"/>
        <v/>
      </c>
      <c r="H208" s="117"/>
      <c r="I208" s="118" t="s">
        <v>18</v>
      </c>
      <c r="J208" s="119">
        <f>J209+J210+J211+J212+J213</f>
        <v>0</v>
      </c>
    </row>
    <row r="209" spans="1:10" x14ac:dyDescent="0.35">
      <c r="A209" s="103"/>
      <c r="B209" s="13" t="s">
        <v>11</v>
      </c>
      <c r="C209" s="298" t="s">
        <v>359</v>
      </c>
      <c r="D209" s="306"/>
      <c r="E209" s="300"/>
      <c r="F209" s="305"/>
      <c r="G209" s="307" t="str">
        <f t="shared" si="14"/>
        <v/>
      </c>
      <c r="H209" s="41" t="s">
        <v>52</v>
      </c>
      <c r="I209" s="334">
        <v>11.63</v>
      </c>
      <c r="J209" s="40">
        <f>E209*I209</f>
        <v>0</v>
      </c>
    </row>
    <row r="210" spans="1:10" x14ac:dyDescent="0.35">
      <c r="A210" s="103"/>
      <c r="B210" s="12" t="s">
        <v>11</v>
      </c>
      <c r="C210" s="10" t="s">
        <v>436</v>
      </c>
      <c r="D210" s="209"/>
      <c r="E210" s="170"/>
      <c r="F210" s="163"/>
      <c r="G210" s="210"/>
      <c r="H210" s="10" t="s">
        <v>52</v>
      </c>
      <c r="I210" s="331">
        <v>16.8</v>
      </c>
      <c r="J210" s="40">
        <f t="shared" ref="J210:J213" si="18">E210*I210</f>
        <v>0</v>
      </c>
    </row>
    <row r="211" spans="1:10" x14ac:dyDescent="0.35">
      <c r="A211" s="103"/>
      <c r="B211" s="12" t="s">
        <v>11</v>
      </c>
      <c r="C211" s="10" t="s">
        <v>437</v>
      </c>
      <c r="D211" s="209"/>
      <c r="E211" s="170"/>
      <c r="F211" s="163"/>
      <c r="G211" s="210"/>
      <c r="H211" s="10" t="s">
        <v>440</v>
      </c>
      <c r="I211" s="331">
        <v>9.35</v>
      </c>
      <c r="J211" s="40">
        <f>E211*I211</f>
        <v>0</v>
      </c>
    </row>
    <row r="212" spans="1:10" x14ac:dyDescent="0.35">
      <c r="A212" s="103"/>
      <c r="B212" s="12" t="s">
        <v>11</v>
      </c>
      <c r="C212" s="10" t="s">
        <v>438</v>
      </c>
      <c r="D212" s="209"/>
      <c r="E212" s="170"/>
      <c r="F212" s="163"/>
      <c r="G212" s="210"/>
      <c r="H212" s="10" t="s">
        <v>52</v>
      </c>
      <c r="I212" s="331">
        <v>87</v>
      </c>
      <c r="J212" s="40">
        <f t="shared" si="18"/>
        <v>0</v>
      </c>
    </row>
    <row r="213" spans="1:10" x14ac:dyDescent="0.35">
      <c r="A213" s="103"/>
      <c r="B213" s="12" t="s">
        <v>11</v>
      </c>
      <c r="C213" s="10" t="s">
        <v>439</v>
      </c>
      <c r="D213" s="209"/>
      <c r="E213" s="170"/>
      <c r="F213" s="163"/>
      <c r="G213" s="210"/>
      <c r="H213" s="10" t="s">
        <v>52</v>
      </c>
      <c r="I213" s="331">
        <v>55</v>
      </c>
      <c r="J213" s="40">
        <f t="shared" si="18"/>
        <v>0</v>
      </c>
    </row>
    <row r="214" spans="1:10" ht="15.5" x14ac:dyDescent="0.35">
      <c r="A214" s="108" t="s">
        <v>360</v>
      </c>
      <c r="B214" s="108"/>
      <c r="C214" s="108"/>
      <c r="D214" s="212"/>
      <c r="E214" s="162"/>
      <c r="F214" s="162"/>
      <c r="G214" s="313" t="str">
        <f t="shared" si="14"/>
        <v/>
      </c>
      <c r="H214" s="108"/>
      <c r="I214" s="106" t="s">
        <v>18</v>
      </c>
      <c r="J214" s="107">
        <f>SUM(J215:J216)</f>
        <v>0</v>
      </c>
    </row>
    <row r="215" spans="1:10" x14ac:dyDescent="0.35">
      <c r="A215" s="103"/>
      <c r="B215" s="12" t="s">
        <v>12</v>
      </c>
      <c r="C215" s="10" t="s">
        <v>70</v>
      </c>
      <c r="D215" s="209"/>
      <c r="E215" s="170"/>
      <c r="F215" s="163"/>
      <c r="G215" s="210" t="str">
        <f t="shared" si="14"/>
        <v/>
      </c>
      <c r="H215" s="10" t="s">
        <v>27</v>
      </c>
      <c r="I215" s="331">
        <v>20.7</v>
      </c>
      <c r="J215" s="12">
        <f>+E215*I215</f>
        <v>0</v>
      </c>
    </row>
    <row r="216" spans="1:10" x14ac:dyDescent="0.35">
      <c r="A216" s="103"/>
      <c r="B216" s="12" t="s">
        <v>12</v>
      </c>
      <c r="C216" s="10" t="s">
        <v>71</v>
      </c>
      <c r="D216" s="209"/>
      <c r="E216" s="170"/>
      <c r="F216" s="163"/>
      <c r="G216" s="210" t="str">
        <f t="shared" si="14"/>
        <v/>
      </c>
      <c r="H216" s="10" t="s">
        <v>27</v>
      </c>
      <c r="I216" s="331">
        <v>13.7</v>
      </c>
      <c r="J216" s="12">
        <f>+E216*I216</f>
        <v>0</v>
      </c>
    </row>
    <row r="217" spans="1:10" ht="15.5" x14ac:dyDescent="0.35">
      <c r="A217" s="108" t="s">
        <v>361</v>
      </c>
      <c r="B217" s="108"/>
      <c r="C217" s="108"/>
      <c r="D217" s="212"/>
      <c r="E217" s="162"/>
      <c r="F217" s="162"/>
      <c r="G217" s="213" t="str">
        <f t="shared" si="14"/>
        <v/>
      </c>
      <c r="H217" s="108"/>
      <c r="I217" s="106" t="s">
        <v>18</v>
      </c>
      <c r="J217" s="107">
        <f>SUM(J218:J221)</f>
        <v>0</v>
      </c>
    </row>
    <row r="218" spans="1:10" x14ac:dyDescent="0.35">
      <c r="A218" s="103"/>
      <c r="B218" s="12" t="s">
        <v>10</v>
      </c>
      <c r="C218" s="10" t="s">
        <v>362</v>
      </c>
      <c r="D218" s="209"/>
      <c r="E218" s="170"/>
      <c r="F218" s="163"/>
      <c r="G218" s="210" t="str">
        <f t="shared" si="14"/>
        <v/>
      </c>
      <c r="H218" s="10" t="s">
        <v>20</v>
      </c>
      <c r="I218" s="331">
        <v>11.08</v>
      </c>
      <c r="J218" s="12">
        <f>E218*I218</f>
        <v>0</v>
      </c>
    </row>
    <row r="219" spans="1:10" x14ac:dyDescent="0.35">
      <c r="A219" s="103"/>
      <c r="B219" s="12" t="s">
        <v>10</v>
      </c>
      <c r="C219" s="10" t="s">
        <v>363</v>
      </c>
      <c r="D219" s="209"/>
      <c r="E219" s="170"/>
      <c r="F219" s="163"/>
      <c r="G219" s="210" t="str">
        <f t="shared" si="14"/>
        <v/>
      </c>
      <c r="H219" s="10" t="s">
        <v>27</v>
      </c>
      <c r="I219" s="331">
        <v>16.21</v>
      </c>
      <c r="J219" s="12">
        <f>E219*I219</f>
        <v>0</v>
      </c>
    </row>
    <row r="220" spans="1:10" x14ac:dyDescent="0.35">
      <c r="A220" s="103"/>
      <c r="B220" s="12" t="s">
        <v>10</v>
      </c>
      <c r="C220" s="10" t="s">
        <v>364</v>
      </c>
      <c r="D220" s="209"/>
      <c r="E220" s="170"/>
      <c r="F220" s="163"/>
      <c r="G220" s="210" t="str">
        <f t="shared" si="14"/>
        <v/>
      </c>
      <c r="H220" s="10" t="s">
        <v>27</v>
      </c>
      <c r="I220" s="331">
        <v>19.350000000000001</v>
      </c>
      <c r="J220" s="12">
        <f>E220*I220</f>
        <v>0</v>
      </c>
    </row>
    <row r="221" spans="1:10" x14ac:dyDescent="0.35">
      <c r="A221" s="103"/>
      <c r="B221" s="12" t="s">
        <v>10</v>
      </c>
      <c r="C221" s="10" t="s">
        <v>365</v>
      </c>
      <c r="D221" s="209"/>
      <c r="E221" s="170"/>
      <c r="F221" s="163"/>
      <c r="G221" s="210" t="str">
        <f t="shared" si="14"/>
        <v/>
      </c>
      <c r="H221" s="10" t="s">
        <v>27</v>
      </c>
      <c r="I221" s="331">
        <v>19.809999999999999</v>
      </c>
      <c r="J221" s="12">
        <f>E221*I221</f>
        <v>0</v>
      </c>
    </row>
    <row r="222" spans="1:10" ht="15.5" x14ac:dyDescent="0.35">
      <c r="A222" s="108" t="s">
        <v>366</v>
      </c>
      <c r="B222" s="108"/>
      <c r="C222" s="108"/>
      <c r="D222" s="212"/>
      <c r="E222" s="162"/>
      <c r="F222" s="162"/>
      <c r="G222" s="213" t="str">
        <f t="shared" si="14"/>
        <v/>
      </c>
      <c r="H222" s="108"/>
      <c r="I222" s="106" t="s">
        <v>18</v>
      </c>
      <c r="J222" s="107">
        <f>J223</f>
        <v>0</v>
      </c>
    </row>
    <row r="223" spans="1:10" x14ac:dyDescent="0.35">
      <c r="A223" s="103"/>
      <c r="B223" s="12" t="s">
        <v>28</v>
      </c>
      <c r="C223" s="10" t="s">
        <v>29</v>
      </c>
      <c r="D223" s="209"/>
      <c r="E223" s="170"/>
      <c r="F223" s="206"/>
      <c r="G223" s="210" t="str">
        <f t="shared" si="14"/>
        <v/>
      </c>
      <c r="H223" s="10" t="s">
        <v>54</v>
      </c>
      <c r="I223" s="331">
        <v>104</v>
      </c>
      <c r="J223" s="12">
        <f>I223*E223</f>
        <v>0</v>
      </c>
    </row>
    <row r="224" spans="1:10" ht="15.5" x14ac:dyDescent="0.35">
      <c r="A224" s="108" t="s">
        <v>367</v>
      </c>
      <c r="B224" s="108"/>
      <c r="C224" s="108"/>
      <c r="D224" s="212"/>
      <c r="E224" s="162"/>
      <c r="F224" s="162"/>
      <c r="G224" s="213" t="str">
        <f t="shared" ref="G224:G259" si="19">IF(D224-E224&gt;0,D224-E224,"")</f>
        <v/>
      </c>
      <c r="H224" s="108"/>
      <c r="I224" s="106" t="s">
        <v>18</v>
      </c>
      <c r="J224" s="115">
        <f>SUM(J225:J244)</f>
        <v>0</v>
      </c>
    </row>
    <row r="225" spans="1:10" x14ac:dyDescent="0.35">
      <c r="A225" s="103"/>
      <c r="B225" s="12" t="s">
        <v>9</v>
      </c>
      <c r="C225" s="10" t="s">
        <v>423</v>
      </c>
      <c r="D225" s="209"/>
      <c r="E225" s="170"/>
      <c r="F225" s="163"/>
      <c r="G225" s="210" t="str">
        <f t="shared" si="19"/>
        <v/>
      </c>
      <c r="H225" s="10" t="s">
        <v>20</v>
      </c>
      <c r="I225" s="331">
        <v>78</v>
      </c>
      <c r="J225" s="50">
        <f t="shared" ref="J225:J244" si="20">E225*I225</f>
        <v>0</v>
      </c>
    </row>
    <row r="226" spans="1:10" x14ac:dyDescent="0.35">
      <c r="A226" s="103"/>
      <c r="B226" s="12" t="s">
        <v>9</v>
      </c>
      <c r="C226" s="10" t="s">
        <v>424</v>
      </c>
      <c r="D226" s="209"/>
      <c r="E226" s="170"/>
      <c r="F226" s="163"/>
      <c r="G226" s="210" t="str">
        <f t="shared" si="19"/>
        <v/>
      </c>
      <c r="H226" s="10" t="s">
        <v>61</v>
      </c>
      <c r="I226" s="340">
        <v>107.12</v>
      </c>
      <c r="J226" s="50">
        <f t="shared" si="20"/>
        <v>0</v>
      </c>
    </row>
    <row r="227" spans="1:10" x14ac:dyDescent="0.35">
      <c r="A227" s="103"/>
      <c r="B227" s="12" t="s">
        <v>9</v>
      </c>
      <c r="C227" s="10" t="s">
        <v>369</v>
      </c>
      <c r="D227" s="209"/>
      <c r="E227" s="170"/>
      <c r="F227" s="163"/>
      <c r="G227" s="210" t="str">
        <f t="shared" si="19"/>
        <v/>
      </c>
      <c r="H227" s="10" t="s">
        <v>20</v>
      </c>
      <c r="I227" s="331">
        <v>0.04</v>
      </c>
      <c r="J227" s="50">
        <f t="shared" si="20"/>
        <v>0</v>
      </c>
    </row>
    <row r="228" spans="1:10" x14ac:dyDescent="0.35">
      <c r="A228" s="103"/>
      <c r="B228" s="12" t="s">
        <v>9</v>
      </c>
      <c r="C228" s="10" t="s">
        <v>370</v>
      </c>
      <c r="D228" s="209"/>
      <c r="E228" s="170"/>
      <c r="F228" s="163"/>
      <c r="G228" s="210" t="str">
        <f t="shared" si="19"/>
        <v/>
      </c>
      <c r="H228" s="10" t="s">
        <v>20</v>
      </c>
      <c r="I228" s="331">
        <v>7.0999999999999994E-2</v>
      </c>
      <c r="J228" s="50">
        <f t="shared" si="20"/>
        <v>0</v>
      </c>
    </row>
    <row r="229" spans="1:10" x14ac:dyDescent="0.35">
      <c r="A229" s="103"/>
      <c r="B229" s="12" t="s">
        <v>9</v>
      </c>
      <c r="C229" s="10" t="s">
        <v>411</v>
      </c>
      <c r="D229" s="209"/>
      <c r="E229" s="170"/>
      <c r="F229" s="163"/>
      <c r="G229" s="210"/>
      <c r="H229" s="10" t="s">
        <v>20</v>
      </c>
      <c r="I229" s="331">
        <v>1.97</v>
      </c>
      <c r="J229" s="50"/>
    </row>
    <row r="230" spans="1:10" x14ac:dyDescent="0.35">
      <c r="A230" s="103"/>
      <c r="B230" s="12" t="s">
        <v>9</v>
      </c>
      <c r="C230" s="10" t="s">
        <v>371</v>
      </c>
      <c r="D230" s="209"/>
      <c r="E230" s="170"/>
      <c r="F230" s="163"/>
      <c r="G230" s="210" t="str">
        <f t="shared" si="19"/>
        <v/>
      </c>
      <c r="H230" s="10" t="s">
        <v>61</v>
      </c>
      <c r="I230" s="331">
        <v>163.80000000000001</v>
      </c>
      <c r="J230" s="50">
        <f t="shared" si="20"/>
        <v>0</v>
      </c>
    </row>
    <row r="231" spans="1:10" x14ac:dyDescent="0.35">
      <c r="A231" s="103"/>
      <c r="B231" s="12" t="s">
        <v>9</v>
      </c>
      <c r="C231" s="10" t="s">
        <v>410</v>
      </c>
      <c r="D231" s="209"/>
      <c r="E231" s="170"/>
      <c r="F231" s="207"/>
      <c r="G231" s="210" t="str">
        <f t="shared" si="19"/>
        <v/>
      </c>
      <c r="H231" s="10" t="s">
        <v>61</v>
      </c>
      <c r="I231" s="331">
        <v>49.33</v>
      </c>
      <c r="J231" s="50">
        <f t="shared" si="20"/>
        <v>0</v>
      </c>
    </row>
    <row r="232" spans="1:10" x14ac:dyDescent="0.35">
      <c r="A232" s="103"/>
      <c r="B232" s="12" t="s">
        <v>9</v>
      </c>
      <c r="C232" s="10" t="s">
        <v>373</v>
      </c>
      <c r="D232" s="209"/>
      <c r="E232" s="170"/>
      <c r="F232" s="208"/>
      <c r="G232" s="210" t="str">
        <f t="shared" si="19"/>
        <v/>
      </c>
      <c r="H232" s="10" t="s">
        <v>61</v>
      </c>
      <c r="I232" s="331">
        <v>105.6</v>
      </c>
      <c r="J232" s="50">
        <f t="shared" si="20"/>
        <v>0</v>
      </c>
    </row>
    <row r="233" spans="1:10" x14ac:dyDescent="0.35">
      <c r="A233" s="103"/>
      <c r="B233" s="12" t="s">
        <v>9</v>
      </c>
      <c r="C233" s="10" t="s">
        <v>374</v>
      </c>
      <c r="D233" s="209"/>
      <c r="E233" s="170"/>
      <c r="F233" s="208"/>
      <c r="G233" s="210" t="str">
        <f t="shared" si="19"/>
        <v/>
      </c>
      <c r="H233" s="10" t="s">
        <v>61</v>
      </c>
      <c r="I233" s="331">
        <v>114.75</v>
      </c>
      <c r="J233" s="50">
        <f t="shared" si="20"/>
        <v>0</v>
      </c>
    </row>
    <row r="234" spans="1:10" x14ac:dyDescent="0.35">
      <c r="A234" s="103"/>
      <c r="B234" s="12" t="s">
        <v>9</v>
      </c>
      <c r="C234" s="10" t="s">
        <v>375</v>
      </c>
      <c r="D234" s="209"/>
      <c r="E234" s="170"/>
      <c r="F234" s="163"/>
      <c r="G234" s="210" t="str">
        <f t="shared" si="19"/>
        <v/>
      </c>
      <c r="H234" s="10" t="s">
        <v>61</v>
      </c>
      <c r="I234" s="331">
        <v>105.55</v>
      </c>
      <c r="J234" s="50">
        <f t="shared" si="20"/>
        <v>0</v>
      </c>
    </row>
    <row r="235" spans="1:10" x14ac:dyDescent="0.35">
      <c r="A235" s="103"/>
      <c r="B235" s="12" t="s">
        <v>9</v>
      </c>
      <c r="C235" s="10" t="s">
        <v>376</v>
      </c>
      <c r="D235" s="209"/>
      <c r="E235" s="170"/>
      <c r="F235" s="163"/>
      <c r="G235" s="210" t="str">
        <f t="shared" si="19"/>
        <v/>
      </c>
      <c r="H235" s="10" t="s">
        <v>61</v>
      </c>
      <c r="I235" s="331">
        <v>33.25</v>
      </c>
      <c r="J235" s="50">
        <f t="shared" si="20"/>
        <v>0</v>
      </c>
    </row>
    <row r="236" spans="1:10" x14ac:dyDescent="0.35">
      <c r="A236" s="103"/>
      <c r="B236" s="12" t="s">
        <v>9</v>
      </c>
      <c r="C236" s="10" t="s">
        <v>377</v>
      </c>
      <c r="D236" s="209"/>
      <c r="E236" s="170"/>
      <c r="F236" s="163"/>
      <c r="G236" s="210" t="str">
        <f t="shared" si="19"/>
        <v/>
      </c>
      <c r="H236" s="10" t="s">
        <v>20</v>
      </c>
      <c r="I236" s="331">
        <v>0.28999999999999998</v>
      </c>
      <c r="J236" s="50">
        <f t="shared" si="20"/>
        <v>0</v>
      </c>
    </row>
    <row r="237" spans="1:10" x14ac:dyDescent="0.35">
      <c r="A237" s="103"/>
      <c r="B237" s="12" t="s">
        <v>9</v>
      </c>
      <c r="C237" s="10" t="s">
        <v>378</v>
      </c>
      <c r="D237" s="209"/>
      <c r="E237" s="170"/>
      <c r="F237" s="163"/>
      <c r="G237" s="210" t="str">
        <f t="shared" si="19"/>
        <v/>
      </c>
      <c r="H237" s="10" t="s">
        <v>61</v>
      </c>
      <c r="I237" s="336">
        <v>37.85</v>
      </c>
      <c r="J237" s="50">
        <f t="shared" si="20"/>
        <v>0</v>
      </c>
    </row>
    <row r="238" spans="1:10" x14ac:dyDescent="0.35">
      <c r="A238" s="103"/>
      <c r="B238" s="12" t="s">
        <v>9</v>
      </c>
      <c r="C238" s="10" t="s">
        <v>425</v>
      </c>
      <c r="D238" s="209"/>
      <c r="E238" s="170"/>
      <c r="F238" s="163"/>
      <c r="G238" s="210" t="str">
        <f t="shared" si="19"/>
        <v/>
      </c>
      <c r="H238" s="10" t="s">
        <v>61</v>
      </c>
      <c r="I238" s="336">
        <v>111.47</v>
      </c>
      <c r="J238" s="50">
        <f t="shared" si="20"/>
        <v>0</v>
      </c>
    </row>
    <row r="239" spans="1:10" x14ac:dyDescent="0.35">
      <c r="A239" s="103"/>
      <c r="B239" s="12" t="s">
        <v>9</v>
      </c>
      <c r="C239" s="10" t="s">
        <v>379</v>
      </c>
      <c r="D239" s="209"/>
      <c r="E239" s="170"/>
      <c r="F239" s="163"/>
      <c r="G239" s="210" t="str">
        <f t="shared" si="19"/>
        <v/>
      </c>
      <c r="H239" s="10" t="s">
        <v>61</v>
      </c>
      <c r="I239" s="336">
        <v>174.97</v>
      </c>
      <c r="J239" s="50">
        <f t="shared" si="20"/>
        <v>0</v>
      </c>
    </row>
    <row r="240" spans="1:10" x14ac:dyDescent="0.35">
      <c r="A240" s="103"/>
      <c r="B240" s="12" t="s">
        <v>9</v>
      </c>
      <c r="C240" s="10" t="s">
        <v>380</v>
      </c>
      <c r="D240" s="209"/>
      <c r="E240" s="170"/>
      <c r="F240" s="163"/>
      <c r="G240" s="210" t="str">
        <f t="shared" si="19"/>
        <v/>
      </c>
      <c r="H240" s="10" t="s">
        <v>61</v>
      </c>
      <c r="I240" s="336">
        <v>44.93</v>
      </c>
      <c r="J240" s="50">
        <f t="shared" si="20"/>
        <v>0</v>
      </c>
    </row>
    <row r="241" spans="1:10" x14ac:dyDescent="0.35">
      <c r="A241" s="103"/>
      <c r="B241" s="12" t="s">
        <v>9</v>
      </c>
      <c r="C241" s="10" t="s">
        <v>426</v>
      </c>
      <c r="D241" s="209"/>
      <c r="E241" s="170"/>
      <c r="F241" s="163"/>
      <c r="G241" s="210" t="str">
        <f t="shared" si="19"/>
        <v/>
      </c>
      <c r="H241" s="10" t="s">
        <v>20</v>
      </c>
      <c r="I241" s="336">
        <v>29.2</v>
      </c>
      <c r="J241" s="50">
        <f t="shared" si="20"/>
        <v>0</v>
      </c>
    </row>
    <row r="242" spans="1:10" x14ac:dyDescent="0.35">
      <c r="A242" s="103"/>
      <c r="B242" s="12" t="s">
        <v>9</v>
      </c>
      <c r="C242" s="10" t="s">
        <v>427</v>
      </c>
      <c r="D242" s="209"/>
      <c r="E242" s="170"/>
      <c r="F242" s="163"/>
      <c r="G242" s="210" t="str">
        <f t="shared" si="19"/>
        <v/>
      </c>
      <c r="H242" s="10" t="s">
        <v>20</v>
      </c>
      <c r="I242" s="336">
        <v>19.03</v>
      </c>
      <c r="J242" s="50">
        <f t="shared" si="20"/>
        <v>0</v>
      </c>
    </row>
    <row r="243" spans="1:10" x14ac:dyDescent="0.35">
      <c r="A243" s="103"/>
      <c r="B243" s="12" t="s">
        <v>9</v>
      </c>
      <c r="C243" s="10" t="s">
        <v>428</v>
      </c>
      <c r="D243" s="209"/>
      <c r="E243" s="170"/>
      <c r="F243" s="163"/>
      <c r="G243" s="210" t="str">
        <f t="shared" si="19"/>
        <v/>
      </c>
      <c r="H243" s="10" t="s">
        <v>20</v>
      </c>
      <c r="I243" s="336">
        <v>8.4600000000000009</v>
      </c>
      <c r="J243" s="50">
        <f t="shared" si="20"/>
        <v>0</v>
      </c>
    </row>
    <row r="244" spans="1:10" x14ac:dyDescent="0.35">
      <c r="A244" s="103"/>
      <c r="B244" s="12" t="s">
        <v>9</v>
      </c>
      <c r="C244" s="10" t="s">
        <v>381</v>
      </c>
      <c r="D244" s="209"/>
      <c r="E244" s="170"/>
      <c r="F244" s="163"/>
      <c r="G244" s="210" t="str">
        <f t="shared" si="19"/>
        <v/>
      </c>
      <c r="H244" s="10" t="s">
        <v>20</v>
      </c>
      <c r="I244" s="336">
        <v>0.02</v>
      </c>
      <c r="J244" s="50">
        <f t="shared" si="20"/>
        <v>0</v>
      </c>
    </row>
    <row r="245" spans="1:10" ht="15.5" x14ac:dyDescent="0.35">
      <c r="A245" s="108" t="s">
        <v>382</v>
      </c>
      <c r="B245" s="108"/>
      <c r="C245" s="108"/>
      <c r="D245" s="212"/>
      <c r="E245" s="162"/>
      <c r="F245" s="162"/>
      <c r="G245" s="213" t="str">
        <f t="shared" si="19"/>
        <v/>
      </c>
      <c r="H245" s="108"/>
      <c r="I245" s="106" t="s">
        <v>18</v>
      </c>
      <c r="J245" s="107">
        <f>SUM(J246:J256)</f>
        <v>0</v>
      </c>
    </row>
    <row r="246" spans="1:10" x14ac:dyDescent="0.35">
      <c r="A246" s="103"/>
      <c r="B246" s="12" t="s">
        <v>31</v>
      </c>
      <c r="C246" s="10" t="s">
        <v>383</v>
      </c>
      <c r="D246" s="209"/>
      <c r="E246" s="170"/>
      <c r="F246" s="163"/>
      <c r="G246" s="210" t="str">
        <f t="shared" si="19"/>
        <v/>
      </c>
      <c r="H246" s="10" t="s">
        <v>20</v>
      </c>
      <c r="I246" s="331">
        <v>5.5</v>
      </c>
      <c r="J246" s="12">
        <f t="shared" ref="J246:J256" si="21">E246*I246</f>
        <v>0</v>
      </c>
    </row>
    <row r="247" spans="1:10" x14ac:dyDescent="0.35">
      <c r="A247" s="103"/>
      <c r="B247" s="12" t="s">
        <v>31</v>
      </c>
      <c r="C247" s="10" t="s">
        <v>39</v>
      </c>
      <c r="D247" s="209"/>
      <c r="E247" s="170"/>
      <c r="F247" s="163"/>
      <c r="G247" s="210" t="str">
        <f t="shared" si="19"/>
        <v/>
      </c>
      <c r="H247" s="10" t="s">
        <v>20</v>
      </c>
      <c r="I247" s="331">
        <v>4.55</v>
      </c>
      <c r="J247" s="12">
        <f t="shared" si="21"/>
        <v>0</v>
      </c>
    </row>
    <row r="248" spans="1:10" x14ac:dyDescent="0.35">
      <c r="A248" s="103"/>
      <c r="B248" s="12" t="s">
        <v>31</v>
      </c>
      <c r="C248" s="10" t="s">
        <v>422</v>
      </c>
      <c r="D248" s="209"/>
      <c r="E248" s="170"/>
      <c r="F248" s="163"/>
      <c r="G248" s="210" t="str">
        <f t="shared" si="19"/>
        <v/>
      </c>
      <c r="H248" s="10" t="s">
        <v>20</v>
      </c>
      <c r="I248" s="331">
        <v>3.7</v>
      </c>
      <c r="J248" s="12">
        <f t="shared" si="21"/>
        <v>0</v>
      </c>
    </row>
    <row r="249" spans="1:10" x14ac:dyDescent="0.35">
      <c r="A249" s="103"/>
      <c r="B249" s="12" t="s">
        <v>31</v>
      </c>
      <c r="C249" s="10" t="s">
        <v>67</v>
      </c>
      <c r="D249" s="209"/>
      <c r="E249" s="170"/>
      <c r="F249" s="163"/>
      <c r="G249" s="210" t="str">
        <f t="shared" si="19"/>
        <v/>
      </c>
      <c r="H249" s="10" t="s">
        <v>20</v>
      </c>
      <c r="I249" s="331">
        <v>15.56</v>
      </c>
      <c r="J249" s="12">
        <f t="shared" si="21"/>
        <v>0</v>
      </c>
    </row>
    <row r="250" spans="1:10" x14ac:dyDescent="0.35">
      <c r="A250" s="103"/>
      <c r="B250" s="12" t="s">
        <v>31</v>
      </c>
      <c r="C250" s="10" t="s">
        <v>384</v>
      </c>
      <c r="D250" s="209"/>
      <c r="E250" s="170"/>
      <c r="F250" s="163"/>
      <c r="G250" s="210" t="str">
        <f t="shared" si="19"/>
        <v/>
      </c>
      <c r="H250" s="10" t="s">
        <v>20</v>
      </c>
      <c r="I250" s="331">
        <v>0.8</v>
      </c>
      <c r="J250" s="12">
        <f t="shared" si="21"/>
        <v>0</v>
      </c>
    </row>
    <row r="251" spans="1:10" x14ac:dyDescent="0.35">
      <c r="A251" s="103"/>
      <c r="B251" s="12" t="s">
        <v>31</v>
      </c>
      <c r="C251" s="10" t="s">
        <v>385</v>
      </c>
      <c r="D251" s="209"/>
      <c r="E251" s="170"/>
      <c r="F251" s="163"/>
      <c r="G251" s="210" t="str">
        <f t="shared" si="19"/>
        <v/>
      </c>
      <c r="H251" s="10" t="s">
        <v>20</v>
      </c>
      <c r="I251" s="331">
        <v>1.83</v>
      </c>
      <c r="J251" s="12">
        <f t="shared" si="21"/>
        <v>0</v>
      </c>
    </row>
    <row r="252" spans="1:10" x14ac:dyDescent="0.35">
      <c r="A252" s="103"/>
      <c r="B252" s="12" t="s">
        <v>31</v>
      </c>
      <c r="C252" s="10" t="s">
        <v>386</v>
      </c>
      <c r="D252" s="209"/>
      <c r="E252" s="170"/>
      <c r="F252" s="163"/>
      <c r="G252" s="210" t="str">
        <f t="shared" si="19"/>
        <v/>
      </c>
      <c r="H252" s="10" t="s">
        <v>20</v>
      </c>
      <c r="I252" s="331">
        <v>2.65</v>
      </c>
      <c r="J252" s="12">
        <f t="shared" si="21"/>
        <v>0</v>
      </c>
    </row>
    <row r="253" spans="1:10" x14ac:dyDescent="0.35">
      <c r="A253" s="103"/>
      <c r="B253" s="12" t="s">
        <v>31</v>
      </c>
      <c r="C253" s="10" t="s">
        <v>65</v>
      </c>
      <c r="D253" s="209"/>
      <c r="E253" s="170"/>
      <c r="F253" s="163"/>
      <c r="G253" s="210" t="str">
        <f t="shared" si="19"/>
        <v/>
      </c>
      <c r="H253" s="10" t="s">
        <v>20</v>
      </c>
      <c r="I253" s="331">
        <v>13.43</v>
      </c>
      <c r="J253" s="12">
        <f t="shared" si="21"/>
        <v>0</v>
      </c>
    </row>
    <row r="254" spans="1:10" x14ac:dyDescent="0.35">
      <c r="A254" s="103"/>
      <c r="B254" s="12" t="s">
        <v>31</v>
      </c>
      <c r="C254" s="10" t="s">
        <v>66</v>
      </c>
      <c r="D254" s="209"/>
      <c r="E254" s="170"/>
      <c r="F254" s="163"/>
      <c r="G254" s="210" t="str">
        <f t="shared" si="19"/>
        <v/>
      </c>
      <c r="H254" s="10" t="s">
        <v>20</v>
      </c>
      <c r="I254" s="331">
        <v>75.38</v>
      </c>
      <c r="J254" s="12">
        <f t="shared" si="21"/>
        <v>0</v>
      </c>
    </row>
    <row r="255" spans="1:10" x14ac:dyDescent="0.35">
      <c r="A255" s="103"/>
      <c r="B255" s="12" t="s">
        <v>31</v>
      </c>
      <c r="C255" s="10" t="s">
        <v>412</v>
      </c>
      <c r="D255" s="209"/>
      <c r="E255" s="170"/>
      <c r="F255" s="163"/>
      <c r="G255" s="210" t="str">
        <f t="shared" si="19"/>
        <v/>
      </c>
      <c r="H255" s="10" t="s">
        <v>20</v>
      </c>
      <c r="I255" s="331">
        <v>8.43</v>
      </c>
      <c r="J255" s="12">
        <f t="shared" si="21"/>
        <v>0</v>
      </c>
    </row>
    <row r="256" spans="1:10" x14ac:dyDescent="0.35">
      <c r="A256" s="103"/>
      <c r="B256" s="12" t="s">
        <v>31</v>
      </c>
      <c r="C256" s="10" t="s">
        <v>69</v>
      </c>
      <c r="D256" s="209"/>
      <c r="E256" s="170"/>
      <c r="F256" s="163"/>
      <c r="G256" s="210" t="str">
        <f t="shared" si="19"/>
        <v/>
      </c>
      <c r="H256" s="10" t="s">
        <v>63</v>
      </c>
      <c r="I256" s="331">
        <v>3.5</v>
      </c>
      <c r="J256" s="12">
        <f t="shared" si="21"/>
        <v>0</v>
      </c>
    </row>
    <row r="257" spans="1:10" ht="15.5" x14ac:dyDescent="0.35">
      <c r="A257" s="108" t="s">
        <v>57</v>
      </c>
      <c r="B257" s="108"/>
      <c r="C257" s="108"/>
      <c r="D257" s="212"/>
      <c r="E257" s="162"/>
      <c r="F257" s="162"/>
      <c r="G257" s="213"/>
      <c r="H257" s="108"/>
      <c r="I257" s="106" t="s">
        <v>18</v>
      </c>
      <c r="J257" s="107">
        <f>SUM(J258:J259)</f>
        <v>0</v>
      </c>
    </row>
    <row r="258" spans="1:10" x14ac:dyDescent="0.35">
      <c r="A258" s="103"/>
      <c r="B258" s="12" t="s">
        <v>56</v>
      </c>
      <c r="C258" s="10" t="s">
        <v>58</v>
      </c>
      <c r="D258" s="209"/>
      <c r="E258" s="170"/>
      <c r="F258" s="163"/>
      <c r="G258" s="210" t="str">
        <f t="shared" si="19"/>
        <v/>
      </c>
      <c r="H258" s="10" t="s">
        <v>20</v>
      </c>
      <c r="I258" s="331">
        <v>54.05</v>
      </c>
      <c r="J258" s="12">
        <f>E258*I258</f>
        <v>0</v>
      </c>
    </row>
    <row r="259" spans="1:10" x14ac:dyDescent="0.35">
      <c r="A259" s="103"/>
      <c r="B259" s="12" t="s">
        <v>56</v>
      </c>
      <c r="C259" s="10" t="s">
        <v>388</v>
      </c>
      <c r="D259" s="209"/>
      <c r="E259" s="170"/>
      <c r="F259" s="163"/>
      <c r="G259" s="210" t="str">
        <f t="shared" si="19"/>
        <v/>
      </c>
      <c r="H259" s="10" t="s">
        <v>20</v>
      </c>
      <c r="I259" s="331">
        <v>0</v>
      </c>
      <c r="J259" s="12">
        <f>E259*I259</f>
        <v>0</v>
      </c>
    </row>
  </sheetData>
  <mergeCells count="3">
    <mergeCell ref="B1:C1"/>
    <mergeCell ref="B2:C2"/>
    <mergeCell ref="K44:L44"/>
  </mergeCells>
  <pageMargins left="0.7" right="0.7" top="0.75" bottom="0.75" header="0.3" footer="0.3"/>
  <pageSetup paperSize="9" scale="73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A75BC-31ED-6541-8188-83BECAC202BE}">
  <sheetPr codeName="Feuil6">
    <tabColor theme="8" tint="0.39997558519241921"/>
    <pageSetUpPr fitToPage="1"/>
  </sheetPr>
  <dimension ref="A1:N259"/>
  <sheetViews>
    <sheetView topLeftCell="A20" zoomScaleNormal="100" workbookViewId="0">
      <selection activeCell="J209" sqref="J209"/>
    </sheetView>
  </sheetViews>
  <sheetFormatPr baseColWidth="10" defaultColWidth="8.453125" defaultRowHeight="14.5" x14ac:dyDescent="0.35"/>
  <cols>
    <col min="1" max="1" width="2.54296875" customWidth="1"/>
    <col min="2" max="2" width="32.26953125" customWidth="1"/>
    <col min="3" max="3" width="44.54296875" bestFit="1" customWidth="1"/>
    <col min="4" max="4" width="18.453125" bestFit="1" customWidth="1"/>
    <col min="5" max="5" width="18.453125" style="34" bestFit="1" customWidth="1"/>
    <col min="6" max="6" width="18.26953125" hidden="1" customWidth="1"/>
    <col min="7" max="7" width="14" bestFit="1" customWidth="1"/>
    <col min="8" max="8" width="6.81640625" bestFit="1" customWidth="1"/>
    <col min="9" max="9" width="8.453125" style="86" bestFit="1" customWidth="1"/>
    <col min="10" max="10" width="7.1796875" customWidth="1"/>
  </cols>
  <sheetData>
    <row r="1" spans="2:7" ht="15" thickBot="1" x14ac:dyDescent="0.4">
      <c r="B1" s="321" t="s">
        <v>198</v>
      </c>
      <c r="C1" s="322"/>
      <c r="F1" s="89"/>
      <c r="G1" s="89"/>
    </row>
    <row r="2" spans="2:7" ht="15" thickBot="1" x14ac:dyDescent="0.4">
      <c r="B2" s="319"/>
      <c r="C2" s="320"/>
      <c r="F2" s="90"/>
      <c r="G2" s="90"/>
    </row>
    <row r="3" spans="2:7" x14ac:dyDescent="0.35">
      <c r="B3" s="75"/>
      <c r="C3" s="75"/>
      <c r="F3" s="75"/>
      <c r="G3" s="75"/>
    </row>
    <row r="4" spans="2:7" ht="15.5" x14ac:dyDescent="0.35">
      <c r="B4" s="70" t="s">
        <v>0</v>
      </c>
      <c r="C4" s="70" t="s">
        <v>1</v>
      </c>
      <c r="F4" s="91"/>
      <c r="G4" s="91"/>
    </row>
    <row r="5" spans="2:7" x14ac:dyDescent="0.35">
      <c r="B5" s="71" t="s">
        <v>2</v>
      </c>
      <c r="C5" s="72">
        <f>J23</f>
        <v>4286.5</v>
      </c>
      <c r="F5" s="92"/>
      <c r="G5" s="92"/>
    </row>
    <row r="6" spans="2:7" x14ac:dyDescent="0.35">
      <c r="B6" s="71" t="s">
        <v>7</v>
      </c>
      <c r="C6" s="72">
        <f>J4</f>
        <v>0</v>
      </c>
      <c r="F6" s="92"/>
      <c r="G6" s="92"/>
    </row>
    <row r="7" spans="2:7" x14ac:dyDescent="0.35">
      <c r="B7" s="71" t="s">
        <v>13</v>
      </c>
      <c r="C7" s="72">
        <f>J50</f>
        <v>200.3</v>
      </c>
      <c r="F7" s="92"/>
      <c r="G7" s="92"/>
    </row>
    <row r="8" spans="2:7" x14ac:dyDescent="0.35">
      <c r="B8" s="71" t="s">
        <v>3</v>
      </c>
      <c r="C8" s="72">
        <f>J78</f>
        <v>0</v>
      </c>
      <c r="F8" s="92"/>
      <c r="G8" s="92"/>
    </row>
    <row r="9" spans="2:7" x14ac:dyDescent="0.35">
      <c r="B9" s="71" t="s">
        <v>4</v>
      </c>
      <c r="C9" s="72">
        <f>J122</f>
        <v>534.25999999999988</v>
      </c>
      <c r="F9" s="92"/>
      <c r="G9" s="92"/>
    </row>
    <row r="10" spans="2:7" x14ac:dyDescent="0.35">
      <c r="B10" s="71" t="s">
        <v>199</v>
      </c>
      <c r="C10" s="72">
        <f>J176</f>
        <v>0</v>
      </c>
      <c r="F10" s="92"/>
      <c r="G10" s="92"/>
    </row>
    <row r="11" spans="2:7" x14ac:dyDescent="0.35">
      <c r="B11" s="71" t="s">
        <v>200</v>
      </c>
      <c r="C11" s="72">
        <f>J187</f>
        <v>215.27999999999997</v>
      </c>
      <c r="F11" s="92"/>
      <c r="G11" s="92"/>
    </row>
    <row r="12" spans="2:7" x14ac:dyDescent="0.35">
      <c r="B12" s="71" t="s">
        <v>201</v>
      </c>
      <c r="C12" s="72">
        <f>J193</f>
        <v>0</v>
      </c>
      <c r="F12" s="92"/>
      <c r="G12" s="92"/>
    </row>
    <row r="13" spans="2:7" x14ac:dyDescent="0.35">
      <c r="B13" s="71" t="s">
        <v>202</v>
      </c>
      <c r="C13" s="72">
        <f>J195</f>
        <v>0</v>
      </c>
      <c r="F13" s="92"/>
      <c r="G13" s="92"/>
    </row>
    <row r="14" spans="2:7" x14ac:dyDescent="0.35">
      <c r="B14" s="71" t="s">
        <v>203</v>
      </c>
      <c r="C14" s="72">
        <f>J208</f>
        <v>0</v>
      </c>
      <c r="F14" s="92"/>
      <c r="G14" s="92"/>
    </row>
    <row r="15" spans="2:7" x14ac:dyDescent="0.35">
      <c r="B15" s="71" t="s">
        <v>12</v>
      </c>
      <c r="C15" s="72">
        <f>J214</f>
        <v>0</v>
      </c>
      <c r="F15" s="92"/>
      <c r="G15" s="92"/>
    </row>
    <row r="16" spans="2:7" x14ac:dyDescent="0.35">
      <c r="B16" s="71" t="s">
        <v>204</v>
      </c>
      <c r="C16" s="72">
        <f>J222</f>
        <v>0</v>
      </c>
      <c r="F16" s="92"/>
      <c r="G16" s="92"/>
    </row>
    <row r="17" spans="1:11" x14ac:dyDescent="0.35">
      <c r="B17" s="71" t="s">
        <v>9</v>
      </c>
      <c r="C17" s="72">
        <f>J224</f>
        <v>107.12</v>
      </c>
      <c r="F17" s="92"/>
      <c r="G17" s="92"/>
    </row>
    <row r="18" spans="1:11" x14ac:dyDescent="0.35">
      <c r="B18" s="71" t="s">
        <v>205</v>
      </c>
      <c r="C18" s="72">
        <f>J245</f>
        <v>10.9</v>
      </c>
      <c r="F18" s="92"/>
      <c r="G18" s="92"/>
    </row>
    <row r="19" spans="1:11" x14ac:dyDescent="0.35">
      <c r="B19" s="71" t="s">
        <v>56</v>
      </c>
      <c r="C19" s="72">
        <f>J257</f>
        <v>0</v>
      </c>
      <c r="F19" s="92"/>
      <c r="G19" s="92"/>
    </row>
    <row r="20" spans="1:11" x14ac:dyDescent="0.35">
      <c r="B20" s="73" t="s">
        <v>14</v>
      </c>
      <c r="C20" s="74">
        <f>C5+C6+C7+C8+C9+C10+C11+C12+C13+C14+C15+C16+C17+C18+C19</f>
        <v>5354.36</v>
      </c>
      <c r="F20" s="93"/>
      <c r="G20" s="93"/>
    </row>
    <row r="21" spans="1:11" ht="18.75" customHeight="1" x14ac:dyDescent="0.45">
      <c r="A21" s="76" t="s">
        <v>207</v>
      </c>
      <c r="B21" s="76"/>
      <c r="C21" s="76"/>
      <c r="D21" s="76"/>
      <c r="E21" s="167"/>
      <c r="F21" s="76"/>
      <c r="G21" s="76"/>
      <c r="H21" s="76"/>
      <c r="I21" s="262"/>
      <c r="J21" s="76"/>
    </row>
    <row r="22" spans="1:11" ht="14.25" customHeight="1" x14ac:dyDescent="0.35">
      <c r="A22" s="129"/>
      <c r="B22" s="129" t="s">
        <v>15</v>
      </c>
      <c r="C22" s="129" t="s">
        <v>16</v>
      </c>
      <c r="D22" s="130" t="s">
        <v>398</v>
      </c>
      <c r="E22" s="168" t="s">
        <v>401</v>
      </c>
      <c r="F22" s="130" t="s">
        <v>399</v>
      </c>
      <c r="G22" s="164" t="s">
        <v>400</v>
      </c>
      <c r="H22" s="132" t="s">
        <v>406</v>
      </c>
      <c r="I22" s="341" t="s">
        <v>45</v>
      </c>
      <c r="J22" s="132" t="s">
        <v>402</v>
      </c>
    </row>
    <row r="23" spans="1:11" s="6" customFormat="1" ht="15.5" x14ac:dyDescent="0.35">
      <c r="A23" s="108" t="s">
        <v>208</v>
      </c>
      <c r="B23" s="108"/>
      <c r="C23" s="108"/>
      <c r="D23" s="108"/>
      <c r="E23" s="169" t="s">
        <v>421</v>
      </c>
      <c r="F23" s="108"/>
      <c r="G23" s="108"/>
      <c r="H23" s="108"/>
      <c r="I23" s="110" t="s">
        <v>18</v>
      </c>
      <c r="J23" s="107">
        <f>SUM(J24:J40)</f>
        <v>4286.5</v>
      </c>
    </row>
    <row r="24" spans="1:11" x14ac:dyDescent="0.35">
      <c r="A24" s="103"/>
      <c r="B24" s="7" t="s">
        <v>2</v>
      </c>
      <c r="C24" s="14" t="s">
        <v>19</v>
      </c>
      <c r="D24" s="152">
        <v>2</v>
      </c>
      <c r="E24" s="170">
        <v>4</v>
      </c>
      <c r="F24" s="95"/>
      <c r="G24" s="153" t="str">
        <f>IF(E24="","",IF(D24-E24&gt;0,D24-E24,""))</f>
        <v/>
      </c>
      <c r="H24" s="10" t="s">
        <v>20</v>
      </c>
      <c r="I24" s="331">
        <v>55.95</v>
      </c>
      <c r="J24" s="12">
        <f t="shared" ref="J24:J40" si="0">E24*I24</f>
        <v>223.8</v>
      </c>
      <c r="K24" s="13"/>
    </row>
    <row r="25" spans="1:11" hidden="1" x14ac:dyDescent="0.35">
      <c r="A25" s="103"/>
      <c r="B25" s="7" t="s">
        <v>2</v>
      </c>
      <c r="C25" s="14" t="s">
        <v>209</v>
      </c>
      <c r="D25" s="152"/>
      <c r="E25" s="170"/>
      <c r="F25" s="95"/>
      <c r="G25" s="153" t="str">
        <f t="shared" ref="G25:G88" si="1">IF(E25="","",IF(D25-E25&gt;0,D25-E25,""))</f>
        <v/>
      </c>
      <c r="H25" s="10" t="s">
        <v>20</v>
      </c>
      <c r="I25" s="331">
        <v>173.1</v>
      </c>
      <c r="J25" s="12">
        <f t="shared" si="0"/>
        <v>0</v>
      </c>
      <c r="K25" s="13"/>
    </row>
    <row r="26" spans="1:11" x14ac:dyDescent="0.35">
      <c r="A26" s="103"/>
      <c r="B26" s="12" t="s">
        <v>2</v>
      </c>
      <c r="C26" s="10" t="s">
        <v>21</v>
      </c>
      <c r="D26" s="152">
        <v>15</v>
      </c>
      <c r="E26" s="170">
        <v>46</v>
      </c>
      <c r="F26" s="95"/>
      <c r="G26" s="153" t="str">
        <f t="shared" si="1"/>
        <v/>
      </c>
      <c r="H26" s="10" t="s">
        <v>20</v>
      </c>
      <c r="I26" s="331">
        <v>75.400000000000006</v>
      </c>
      <c r="J26" s="12">
        <f t="shared" si="0"/>
        <v>3468.4</v>
      </c>
      <c r="K26" s="13"/>
    </row>
    <row r="27" spans="1:11" ht="14.5" customHeight="1" x14ac:dyDescent="0.35">
      <c r="A27" s="103"/>
      <c r="B27" s="12" t="s">
        <v>2</v>
      </c>
      <c r="C27" s="10" t="s">
        <v>210</v>
      </c>
      <c r="D27" s="152">
        <v>15</v>
      </c>
      <c r="E27" s="170">
        <v>7</v>
      </c>
      <c r="F27" s="95"/>
      <c r="G27" s="153">
        <f t="shared" si="1"/>
        <v>8</v>
      </c>
      <c r="H27" s="10" t="s">
        <v>20</v>
      </c>
      <c r="I27" s="331">
        <v>84.9</v>
      </c>
      <c r="J27" s="12">
        <f t="shared" si="0"/>
        <v>594.30000000000007</v>
      </c>
      <c r="K27" s="13"/>
    </row>
    <row r="28" spans="1:11" ht="14.5" hidden="1" customHeight="1" x14ac:dyDescent="0.35">
      <c r="A28" s="103"/>
      <c r="B28" s="12" t="s">
        <v>2</v>
      </c>
      <c r="C28" s="10" t="s">
        <v>211</v>
      </c>
      <c r="D28" s="152"/>
      <c r="E28" s="170"/>
      <c r="F28" s="95"/>
      <c r="G28" s="153" t="str">
        <f t="shared" si="1"/>
        <v/>
      </c>
      <c r="H28" s="10" t="s">
        <v>20</v>
      </c>
      <c r="I28" s="331">
        <v>2.96</v>
      </c>
      <c r="J28" s="12">
        <f t="shared" si="0"/>
        <v>0</v>
      </c>
      <c r="K28" s="13"/>
    </row>
    <row r="29" spans="1:11" ht="14.5" hidden="1" customHeight="1" x14ac:dyDescent="0.35">
      <c r="A29" s="103"/>
      <c r="B29" s="12" t="s">
        <v>2</v>
      </c>
      <c r="C29" s="10" t="s">
        <v>212</v>
      </c>
      <c r="D29" s="152"/>
      <c r="E29" s="170"/>
      <c r="F29" s="95"/>
      <c r="G29" s="153" t="str">
        <f t="shared" si="1"/>
        <v/>
      </c>
      <c r="H29" s="10" t="s">
        <v>20</v>
      </c>
      <c r="I29" s="331">
        <v>2.96</v>
      </c>
      <c r="J29" s="12">
        <f t="shared" si="0"/>
        <v>0</v>
      </c>
      <c r="K29" s="13"/>
    </row>
    <row r="30" spans="1:11" hidden="1" x14ac:dyDescent="0.35">
      <c r="A30" s="103"/>
      <c r="B30" s="12" t="s">
        <v>2</v>
      </c>
      <c r="C30" s="10" t="s">
        <v>213</v>
      </c>
      <c r="D30" s="152"/>
      <c r="E30" s="170"/>
      <c r="F30" s="95"/>
      <c r="G30" s="153" t="str">
        <f t="shared" si="1"/>
        <v/>
      </c>
      <c r="H30" s="10" t="s">
        <v>20</v>
      </c>
      <c r="I30" s="331">
        <v>2.96</v>
      </c>
      <c r="J30" s="12">
        <f t="shared" si="0"/>
        <v>0</v>
      </c>
      <c r="K30" s="13"/>
    </row>
    <row r="31" spans="1:11" hidden="1" x14ac:dyDescent="0.35">
      <c r="A31" s="103"/>
      <c r="B31" s="7" t="s">
        <v>2</v>
      </c>
      <c r="C31" s="14" t="s">
        <v>22</v>
      </c>
      <c r="D31" s="152"/>
      <c r="E31" s="170"/>
      <c r="F31" s="95"/>
      <c r="G31" s="153" t="str">
        <f t="shared" si="1"/>
        <v/>
      </c>
      <c r="H31" s="10" t="s">
        <v>20</v>
      </c>
      <c r="I31" s="331">
        <v>107.2</v>
      </c>
      <c r="J31" s="12">
        <f t="shared" si="0"/>
        <v>0</v>
      </c>
      <c r="K31" s="13"/>
    </row>
    <row r="32" spans="1:11" ht="14.5" hidden="1" customHeight="1" x14ac:dyDescent="0.35">
      <c r="A32" s="103"/>
      <c r="B32" s="7" t="s">
        <v>2</v>
      </c>
      <c r="C32" s="14" t="s">
        <v>214</v>
      </c>
      <c r="D32" s="152"/>
      <c r="E32" s="170"/>
      <c r="F32" s="95"/>
      <c r="G32" s="153" t="str">
        <f t="shared" si="1"/>
        <v/>
      </c>
      <c r="H32" s="10" t="s">
        <v>20</v>
      </c>
      <c r="I32" s="331">
        <v>170.7</v>
      </c>
      <c r="J32" s="12">
        <f t="shared" si="0"/>
        <v>0</v>
      </c>
      <c r="K32" s="13"/>
    </row>
    <row r="33" spans="1:11" ht="14.5" hidden="1" customHeight="1" x14ac:dyDescent="0.35">
      <c r="A33" s="103"/>
      <c r="B33" s="12" t="s">
        <v>2</v>
      </c>
      <c r="C33" s="10" t="s">
        <v>215</v>
      </c>
      <c r="D33" s="152"/>
      <c r="E33" s="170"/>
      <c r="F33" s="95"/>
      <c r="G33" s="153" t="str">
        <f t="shared" si="1"/>
        <v/>
      </c>
      <c r="H33" s="10" t="s">
        <v>216</v>
      </c>
      <c r="I33" s="331">
        <v>3.77</v>
      </c>
      <c r="J33" s="12">
        <f t="shared" si="0"/>
        <v>0</v>
      </c>
      <c r="K33" s="13"/>
    </row>
    <row r="34" spans="1:11" s="6" customFormat="1" ht="15.65" hidden="1" customHeight="1" x14ac:dyDescent="0.35">
      <c r="A34" s="103"/>
      <c r="B34" s="12" t="s">
        <v>2</v>
      </c>
      <c r="C34" s="10" t="s">
        <v>217</v>
      </c>
      <c r="D34" s="152"/>
      <c r="E34" s="170"/>
      <c r="F34" s="95"/>
      <c r="G34" s="153" t="str">
        <f t="shared" si="1"/>
        <v/>
      </c>
      <c r="H34" s="10" t="s">
        <v>20</v>
      </c>
      <c r="I34" s="331">
        <v>2.56</v>
      </c>
      <c r="J34" s="12">
        <f t="shared" si="0"/>
        <v>0</v>
      </c>
    </row>
    <row r="35" spans="1:11" ht="14.5" hidden="1" customHeight="1" x14ac:dyDescent="0.35">
      <c r="A35" s="103"/>
      <c r="B35" s="12" t="s">
        <v>2</v>
      </c>
      <c r="C35" s="10" t="s">
        <v>218</v>
      </c>
      <c r="D35" s="152"/>
      <c r="E35" s="170"/>
      <c r="F35" s="95"/>
      <c r="G35" s="153" t="str">
        <f t="shared" si="1"/>
        <v/>
      </c>
      <c r="H35" s="10" t="s">
        <v>20</v>
      </c>
      <c r="I35" s="331">
        <v>3.08</v>
      </c>
      <c r="J35" s="12">
        <f t="shared" si="0"/>
        <v>0</v>
      </c>
      <c r="K35" s="13"/>
    </row>
    <row r="36" spans="1:11" ht="14.5" hidden="1" customHeight="1" x14ac:dyDescent="0.35">
      <c r="A36" s="103"/>
      <c r="B36" s="12" t="s">
        <v>2</v>
      </c>
      <c r="C36" s="10" t="s">
        <v>219</v>
      </c>
      <c r="D36" s="152"/>
      <c r="E36" s="170"/>
      <c r="F36" s="95"/>
      <c r="G36" s="153" t="str">
        <f t="shared" si="1"/>
        <v/>
      </c>
      <c r="H36" s="10" t="s">
        <v>20</v>
      </c>
      <c r="I36" s="331">
        <v>2.56</v>
      </c>
      <c r="J36" s="12">
        <f t="shared" si="0"/>
        <v>0</v>
      </c>
      <c r="K36" s="13"/>
    </row>
    <row r="37" spans="1:11" hidden="1" x14ac:dyDescent="0.35">
      <c r="A37" s="103"/>
      <c r="B37" s="12" t="s">
        <v>2</v>
      </c>
      <c r="C37" s="10" t="s">
        <v>220</v>
      </c>
      <c r="D37" s="152"/>
      <c r="E37" s="170"/>
      <c r="F37" s="95"/>
      <c r="G37" s="153" t="str">
        <f t="shared" si="1"/>
        <v/>
      </c>
      <c r="H37" s="10" t="s">
        <v>20</v>
      </c>
      <c r="I37" s="331">
        <v>1.41</v>
      </c>
      <c r="J37" s="12">
        <f t="shared" si="0"/>
        <v>0</v>
      </c>
      <c r="K37" s="13"/>
    </row>
    <row r="38" spans="1:11" hidden="1" x14ac:dyDescent="0.35">
      <c r="A38" s="103"/>
      <c r="B38" s="12" t="s">
        <v>2</v>
      </c>
      <c r="C38" s="10" t="s">
        <v>221</v>
      </c>
      <c r="D38" s="152"/>
      <c r="E38" s="170"/>
      <c r="F38" s="95"/>
      <c r="G38" s="153" t="str">
        <f t="shared" si="1"/>
        <v/>
      </c>
      <c r="H38" s="10" t="s">
        <v>20</v>
      </c>
      <c r="I38" s="331">
        <v>1.73</v>
      </c>
      <c r="J38" s="12">
        <f t="shared" si="0"/>
        <v>0</v>
      </c>
      <c r="K38" s="13"/>
    </row>
    <row r="39" spans="1:11" hidden="1" x14ac:dyDescent="0.35">
      <c r="A39" s="103"/>
      <c r="B39" s="12" t="s">
        <v>2</v>
      </c>
      <c r="C39" s="10" t="s">
        <v>222</v>
      </c>
      <c r="D39" s="152"/>
      <c r="E39" s="170"/>
      <c r="F39" s="95"/>
      <c r="G39" s="153" t="str">
        <f t="shared" si="1"/>
        <v/>
      </c>
      <c r="H39" s="10" t="s">
        <v>20</v>
      </c>
      <c r="I39" s="331">
        <v>1.46</v>
      </c>
      <c r="J39" s="12">
        <f t="shared" si="0"/>
        <v>0</v>
      </c>
      <c r="K39" s="13"/>
    </row>
    <row r="40" spans="1:11" ht="14.5" hidden="1" customHeight="1" x14ac:dyDescent="0.35">
      <c r="A40" s="103"/>
      <c r="B40" s="12" t="s">
        <v>2</v>
      </c>
      <c r="C40" s="10" t="s">
        <v>223</v>
      </c>
      <c r="D40" s="222"/>
      <c r="E40" s="170"/>
      <c r="F40" s="141"/>
      <c r="G40" s="153" t="str">
        <f t="shared" si="1"/>
        <v/>
      </c>
      <c r="H40" s="10" t="s">
        <v>20</v>
      </c>
      <c r="I40" s="332">
        <v>3.45</v>
      </c>
      <c r="J40" s="12">
        <f t="shared" si="0"/>
        <v>0</v>
      </c>
      <c r="K40" s="13"/>
    </row>
    <row r="41" spans="1:11" s="6" customFormat="1" ht="15.65" customHeight="1" x14ac:dyDescent="0.35">
      <c r="A41" s="108" t="s">
        <v>119</v>
      </c>
      <c r="B41" s="108"/>
      <c r="C41" s="108"/>
      <c r="D41" s="223"/>
      <c r="E41" s="169"/>
      <c r="F41" s="109"/>
      <c r="G41" s="165" t="str">
        <f t="shared" si="1"/>
        <v/>
      </c>
      <c r="H41" s="108"/>
      <c r="I41" s="106" t="s">
        <v>18</v>
      </c>
      <c r="J41" s="107">
        <f>SUM(J42:J49)</f>
        <v>3050</v>
      </c>
    </row>
    <row r="42" spans="1:11" ht="14.5" customHeight="1" x14ac:dyDescent="0.35">
      <c r="A42" s="103"/>
      <c r="B42" s="12" t="s">
        <v>7</v>
      </c>
      <c r="C42" s="10" t="s">
        <v>224</v>
      </c>
      <c r="D42" s="152"/>
      <c r="E42" s="166">
        <f>E24</f>
        <v>4</v>
      </c>
      <c r="F42" s="95"/>
      <c r="G42" s="153" t="str">
        <f t="shared" si="1"/>
        <v/>
      </c>
      <c r="H42" s="10" t="s">
        <v>20</v>
      </c>
      <c r="I42" s="331">
        <v>100</v>
      </c>
      <c r="J42" s="12">
        <f t="shared" ref="J42:J49" si="2">E42*I42</f>
        <v>400</v>
      </c>
      <c r="K42" s="13"/>
    </row>
    <row r="43" spans="1:11" hidden="1" x14ac:dyDescent="0.35">
      <c r="A43" s="103"/>
      <c r="B43" s="12" t="s">
        <v>7</v>
      </c>
      <c r="C43" s="10" t="s">
        <v>225</v>
      </c>
      <c r="D43" s="152"/>
      <c r="E43" s="170"/>
      <c r="F43" s="95"/>
      <c r="G43" s="153" t="str">
        <f t="shared" si="1"/>
        <v/>
      </c>
      <c r="H43" s="10" t="s">
        <v>20</v>
      </c>
      <c r="I43" s="331">
        <v>12.2</v>
      </c>
      <c r="J43" s="12">
        <f t="shared" si="2"/>
        <v>0</v>
      </c>
      <c r="K43" s="13"/>
    </row>
    <row r="44" spans="1:11" ht="14.5" hidden="1" customHeight="1" x14ac:dyDescent="0.35">
      <c r="A44" s="103"/>
      <c r="B44" s="12" t="s">
        <v>7</v>
      </c>
      <c r="C44" s="10" t="s">
        <v>226</v>
      </c>
      <c r="D44" s="152"/>
      <c r="E44" s="170"/>
      <c r="F44" s="95"/>
      <c r="G44" s="153" t="str">
        <f t="shared" si="1"/>
        <v/>
      </c>
      <c r="H44" s="10" t="s">
        <v>20</v>
      </c>
      <c r="I44" s="331">
        <v>11</v>
      </c>
      <c r="J44" s="12">
        <f t="shared" si="2"/>
        <v>0</v>
      </c>
      <c r="K44" s="88"/>
    </row>
    <row r="45" spans="1:11" hidden="1" x14ac:dyDescent="0.35">
      <c r="A45" s="103"/>
      <c r="B45" s="12" t="s">
        <v>7</v>
      </c>
      <c r="C45" s="10" t="s">
        <v>227</v>
      </c>
      <c r="D45" s="152"/>
      <c r="E45" s="170"/>
      <c r="F45" s="95"/>
      <c r="G45" s="153" t="str">
        <f t="shared" si="1"/>
        <v/>
      </c>
      <c r="H45" s="10" t="s">
        <v>20</v>
      </c>
      <c r="I45" s="331">
        <v>5</v>
      </c>
      <c r="J45" s="12">
        <f t="shared" si="2"/>
        <v>0</v>
      </c>
      <c r="K45" s="13" t="s">
        <v>47</v>
      </c>
    </row>
    <row r="46" spans="1:11" x14ac:dyDescent="0.35">
      <c r="A46" s="103"/>
      <c r="B46" s="12" t="s">
        <v>7</v>
      </c>
      <c r="C46" s="10" t="s">
        <v>46</v>
      </c>
      <c r="D46" s="152"/>
      <c r="E46" s="170"/>
      <c r="F46" s="95"/>
      <c r="G46" s="153" t="str">
        <f t="shared" si="1"/>
        <v/>
      </c>
      <c r="H46" s="10" t="s">
        <v>20</v>
      </c>
      <c r="I46" s="331">
        <v>5</v>
      </c>
      <c r="J46" s="12">
        <f t="shared" si="2"/>
        <v>0</v>
      </c>
      <c r="K46" s="13"/>
    </row>
    <row r="47" spans="1:11" ht="14.5" hidden="1" customHeight="1" x14ac:dyDescent="0.35">
      <c r="A47" s="103"/>
      <c r="B47" s="12" t="s">
        <v>7</v>
      </c>
      <c r="C47" s="10" t="s">
        <v>228</v>
      </c>
      <c r="D47" s="152"/>
      <c r="E47" s="170"/>
      <c r="F47" s="95"/>
      <c r="G47" s="153" t="str">
        <f t="shared" si="1"/>
        <v/>
      </c>
      <c r="H47" s="10" t="s">
        <v>20</v>
      </c>
      <c r="I47" s="331">
        <v>11</v>
      </c>
      <c r="J47" s="12">
        <f t="shared" si="2"/>
        <v>0</v>
      </c>
      <c r="K47" s="13"/>
    </row>
    <row r="48" spans="1:11" ht="16.399999999999999" customHeight="1" x14ac:dyDescent="0.35">
      <c r="A48" s="103"/>
      <c r="B48" s="12" t="s">
        <v>7</v>
      </c>
      <c r="C48" s="10" t="s">
        <v>229</v>
      </c>
      <c r="D48" s="152"/>
      <c r="E48" s="166">
        <f>E26+E27</f>
        <v>53</v>
      </c>
      <c r="F48" s="95"/>
      <c r="G48" s="153" t="str">
        <f t="shared" si="1"/>
        <v/>
      </c>
      <c r="H48" s="10" t="s">
        <v>20</v>
      </c>
      <c r="I48" s="331">
        <v>50</v>
      </c>
      <c r="J48" s="12">
        <f t="shared" si="2"/>
        <v>2650</v>
      </c>
      <c r="K48" s="13"/>
    </row>
    <row r="49" spans="1:11" hidden="1" x14ac:dyDescent="0.35">
      <c r="A49" s="103"/>
      <c r="B49" s="12" t="s">
        <v>7</v>
      </c>
      <c r="C49" s="78" t="s">
        <v>206</v>
      </c>
      <c r="D49" s="224"/>
      <c r="E49" s="170"/>
      <c r="F49" s="142"/>
      <c r="G49" s="153" t="str">
        <f t="shared" si="1"/>
        <v/>
      </c>
      <c r="H49" s="10" t="s">
        <v>20</v>
      </c>
      <c r="I49" s="333">
        <v>5</v>
      </c>
      <c r="J49" s="12">
        <f t="shared" si="2"/>
        <v>0</v>
      </c>
      <c r="K49" s="13"/>
    </row>
    <row r="50" spans="1:11" ht="14.5" customHeight="1" x14ac:dyDescent="0.35">
      <c r="A50" s="103"/>
      <c r="B50" s="104" t="s">
        <v>230</v>
      </c>
      <c r="C50" s="105"/>
      <c r="D50" s="225"/>
      <c r="E50" s="171"/>
      <c r="F50" s="143"/>
      <c r="G50" s="165" t="str">
        <f t="shared" si="1"/>
        <v/>
      </c>
      <c r="H50" s="105"/>
      <c r="I50" s="106" t="s">
        <v>18</v>
      </c>
      <c r="J50" s="107">
        <f>SUM(J52:J77)</f>
        <v>200.3</v>
      </c>
      <c r="K50" s="13"/>
    </row>
    <row r="51" spans="1:11" ht="14.5" customHeight="1" x14ac:dyDescent="0.35">
      <c r="A51" s="111"/>
      <c r="B51" s="126" t="s">
        <v>231</v>
      </c>
      <c r="C51" s="127"/>
      <c r="D51" s="226"/>
      <c r="E51" s="172"/>
      <c r="F51" s="144"/>
      <c r="G51" s="165" t="str">
        <f t="shared" si="1"/>
        <v/>
      </c>
      <c r="H51" s="127"/>
      <c r="I51" s="239"/>
      <c r="J51" s="128"/>
      <c r="K51" s="13"/>
    </row>
    <row r="52" spans="1:11" ht="14.5" hidden="1" customHeight="1" x14ac:dyDescent="0.35">
      <c r="A52" s="103"/>
      <c r="B52" s="12" t="s">
        <v>13</v>
      </c>
      <c r="C52" s="10" t="s">
        <v>78</v>
      </c>
      <c r="D52" s="152"/>
      <c r="E52" s="170"/>
      <c r="F52" s="95"/>
      <c r="G52" s="153" t="str">
        <f t="shared" si="1"/>
        <v/>
      </c>
      <c r="H52" s="10" t="s">
        <v>20</v>
      </c>
      <c r="I52" s="331">
        <v>13</v>
      </c>
      <c r="J52" s="12">
        <f t="shared" ref="J52:J58" si="3">E52*I52</f>
        <v>0</v>
      </c>
      <c r="K52" s="13"/>
    </row>
    <row r="53" spans="1:11" ht="15.75" hidden="1" customHeight="1" x14ac:dyDescent="0.35">
      <c r="A53" s="103"/>
      <c r="B53" s="12" t="s">
        <v>13</v>
      </c>
      <c r="C53" s="10" t="s">
        <v>232</v>
      </c>
      <c r="D53" s="152"/>
      <c r="E53" s="170"/>
      <c r="F53" s="95"/>
      <c r="G53" s="153" t="str">
        <f t="shared" si="1"/>
        <v/>
      </c>
      <c r="H53" s="10" t="s">
        <v>20</v>
      </c>
      <c r="I53" s="331">
        <v>13</v>
      </c>
      <c r="J53" s="12">
        <f t="shared" si="3"/>
        <v>0</v>
      </c>
      <c r="K53" s="134"/>
    </row>
    <row r="54" spans="1:11" hidden="1" x14ac:dyDescent="0.35">
      <c r="A54" s="103"/>
      <c r="B54" s="12" t="s">
        <v>13</v>
      </c>
      <c r="C54" s="10" t="s">
        <v>233</v>
      </c>
      <c r="D54" s="152"/>
      <c r="E54" s="170"/>
      <c r="F54" s="95"/>
      <c r="G54" s="153" t="str">
        <f t="shared" si="1"/>
        <v/>
      </c>
      <c r="H54" s="10" t="s">
        <v>20</v>
      </c>
      <c r="I54" s="331">
        <v>8.9</v>
      </c>
      <c r="J54" s="12">
        <f t="shared" si="3"/>
        <v>0</v>
      </c>
      <c r="K54" s="13"/>
    </row>
    <row r="55" spans="1:11" x14ac:dyDescent="0.35">
      <c r="A55" s="103"/>
      <c r="B55" s="12" t="s">
        <v>13</v>
      </c>
      <c r="C55" s="10" t="s">
        <v>32</v>
      </c>
      <c r="D55" s="152">
        <v>6</v>
      </c>
      <c r="E55" s="170">
        <v>8</v>
      </c>
      <c r="F55" s="95"/>
      <c r="G55" s="153" t="str">
        <f t="shared" si="1"/>
        <v/>
      </c>
      <c r="H55" s="10" t="s">
        <v>20</v>
      </c>
      <c r="I55" s="331">
        <v>8.35</v>
      </c>
      <c r="J55" s="12">
        <f t="shared" si="3"/>
        <v>66.8</v>
      </c>
      <c r="K55" s="13"/>
    </row>
    <row r="56" spans="1:11" s="6" customFormat="1" ht="15.65" customHeight="1" x14ac:dyDescent="0.35">
      <c r="A56" s="103"/>
      <c r="B56" s="12" t="s">
        <v>13</v>
      </c>
      <c r="C56" s="10" t="s">
        <v>33</v>
      </c>
      <c r="D56" s="152">
        <v>6</v>
      </c>
      <c r="E56" s="170">
        <v>15</v>
      </c>
      <c r="F56" s="95"/>
      <c r="G56" s="153" t="str">
        <f t="shared" si="1"/>
        <v/>
      </c>
      <c r="H56" s="10" t="s">
        <v>20</v>
      </c>
      <c r="I56" s="331">
        <v>8.9</v>
      </c>
      <c r="J56" s="12">
        <f t="shared" si="3"/>
        <v>133.5</v>
      </c>
    </row>
    <row r="57" spans="1:11" s="6" customFormat="1" ht="15.65" customHeight="1" x14ac:dyDescent="0.35">
      <c r="A57" s="103"/>
      <c r="B57" s="12" t="s">
        <v>13</v>
      </c>
      <c r="C57" s="10" t="s">
        <v>59</v>
      </c>
      <c r="D57" s="152">
        <v>6</v>
      </c>
      <c r="E57" s="170"/>
      <c r="F57" s="95"/>
      <c r="G57" s="153" t="str">
        <f t="shared" si="1"/>
        <v/>
      </c>
      <c r="H57" s="10" t="s">
        <v>20</v>
      </c>
      <c r="I57" s="331">
        <v>8.6999999999999993</v>
      </c>
      <c r="J57" s="12">
        <f t="shared" si="3"/>
        <v>0</v>
      </c>
    </row>
    <row r="58" spans="1:11" ht="14.5" customHeight="1" x14ac:dyDescent="0.35">
      <c r="A58" s="103"/>
      <c r="B58" s="12" t="s">
        <v>13</v>
      </c>
      <c r="C58" s="10" t="s">
        <v>234</v>
      </c>
      <c r="D58" s="152"/>
      <c r="E58" s="170"/>
      <c r="F58" s="95"/>
      <c r="G58" s="153" t="str">
        <f t="shared" si="1"/>
        <v/>
      </c>
      <c r="H58" s="10" t="s">
        <v>20</v>
      </c>
      <c r="I58" s="331">
        <v>12.15</v>
      </c>
      <c r="J58" s="12">
        <f t="shared" si="3"/>
        <v>0</v>
      </c>
      <c r="K58" s="13"/>
    </row>
    <row r="59" spans="1:11" ht="14.5" hidden="1" customHeight="1" x14ac:dyDescent="0.35">
      <c r="A59" s="103"/>
      <c r="B59" s="12" t="s">
        <v>13</v>
      </c>
      <c r="C59" s="10" t="s">
        <v>235</v>
      </c>
      <c r="D59" s="152"/>
      <c r="E59" s="170"/>
      <c r="F59" s="95"/>
      <c r="G59" s="153" t="str">
        <f t="shared" si="1"/>
        <v/>
      </c>
      <c r="H59" s="10" t="s">
        <v>20</v>
      </c>
      <c r="I59" s="331">
        <v>11.35</v>
      </c>
      <c r="J59" s="12">
        <f t="shared" ref="J59:J64" si="4">E59*I59</f>
        <v>0</v>
      </c>
      <c r="K59" s="13"/>
    </row>
    <row r="60" spans="1:11" s="6" customFormat="1" ht="15.65" hidden="1" customHeight="1" x14ac:dyDescent="0.35">
      <c r="A60" s="103"/>
      <c r="B60" s="12" t="s">
        <v>13</v>
      </c>
      <c r="C60" s="10" t="s">
        <v>236</v>
      </c>
      <c r="D60" s="152"/>
      <c r="E60" s="170"/>
      <c r="F60" s="95"/>
      <c r="G60" s="153" t="str">
        <f t="shared" si="1"/>
        <v/>
      </c>
      <c r="H60" s="10" t="s">
        <v>20</v>
      </c>
      <c r="I60" s="331">
        <v>14.65</v>
      </c>
      <c r="J60" s="12">
        <f t="shared" si="4"/>
        <v>0</v>
      </c>
    </row>
    <row r="61" spans="1:11" ht="14.5" hidden="1" customHeight="1" x14ac:dyDescent="0.35">
      <c r="A61" s="103"/>
      <c r="B61" s="12" t="s">
        <v>13</v>
      </c>
      <c r="C61" s="10" t="s">
        <v>237</v>
      </c>
      <c r="D61" s="152"/>
      <c r="E61" s="170"/>
      <c r="F61" s="95"/>
      <c r="G61" s="153" t="str">
        <f t="shared" si="1"/>
        <v/>
      </c>
      <c r="H61" s="10" t="s">
        <v>20</v>
      </c>
      <c r="I61" s="331">
        <v>16.25</v>
      </c>
      <c r="J61" s="12">
        <f t="shared" si="4"/>
        <v>0</v>
      </c>
      <c r="K61" s="13"/>
    </row>
    <row r="62" spans="1:11" s="6" customFormat="1" ht="15.65" hidden="1" customHeight="1" x14ac:dyDescent="0.35">
      <c r="A62" s="103"/>
      <c r="B62" s="12" t="s">
        <v>13</v>
      </c>
      <c r="C62" s="10" t="s">
        <v>238</v>
      </c>
      <c r="D62" s="152"/>
      <c r="E62" s="170"/>
      <c r="F62" s="95"/>
      <c r="G62" s="153" t="str">
        <f t="shared" si="1"/>
        <v/>
      </c>
      <c r="H62" s="10" t="s">
        <v>20</v>
      </c>
      <c r="I62" s="331">
        <v>17.899999999999999</v>
      </c>
      <c r="J62" s="12">
        <f t="shared" si="4"/>
        <v>0</v>
      </c>
    </row>
    <row r="63" spans="1:11" ht="14.5" hidden="1" customHeight="1" x14ac:dyDescent="0.35">
      <c r="A63" s="103"/>
      <c r="B63" s="12" t="s">
        <v>13</v>
      </c>
      <c r="C63" s="10" t="s">
        <v>239</v>
      </c>
      <c r="D63" s="152"/>
      <c r="E63" s="170"/>
      <c r="F63" s="95"/>
      <c r="G63" s="153" t="str">
        <f t="shared" si="1"/>
        <v/>
      </c>
      <c r="H63" s="10" t="s">
        <v>20</v>
      </c>
      <c r="I63" s="331">
        <v>15.95</v>
      </c>
      <c r="J63" s="12">
        <f t="shared" si="4"/>
        <v>0</v>
      </c>
      <c r="K63" s="13"/>
    </row>
    <row r="64" spans="1:11" ht="14.5" hidden="1" customHeight="1" x14ac:dyDescent="0.35">
      <c r="A64" s="103"/>
      <c r="B64" s="12" t="s">
        <v>13</v>
      </c>
      <c r="C64" s="10" t="s">
        <v>240</v>
      </c>
      <c r="D64" s="152"/>
      <c r="E64" s="170"/>
      <c r="F64" s="95"/>
      <c r="G64" s="153" t="str">
        <f t="shared" si="1"/>
        <v/>
      </c>
      <c r="H64" s="10" t="s">
        <v>20</v>
      </c>
      <c r="I64" s="331">
        <v>15.45</v>
      </c>
      <c r="J64" s="12">
        <f t="shared" si="4"/>
        <v>0</v>
      </c>
      <c r="K64" s="13"/>
    </row>
    <row r="65" spans="1:11" s="6" customFormat="1" ht="15.65" hidden="1" customHeight="1" x14ac:dyDescent="0.35">
      <c r="A65" s="111"/>
      <c r="B65" s="126" t="s">
        <v>241</v>
      </c>
      <c r="C65" s="127"/>
      <c r="D65" s="226"/>
      <c r="E65" s="172"/>
      <c r="F65" s="144"/>
      <c r="G65" s="153" t="str">
        <f t="shared" si="1"/>
        <v/>
      </c>
      <c r="H65" s="127"/>
      <c r="I65" s="239"/>
      <c r="J65" s="128"/>
    </row>
    <row r="66" spans="1:11" ht="14.5" hidden="1" customHeight="1" x14ac:dyDescent="0.35">
      <c r="A66" s="103"/>
      <c r="B66" s="12" t="s">
        <v>13</v>
      </c>
      <c r="C66" s="10" t="s">
        <v>242</v>
      </c>
      <c r="D66" s="152"/>
      <c r="E66" s="170"/>
      <c r="F66" s="95"/>
      <c r="G66" s="153" t="str">
        <f t="shared" si="1"/>
        <v/>
      </c>
      <c r="H66" s="10" t="s">
        <v>20</v>
      </c>
      <c r="I66" s="331">
        <v>31.05</v>
      </c>
      <c r="J66" s="12">
        <f t="shared" ref="J66:J72" si="5">E66*I66</f>
        <v>0</v>
      </c>
      <c r="K66" s="13"/>
    </row>
    <row r="67" spans="1:11" ht="14.5" hidden="1" customHeight="1" x14ac:dyDescent="0.35">
      <c r="A67" s="103"/>
      <c r="B67" s="12" t="s">
        <v>13</v>
      </c>
      <c r="C67" s="10" t="s">
        <v>243</v>
      </c>
      <c r="D67" s="152"/>
      <c r="E67" s="170"/>
      <c r="F67" s="95"/>
      <c r="G67" s="153" t="str">
        <f t="shared" si="1"/>
        <v/>
      </c>
      <c r="H67" s="10" t="s">
        <v>20</v>
      </c>
      <c r="I67" s="331">
        <v>60.79</v>
      </c>
      <c r="J67" s="12">
        <f t="shared" si="5"/>
        <v>0</v>
      </c>
      <c r="K67" s="13"/>
    </row>
    <row r="68" spans="1:11" ht="14.5" hidden="1" customHeight="1" x14ac:dyDescent="0.35">
      <c r="A68" s="103"/>
      <c r="B68" s="12" t="s">
        <v>13</v>
      </c>
      <c r="C68" s="10" t="s">
        <v>244</v>
      </c>
      <c r="D68" s="152"/>
      <c r="E68" s="170"/>
      <c r="F68" s="95"/>
      <c r="G68" s="153" t="str">
        <f t="shared" si="1"/>
        <v/>
      </c>
      <c r="H68" s="10" t="s">
        <v>20</v>
      </c>
      <c r="I68" s="331">
        <v>56.55</v>
      </c>
      <c r="J68" s="12">
        <f t="shared" si="5"/>
        <v>0</v>
      </c>
      <c r="K68" s="13"/>
    </row>
    <row r="69" spans="1:11" ht="14.5" hidden="1" customHeight="1" x14ac:dyDescent="0.35">
      <c r="A69" s="103"/>
      <c r="B69" s="12" t="s">
        <v>13</v>
      </c>
      <c r="C69" s="10" t="s">
        <v>245</v>
      </c>
      <c r="D69" s="152"/>
      <c r="E69" s="170"/>
      <c r="F69" s="95"/>
      <c r="G69" s="153" t="str">
        <f t="shared" si="1"/>
        <v/>
      </c>
      <c r="H69" s="10" t="s">
        <v>20</v>
      </c>
      <c r="I69" s="331">
        <v>107.44</v>
      </c>
      <c r="J69" s="12">
        <f t="shared" si="5"/>
        <v>0</v>
      </c>
      <c r="K69" s="13"/>
    </row>
    <row r="70" spans="1:11" ht="14.5" hidden="1" customHeight="1" x14ac:dyDescent="0.35">
      <c r="A70" s="103"/>
      <c r="B70" s="12" t="s">
        <v>13</v>
      </c>
      <c r="C70" s="10" t="s">
        <v>246</v>
      </c>
      <c r="D70" s="152"/>
      <c r="E70" s="170"/>
      <c r="F70" s="95"/>
      <c r="G70" s="153" t="str">
        <f t="shared" si="1"/>
        <v/>
      </c>
      <c r="H70" s="10" t="s">
        <v>20</v>
      </c>
      <c r="I70" s="331">
        <v>47.4</v>
      </c>
      <c r="J70" s="12">
        <f t="shared" si="5"/>
        <v>0</v>
      </c>
      <c r="K70" s="13"/>
    </row>
    <row r="71" spans="1:11" ht="15.65" hidden="1" customHeight="1" x14ac:dyDescent="0.35">
      <c r="A71" s="103"/>
      <c r="B71" s="12" t="s">
        <v>13</v>
      </c>
      <c r="C71" s="10" t="s">
        <v>247</v>
      </c>
      <c r="D71" s="152"/>
      <c r="E71" s="170"/>
      <c r="F71" s="95"/>
      <c r="G71" s="153" t="str">
        <f t="shared" si="1"/>
        <v/>
      </c>
      <c r="H71" s="10" t="s">
        <v>20</v>
      </c>
      <c r="I71" s="331">
        <v>87.63</v>
      </c>
      <c r="J71" s="12">
        <f t="shared" si="5"/>
        <v>0</v>
      </c>
      <c r="K71" s="13"/>
    </row>
    <row r="72" spans="1:11" ht="15.65" hidden="1" customHeight="1" x14ac:dyDescent="0.35">
      <c r="A72" s="103"/>
      <c r="B72" s="12" t="s">
        <v>13</v>
      </c>
      <c r="C72" s="10" t="s">
        <v>248</v>
      </c>
      <c r="D72" s="152"/>
      <c r="E72" s="170"/>
      <c r="F72" s="95"/>
      <c r="G72" s="153" t="str">
        <f t="shared" si="1"/>
        <v/>
      </c>
      <c r="H72" s="10" t="s">
        <v>20</v>
      </c>
      <c r="I72" s="331">
        <v>52.31</v>
      </c>
      <c r="J72" s="12">
        <f t="shared" si="5"/>
        <v>0</v>
      </c>
      <c r="K72" s="13"/>
    </row>
    <row r="73" spans="1:11" ht="16.399999999999999" hidden="1" customHeight="1" x14ac:dyDescent="0.35">
      <c r="A73" s="111"/>
      <c r="B73" s="126" t="s">
        <v>249</v>
      </c>
      <c r="C73" s="127"/>
      <c r="D73" s="226"/>
      <c r="E73" s="172"/>
      <c r="F73" s="144"/>
      <c r="G73" s="153" t="str">
        <f t="shared" si="1"/>
        <v/>
      </c>
      <c r="H73" s="127"/>
      <c r="I73" s="239"/>
      <c r="J73" s="128"/>
      <c r="K73" s="13"/>
    </row>
    <row r="74" spans="1:11" ht="14.5" hidden="1" customHeight="1" x14ac:dyDescent="0.35">
      <c r="A74" s="103"/>
      <c r="B74" s="12" t="s">
        <v>13</v>
      </c>
      <c r="C74" s="10" t="s">
        <v>250</v>
      </c>
      <c r="D74" s="152"/>
      <c r="E74" s="170"/>
      <c r="F74" s="95"/>
      <c r="G74" s="153" t="str">
        <f t="shared" si="1"/>
        <v/>
      </c>
      <c r="H74" s="10" t="s">
        <v>20</v>
      </c>
      <c r="I74" s="331">
        <v>10.8</v>
      </c>
      <c r="J74" s="12">
        <f>E74*I74</f>
        <v>0</v>
      </c>
      <c r="K74" s="13"/>
    </row>
    <row r="75" spans="1:11" ht="14.5" hidden="1" customHeight="1" x14ac:dyDescent="0.35">
      <c r="A75" s="103"/>
      <c r="B75" s="12" t="s">
        <v>13</v>
      </c>
      <c r="C75" s="10" t="s">
        <v>251</v>
      </c>
      <c r="D75" s="152"/>
      <c r="E75" s="170"/>
      <c r="F75" s="95"/>
      <c r="G75" s="153" t="str">
        <f t="shared" si="1"/>
        <v/>
      </c>
      <c r="H75" s="10" t="s">
        <v>20</v>
      </c>
      <c r="I75" s="331">
        <v>11.2</v>
      </c>
      <c r="J75" s="12">
        <f>E75*I75</f>
        <v>0</v>
      </c>
      <c r="K75" s="13"/>
    </row>
    <row r="76" spans="1:11" s="24" customFormat="1" ht="15.65" customHeight="1" x14ac:dyDescent="0.35">
      <c r="A76" s="103"/>
      <c r="B76" s="12" t="s">
        <v>13</v>
      </c>
      <c r="C76" s="10" t="s">
        <v>252</v>
      </c>
      <c r="D76" s="152"/>
      <c r="E76" s="170"/>
      <c r="F76" s="95"/>
      <c r="G76" s="153" t="str">
        <f t="shared" si="1"/>
        <v/>
      </c>
      <c r="H76" s="10" t="s">
        <v>23</v>
      </c>
      <c r="I76" s="331">
        <v>4.5599999999999996</v>
      </c>
      <c r="J76" s="12">
        <f>E76*I76</f>
        <v>0</v>
      </c>
    </row>
    <row r="77" spans="1:11" s="6" customFormat="1" ht="15.65" customHeight="1" x14ac:dyDescent="0.35">
      <c r="A77" s="103"/>
      <c r="B77" s="12" t="s">
        <v>13</v>
      </c>
      <c r="C77" s="10" t="s">
        <v>253</v>
      </c>
      <c r="D77" s="152"/>
      <c r="E77" s="170"/>
      <c r="F77" s="95"/>
      <c r="G77" s="153" t="str">
        <f t="shared" si="1"/>
        <v/>
      </c>
      <c r="H77" s="10" t="s">
        <v>23</v>
      </c>
      <c r="I77" s="331">
        <v>37.700000000000003</v>
      </c>
      <c r="J77" s="12">
        <f>E77*I77</f>
        <v>0</v>
      </c>
    </row>
    <row r="78" spans="1:11" ht="14.5" hidden="1" customHeight="1" x14ac:dyDescent="0.35">
      <c r="A78" s="108" t="s">
        <v>254</v>
      </c>
      <c r="B78" s="108"/>
      <c r="C78" s="108"/>
      <c r="D78" s="223"/>
      <c r="E78" s="169"/>
      <c r="F78" s="109"/>
      <c r="G78" s="153" t="str">
        <f t="shared" si="1"/>
        <v/>
      </c>
      <c r="H78" s="108"/>
      <c r="I78" s="110" t="s">
        <v>18</v>
      </c>
      <c r="J78" s="115">
        <f>SUM(J80:J121)</f>
        <v>0</v>
      </c>
    </row>
    <row r="79" spans="1:11" ht="14.5" hidden="1" customHeight="1" x14ac:dyDescent="0.35">
      <c r="A79" s="111"/>
      <c r="B79" s="126" t="s">
        <v>255</v>
      </c>
      <c r="C79" s="127"/>
      <c r="D79" s="226"/>
      <c r="E79" s="172"/>
      <c r="F79" s="144"/>
      <c r="G79" s="153" t="str">
        <f t="shared" si="1"/>
        <v/>
      </c>
      <c r="H79" s="127"/>
      <c r="I79" s="239"/>
      <c r="J79" s="128"/>
      <c r="K79" s="13"/>
    </row>
    <row r="80" spans="1:11" ht="14.5" hidden="1" customHeight="1" x14ac:dyDescent="0.35">
      <c r="A80" s="103"/>
      <c r="B80" s="12" t="s">
        <v>3</v>
      </c>
      <c r="C80" s="10" t="s">
        <v>256</v>
      </c>
      <c r="D80" s="152"/>
      <c r="E80" s="170"/>
      <c r="F80" s="95"/>
      <c r="G80" s="153" t="str">
        <f t="shared" si="1"/>
        <v/>
      </c>
      <c r="H80" s="10" t="s">
        <v>20</v>
      </c>
      <c r="I80" s="331">
        <v>32.950000000000003</v>
      </c>
      <c r="J80" s="12">
        <f t="shared" ref="J80:J86" si="6">E80*I80</f>
        <v>0</v>
      </c>
      <c r="K80" s="13"/>
    </row>
    <row r="81" spans="1:13" ht="14.5" hidden="1" customHeight="1" x14ac:dyDescent="0.35">
      <c r="A81" s="103"/>
      <c r="B81" s="12" t="s">
        <v>3</v>
      </c>
      <c r="C81" s="10" t="s">
        <v>257</v>
      </c>
      <c r="D81" s="152"/>
      <c r="E81" s="170"/>
      <c r="F81" s="95"/>
      <c r="G81" s="153" t="str">
        <f t="shared" si="1"/>
        <v/>
      </c>
      <c r="H81" s="10" t="s">
        <v>20</v>
      </c>
      <c r="I81" s="331">
        <v>56.95</v>
      </c>
      <c r="J81" s="12">
        <f t="shared" si="6"/>
        <v>0</v>
      </c>
      <c r="K81" s="13" t="s">
        <v>47</v>
      </c>
    </row>
    <row r="82" spans="1:13" ht="14.5" hidden="1" customHeight="1" x14ac:dyDescent="0.35">
      <c r="A82" s="103"/>
      <c r="B82" s="12" t="s">
        <v>3</v>
      </c>
      <c r="C82" s="10" t="s">
        <v>258</v>
      </c>
      <c r="D82" s="152"/>
      <c r="E82" s="170"/>
      <c r="F82" s="95"/>
      <c r="G82" s="153" t="str">
        <f t="shared" si="1"/>
        <v/>
      </c>
      <c r="H82" s="10" t="s">
        <v>20</v>
      </c>
      <c r="I82" s="331">
        <v>15.95</v>
      </c>
      <c r="J82" s="12">
        <f t="shared" si="6"/>
        <v>0</v>
      </c>
    </row>
    <row r="83" spans="1:13" ht="14.5" hidden="1" customHeight="1" x14ac:dyDescent="0.35">
      <c r="A83" s="103"/>
      <c r="B83" s="12" t="s">
        <v>3</v>
      </c>
      <c r="C83" s="10" t="s">
        <v>259</v>
      </c>
      <c r="D83" s="152"/>
      <c r="E83" s="170"/>
      <c r="F83" s="95"/>
      <c r="G83" s="153" t="str">
        <f t="shared" si="1"/>
        <v/>
      </c>
      <c r="H83" s="10" t="s">
        <v>20</v>
      </c>
      <c r="I83" s="331">
        <v>19.95</v>
      </c>
      <c r="J83" s="12">
        <f t="shared" si="6"/>
        <v>0</v>
      </c>
      <c r="K83" s="28"/>
    </row>
    <row r="84" spans="1:13" s="6" customFormat="1" ht="15.65" hidden="1" customHeight="1" x14ac:dyDescent="0.35">
      <c r="A84" s="103"/>
      <c r="B84" s="12" t="s">
        <v>3</v>
      </c>
      <c r="C84" s="10" t="s">
        <v>260</v>
      </c>
      <c r="D84" s="152"/>
      <c r="E84" s="170"/>
      <c r="F84" s="95"/>
      <c r="G84" s="153" t="str">
        <f t="shared" si="1"/>
        <v/>
      </c>
      <c r="H84" s="10" t="s">
        <v>20</v>
      </c>
      <c r="I84" s="331">
        <v>46.95</v>
      </c>
      <c r="J84" s="12">
        <f t="shared" si="6"/>
        <v>0</v>
      </c>
      <c r="K84" s="30"/>
    </row>
    <row r="85" spans="1:13" ht="14.5" hidden="1" customHeight="1" x14ac:dyDescent="0.35">
      <c r="A85" s="103"/>
      <c r="B85" s="12" t="s">
        <v>3</v>
      </c>
      <c r="C85" s="10" t="s">
        <v>261</v>
      </c>
      <c r="D85" s="152"/>
      <c r="E85" s="170"/>
      <c r="F85" s="95"/>
      <c r="G85" s="153" t="str">
        <f t="shared" si="1"/>
        <v/>
      </c>
      <c r="H85" s="10" t="s">
        <v>20</v>
      </c>
      <c r="I85" s="331">
        <v>34.950000000000003</v>
      </c>
      <c r="J85" s="12">
        <f t="shared" si="6"/>
        <v>0</v>
      </c>
      <c r="K85" s="28"/>
    </row>
    <row r="86" spans="1:13" s="6" customFormat="1" ht="15.65" hidden="1" customHeight="1" x14ac:dyDescent="0.35">
      <c r="A86" s="103"/>
      <c r="B86" s="12" t="s">
        <v>3</v>
      </c>
      <c r="C86" s="10" t="s">
        <v>262</v>
      </c>
      <c r="D86" s="152"/>
      <c r="E86" s="170"/>
      <c r="F86" s="95"/>
      <c r="G86" s="153" t="str">
        <f t="shared" si="1"/>
        <v/>
      </c>
      <c r="H86" s="10" t="s">
        <v>20</v>
      </c>
      <c r="I86" s="331">
        <v>24.95</v>
      </c>
      <c r="J86" s="12">
        <f t="shared" si="6"/>
        <v>0</v>
      </c>
    </row>
    <row r="87" spans="1:13" ht="15.5" hidden="1" x14ac:dyDescent="0.35">
      <c r="A87" s="111"/>
      <c r="B87" s="126" t="s">
        <v>263</v>
      </c>
      <c r="C87" s="127"/>
      <c r="D87" s="226"/>
      <c r="E87" s="172"/>
      <c r="F87" s="144"/>
      <c r="G87" s="153" t="str">
        <f t="shared" si="1"/>
        <v/>
      </c>
      <c r="H87" s="127"/>
      <c r="I87" s="239"/>
      <c r="J87" s="128"/>
      <c r="K87" s="28"/>
      <c r="M87" t="s">
        <v>47</v>
      </c>
    </row>
    <row r="88" spans="1:13" hidden="1" x14ac:dyDescent="0.35">
      <c r="A88" s="103"/>
      <c r="B88" s="12" t="s">
        <v>3</v>
      </c>
      <c r="C88" s="10" t="s">
        <v>264</v>
      </c>
      <c r="D88" s="152"/>
      <c r="E88" s="170"/>
      <c r="F88" s="95"/>
      <c r="G88" s="153" t="str">
        <f t="shared" si="1"/>
        <v/>
      </c>
      <c r="H88" s="10" t="s">
        <v>20</v>
      </c>
      <c r="I88" s="331">
        <v>19.5</v>
      </c>
      <c r="J88" s="12">
        <f t="shared" ref="J88:J94" si="7">E88*I88</f>
        <v>0</v>
      </c>
      <c r="K88" s="28"/>
    </row>
    <row r="89" spans="1:13" hidden="1" x14ac:dyDescent="0.35">
      <c r="A89" s="103"/>
      <c r="B89" s="12" t="s">
        <v>3</v>
      </c>
      <c r="C89" s="10" t="s">
        <v>265</v>
      </c>
      <c r="D89" s="152"/>
      <c r="E89" s="170"/>
      <c r="F89" s="95"/>
      <c r="G89" s="153" t="str">
        <f t="shared" ref="G89:G152" si="8">IF(E89="","",IF(D89-E89&gt;0,D89-E89,""))</f>
        <v/>
      </c>
      <c r="H89" s="10" t="s">
        <v>20</v>
      </c>
      <c r="I89" s="331">
        <v>16.95</v>
      </c>
      <c r="J89" s="12">
        <f t="shared" si="7"/>
        <v>0</v>
      </c>
      <c r="K89" s="28"/>
    </row>
    <row r="90" spans="1:13" hidden="1" x14ac:dyDescent="0.35">
      <c r="A90" s="103"/>
      <c r="B90" s="12" t="s">
        <v>3</v>
      </c>
      <c r="C90" s="10" t="s">
        <v>266</v>
      </c>
      <c r="D90" s="152"/>
      <c r="E90" s="170"/>
      <c r="F90" s="95"/>
      <c r="G90" s="153" t="str">
        <f t="shared" si="8"/>
        <v/>
      </c>
      <c r="H90" s="10" t="s">
        <v>20</v>
      </c>
      <c r="I90" s="331">
        <v>17.95</v>
      </c>
      <c r="J90" s="12">
        <f t="shared" si="7"/>
        <v>0</v>
      </c>
      <c r="K90" s="28"/>
    </row>
    <row r="91" spans="1:13" hidden="1" x14ac:dyDescent="0.35">
      <c r="A91" s="103"/>
      <c r="B91" s="12" t="s">
        <v>3</v>
      </c>
      <c r="C91" s="10" t="s">
        <v>267</v>
      </c>
      <c r="D91" s="152"/>
      <c r="E91" s="170"/>
      <c r="F91" s="95"/>
      <c r="G91" s="153" t="str">
        <f t="shared" si="8"/>
        <v/>
      </c>
      <c r="H91" s="10" t="s">
        <v>20</v>
      </c>
      <c r="I91" s="331">
        <v>15.95</v>
      </c>
      <c r="J91" s="12">
        <f t="shared" si="7"/>
        <v>0</v>
      </c>
      <c r="K91" s="28"/>
    </row>
    <row r="92" spans="1:13" s="6" customFormat="1" ht="15.5" hidden="1" x14ac:dyDescent="0.35">
      <c r="A92" s="103"/>
      <c r="B92" s="12" t="s">
        <v>3</v>
      </c>
      <c r="C92" s="10" t="s">
        <v>268</v>
      </c>
      <c r="D92" s="152"/>
      <c r="E92" s="170"/>
      <c r="F92" s="95"/>
      <c r="G92" s="153" t="str">
        <f t="shared" si="8"/>
        <v/>
      </c>
      <c r="H92" s="10" t="s">
        <v>20</v>
      </c>
      <c r="I92" s="331">
        <v>20.95</v>
      </c>
      <c r="J92" s="12">
        <f t="shared" si="7"/>
        <v>0</v>
      </c>
      <c r="K92" s="30"/>
    </row>
    <row r="93" spans="1:13" hidden="1" x14ac:dyDescent="0.35">
      <c r="A93" s="103"/>
      <c r="B93" s="12" t="s">
        <v>3</v>
      </c>
      <c r="C93" s="10" t="s">
        <v>269</v>
      </c>
      <c r="D93" s="152"/>
      <c r="E93" s="170"/>
      <c r="F93" s="95"/>
      <c r="G93" s="153" t="str">
        <f t="shared" si="8"/>
        <v/>
      </c>
      <c r="H93" s="10" t="s">
        <v>20</v>
      </c>
      <c r="I93" s="331">
        <v>26.95</v>
      </c>
      <c r="J93" s="12">
        <f t="shared" si="7"/>
        <v>0</v>
      </c>
      <c r="K93" s="31"/>
    </row>
    <row r="94" spans="1:13" hidden="1" x14ac:dyDescent="0.35">
      <c r="A94" s="103"/>
      <c r="B94" s="12" t="s">
        <v>3</v>
      </c>
      <c r="C94" s="10" t="s">
        <v>270</v>
      </c>
      <c r="D94" s="152"/>
      <c r="E94" s="170"/>
      <c r="F94" s="95"/>
      <c r="G94" s="153" t="str">
        <f t="shared" si="8"/>
        <v/>
      </c>
      <c r="H94" s="10" t="s">
        <v>20</v>
      </c>
      <c r="I94" s="331">
        <v>26.95</v>
      </c>
      <c r="J94" s="12">
        <f t="shared" si="7"/>
        <v>0</v>
      </c>
      <c r="K94" s="31"/>
    </row>
    <row r="95" spans="1:13" s="6" customFormat="1" ht="15.5" hidden="1" x14ac:dyDescent="0.35">
      <c r="A95" s="111"/>
      <c r="B95" s="126" t="s">
        <v>271</v>
      </c>
      <c r="C95" s="127"/>
      <c r="D95" s="226"/>
      <c r="E95" s="172"/>
      <c r="F95" s="144"/>
      <c r="G95" s="153" t="str">
        <f t="shared" si="8"/>
        <v/>
      </c>
      <c r="H95" s="127"/>
      <c r="I95" s="239"/>
      <c r="J95" s="128"/>
      <c r="K95" s="30"/>
    </row>
    <row r="96" spans="1:13" ht="14.15" hidden="1" customHeight="1" x14ac:dyDescent="0.35">
      <c r="A96" s="103"/>
      <c r="B96" s="12" t="s">
        <v>3</v>
      </c>
      <c r="C96" s="10" t="s">
        <v>272</v>
      </c>
      <c r="D96" s="152"/>
      <c r="E96" s="170"/>
      <c r="F96" s="95"/>
      <c r="G96" s="153" t="str">
        <f t="shared" si="8"/>
        <v/>
      </c>
      <c r="H96" s="10" t="s">
        <v>20</v>
      </c>
      <c r="I96" s="331">
        <v>20.95</v>
      </c>
      <c r="J96" s="12">
        <f>E96*I96</f>
        <v>0</v>
      </c>
      <c r="K96" s="28"/>
    </row>
    <row r="97" spans="1:11" hidden="1" x14ac:dyDescent="0.35">
      <c r="A97" s="103"/>
      <c r="B97" s="12" t="s">
        <v>3</v>
      </c>
      <c r="C97" s="10" t="s">
        <v>273</v>
      </c>
      <c r="D97" s="152"/>
      <c r="E97" s="170"/>
      <c r="F97" s="95"/>
      <c r="G97" s="153" t="str">
        <f t="shared" si="8"/>
        <v/>
      </c>
      <c r="H97" s="10" t="s">
        <v>20</v>
      </c>
      <c r="I97" s="331">
        <v>23.95</v>
      </c>
      <c r="J97" s="12">
        <f>E97*I97</f>
        <v>0</v>
      </c>
      <c r="K97" s="28"/>
    </row>
    <row r="98" spans="1:11" s="6" customFormat="1" ht="15.65" hidden="1" customHeight="1" x14ac:dyDescent="0.35">
      <c r="A98" s="103"/>
      <c r="B98" s="12" t="s">
        <v>3</v>
      </c>
      <c r="C98" s="10" t="s">
        <v>274</v>
      </c>
      <c r="D98" s="152"/>
      <c r="E98" s="170"/>
      <c r="F98" s="95"/>
      <c r="G98" s="153" t="str">
        <f t="shared" si="8"/>
        <v/>
      </c>
      <c r="H98" s="10" t="s">
        <v>20</v>
      </c>
      <c r="I98" s="331">
        <v>22.5</v>
      </c>
      <c r="J98" s="12">
        <f>E98*I98</f>
        <v>0</v>
      </c>
      <c r="K98" s="30"/>
    </row>
    <row r="99" spans="1:11" ht="14.5" hidden="1" customHeight="1" x14ac:dyDescent="0.35">
      <c r="A99" s="103"/>
      <c r="B99" s="12" t="s">
        <v>3</v>
      </c>
      <c r="C99" s="10" t="s">
        <v>275</v>
      </c>
      <c r="D99" s="152"/>
      <c r="E99" s="170"/>
      <c r="F99" s="95"/>
      <c r="G99" s="153" t="str">
        <f t="shared" si="8"/>
        <v/>
      </c>
      <c r="H99" s="10" t="s">
        <v>20</v>
      </c>
      <c r="I99" s="331">
        <v>29.95</v>
      </c>
      <c r="J99" s="12">
        <f>E99*I99</f>
        <v>0</v>
      </c>
      <c r="K99" s="31"/>
    </row>
    <row r="100" spans="1:11" s="6" customFormat="1" ht="15.65" hidden="1" customHeight="1" x14ac:dyDescent="0.35">
      <c r="A100" s="111"/>
      <c r="B100" s="126" t="s">
        <v>276</v>
      </c>
      <c r="C100" s="127"/>
      <c r="D100" s="226"/>
      <c r="E100" s="172"/>
      <c r="F100" s="144"/>
      <c r="G100" s="153" t="str">
        <f t="shared" si="8"/>
        <v/>
      </c>
      <c r="H100" s="127"/>
      <c r="I100" s="239"/>
      <c r="J100" s="128"/>
    </row>
    <row r="101" spans="1:11" hidden="1" x14ac:dyDescent="0.35">
      <c r="A101" s="103"/>
      <c r="B101" s="12" t="s">
        <v>3</v>
      </c>
      <c r="C101" s="10" t="s">
        <v>277</v>
      </c>
      <c r="D101" s="152"/>
      <c r="E101" s="170"/>
      <c r="F101" s="95"/>
      <c r="G101" s="153" t="str">
        <f t="shared" si="8"/>
        <v/>
      </c>
      <c r="H101" s="10" t="s">
        <v>20</v>
      </c>
      <c r="I101" s="331">
        <v>17.95</v>
      </c>
      <c r="J101" s="12">
        <f>E101*I101</f>
        <v>0</v>
      </c>
      <c r="K101" s="28"/>
    </row>
    <row r="102" spans="1:11" s="6" customFormat="1" ht="15.5" hidden="1" x14ac:dyDescent="0.35">
      <c r="A102" s="103"/>
      <c r="B102" s="12" t="s">
        <v>3</v>
      </c>
      <c r="C102" s="10" t="s">
        <v>278</v>
      </c>
      <c r="D102" s="152"/>
      <c r="E102" s="170"/>
      <c r="F102" s="95"/>
      <c r="G102" s="153" t="str">
        <f t="shared" si="8"/>
        <v/>
      </c>
      <c r="H102" s="10" t="s">
        <v>20</v>
      </c>
      <c r="I102" s="331">
        <v>20.95</v>
      </c>
      <c r="J102" s="12">
        <f>E102*I102</f>
        <v>0</v>
      </c>
    </row>
    <row r="103" spans="1:11" hidden="1" x14ac:dyDescent="0.35">
      <c r="A103" s="103"/>
      <c r="B103" s="12" t="s">
        <v>3</v>
      </c>
      <c r="C103" s="10" t="s">
        <v>279</v>
      </c>
      <c r="D103" s="152"/>
      <c r="E103" s="170"/>
      <c r="F103" s="95"/>
      <c r="G103" s="153" t="str">
        <f t="shared" si="8"/>
        <v/>
      </c>
      <c r="H103" s="10" t="s">
        <v>20</v>
      </c>
      <c r="I103" s="331">
        <v>19.95</v>
      </c>
      <c r="J103" s="12">
        <f>E103*I103</f>
        <v>0</v>
      </c>
      <c r="K103" s="13"/>
    </row>
    <row r="104" spans="1:11" hidden="1" x14ac:dyDescent="0.35">
      <c r="A104" s="103"/>
      <c r="B104" s="40" t="s">
        <v>3</v>
      </c>
      <c r="C104" s="41" t="s">
        <v>280</v>
      </c>
      <c r="D104" s="227"/>
      <c r="E104" s="170"/>
      <c r="F104" s="145"/>
      <c r="G104" s="153" t="str">
        <f t="shared" si="8"/>
        <v/>
      </c>
      <c r="H104" s="41" t="s">
        <v>20</v>
      </c>
      <c r="I104" s="334">
        <v>59.95</v>
      </c>
      <c r="J104" s="40">
        <f>E104*I104</f>
        <v>0</v>
      </c>
      <c r="K104" s="13"/>
    </row>
    <row r="105" spans="1:11" ht="15.65" hidden="1" customHeight="1" x14ac:dyDescent="0.35">
      <c r="A105" s="111"/>
      <c r="B105" s="126" t="s">
        <v>281</v>
      </c>
      <c r="C105" s="127"/>
      <c r="D105" s="226"/>
      <c r="E105" s="172"/>
      <c r="F105" s="144"/>
      <c r="G105" s="153" t="str">
        <f t="shared" si="8"/>
        <v/>
      </c>
      <c r="H105" s="127"/>
      <c r="I105" s="239"/>
      <c r="J105" s="128"/>
      <c r="K105" s="13"/>
    </row>
    <row r="106" spans="1:11" ht="14.5" hidden="1" customHeight="1" x14ac:dyDescent="0.35">
      <c r="A106" s="103"/>
      <c r="B106" s="12" t="s">
        <v>3</v>
      </c>
      <c r="C106" s="10" t="s">
        <v>282</v>
      </c>
      <c r="D106" s="152"/>
      <c r="E106" s="170"/>
      <c r="F106" s="95"/>
      <c r="G106" s="153" t="str">
        <f t="shared" si="8"/>
        <v/>
      </c>
      <c r="H106" s="10" t="s">
        <v>20</v>
      </c>
      <c r="I106" s="331">
        <v>54.95</v>
      </c>
      <c r="J106" s="12">
        <f>E106*I106</f>
        <v>0</v>
      </c>
      <c r="K106" s="13"/>
    </row>
    <row r="107" spans="1:11" ht="14.5" hidden="1" customHeight="1" x14ac:dyDescent="0.35">
      <c r="A107" s="103"/>
      <c r="B107" s="12" t="s">
        <v>3</v>
      </c>
      <c r="C107" s="10" t="s">
        <v>283</v>
      </c>
      <c r="D107" s="152"/>
      <c r="E107" s="170"/>
      <c r="F107" s="95"/>
      <c r="G107" s="153" t="str">
        <f t="shared" si="8"/>
        <v/>
      </c>
      <c r="H107" s="10" t="s">
        <v>20</v>
      </c>
      <c r="I107" s="331">
        <v>49.95</v>
      </c>
      <c r="J107" s="12">
        <f>E107*I107</f>
        <v>0</v>
      </c>
      <c r="K107" s="13"/>
    </row>
    <row r="108" spans="1:11" ht="14.5" hidden="1" customHeight="1" x14ac:dyDescent="0.35">
      <c r="A108" s="111"/>
      <c r="B108" s="126" t="s">
        <v>284</v>
      </c>
      <c r="C108" s="127"/>
      <c r="D108" s="226"/>
      <c r="E108" s="172"/>
      <c r="F108" s="144"/>
      <c r="G108" s="153" t="str">
        <f t="shared" si="8"/>
        <v/>
      </c>
      <c r="H108" s="127"/>
      <c r="I108" s="239"/>
      <c r="J108" s="128"/>
      <c r="K108" s="13"/>
    </row>
    <row r="109" spans="1:11" ht="14.5" hidden="1" customHeight="1" x14ac:dyDescent="0.35">
      <c r="A109" s="103"/>
      <c r="B109" s="12" t="s">
        <v>3</v>
      </c>
      <c r="C109" s="10" t="s">
        <v>285</v>
      </c>
      <c r="D109" s="152"/>
      <c r="E109" s="170"/>
      <c r="F109" s="95"/>
      <c r="G109" s="153" t="str">
        <f t="shared" si="8"/>
        <v/>
      </c>
      <c r="H109" s="10" t="s">
        <v>20</v>
      </c>
      <c r="I109" s="331">
        <v>41.5</v>
      </c>
      <c r="J109" s="12">
        <f t="shared" ref="J109:J114" si="9">E109*I109</f>
        <v>0</v>
      </c>
      <c r="K109" s="13"/>
    </row>
    <row r="110" spans="1:11" ht="15.65" hidden="1" customHeight="1" x14ac:dyDescent="0.35">
      <c r="A110" s="103"/>
      <c r="B110" s="12" t="s">
        <v>3</v>
      </c>
      <c r="C110" s="10" t="s">
        <v>286</v>
      </c>
      <c r="D110" s="152"/>
      <c r="E110" s="170"/>
      <c r="F110" s="95"/>
      <c r="G110" s="153" t="str">
        <f t="shared" si="8"/>
        <v/>
      </c>
      <c r="H110" s="10" t="s">
        <v>20</v>
      </c>
      <c r="I110" s="331">
        <v>36.200000000000003</v>
      </c>
      <c r="J110" s="12">
        <f t="shared" si="9"/>
        <v>0</v>
      </c>
      <c r="K110" s="13"/>
    </row>
    <row r="111" spans="1:11" hidden="1" x14ac:dyDescent="0.35">
      <c r="A111" s="103"/>
      <c r="B111" s="12" t="s">
        <v>3</v>
      </c>
      <c r="C111" s="10" t="s">
        <v>287</v>
      </c>
      <c r="D111" s="152"/>
      <c r="E111" s="170"/>
      <c r="F111" s="95"/>
      <c r="G111" s="153" t="str">
        <f t="shared" si="8"/>
        <v/>
      </c>
      <c r="H111" s="10" t="s">
        <v>20</v>
      </c>
      <c r="I111" s="331">
        <v>25.95</v>
      </c>
      <c r="J111" s="12">
        <f t="shared" si="9"/>
        <v>0</v>
      </c>
      <c r="K111" s="13"/>
    </row>
    <row r="112" spans="1:11" hidden="1" x14ac:dyDescent="0.35">
      <c r="A112" s="103"/>
      <c r="B112" s="12" t="s">
        <v>3</v>
      </c>
      <c r="C112" s="10" t="s">
        <v>288</v>
      </c>
      <c r="D112" s="152"/>
      <c r="E112" s="170"/>
      <c r="F112" s="95"/>
      <c r="G112" s="153" t="str">
        <f t="shared" si="8"/>
        <v/>
      </c>
      <c r="H112" s="10" t="s">
        <v>20</v>
      </c>
      <c r="I112" s="331">
        <v>32.799999999999997</v>
      </c>
      <c r="J112" s="12">
        <f t="shared" si="9"/>
        <v>0</v>
      </c>
      <c r="K112" s="13"/>
    </row>
    <row r="113" spans="1:11" s="6" customFormat="1" ht="15.5" hidden="1" x14ac:dyDescent="0.35">
      <c r="A113" s="103"/>
      <c r="B113" s="12" t="s">
        <v>3</v>
      </c>
      <c r="C113" s="10" t="s">
        <v>289</v>
      </c>
      <c r="D113" s="152"/>
      <c r="E113" s="170"/>
      <c r="F113" s="95"/>
      <c r="G113" s="153" t="str">
        <f t="shared" si="8"/>
        <v/>
      </c>
      <c r="H113" s="10" t="s">
        <v>20</v>
      </c>
      <c r="I113" s="331">
        <v>29.2</v>
      </c>
      <c r="J113" s="12">
        <f t="shared" si="9"/>
        <v>0</v>
      </c>
    </row>
    <row r="114" spans="1:11" hidden="1" x14ac:dyDescent="0.35">
      <c r="A114" s="103"/>
      <c r="B114" s="12" t="s">
        <v>3</v>
      </c>
      <c r="C114" s="10" t="s">
        <v>290</v>
      </c>
      <c r="D114" s="152"/>
      <c r="E114" s="170"/>
      <c r="F114" s="95"/>
      <c r="G114" s="153" t="str">
        <f t="shared" si="8"/>
        <v/>
      </c>
      <c r="H114" s="10" t="s">
        <v>20</v>
      </c>
      <c r="I114" s="331">
        <v>22.95</v>
      </c>
      <c r="J114" s="12">
        <f t="shared" si="9"/>
        <v>0</v>
      </c>
      <c r="K114" s="13"/>
    </row>
    <row r="115" spans="1:11" ht="15.5" hidden="1" x14ac:dyDescent="0.35">
      <c r="A115" s="111"/>
      <c r="B115" s="126" t="s">
        <v>291</v>
      </c>
      <c r="C115" s="127"/>
      <c r="D115" s="226"/>
      <c r="E115" s="172"/>
      <c r="F115" s="144"/>
      <c r="G115" s="153" t="str">
        <f t="shared" si="8"/>
        <v/>
      </c>
      <c r="H115" s="127"/>
      <c r="I115" s="239"/>
      <c r="J115" s="128"/>
      <c r="K115" s="13"/>
    </row>
    <row r="116" spans="1:11" ht="14.5" hidden="1" customHeight="1" x14ac:dyDescent="0.35">
      <c r="A116" s="103"/>
      <c r="B116" s="12" t="s">
        <v>3</v>
      </c>
      <c r="C116" s="10" t="s">
        <v>292</v>
      </c>
      <c r="D116" s="152"/>
      <c r="E116" s="170"/>
      <c r="F116" s="95"/>
      <c r="G116" s="153" t="str">
        <f t="shared" si="8"/>
        <v/>
      </c>
      <c r="H116" s="10" t="s">
        <v>20</v>
      </c>
      <c r="I116" s="331">
        <v>17.95</v>
      </c>
      <c r="J116" s="12">
        <f t="shared" ref="J116:J121" si="10">E116*I116</f>
        <v>0</v>
      </c>
      <c r="K116" s="13"/>
    </row>
    <row r="117" spans="1:11" ht="14.5" hidden="1" customHeight="1" x14ac:dyDescent="0.35">
      <c r="A117" s="103"/>
      <c r="B117" s="12" t="s">
        <v>3</v>
      </c>
      <c r="C117" s="10" t="s">
        <v>293</v>
      </c>
      <c r="D117" s="152"/>
      <c r="E117" s="170"/>
      <c r="F117" s="95"/>
      <c r="G117" s="153" t="str">
        <f t="shared" si="8"/>
        <v/>
      </c>
      <c r="H117" s="10" t="s">
        <v>20</v>
      </c>
      <c r="I117" s="331">
        <v>12.95</v>
      </c>
      <c r="J117" s="12">
        <f t="shared" si="10"/>
        <v>0</v>
      </c>
      <c r="K117" s="13"/>
    </row>
    <row r="118" spans="1:11" ht="14.5" hidden="1" customHeight="1" x14ac:dyDescent="0.35">
      <c r="A118" s="103"/>
      <c r="B118" s="12" t="s">
        <v>3</v>
      </c>
      <c r="C118" s="10" t="s">
        <v>294</v>
      </c>
      <c r="D118" s="152"/>
      <c r="E118" s="170"/>
      <c r="F118" s="95"/>
      <c r="G118" s="153" t="str">
        <f t="shared" si="8"/>
        <v/>
      </c>
      <c r="H118" s="10" t="s">
        <v>20</v>
      </c>
      <c r="I118" s="331">
        <v>21.95</v>
      </c>
      <c r="J118" s="12">
        <f t="shared" si="10"/>
        <v>0</v>
      </c>
      <c r="K118" s="13"/>
    </row>
    <row r="119" spans="1:11" ht="14.5" hidden="1" customHeight="1" x14ac:dyDescent="0.35">
      <c r="A119" s="103"/>
      <c r="B119" s="12" t="s">
        <v>3</v>
      </c>
      <c r="C119" s="10" t="s">
        <v>295</v>
      </c>
      <c r="D119" s="152"/>
      <c r="E119" s="170"/>
      <c r="F119" s="95"/>
      <c r="G119" s="153" t="str">
        <f t="shared" si="8"/>
        <v/>
      </c>
      <c r="H119" s="10" t="s">
        <v>20</v>
      </c>
      <c r="I119" s="331"/>
      <c r="J119" s="12">
        <f t="shared" si="10"/>
        <v>0</v>
      </c>
      <c r="K119" s="13"/>
    </row>
    <row r="120" spans="1:11" ht="15.65" hidden="1" customHeight="1" x14ac:dyDescent="0.35">
      <c r="A120" s="103"/>
      <c r="B120" s="12" t="s">
        <v>3</v>
      </c>
      <c r="C120" s="10" t="s">
        <v>296</v>
      </c>
      <c r="D120" s="152"/>
      <c r="E120" s="170"/>
      <c r="F120" s="95"/>
      <c r="G120" s="153" t="str">
        <f t="shared" si="8"/>
        <v/>
      </c>
      <c r="H120" s="10" t="s">
        <v>20</v>
      </c>
      <c r="I120" s="331"/>
      <c r="J120" s="12">
        <f t="shared" si="10"/>
        <v>0</v>
      </c>
      <c r="K120" s="13"/>
    </row>
    <row r="121" spans="1:11" ht="15.65" hidden="1" customHeight="1" x14ac:dyDescent="0.35">
      <c r="A121" s="103"/>
      <c r="B121" s="12" t="s">
        <v>3</v>
      </c>
      <c r="C121" s="10" t="s">
        <v>297</v>
      </c>
      <c r="D121" s="152"/>
      <c r="E121" s="170"/>
      <c r="F121" s="95"/>
      <c r="G121" s="153" t="str">
        <f t="shared" si="8"/>
        <v/>
      </c>
      <c r="H121" s="10" t="s">
        <v>20</v>
      </c>
      <c r="I121" s="331">
        <v>22.95</v>
      </c>
      <c r="J121" s="12">
        <f t="shared" si="10"/>
        <v>0</v>
      </c>
      <c r="K121" s="13"/>
    </row>
    <row r="122" spans="1:11" ht="14.5" hidden="1" customHeight="1" x14ac:dyDescent="0.35">
      <c r="A122" s="112" t="s">
        <v>298</v>
      </c>
      <c r="B122" s="116"/>
      <c r="C122" s="116"/>
      <c r="D122" s="228"/>
      <c r="E122" s="173"/>
      <c r="F122" s="146"/>
      <c r="G122" s="153" t="str">
        <f t="shared" si="8"/>
        <v/>
      </c>
      <c r="H122" s="117"/>
      <c r="I122" s="106" t="s">
        <v>18</v>
      </c>
      <c r="J122" s="115">
        <f>SUM(J123:J175)</f>
        <v>534.25999999999988</v>
      </c>
      <c r="K122" s="13"/>
    </row>
    <row r="123" spans="1:11" ht="14.5" hidden="1" customHeight="1" x14ac:dyDescent="0.35">
      <c r="A123" s="103"/>
      <c r="B123" s="20" t="s">
        <v>4</v>
      </c>
      <c r="C123" s="18" t="s">
        <v>62</v>
      </c>
      <c r="D123" s="229"/>
      <c r="E123" s="170"/>
      <c r="F123" s="147"/>
      <c r="G123" s="153" t="str">
        <f t="shared" si="8"/>
        <v/>
      </c>
      <c r="H123" s="18" t="s">
        <v>20</v>
      </c>
      <c r="I123" s="335">
        <v>7.35</v>
      </c>
      <c r="J123" s="20">
        <f>E123*I123</f>
        <v>0</v>
      </c>
      <c r="K123" s="13"/>
    </row>
    <row r="124" spans="1:11" ht="14.5" hidden="1" customHeight="1" x14ac:dyDescent="0.35">
      <c r="A124" s="103"/>
      <c r="B124" s="20" t="s">
        <v>4</v>
      </c>
      <c r="C124" s="18" t="s">
        <v>60</v>
      </c>
      <c r="D124" s="229"/>
      <c r="E124" s="170"/>
      <c r="F124" s="147"/>
      <c r="G124" s="153" t="str">
        <f t="shared" si="8"/>
        <v/>
      </c>
      <c r="H124" s="18" t="s">
        <v>20</v>
      </c>
      <c r="I124" s="335">
        <v>10.65</v>
      </c>
      <c r="J124" s="20">
        <f>E124*I124</f>
        <v>0</v>
      </c>
      <c r="K124" s="13"/>
    </row>
    <row r="125" spans="1:11" ht="15.65" hidden="1" customHeight="1" x14ac:dyDescent="0.35">
      <c r="A125" s="113" t="s">
        <v>40</v>
      </c>
      <c r="B125" s="124"/>
      <c r="C125" s="124"/>
      <c r="D125" s="230"/>
      <c r="E125" s="174"/>
      <c r="F125" s="148"/>
      <c r="G125" s="153" t="str">
        <f t="shared" si="8"/>
        <v/>
      </c>
      <c r="H125" s="124"/>
      <c r="I125" s="241"/>
      <c r="J125" s="125"/>
      <c r="K125" s="13"/>
    </row>
    <row r="126" spans="1:11" ht="15.65" hidden="1" customHeight="1" x14ac:dyDescent="0.35">
      <c r="A126" s="103"/>
      <c r="B126" s="20" t="s">
        <v>4</v>
      </c>
      <c r="C126" s="18" t="s">
        <v>299</v>
      </c>
      <c r="D126" s="229"/>
      <c r="E126" s="170"/>
      <c r="F126" s="147"/>
      <c r="G126" s="153" t="str">
        <f t="shared" si="8"/>
        <v/>
      </c>
      <c r="H126" s="18" t="s">
        <v>20</v>
      </c>
      <c r="I126" s="335">
        <v>1.31</v>
      </c>
      <c r="J126" s="12">
        <f t="shared" ref="J126:J137" si="11">E126*I126</f>
        <v>0</v>
      </c>
      <c r="K126" s="13"/>
    </row>
    <row r="127" spans="1:11" ht="14.5" hidden="1" customHeight="1" x14ac:dyDescent="0.35">
      <c r="A127" s="103"/>
      <c r="B127" s="12" t="s">
        <v>4</v>
      </c>
      <c r="C127" s="10" t="s">
        <v>300</v>
      </c>
      <c r="D127" s="152"/>
      <c r="E127" s="170"/>
      <c r="F127" s="95"/>
      <c r="G127" s="153" t="str">
        <f t="shared" si="8"/>
        <v/>
      </c>
      <c r="H127" s="10" t="s">
        <v>20</v>
      </c>
      <c r="I127" s="331">
        <v>1.31</v>
      </c>
      <c r="J127" s="12">
        <f t="shared" si="11"/>
        <v>0</v>
      </c>
    </row>
    <row r="128" spans="1:11" ht="14.5" hidden="1" customHeight="1" x14ac:dyDescent="0.35">
      <c r="A128" s="103"/>
      <c r="B128" s="20" t="s">
        <v>4</v>
      </c>
      <c r="C128" s="18" t="s">
        <v>301</v>
      </c>
      <c r="D128" s="229"/>
      <c r="E128" s="170"/>
      <c r="F128" s="147"/>
      <c r="G128" s="153" t="str">
        <f t="shared" si="8"/>
        <v/>
      </c>
      <c r="H128" s="18" t="s">
        <v>20</v>
      </c>
      <c r="I128" s="335">
        <v>1.4039999999999999</v>
      </c>
      <c r="J128" s="12">
        <f t="shared" si="11"/>
        <v>0</v>
      </c>
    </row>
    <row r="129" spans="1:11" ht="14.5" hidden="1" customHeight="1" x14ac:dyDescent="0.35">
      <c r="A129" s="103"/>
      <c r="B129" s="12" t="s">
        <v>4</v>
      </c>
      <c r="C129" s="10" t="s">
        <v>302</v>
      </c>
      <c r="D129" s="152"/>
      <c r="E129" s="170"/>
      <c r="F129" s="95"/>
      <c r="G129" s="153" t="str">
        <f t="shared" si="8"/>
        <v/>
      </c>
      <c r="H129" s="10" t="s">
        <v>20</v>
      </c>
      <c r="I129" s="331">
        <v>1.4039999999999999</v>
      </c>
      <c r="J129" s="12">
        <f t="shared" si="11"/>
        <v>0</v>
      </c>
    </row>
    <row r="130" spans="1:11" ht="14.5" hidden="1" customHeight="1" x14ac:dyDescent="0.35">
      <c r="A130" s="103"/>
      <c r="B130" s="12" t="s">
        <v>4</v>
      </c>
      <c r="C130" s="10" t="s">
        <v>303</v>
      </c>
      <c r="D130" s="152"/>
      <c r="E130" s="170"/>
      <c r="F130" s="95"/>
      <c r="G130" s="153" t="str">
        <f t="shared" si="8"/>
        <v/>
      </c>
      <c r="H130" s="10" t="s">
        <v>20</v>
      </c>
      <c r="I130" s="331">
        <v>1.53</v>
      </c>
      <c r="J130" s="12">
        <f t="shared" si="11"/>
        <v>0</v>
      </c>
    </row>
    <row r="131" spans="1:11" ht="14.5" hidden="1" customHeight="1" x14ac:dyDescent="0.35">
      <c r="A131" s="103"/>
      <c r="B131" s="12" t="s">
        <v>4</v>
      </c>
      <c r="C131" s="10" t="s">
        <v>304</v>
      </c>
      <c r="D131" s="152"/>
      <c r="E131" s="170"/>
      <c r="F131" s="95"/>
      <c r="G131" s="153" t="str">
        <f t="shared" si="8"/>
        <v/>
      </c>
      <c r="H131" s="10" t="s">
        <v>20</v>
      </c>
      <c r="I131" s="331">
        <v>1.65</v>
      </c>
      <c r="J131" s="12">
        <f t="shared" si="11"/>
        <v>0</v>
      </c>
    </row>
    <row r="132" spans="1:11" ht="14.5" hidden="1" customHeight="1" x14ac:dyDescent="0.35">
      <c r="A132" s="103"/>
      <c r="B132" s="12" t="s">
        <v>4</v>
      </c>
      <c r="C132" s="10" t="s">
        <v>83</v>
      </c>
      <c r="D132" s="152"/>
      <c r="E132" s="170"/>
      <c r="F132" s="95"/>
      <c r="G132" s="153" t="str">
        <f t="shared" si="8"/>
        <v/>
      </c>
      <c r="H132" s="10" t="s">
        <v>20</v>
      </c>
      <c r="I132" s="331">
        <v>1.04</v>
      </c>
      <c r="J132" s="12">
        <f t="shared" si="11"/>
        <v>0</v>
      </c>
    </row>
    <row r="133" spans="1:11" ht="14.5" hidden="1" customHeight="1" x14ac:dyDescent="0.35">
      <c r="A133" s="103"/>
      <c r="B133" s="12" t="s">
        <v>4</v>
      </c>
      <c r="C133" s="10" t="s">
        <v>305</v>
      </c>
      <c r="D133" s="152"/>
      <c r="E133" s="170"/>
      <c r="F133" s="95"/>
      <c r="G133" s="153" t="str">
        <f t="shared" si="8"/>
        <v/>
      </c>
      <c r="H133" s="10" t="s">
        <v>20</v>
      </c>
      <c r="I133" s="331">
        <v>1.04</v>
      </c>
      <c r="J133" s="12">
        <f t="shared" si="11"/>
        <v>0</v>
      </c>
    </row>
    <row r="134" spans="1:11" ht="14.5" hidden="1" customHeight="1" x14ac:dyDescent="0.35">
      <c r="A134" s="103"/>
      <c r="B134" s="12" t="s">
        <v>4</v>
      </c>
      <c r="C134" s="10" t="s">
        <v>306</v>
      </c>
      <c r="D134" s="152"/>
      <c r="E134" s="170"/>
      <c r="F134" s="95"/>
      <c r="G134" s="153" t="str">
        <f t="shared" si="8"/>
        <v/>
      </c>
      <c r="H134" s="10" t="s">
        <v>20</v>
      </c>
      <c r="I134" s="331">
        <v>1.06</v>
      </c>
      <c r="J134" s="12">
        <f t="shared" si="11"/>
        <v>0</v>
      </c>
    </row>
    <row r="135" spans="1:11" ht="14.5" hidden="1" customHeight="1" x14ac:dyDescent="0.35">
      <c r="A135" s="103"/>
      <c r="B135" s="12" t="s">
        <v>4</v>
      </c>
      <c r="C135" s="10" t="s">
        <v>307</v>
      </c>
      <c r="D135" s="152"/>
      <c r="E135" s="170"/>
      <c r="F135" s="95"/>
      <c r="G135" s="153" t="str">
        <f t="shared" si="8"/>
        <v/>
      </c>
      <c r="H135" s="10" t="s">
        <v>20</v>
      </c>
      <c r="I135" s="331">
        <v>1.06</v>
      </c>
      <c r="J135" s="12">
        <f t="shared" si="11"/>
        <v>0</v>
      </c>
    </row>
    <row r="136" spans="1:11" ht="14.5" hidden="1" customHeight="1" x14ac:dyDescent="0.35">
      <c r="A136" s="103"/>
      <c r="B136" s="12" t="s">
        <v>4</v>
      </c>
      <c r="C136" s="10" t="s">
        <v>308</v>
      </c>
      <c r="D136" s="152"/>
      <c r="E136" s="170"/>
      <c r="F136" s="95"/>
      <c r="G136" s="153" t="str">
        <f t="shared" si="8"/>
        <v/>
      </c>
      <c r="H136" s="10" t="s">
        <v>20</v>
      </c>
      <c r="I136" s="331">
        <v>1.2869999999999999</v>
      </c>
      <c r="J136" s="12">
        <f t="shared" si="11"/>
        <v>0</v>
      </c>
    </row>
    <row r="137" spans="1:11" ht="15.65" hidden="1" customHeight="1" x14ac:dyDescent="0.35">
      <c r="A137" s="103"/>
      <c r="B137" s="12" t="s">
        <v>4</v>
      </c>
      <c r="C137" s="10" t="s">
        <v>309</v>
      </c>
      <c r="D137" s="152"/>
      <c r="E137" s="170"/>
      <c r="F137" s="95"/>
      <c r="G137" s="153" t="str">
        <f t="shared" si="8"/>
        <v/>
      </c>
      <c r="H137" s="10" t="s">
        <v>20</v>
      </c>
      <c r="I137" s="331">
        <v>1.59</v>
      </c>
      <c r="J137" s="12">
        <f t="shared" si="11"/>
        <v>0</v>
      </c>
      <c r="K137" s="13"/>
    </row>
    <row r="138" spans="1:11" ht="15.65" hidden="1" customHeight="1" x14ac:dyDescent="0.35">
      <c r="A138" s="113" t="s">
        <v>310</v>
      </c>
      <c r="B138" s="124"/>
      <c r="C138" s="124"/>
      <c r="D138" s="230"/>
      <c r="E138" s="174"/>
      <c r="F138" s="148"/>
      <c r="G138" s="153" t="str">
        <f t="shared" si="8"/>
        <v/>
      </c>
      <c r="H138" s="124"/>
      <c r="I138" s="241"/>
      <c r="J138" s="125"/>
    </row>
    <row r="139" spans="1:11" ht="14.5" hidden="1" customHeight="1" x14ac:dyDescent="0.35">
      <c r="A139" s="103"/>
      <c r="B139" s="12" t="s">
        <v>4</v>
      </c>
      <c r="C139" s="10" t="s">
        <v>311</v>
      </c>
      <c r="D139" s="152"/>
      <c r="E139" s="170"/>
      <c r="F139" s="95"/>
      <c r="G139" s="153" t="str">
        <f t="shared" si="8"/>
        <v/>
      </c>
      <c r="H139" s="10" t="s">
        <v>20</v>
      </c>
      <c r="I139" s="331">
        <v>1.1000000000000001</v>
      </c>
      <c r="J139" s="12">
        <f t="shared" ref="J139:J149" si="12">E139*I139</f>
        <v>0</v>
      </c>
    </row>
    <row r="140" spans="1:11" ht="14.5" hidden="1" customHeight="1" x14ac:dyDescent="0.35">
      <c r="A140" s="103"/>
      <c r="B140" s="12" t="s">
        <v>4</v>
      </c>
      <c r="C140" s="10" t="s">
        <v>312</v>
      </c>
      <c r="D140" s="152"/>
      <c r="E140" s="170"/>
      <c r="F140" s="95"/>
      <c r="G140" s="153" t="str">
        <f t="shared" si="8"/>
        <v/>
      </c>
      <c r="H140" s="10" t="s">
        <v>20</v>
      </c>
      <c r="I140" s="331">
        <v>1.1000000000000001</v>
      </c>
      <c r="J140" s="12">
        <f t="shared" si="12"/>
        <v>0</v>
      </c>
    </row>
    <row r="141" spans="1:11" ht="14.5" hidden="1" customHeight="1" x14ac:dyDescent="0.35">
      <c r="A141" s="103"/>
      <c r="B141" s="12" t="s">
        <v>4</v>
      </c>
      <c r="C141" s="10" t="s">
        <v>313</v>
      </c>
      <c r="D141" s="152"/>
      <c r="E141" s="170"/>
      <c r="F141" s="95"/>
      <c r="G141" s="153" t="str">
        <f t="shared" si="8"/>
        <v/>
      </c>
      <c r="H141" s="10" t="s">
        <v>20</v>
      </c>
      <c r="I141" s="331">
        <v>1.3</v>
      </c>
      <c r="J141" s="12">
        <f t="shared" si="12"/>
        <v>0</v>
      </c>
    </row>
    <row r="142" spans="1:11" ht="14.5" hidden="1" customHeight="1" x14ac:dyDescent="0.35">
      <c r="A142" s="103"/>
      <c r="B142" s="12" t="s">
        <v>4</v>
      </c>
      <c r="C142" s="10" t="s">
        <v>314</v>
      </c>
      <c r="D142" s="152"/>
      <c r="E142" s="170"/>
      <c r="F142" s="95"/>
      <c r="G142" s="153" t="str">
        <f t="shared" si="8"/>
        <v/>
      </c>
      <c r="H142" s="10" t="s">
        <v>20</v>
      </c>
      <c r="I142" s="331">
        <v>1.36</v>
      </c>
      <c r="J142" s="12">
        <f t="shared" si="12"/>
        <v>0</v>
      </c>
    </row>
    <row r="143" spans="1:11" ht="14.5" hidden="1" customHeight="1" x14ac:dyDescent="0.35">
      <c r="A143" s="103"/>
      <c r="B143" s="12" t="s">
        <v>4</v>
      </c>
      <c r="C143" s="10" t="s">
        <v>315</v>
      </c>
      <c r="D143" s="152"/>
      <c r="E143" s="170"/>
      <c r="F143" s="95"/>
      <c r="G143" s="153" t="str">
        <f t="shared" si="8"/>
        <v/>
      </c>
      <c r="H143" s="10" t="s">
        <v>20</v>
      </c>
      <c r="I143" s="331">
        <v>1.3</v>
      </c>
      <c r="J143" s="12">
        <f t="shared" si="12"/>
        <v>0</v>
      </c>
    </row>
    <row r="144" spans="1:11" ht="15.65" hidden="1" customHeight="1" x14ac:dyDescent="0.35">
      <c r="A144" s="103"/>
      <c r="B144" s="12" t="s">
        <v>4</v>
      </c>
      <c r="C144" s="10" t="s">
        <v>316</v>
      </c>
      <c r="D144" s="152"/>
      <c r="E144" s="170"/>
      <c r="F144" s="95"/>
      <c r="G144" s="153" t="str">
        <f t="shared" si="8"/>
        <v/>
      </c>
      <c r="H144" s="10" t="s">
        <v>20</v>
      </c>
      <c r="I144" s="331">
        <v>1.35</v>
      </c>
      <c r="J144" s="12">
        <f t="shared" si="12"/>
        <v>0</v>
      </c>
      <c r="K144" s="13"/>
    </row>
    <row r="145" spans="1:11" ht="15.65" hidden="1" customHeight="1" x14ac:dyDescent="0.35">
      <c r="A145" s="103"/>
      <c r="B145" s="12" t="s">
        <v>4</v>
      </c>
      <c r="C145" s="10" t="s">
        <v>317</v>
      </c>
      <c r="D145" s="152"/>
      <c r="E145" s="170"/>
      <c r="F145" s="95"/>
      <c r="G145" s="153" t="str">
        <f t="shared" si="8"/>
        <v/>
      </c>
      <c r="H145" s="10" t="s">
        <v>20</v>
      </c>
      <c r="I145" s="331">
        <v>1.28</v>
      </c>
      <c r="J145" s="12">
        <f t="shared" si="12"/>
        <v>0</v>
      </c>
    </row>
    <row r="146" spans="1:11" ht="14.5" hidden="1" customHeight="1" x14ac:dyDescent="0.35">
      <c r="A146" s="103"/>
      <c r="B146" s="12" t="s">
        <v>4</v>
      </c>
      <c r="C146" s="10" t="s">
        <v>318</v>
      </c>
      <c r="D146" s="152"/>
      <c r="E146" s="170"/>
      <c r="F146" s="95"/>
      <c r="G146" s="153" t="str">
        <f t="shared" si="8"/>
        <v/>
      </c>
      <c r="H146" s="10" t="s">
        <v>20</v>
      </c>
      <c r="I146" s="331">
        <v>1.1000000000000001</v>
      </c>
      <c r="J146" s="12">
        <f t="shared" si="12"/>
        <v>0</v>
      </c>
    </row>
    <row r="147" spans="1:11" ht="14.5" hidden="1" customHeight="1" x14ac:dyDescent="0.35">
      <c r="A147" s="103"/>
      <c r="B147" s="12" t="s">
        <v>4</v>
      </c>
      <c r="C147" s="10" t="s">
        <v>319</v>
      </c>
      <c r="D147" s="152"/>
      <c r="E147" s="170"/>
      <c r="F147" s="95"/>
      <c r="G147" s="153" t="str">
        <f t="shared" si="8"/>
        <v/>
      </c>
      <c r="H147" s="10" t="s">
        <v>20</v>
      </c>
      <c r="I147" s="331">
        <v>1.1000000000000001</v>
      </c>
      <c r="J147" s="12">
        <f t="shared" si="12"/>
        <v>0</v>
      </c>
    </row>
    <row r="148" spans="1:11" ht="14.5" hidden="1" customHeight="1" x14ac:dyDescent="0.35">
      <c r="A148" s="103"/>
      <c r="B148" s="12" t="s">
        <v>4</v>
      </c>
      <c r="C148" s="10" t="s">
        <v>320</v>
      </c>
      <c r="D148" s="152"/>
      <c r="E148" s="170"/>
      <c r="F148" s="95"/>
      <c r="G148" s="153" t="str">
        <f t="shared" si="8"/>
        <v/>
      </c>
      <c r="H148" s="10" t="s">
        <v>20</v>
      </c>
      <c r="I148" s="331">
        <v>1.1000000000000001</v>
      </c>
      <c r="J148" s="12">
        <f t="shared" si="12"/>
        <v>0</v>
      </c>
    </row>
    <row r="149" spans="1:11" ht="14.5" hidden="1" customHeight="1" x14ac:dyDescent="0.35">
      <c r="A149" s="103"/>
      <c r="B149" s="12" t="s">
        <v>4</v>
      </c>
      <c r="C149" s="10" t="s">
        <v>321</v>
      </c>
      <c r="D149" s="152"/>
      <c r="E149" s="170"/>
      <c r="F149" s="95"/>
      <c r="G149" s="153" t="str">
        <f t="shared" si="8"/>
        <v/>
      </c>
      <c r="H149" s="10" t="s">
        <v>20</v>
      </c>
      <c r="I149" s="331">
        <v>1.1000000000000001</v>
      </c>
      <c r="J149" s="12">
        <f t="shared" si="12"/>
        <v>0</v>
      </c>
    </row>
    <row r="150" spans="1:11" ht="14.5" customHeight="1" x14ac:dyDescent="0.35">
      <c r="A150" s="113" t="s">
        <v>41</v>
      </c>
      <c r="B150" s="124"/>
      <c r="C150" s="124"/>
      <c r="D150" s="230"/>
      <c r="E150" s="174"/>
      <c r="F150" s="148"/>
      <c r="G150" s="165" t="str">
        <f t="shared" si="8"/>
        <v/>
      </c>
      <c r="H150" s="124"/>
      <c r="I150" s="241"/>
      <c r="J150" s="125"/>
    </row>
    <row r="151" spans="1:11" ht="14.5" customHeight="1" x14ac:dyDescent="0.35">
      <c r="A151" s="103"/>
      <c r="B151" s="12" t="s">
        <v>4</v>
      </c>
      <c r="C151" s="10" t="s">
        <v>24</v>
      </c>
      <c r="D151" s="152">
        <v>20</v>
      </c>
      <c r="E151" s="170">
        <v>17</v>
      </c>
      <c r="F151" s="95"/>
      <c r="G151" s="153">
        <f t="shared" si="8"/>
        <v>3</v>
      </c>
      <c r="H151" s="10" t="s">
        <v>20</v>
      </c>
      <c r="I151" s="331">
        <v>3.04</v>
      </c>
      <c r="J151" s="12">
        <f t="shared" ref="J151:J164" si="13">E151*I151</f>
        <v>51.68</v>
      </c>
      <c r="K151" s="13"/>
    </row>
    <row r="152" spans="1:11" ht="15.65" customHeight="1" x14ac:dyDescent="0.35">
      <c r="A152" s="103"/>
      <c r="B152" s="12" t="s">
        <v>4</v>
      </c>
      <c r="C152" s="10" t="s">
        <v>80</v>
      </c>
      <c r="D152" s="152">
        <v>40</v>
      </c>
      <c r="E152" s="170">
        <v>78</v>
      </c>
      <c r="F152" s="95"/>
      <c r="G152" s="153" t="str">
        <f t="shared" si="8"/>
        <v/>
      </c>
      <c r="H152" s="10" t="s">
        <v>20</v>
      </c>
      <c r="I152" s="331">
        <v>2.31</v>
      </c>
      <c r="J152" s="12">
        <f t="shared" si="13"/>
        <v>180.18</v>
      </c>
    </row>
    <row r="153" spans="1:11" ht="15.65" customHeight="1" x14ac:dyDescent="0.35">
      <c r="A153" s="103"/>
      <c r="B153" s="12" t="s">
        <v>4</v>
      </c>
      <c r="C153" s="10" t="s">
        <v>84</v>
      </c>
      <c r="D153" s="152">
        <v>20</v>
      </c>
      <c r="E153" s="170">
        <v>38</v>
      </c>
      <c r="F153" s="95"/>
      <c r="G153" s="153" t="str">
        <f t="shared" ref="G153:G223" si="14">IF(E153="","",IF(D153-E153&gt;0,D153-E153,""))</f>
        <v/>
      </c>
      <c r="H153" s="10" t="s">
        <v>20</v>
      </c>
      <c r="I153" s="331">
        <v>2.31</v>
      </c>
      <c r="J153" s="12">
        <f t="shared" si="13"/>
        <v>87.78</v>
      </c>
    </row>
    <row r="154" spans="1:11" ht="14.5" hidden="1" customHeight="1" x14ac:dyDescent="0.35">
      <c r="A154" s="103"/>
      <c r="B154" s="12" t="s">
        <v>4</v>
      </c>
      <c r="C154" s="10" t="s">
        <v>394</v>
      </c>
      <c r="D154" s="152"/>
      <c r="E154" s="170"/>
      <c r="F154" s="95"/>
      <c r="G154" s="153" t="str">
        <f t="shared" si="14"/>
        <v/>
      </c>
      <c r="H154" s="10" t="s">
        <v>20</v>
      </c>
      <c r="I154" s="331">
        <v>2.54</v>
      </c>
      <c r="J154" s="12">
        <f t="shared" si="13"/>
        <v>0</v>
      </c>
    </row>
    <row r="155" spans="1:11" ht="14.5" hidden="1" customHeight="1" x14ac:dyDescent="0.35">
      <c r="A155" s="103"/>
      <c r="B155" s="12" t="s">
        <v>4</v>
      </c>
      <c r="C155" s="10" t="s">
        <v>394</v>
      </c>
      <c r="D155" s="152"/>
      <c r="E155" s="170"/>
      <c r="F155" s="95"/>
      <c r="G155" s="153" t="str">
        <f t="shared" si="14"/>
        <v/>
      </c>
      <c r="H155" s="10" t="s">
        <v>20</v>
      </c>
      <c r="I155" s="331">
        <v>2.54</v>
      </c>
      <c r="J155" s="12">
        <f t="shared" si="13"/>
        <v>0</v>
      </c>
    </row>
    <row r="156" spans="1:11" ht="14.5" customHeight="1" x14ac:dyDescent="0.35">
      <c r="A156" s="103"/>
      <c r="B156" s="12" t="s">
        <v>4</v>
      </c>
      <c r="C156" s="10" t="s">
        <v>25</v>
      </c>
      <c r="D156" s="152">
        <v>20</v>
      </c>
      <c r="E156" s="170">
        <v>10</v>
      </c>
      <c r="F156" s="95"/>
      <c r="G156" s="153">
        <f t="shared" si="14"/>
        <v>10</v>
      </c>
      <c r="H156" s="10" t="s">
        <v>20</v>
      </c>
      <c r="I156" s="331">
        <v>1.79</v>
      </c>
      <c r="J156" s="12">
        <f t="shared" si="13"/>
        <v>17.899999999999999</v>
      </c>
      <c r="K156" s="13"/>
    </row>
    <row r="157" spans="1:11" ht="15.65" hidden="1" customHeight="1" x14ac:dyDescent="0.35">
      <c r="A157" s="103"/>
      <c r="B157" s="12" t="s">
        <v>4</v>
      </c>
      <c r="C157" s="10" t="s">
        <v>322</v>
      </c>
      <c r="D157" s="152"/>
      <c r="E157" s="170"/>
      <c r="F157" s="95"/>
      <c r="G157" s="153" t="str">
        <f t="shared" si="14"/>
        <v/>
      </c>
      <c r="H157" s="10" t="s">
        <v>20</v>
      </c>
      <c r="I157" s="331">
        <v>2.46</v>
      </c>
      <c r="J157" s="12">
        <f t="shared" si="13"/>
        <v>0</v>
      </c>
    </row>
    <row r="158" spans="1:11" ht="15.65" customHeight="1" x14ac:dyDescent="0.35">
      <c r="A158" s="103"/>
      <c r="B158" s="12" t="s">
        <v>4</v>
      </c>
      <c r="C158" s="10" t="s">
        <v>393</v>
      </c>
      <c r="D158" s="152">
        <v>40</v>
      </c>
      <c r="E158" s="170">
        <v>37</v>
      </c>
      <c r="F158" s="95"/>
      <c r="G158" s="153">
        <f t="shared" si="14"/>
        <v>3</v>
      </c>
      <c r="H158" s="10" t="s">
        <v>20</v>
      </c>
      <c r="I158" s="331">
        <v>2.46</v>
      </c>
      <c r="J158" s="12">
        <f t="shared" si="13"/>
        <v>91.02</v>
      </c>
    </row>
    <row r="159" spans="1:11" ht="14.5" hidden="1" customHeight="1" x14ac:dyDescent="0.35">
      <c r="A159" s="103"/>
      <c r="B159" s="12" t="s">
        <v>4</v>
      </c>
      <c r="C159" s="10" t="s">
        <v>43</v>
      </c>
      <c r="D159" s="152"/>
      <c r="E159" s="170"/>
      <c r="F159" s="95"/>
      <c r="G159" s="153" t="str">
        <f t="shared" si="14"/>
        <v/>
      </c>
      <c r="H159" s="10" t="s">
        <v>20</v>
      </c>
      <c r="I159" s="331">
        <v>2.5499999999999998</v>
      </c>
      <c r="J159" s="12">
        <f t="shared" si="13"/>
        <v>0</v>
      </c>
    </row>
    <row r="160" spans="1:11" ht="14.5" customHeight="1" x14ac:dyDescent="0.35">
      <c r="A160" s="103"/>
      <c r="B160" s="12" t="s">
        <v>4</v>
      </c>
      <c r="C160" s="10" t="s">
        <v>81</v>
      </c>
      <c r="D160" s="152">
        <v>40</v>
      </c>
      <c r="E160" s="170">
        <v>33</v>
      </c>
      <c r="F160" s="95"/>
      <c r="G160" s="153">
        <f t="shared" si="14"/>
        <v>7</v>
      </c>
      <c r="H160" s="10" t="s">
        <v>20</v>
      </c>
      <c r="I160" s="331">
        <v>1.51</v>
      </c>
      <c r="J160" s="12">
        <f t="shared" si="13"/>
        <v>49.83</v>
      </c>
      <c r="K160" s="13"/>
    </row>
    <row r="161" spans="1:11" ht="15.65" customHeight="1" x14ac:dyDescent="0.35">
      <c r="A161" s="103"/>
      <c r="B161" s="12" t="s">
        <v>4</v>
      </c>
      <c r="C161" s="10" t="s">
        <v>82</v>
      </c>
      <c r="D161" s="152">
        <v>40</v>
      </c>
      <c r="E161" s="170">
        <v>37</v>
      </c>
      <c r="F161" s="95"/>
      <c r="G161" s="153">
        <f t="shared" si="14"/>
        <v>3</v>
      </c>
      <c r="H161" s="10" t="s">
        <v>20</v>
      </c>
      <c r="I161" s="331">
        <v>1.51</v>
      </c>
      <c r="J161" s="12">
        <f t="shared" si="13"/>
        <v>55.87</v>
      </c>
    </row>
    <row r="162" spans="1:11" hidden="1" x14ac:dyDescent="0.35">
      <c r="A162" s="103"/>
      <c r="B162" s="12" t="s">
        <v>4</v>
      </c>
      <c r="C162" s="10" t="s">
        <v>323</v>
      </c>
      <c r="D162" s="152"/>
      <c r="E162" s="170"/>
      <c r="F162" s="95"/>
      <c r="G162" s="153" t="str">
        <f t="shared" si="14"/>
        <v/>
      </c>
      <c r="H162" s="10" t="s">
        <v>20</v>
      </c>
      <c r="I162" s="331">
        <v>1.54</v>
      </c>
      <c r="J162" s="12">
        <f t="shared" si="13"/>
        <v>0</v>
      </c>
    </row>
    <row r="163" spans="1:11" ht="14.5" hidden="1" customHeight="1" x14ac:dyDescent="0.35">
      <c r="A163" s="103"/>
      <c r="B163" s="12" t="s">
        <v>4</v>
      </c>
      <c r="C163" s="10" t="s">
        <v>324</v>
      </c>
      <c r="D163" s="152"/>
      <c r="E163" s="170"/>
      <c r="F163" s="95"/>
      <c r="G163" s="153" t="str">
        <f t="shared" si="14"/>
        <v/>
      </c>
      <c r="H163" s="10" t="s">
        <v>20</v>
      </c>
      <c r="I163" s="331">
        <v>1.6</v>
      </c>
      <c r="J163" s="12">
        <f t="shared" si="13"/>
        <v>0</v>
      </c>
    </row>
    <row r="164" spans="1:11" ht="14.5" hidden="1" customHeight="1" x14ac:dyDescent="0.35">
      <c r="A164" s="103"/>
      <c r="B164" s="12" t="s">
        <v>4</v>
      </c>
      <c r="C164" s="78" t="s">
        <v>325</v>
      </c>
      <c r="D164" s="224"/>
      <c r="E164" s="170"/>
      <c r="F164" s="142"/>
      <c r="G164" s="153" t="str">
        <f t="shared" si="14"/>
        <v/>
      </c>
      <c r="H164" s="10" t="s">
        <v>20</v>
      </c>
      <c r="I164" s="333">
        <v>49.95</v>
      </c>
      <c r="J164" s="12">
        <f t="shared" si="13"/>
        <v>0</v>
      </c>
    </row>
    <row r="165" spans="1:11" ht="14.5" customHeight="1" x14ac:dyDescent="0.35">
      <c r="A165" s="113" t="s">
        <v>44</v>
      </c>
      <c r="B165" s="124"/>
      <c r="C165" s="124"/>
      <c r="D165" s="230"/>
      <c r="E165" s="174"/>
      <c r="F165" s="148"/>
      <c r="G165" s="165" t="str">
        <f t="shared" si="14"/>
        <v/>
      </c>
      <c r="H165" s="124"/>
      <c r="I165" s="241"/>
      <c r="J165" s="125"/>
    </row>
    <row r="166" spans="1:11" ht="14.5" customHeight="1" x14ac:dyDescent="0.35">
      <c r="A166" s="103"/>
      <c r="B166" s="12" t="s">
        <v>4</v>
      </c>
      <c r="C166" s="10" t="s">
        <v>48</v>
      </c>
      <c r="D166" s="152"/>
      <c r="E166" s="170"/>
      <c r="F166" s="95"/>
      <c r="G166" s="153" t="str">
        <f t="shared" si="14"/>
        <v/>
      </c>
      <c r="H166" s="10" t="s">
        <v>20</v>
      </c>
      <c r="I166" s="331">
        <v>1.94</v>
      </c>
      <c r="J166" s="12">
        <f t="shared" ref="J166:J175" si="15">E166*I166</f>
        <v>0</v>
      </c>
    </row>
    <row r="167" spans="1:11" ht="14.5" customHeight="1" x14ac:dyDescent="0.35">
      <c r="A167" s="103"/>
      <c r="B167" s="12" t="s">
        <v>4</v>
      </c>
      <c r="C167" s="10" t="s">
        <v>49</v>
      </c>
      <c r="D167" s="152"/>
      <c r="E167" s="170"/>
      <c r="F167" s="95"/>
      <c r="G167" s="153" t="str">
        <f t="shared" si="14"/>
        <v/>
      </c>
      <c r="H167" s="10" t="s">
        <v>20</v>
      </c>
      <c r="I167" s="331">
        <v>1.94</v>
      </c>
      <c r="J167" s="12">
        <f t="shared" si="15"/>
        <v>0</v>
      </c>
    </row>
    <row r="168" spans="1:11" ht="14.5" customHeight="1" x14ac:dyDescent="0.35">
      <c r="A168" s="103"/>
      <c r="B168" s="12" t="s">
        <v>4</v>
      </c>
      <c r="C168" s="10" t="s">
        <v>50</v>
      </c>
      <c r="D168" s="152"/>
      <c r="E168" s="170"/>
      <c r="F168" s="95"/>
      <c r="G168" s="153" t="str">
        <f t="shared" si="14"/>
        <v/>
      </c>
      <c r="H168" s="10" t="s">
        <v>20</v>
      </c>
      <c r="I168" s="331">
        <v>1.94</v>
      </c>
      <c r="J168" s="12">
        <f t="shared" si="15"/>
        <v>0</v>
      </c>
    </row>
    <row r="169" spans="1:11" ht="14.5" hidden="1" customHeight="1" x14ac:dyDescent="0.35">
      <c r="A169" s="103"/>
      <c r="B169" s="12" t="s">
        <v>4</v>
      </c>
      <c r="C169" s="10" t="s">
        <v>415</v>
      </c>
      <c r="D169" s="152"/>
      <c r="E169" s="170"/>
      <c r="F169" s="95"/>
      <c r="G169" s="153" t="str">
        <f t="shared" si="14"/>
        <v/>
      </c>
      <c r="H169" s="10" t="s">
        <v>20</v>
      </c>
      <c r="I169" s="331">
        <v>1.98</v>
      </c>
      <c r="J169" s="12">
        <f t="shared" si="15"/>
        <v>0</v>
      </c>
    </row>
    <row r="170" spans="1:11" ht="14.5" hidden="1" customHeight="1" x14ac:dyDescent="0.35">
      <c r="A170" s="103"/>
      <c r="B170" s="12" t="s">
        <v>4</v>
      </c>
      <c r="C170" s="10" t="s">
        <v>414</v>
      </c>
      <c r="D170" s="152"/>
      <c r="E170" s="170"/>
      <c r="F170" s="95"/>
      <c r="G170" s="153" t="str">
        <f t="shared" si="14"/>
        <v/>
      </c>
      <c r="H170" s="10" t="s">
        <v>20</v>
      </c>
      <c r="I170" s="331">
        <v>1.98</v>
      </c>
      <c r="J170" s="12">
        <f t="shared" si="15"/>
        <v>0</v>
      </c>
    </row>
    <row r="171" spans="1:11" ht="14.5" hidden="1" customHeight="1" x14ac:dyDescent="0.35">
      <c r="A171" s="103"/>
      <c r="B171" s="12" t="s">
        <v>4</v>
      </c>
      <c r="C171" s="10" t="s">
        <v>328</v>
      </c>
      <c r="D171" s="152"/>
      <c r="E171" s="170"/>
      <c r="F171" s="95"/>
      <c r="G171" s="153" t="str">
        <f t="shared" si="14"/>
        <v/>
      </c>
      <c r="H171" s="10" t="s">
        <v>20</v>
      </c>
      <c r="I171" s="331">
        <v>1.98</v>
      </c>
      <c r="J171" s="12">
        <f t="shared" si="15"/>
        <v>0</v>
      </c>
    </row>
    <row r="172" spans="1:11" hidden="1" x14ac:dyDescent="0.35">
      <c r="A172" s="103"/>
      <c r="B172" s="12" t="s">
        <v>4</v>
      </c>
      <c r="C172" s="10" t="s">
        <v>329</v>
      </c>
      <c r="D172" s="152"/>
      <c r="E172" s="170"/>
      <c r="F172" s="95"/>
      <c r="G172" s="153" t="str">
        <f t="shared" si="14"/>
        <v/>
      </c>
      <c r="H172" s="10" t="s">
        <v>20</v>
      </c>
      <c r="I172" s="331">
        <v>1.98</v>
      </c>
      <c r="J172" s="12">
        <f t="shared" si="15"/>
        <v>0</v>
      </c>
    </row>
    <row r="173" spans="1:11" ht="14.5" hidden="1" customHeight="1" x14ac:dyDescent="0.35">
      <c r="A173" s="103"/>
      <c r="B173" s="40" t="s">
        <v>4</v>
      </c>
      <c r="C173" s="41" t="s">
        <v>330</v>
      </c>
      <c r="D173" s="227"/>
      <c r="E173" s="170"/>
      <c r="F173" s="145"/>
      <c r="G173" s="153" t="str">
        <f t="shared" si="14"/>
        <v/>
      </c>
      <c r="H173" s="10" t="s">
        <v>20</v>
      </c>
      <c r="I173" s="331">
        <v>1.98</v>
      </c>
      <c r="J173" s="12">
        <f t="shared" si="15"/>
        <v>0</v>
      </c>
    </row>
    <row r="174" spans="1:11" ht="14.5" hidden="1" customHeight="1" x14ac:dyDescent="0.35">
      <c r="A174" s="103"/>
      <c r="B174" s="40" t="s">
        <v>4</v>
      </c>
      <c r="C174" s="41" t="s">
        <v>331</v>
      </c>
      <c r="D174" s="227"/>
      <c r="E174" s="170"/>
      <c r="F174" s="145"/>
      <c r="G174" s="153" t="str">
        <f t="shared" si="14"/>
        <v/>
      </c>
      <c r="H174" s="10" t="s">
        <v>20</v>
      </c>
      <c r="I174" s="331">
        <v>1.98</v>
      </c>
      <c r="J174" s="12">
        <f t="shared" si="15"/>
        <v>0</v>
      </c>
    </row>
    <row r="175" spans="1:11" ht="14.5" hidden="1" customHeight="1" x14ac:dyDescent="0.35">
      <c r="A175" s="103"/>
      <c r="B175" s="40" t="s">
        <v>4</v>
      </c>
      <c r="C175" s="41" t="s">
        <v>413</v>
      </c>
      <c r="D175" s="227"/>
      <c r="E175" s="170"/>
      <c r="F175" s="145"/>
      <c r="G175" s="153" t="str">
        <f t="shared" si="14"/>
        <v/>
      </c>
      <c r="H175" s="41" t="s">
        <v>20</v>
      </c>
      <c r="I175" s="334">
        <v>1.98</v>
      </c>
      <c r="J175" s="12">
        <f t="shared" si="15"/>
        <v>0</v>
      </c>
    </row>
    <row r="176" spans="1:11" ht="14.5" hidden="1" customHeight="1" x14ac:dyDescent="0.35">
      <c r="A176" s="114" t="s">
        <v>333</v>
      </c>
      <c r="B176" s="120"/>
      <c r="C176" s="120"/>
      <c r="D176" s="228"/>
      <c r="E176" s="175"/>
      <c r="F176" s="149"/>
      <c r="G176" s="153" t="str">
        <f t="shared" si="14"/>
        <v/>
      </c>
      <c r="H176" s="121"/>
      <c r="I176" s="122" t="s">
        <v>18</v>
      </c>
      <c r="J176" s="123">
        <f>SUM(J177:J186)</f>
        <v>0</v>
      </c>
      <c r="K176" s="13"/>
    </row>
    <row r="177" spans="1:14" ht="15.65" hidden="1" customHeight="1" x14ac:dyDescent="0.35">
      <c r="A177" s="103"/>
      <c r="B177" s="12" t="s">
        <v>26</v>
      </c>
      <c r="C177" s="10" t="s">
        <v>334</v>
      </c>
      <c r="D177" s="152"/>
      <c r="E177" s="170"/>
      <c r="F177" s="95"/>
      <c r="G177" s="153" t="str">
        <f t="shared" si="14"/>
        <v/>
      </c>
      <c r="H177" s="10" t="s">
        <v>335</v>
      </c>
      <c r="I177" s="331">
        <v>20</v>
      </c>
      <c r="J177" s="12">
        <f t="shared" ref="J177:J186" si="16">E177*I177</f>
        <v>0</v>
      </c>
    </row>
    <row r="178" spans="1:14" hidden="1" x14ac:dyDescent="0.35">
      <c r="A178" s="103"/>
      <c r="B178" s="20" t="s">
        <v>26</v>
      </c>
      <c r="C178" s="18" t="s">
        <v>53</v>
      </c>
      <c r="D178" s="229"/>
      <c r="E178" s="170"/>
      <c r="F178" s="147"/>
      <c r="G178" s="153" t="str">
        <f t="shared" si="14"/>
        <v/>
      </c>
      <c r="H178" s="18" t="s">
        <v>20</v>
      </c>
      <c r="I178" s="335">
        <v>0.43</v>
      </c>
      <c r="J178" s="20">
        <f t="shared" si="16"/>
        <v>0</v>
      </c>
      <c r="N178" t="s">
        <v>47</v>
      </c>
    </row>
    <row r="179" spans="1:14" hidden="1" x14ac:dyDescent="0.35">
      <c r="A179" s="103"/>
      <c r="B179" s="20" t="s">
        <v>26</v>
      </c>
      <c r="C179" s="18" t="s">
        <v>336</v>
      </c>
      <c r="D179" s="229"/>
      <c r="E179" s="170"/>
      <c r="F179" s="147"/>
      <c r="G179" s="153" t="str">
        <f t="shared" si="14"/>
        <v/>
      </c>
      <c r="H179" s="18" t="s">
        <v>20</v>
      </c>
      <c r="I179" s="335">
        <v>0.43</v>
      </c>
      <c r="J179" s="20">
        <f t="shared" si="16"/>
        <v>0</v>
      </c>
    </row>
    <row r="180" spans="1:14" ht="16.399999999999999" hidden="1" customHeight="1" x14ac:dyDescent="0.35">
      <c r="A180" s="103"/>
      <c r="B180" s="12" t="s">
        <v>26</v>
      </c>
      <c r="C180" s="10" t="s">
        <v>337</v>
      </c>
      <c r="D180" s="152"/>
      <c r="E180" s="170"/>
      <c r="F180" s="95"/>
      <c r="G180" s="153" t="str">
        <f t="shared" si="14"/>
        <v/>
      </c>
      <c r="H180" s="10" t="s">
        <v>20</v>
      </c>
      <c r="I180" s="331">
        <v>0.43</v>
      </c>
      <c r="J180" s="12">
        <f t="shared" si="16"/>
        <v>0</v>
      </c>
    </row>
    <row r="181" spans="1:14" ht="14.5" hidden="1" customHeight="1" x14ac:dyDescent="0.35">
      <c r="A181" s="103"/>
      <c r="B181" s="12" t="s">
        <v>26</v>
      </c>
      <c r="C181" s="10" t="s">
        <v>51</v>
      </c>
      <c r="D181" s="152"/>
      <c r="E181" s="170"/>
      <c r="F181" s="95"/>
      <c r="G181" s="153" t="str">
        <f t="shared" si="14"/>
        <v/>
      </c>
      <c r="H181" s="10" t="s">
        <v>61</v>
      </c>
      <c r="I181" s="331">
        <v>14</v>
      </c>
      <c r="J181" s="12">
        <f t="shared" si="16"/>
        <v>0</v>
      </c>
    </row>
    <row r="182" spans="1:14" hidden="1" x14ac:dyDescent="0.35">
      <c r="A182" s="103"/>
      <c r="B182" s="12" t="s">
        <v>26</v>
      </c>
      <c r="C182" s="10" t="s">
        <v>338</v>
      </c>
      <c r="D182" s="152"/>
      <c r="E182" s="170"/>
      <c r="F182" s="95"/>
      <c r="G182" s="153" t="str">
        <f t="shared" si="14"/>
        <v/>
      </c>
      <c r="H182" s="10" t="s">
        <v>61</v>
      </c>
      <c r="I182" s="331">
        <v>14.78</v>
      </c>
      <c r="J182" s="12">
        <f t="shared" si="16"/>
        <v>0</v>
      </c>
    </row>
    <row r="183" spans="1:14" hidden="1" x14ac:dyDescent="0.35">
      <c r="A183" s="103"/>
      <c r="B183" s="12" t="s">
        <v>26</v>
      </c>
      <c r="C183" s="10" t="s">
        <v>339</v>
      </c>
      <c r="D183" s="152"/>
      <c r="E183" s="170"/>
      <c r="F183" s="95"/>
      <c r="G183" s="153" t="str">
        <f t="shared" si="14"/>
        <v/>
      </c>
      <c r="H183" s="10" t="s">
        <v>61</v>
      </c>
      <c r="I183" s="331">
        <v>14.78</v>
      </c>
      <c r="J183" s="12">
        <f t="shared" si="16"/>
        <v>0</v>
      </c>
    </row>
    <row r="184" spans="1:14" ht="14.5" hidden="1" customHeight="1" x14ac:dyDescent="0.35">
      <c r="A184" s="103"/>
      <c r="B184" s="12" t="s">
        <v>26</v>
      </c>
      <c r="C184" s="10" t="s">
        <v>340</v>
      </c>
      <c r="D184" s="152"/>
      <c r="E184" s="170"/>
      <c r="F184" s="95"/>
      <c r="G184" s="153" t="str">
        <f t="shared" si="14"/>
        <v/>
      </c>
      <c r="H184" s="10" t="s">
        <v>61</v>
      </c>
      <c r="I184" s="331">
        <v>14.78</v>
      </c>
      <c r="J184" s="12">
        <f t="shared" si="16"/>
        <v>0</v>
      </c>
    </row>
    <row r="185" spans="1:14" hidden="1" x14ac:dyDescent="0.35">
      <c r="A185" s="103"/>
      <c r="B185" s="12" t="s">
        <v>26</v>
      </c>
      <c r="C185" s="10" t="s">
        <v>341</v>
      </c>
      <c r="D185" s="152"/>
      <c r="E185" s="170"/>
      <c r="F185" s="95"/>
      <c r="G185" s="153" t="str">
        <f t="shared" si="14"/>
        <v/>
      </c>
      <c r="H185" s="10" t="s">
        <v>61</v>
      </c>
      <c r="I185" s="331">
        <v>14.78</v>
      </c>
      <c r="J185" s="12">
        <f t="shared" si="16"/>
        <v>0</v>
      </c>
    </row>
    <row r="186" spans="1:14" ht="14.5" hidden="1" customHeight="1" x14ac:dyDescent="0.35">
      <c r="A186" s="103"/>
      <c r="B186" s="12" t="s">
        <v>26</v>
      </c>
      <c r="C186" s="10" t="s">
        <v>342</v>
      </c>
      <c r="D186" s="152"/>
      <c r="E186" s="170"/>
      <c r="F186" s="95"/>
      <c r="G186" s="153" t="str">
        <f t="shared" si="14"/>
        <v/>
      </c>
      <c r="H186" s="10" t="s">
        <v>61</v>
      </c>
      <c r="I186" s="331">
        <v>14.78</v>
      </c>
      <c r="J186" s="10">
        <f t="shared" si="16"/>
        <v>0</v>
      </c>
    </row>
    <row r="187" spans="1:14" ht="15.5" x14ac:dyDescent="0.35">
      <c r="A187" s="108" t="s">
        <v>343</v>
      </c>
      <c r="B187" s="108"/>
      <c r="C187" s="108"/>
      <c r="D187" s="223"/>
      <c r="E187" s="169"/>
      <c r="F187" s="109"/>
      <c r="G187" s="165" t="str">
        <f t="shared" si="14"/>
        <v/>
      </c>
      <c r="H187" s="108"/>
      <c r="I187" s="106" t="s">
        <v>18</v>
      </c>
      <c r="J187" s="107">
        <f>SUM(J188:J192)</f>
        <v>215.27999999999997</v>
      </c>
    </row>
    <row r="188" spans="1:14" ht="14.5" hidden="1" customHeight="1" x14ac:dyDescent="0.35">
      <c r="A188" s="103"/>
      <c r="B188" s="7" t="s">
        <v>6</v>
      </c>
      <c r="C188" s="14" t="s">
        <v>344</v>
      </c>
      <c r="D188" s="152"/>
      <c r="E188" s="170"/>
      <c r="F188" s="95"/>
      <c r="G188" s="153" t="str">
        <f t="shared" si="14"/>
        <v/>
      </c>
      <c r="H188" s="14" t="s">
        <v>20</v>
      </c>
      <c r="I188" s="336">
        <v>0.79</v>
      </c>
      <c r="J188" s="7">
        <f>E188*I188</f>
        <v>0</v>
      </c>
    </row>
    <row r="189" spans="1:14" ht="15.65" customHeight="1" x14ac:dyDescent="0.35">
      <c r="A189" s="103"/>
      <c r="B189" s="7" t="s">
        <v>6</v>
      </c>
      <c r="C189" s="14" t="s">
        <v>345</v>
      </c>
      <c r="D189" s="152">
        <v>10</v>
      </c>
      <c r="E189" s="170">
        <v>78</v>
      </c>
      <c r="F189" s="95"/>
      <c r="G189" s="153" t="str">
        <f t="shared" si="14"/>
        <v/>
      </c>
      <c r="H189" s="14" t="s">
        <v>20</v>
      </c>
      <c r="I189" s="336">
        <v>2.76</v>
      </c>
      <c r="J189" s="7">
        <f>E189*I189</f>
        <v>215.27999999999997</v>
      </c>
    </row>
    <row r="190" spans="1:14" ht="14.5" customHeight="1" x14ac:dyDescent="0.35">
      <c r="A190" s="103"/>
      <c r="B190" s="7" t="s">
        <v>6</v>
      </c>
      <c r="C190" s="14" t="s">
        <v>346</v>
      </c>
      <c r="D190" s="152"/>
      <c r="E190" s="170"/>
      <c r="F190" s="95"/>
      <c r="G190" s="153" t="str">
        <f t="shared" si="14"/>
        <v/>
      </c>
      <c r="H190" s="14" t="s">
        <v>20</v>
      </c>
      <c r="I190" s="336">
        <v>1</v>
      </c>
      <c r="J190" s="7">
        <f>E190*I190</f>
        <v>0</v>
      </c>
    </row>
    <row r="191" spans="1:14" x14ac:dyDescent="0.35">
      <c r="A191" s="103"/>
      <c r="B191" s="7" t="s">
        <v>6</v>
      </c>
      <c r="C191" s="14" t="s">
        <v>34</v>
      </c>
      <c r="D191" s="152">
        <v>10</v>
      </c>
      <c r="E191" s="170"/>
      <c r="F191" s="95"/>
      <c r="G191" s="153" t="str">
        <f t="shared" si="14"/>
        <v/>
      </c>
      <c r="H191" s="14" t="s">
        <v>20</v>
      </c>
      <c r="I191" s="336">
        <v>1.8</v>
      </c>
      <c r="J191" s="7">
        <f>E191*I191</f>
        <v>0</v>
      </c>
    </row>
    <row r="192" spans="1:14" x14ac:dyDescent="0.35">
      <c r="A192" s="103"/>
      <c r="B192" s="7" t="s">
        <v>6</v>
      </c>
      <c r="C192" s="14" t="s">
        <v>35</v>
      </c>
      <c r="D192" s="152">
        <v>10</v>
      </c>
      <c r="E192" s="170"/>
      <c r="F192" s="95"/>
      <c r="G192" s="153" t="str">
        <f t="shared" si="14"/>
        <v/>
      </c>
      <c r="H192" s="14" t="s">
        <v>20</v>
      </c>
      <c r="I192" s="336">
        <v>1.8</v>
      </c>
      <c r="J192" s="7">
        <f>E192*I192</f>
        <v>0</v>
      </c>
    </row>
    <row r="193" spans="1:10" ht="15.5" hidden="1" x14ac:dyDescent="0.35">
      <c r="A193" s="112" t="s">
        <v>347</v>
      </c>
      <c r="B193" s="116"/>
      <c r="C193" s="116"/>
      <c r="D193" s="228"/>
      <c r="E193" s="173"/>
      <c r="F193" s="146"/>
      <c r="G193" s="165" t="str">
        <f t="shared" si="14"/>
        <v/>
      </c>
      <c r="H193" s="117"/>
      <c r="I193" s="118" t="s">
        <v>18</v>
      </c>
      <c r="J193" s="119">
        <f>SUM(J194)</f>
        <v>0</v>
      </c>
    </row>
    <row r="194" spans="1:10" hidden="1" x14ac:dyDescent="0.35">
      <c r="A194" s="103"/>
      <c r="B194" s="12" t="s">
        <v>5</v>
      </c>
      <c r="C194" s="10" t="s">
        <v>55</v>
      </c>
      <c r="D194" s="152"/>
      <c r="E194" s="170"/>
      <c r="F194" s="95"/>
      <c r="G194" s="153" t="str">
        <f t="shared" si="14"/>
        <v/>
      </c>
      <c r="H194" s="10" t="s">
        <v>20</v>
      </c>
      <c r="I194" s="331">
        <v>1.01</v>
      </c>
      <c r="J194" s="12">
        <f>E194*I194</f>
        <v>0</v>
      </c>
    </row>
    <row r="195" spans="1:10" ht="15.5" hidden="1" x14ac:dyDescent="0.35">
      <c r="A195" s="112" t="s">
        <v>348</v>
      </c>
      <c r="B195" s="116"/>
      <c r="C195" s="116"/>
      <c r="D195" s="228"/>
      <c r="E195" s="173"/>
      <c r="F195" s="146"/>
      <c r="G195" s="165" t="str">
        <f t="shared" si="14"/>
        <v/>
      </c>
      <c r="H195" s="117"/>
      <c r="I195" s="118" t="s">
        <v>18</v>
      </c>
      <c r="J195" s="119">
        <f>SUM(J196:J207)</f>
        <v>0</v>
      </c>
    </row>
    <row r="196" spans="1:10" hidden="1" x14ac:dyDescent="0.35">
      <c r="A196" s="103"/>
      <c r="B196" s="20" t="s">
        <v>8</v>
      </c>
      <c r="C196" s="18" t="s">
        <v>349</v>
      </c>
      <c r="D196" s="229"/>
      <c r="E196" s="170"/>
      <c r="F196" s="147"/>
      <c r="G196" s="153" t="str">
        <f t="shared" si="14"/>
        <v/>
      </c>
      <c r="H196" s="18" t="s">
        <v>27</v>
      </c>
      <c r="I196" s="337">
        <v>28.62</v>
      </c>
      <c r="J196" s="12">
        <f t="shared" ref="J196:J207" si="17">E196*I196</f>
        <v>0</v>
      </c>
    </row>
    <row r="197" spans="1:10" hidden="1" x14ac:dyDescent="0.35">
      <c r="A197" s="103"/>
      <c r="B197" s="12" t="s">
        <v>8</v>
      </c>
      <c r="C197" s="10" t="s">
        <v>350</v>
      </c>
      <c r="D197" s="152"/>
      <c r="E197" s="170"/>
      <c r="F197" s="95"/>
      <c r="G197" s="153" t="str">
        <f t="shared" si="14"/>
        <v/>
      </c>
      <c r="H197" s="10" t="s">
        <v>335</v>
      </c>
      <c r="I197" s="338">
        <v>30</v>
      </c>
      <c r="J197" s="12">
        <f t="shared" si="17"/>
        <v>0</v>
      </c>
    </row>
    <row r="198" spans="1:10" hidden="1" x14ac:dyDescent="0.35">
      <c r="A198" s="103"/>
      <c r="B198" s="12" t="s">
        <v>8</v>
      </c>
      <c r="C198" s="10" t="s">
        <v>351</v>
      </c>
      <c r="D198" s="152"/>
      <c r="E198" s="170"/>
      <c r="F198" s="95"/>
      <c r="G198" s="153" t="str">
        <f t="shared" si="14"/>
        <v/>
      </c>
      <c r="H198" s="10" t="s">
        <v>335</v>
      </c>
      <c r="I198" s="331">
        <v>1.1499999999999999</v>
      </c>
      <c r="J198" s="12">
        <f t="shared" si="17"/>
        <v>0</v>
      </c>
    </row>
    <row r="199" spans="1:10" hidden="1" x14ac:dyDescent="0.35">
      <c r="A199" s="103"/>
      <c r="B199" s="12" t="s">
        <v>8</v>
      </c>
      <c r="C199" s="10" t="s">
        <v>352</v>
      </c>
      <c r="D199" s="152"/>
      <c r="E199" s="170"/>
      <c r="F199" s="95"/>
      <c r="G199" s="153" t="str">
        <f t="shared" si="14"/>
        <v/>
      </c>
      <c r="H199" s="10" t="s">
        <v>27</v>
      </c>
      <c r="I199" s="331">
        <v>23.83</v>
      </c>
      <c r="J199" s="12">
        <f t="shared" si="17"/>
        <v>0</v>
      </c>
    </row>
    <row r="200" spans="1:10" hidden="1" x14ac:dyDescent="0.35">
      <c r="A200" s="103"/>
      <c r="B200" s="12" t="s">
        <v>8</v>
      </c>
      <c r="C200" s="10" t="s">
        <v>353</v>
      </c>
      <c r="D200" s="152"/>
      <c r="E200" s="170"/>
      <c r="F200" s="95"/>
      <c r="G200" s="153" t="str">
        <f t="shared" si="14"/>
        <v/>
      </c>
      <c r="H200" s="10" t="s">
        <v>27</v>
      </c>
      <c r="I200" s="331">
        <v>28.89</v>
      </c>
      <c r="J200" s="12">
        <f t="shared" si="17"/>
        <v>0</v>
      </c>
    </row>
    <row r="201" spans="1:10" hidden="1" x14ac:dyDescent="0.35">
      <c r="A201" s="103"/>
      <c r="B201" s="12" t="s">
        <v>8</v>
      </c>
      <c r="C201" s="10" t="s">
        <v>354</v>
      </c>
      <c r="D201" s="152"/>
      <c r="E201" s="170"/>
      <c r="F201" s="95"/>
      <c r="G201" s="153" t="str">
        <f>IF(E201="","",IF(D201-E201&gt;0,D201-E201,""))</f>
        <v/>
      </c>
      <c r="H201" s="10" t="s">
        <v>27</v>
      </c>
      <c r="I201" s="331">
        <v>19.37</v>
      </c>
      <c r="J201" s="12">
        <f>E201*I201</f>
        <v>0</v>
      </c>
    </row>
    <row r="202" spans="1:10" hidden="1" x14ac:dyDescent="0.35">
      <c r="A202" s="103"/>
      <c r="B202" s="12" t="s">
        <v>8</v>
      </c>
      <c r="C202" s="10" t="s">
        <v>429</v>
      </c>
      <c r="D202" s="152"/>
      <c r="E202" s="170"/>
      <c r="F202" s="95"/>
      <c r="G202" s="153"/>
      <c r="H202" s="10" t="s">
        <v>27</v>
      </c>
      <c r="I202" s="331">
        <v>14.07</v>
      </c>
      <c r="J202" s="12"/>
    </row>
    <row r="203" spans="1:10" hidden="1" x14ac:dyDescent="0.35">
      <c r="A203" s="103"/>
      <c r="B203" s="12" t="s">
        <v>8</v>
      </c>
      <c r="C203" s="10" t="s">
        <v>430</v>
      </c>
      <c r="D203" s="152"/>
      <c r="E203" s="170"/>
      <c r="F203" s="95"/>
      <c r="G203" s="153"/>
      <c r="H203" s="10" t="s">
        <v>27</v>
      </c>
      <c r="I203" s="331">
        <v>16.07</v>
      </c>
      <c r="J203" s="12"/>
    </row>
    <row r="204" spans="1:10" hidden="1" x14ac:dyDescent="0.35">
      <c r="A204" s="103"/>
      <c r="B204" s="12" t="s">
        <v>8</v>
      </c>
      <c r="C204" s="10" t="s">
        <v>431</v>
      </c>
      <c r="D204" s="152"/>
      <c r="G204" s="153"/>
      <c r="H204" s="10" t="s">
        <v>27</v>
      </c>
      <c r="I204" s="339">
        <v>14.62</v>
      </c>
      <c r="J204" s="12"/>
    </row>
    <row r="205" spans="1:10" hidden="1" x14ac:dyDescent="0.35">
      <c r="A205" s="103"/>
      <c r="B205" s="12" t="s">
        <v>8</v>
      </c>
      <c r="C205" s="10" t="s">
        <v>355</v>
      </c>
      <c r="D205" s="152"/>
      <c r="E205" s="170"/>
      <c r="F205" s="95"/>
      <c r="G205" s="153" t="str">
        <f t="shared" si="14"/>
        <v/>
      </c>
      <c r="H205" s="10" t="s">
        <v>61</v>
      </c>
      <c r="I205" s="331">
        <v>17.11</v>
      </c>
      <c r="J205" s="12">
        <f t="shared" si="17"/>
        <v>0</v>
      </c>
    </row>
    <row r="206" spans="1:10" hidden="1" x14ac:dyDescent="0.35">
      <c r="A206" s="103"/>
      <c r="B206" s="12" t="s">
        <v>8</v>
      </c>
      <c r="C206" s="10" t="s">
        <v>356</v>
      </c>
      <c r="D206" s="152"/>
      <c r="E206" s="170"/>
      <c r="F206" s="95"/>
      <c r="G206" s="153" t="str">
        <f t="shared" si="14"/>
        <v/>
      </c>
      <c r="H206" s="10" t="s">
        <v>61</v>
      </c>
      <c r="I206" s="331">
        <v>22.13</v>
      </c>
      <c r="J206" s="12">
        <f t="shared" si="17"/>
        <v>0</v>
      </c>
    </row>
    <row r="207" spans="1:10" hidden="1" x14ac:dyDescent="0.35">
      <c r="A207" s="103"/>
      <c r="B207" s="40" t="s">
        <v>8</v>
      </c>
      <c r="C207" s="41" t="s">
        <v>357</v>
      </c>
      <c r="D207" s="227"/>
      <c r="E207" s="170"/>
      <c r="F207" s="145"/>
      <c r="G207" s="153" t="str">
        <f t="shared" si="14"/>
        <v/>
      </c>
      <c r="H207" s="41" t="s">
        <v>61</v>
      </c>
      <c r="I207" s="334">
        <v>18.8</v>
      </c>
      <c r="J207" s="40">
        <f t="shared" si="17"/>
        <v>0</v>
      </c>
    </row>
    <row r="208" spans="1:10" ht="15.5" hidden="1" x14ac:dyDescent="0.35">
      <c r="A208" s="112" t="s">
        <v>358</v>
      </c>
      <c r="B208" s="116"/>
      <c r="C208" s="116"/>
      <c r="D208" s="228"/>
      <c r="E208" s="173"/>
      <c r="F208" s="146"/>
      <c r="G208" s="165" t="str">
        <f t="shared" si="14"/>
        <v/>
      </c>
      <c r="H208" s="117"/>
      <c r="I208" s="118" t="s">
        <v>18</v>
      </c>
      <c r="J208" s="119">
        <f>J209+J210+J211+J212+J213</f>
        <v>0</v>
      </c>
    </row>
    <row r="209" spans="1:10" hidden="1" x14ac:dyDescent="0.35">
      <c r="A209" s="103"/>
      <c r="B209" s="13" t="s">
        <v>11</v>
      </c>
      <c r="C209" s="298" t="s">
        <v>359</v>
      </c>
      <c r="D209" s="299"/>
      <c r="E209" s="300"/>
      <c r="F209" s="301"/>
      <c r="G209" s="302" t="str">
        <f t="shared" si="14"/>
        <v/>
      </c>
      <c r="H209" s="41" t="s">
        <v>52</v>
      </c>
      <c r="I209" s="334">
        <v>11.63</v>
      </c>
      <c r="J209" s="40">
        <f>E209*I209</f>
        <v>0</v>
      </c>
    </row>
    <row r="210" spans="1:10" hidden="1" x14ac:dyDescent="0.35">
      <c r="A210" s="103"/>
      <c r="B210" s="12" t="s">
        <v>11</v>
      </c>
      <c r="C210" s="10" t="s">
        <v>436</v>
      </c>
      <c r="D210" s="152"/>
      <c r="E210" s="170"/>
      <c r="F210" s="95"/>
      <c r="G210" s="153"/>
      <c r="H210" s="10" t="s">
        <v>52</v>
      </c>
      <c r="I210" s="331">
        <v>16.8</v>
      </c>
      <c r="J210" s="40">
        <f t="shared" ref="J210:J213" si="18">E210*I210</f>
        <v>0</v>
      </c>
    </row>
    <row r="211" spans="1:10" hidden="1" x14ac:dyDescent="0.35">
      <c r="A211" s="103"/>
      <c r="B211" s="12" t="s">
        <v>11</v>
      </c>
      <c r="C211" s="10" t="s">
        <v>437</v>
      </c>
      <c r="D211" s="152"/>
      <c r="E211" s="170"/>
      <c r="F211" s="95"/>
      <c r="G211" s="153"/>
      <c r="H211" s="10" t="s">
        <v>440</v>
      </c>
      <c r="I211" s="331">
        <v>9.35</v>
      </c>
      <c r="J211" s="40">
        <f>E211*I211</f>
        <v>0</v>
      </c>
    </row>
    <row r="212" spans="1:10" hidden="1" x14ac:dyDescent="0.35">
      <c r="A212" s="103"/>
      <c r="B212" s="12" t="s">
        <v>11</v>
      </c>
      <c r="C212" s="10" t="s">
        <v>438</v>
      </c>
      <c r="D212" s="152"/>
      <c r="E212" s="170"/>
      <c r="F212" s="95"/>
      <c r="G212" s="153"/>
      <c r="H212" s="10" t="s">
        <v>52</v>
      </c>
      <c r="I212" s="331">
        <v>87</v>
      </c>
      <c r="J212" s="40">
        <f t="shared" si="18"/>
        <v>0</v>
      </c>
    </row>
    <row r="213" spans="1:10" hidden="1" x14ac:dyDescent="0.35">
      <c r="A213" s="103"/>
      <c r="B213" s="12" t="s">
        <v>11</v>
      </c>
      <c r="C213" s="10" t="s">
        <v>439</v>
      </c>
      <c r="D213" s="152"/>
      <c r="E213" s="170"/>
      <c r="F213" s="95"/>
      <c r="G213" s="153"/>
      <c r="H213" s="10" t="s">
        <v>52</v>
      </c>
      <c r="I213" s="331">
        <v>55</v>
      </c>
      <c r="J213" s="40">
        <f t="shared" si="18"/>
        <v>0</v>
      </c>
    </row>
    <row r="214" spans="1:10" ht="15.5" hidden="1" x14ac:dyDescent="0.35">
      <c r="A214" s="108" t="s">
        <v>360</v>
      </c>
      <c r="B214" s="108"/>
      <c r="C214" s="108"/>
      <c r="D214" s="223"/>
      <c r="E214" s="169"/>
      <c r="F214" s="109"/>
      <c r="G214" s="310" t="str">
        <f t="shared" si="14"/>
        <v/>
      </c>
      <c r="H214" s="108"/>
      <c r="I214" s="106" t="s">
        <v>18</v>
      </c>
      <c r="J214" s="107">
        <f>SUM(J215:J216)</f>
        <v>0</v>
      </c>
    </row>
    <row r="215" spans="1:10" hidden="1" x14ac:dyDescent="0.35">
      <c r="A215" s="103"/>
      <c r="B215" s="12" t="s">
        <v>12</v>
      </c>
      <c r="C215" s="10" t="s">
        <v>70</v>
      </c>
      <c r="D215" s="152"/>
      <c r="E215" s="170"/>
      <c r="F215" s="95"/>
      <c r="G215" s="153" t="str">
        <f t="shared" si="14"/>
        <v/>
      </c>
      <c r="H215" s="10" t="s">
        <v>27</v>
      </c>
      <c r="I215" s="331">
        <v>20.7</v>
      </c>
      <c r="J215" s="12">
        <f>+E215*I215</f>
        <v>0</v>
      </c>
    </row>
    <row r="216" spans="1:10" hidden="1" x14ac:dyDescent="0.35">
      <c r="A216" s="103"/>
      <c r="B216" s="12" t="s">
        <v>12</v>
      </c>
      <c r="C216" s="10" t="s">
        <v>71</v>
      </c>
      <c r="D216" s="152"/>
      <c r="E216" s="170"/>
      <c r="F216" s="95"/>
      <c r="G216" s="153" t="str">
        <f t="shared" si="14"/>
        <v/>
      </c>
      <c r="H216" s="10" t="s">
        <v>27</v>
      </c>
      <c r="I216" s="331">
        <v>13.7</v>
      </c>
      <c r="J216" s="12">
        <f>+E216*I216</f>
        <v>0</v>
      </c>
    </row>
    <row r="217" spans="1:10" ht="15.5" hidden="1" x14ac:dyDescent="0.35">
      <c r="A217" s="108" t="s">
        <v>361</v>
      </c>
      <c r="B217" s="108"/>
      <c r="C217" s="108"/>
      <c r="D217" s="223"/>
      <c r="E217" s="169"/>
      <c r="F217" s="109"/>
      <c r="G217" s="153" t="str">
        <f t="shared" si="14"/>
        <v/>
      </c>
      <c r="H217" s="108"/>
      <c r="I217" s="106" t="s">
        <v>18</v>
      </c>
      <c r="J217" s="107">
        <f>SUM(J218:J221)</f>
        <v>0</v>
      </c>
    </row>
    <row r="218" spans="1:10" hidden="1" x14ac:dyDescent="0.35">
      <c r="A218" s="103"/>
      <c r="B218" s="12" t="s">
        <v>10</v>
      </c>
      <c r="C218" s="10" t="s">
        <v>362</v>
      </c>
      <c r="D218" s="152"/>
      <c r="E218" s="170"/>
      <c r="F218" s="95"/>
      <c r="G218" s="153" t="str">
        <f t="shared" si="14"/>
        <v/>
      </c>
      <c r="H218" s="10" t="s">
        <v>20</v>
      </c>
      <c r="I218" s="331">
        <v>11.08</v>
      </c>
      <c r="J218" s="12">
        <f>E218*I218</f>
        <v>0</v>
      </c>
    </row>
    <row r="219" spans="1:10" hidden="1" x14ac:dyDescent="0.35">
      <c r="A219" s="103"/>
      <c r="B219" s="12" t="s">
        <v>10</v>
      </c>
      <c r="C219" s="10" t="s">
        <v>363</v>
      </c>
      <c r="D219" s="152"/>
      <c r="E219" s="170"/>
      <c r="F219" s="95"/>
      <c r="G219" s="153" t="str">
        <f t="shared" si="14"/>
        <v/>
      </c>
      <c r="H219" s="10" t="s">
        <v>27</v>
      </c>
      <c r="I219" s="331">
        <v>16.21</v>
      </c>
      <c r="J219" s="12">
        <f>E219*I219</f>
        <v>0</v>
      </c>
    </row>
    <row r="220" spans="1:10" hidden="1" x14ac:dyDescent="0.35">
      <c r="A220" s="103"/>
      <c r="B220" s="12" t="s">
        <v>10</v>
      </c>
      <c r="C220" s="10" t="s">
        <v>364</v>
      </c>
      <c r="D220" s="152"/>
      <c r="E220" s="170"/>
      <c r="F220" s="95"/>
      <c r="G220" s="153" t="str">
        <f t="shared" si="14"/>
        <v/>
      </c>
      <c r="H220" s="10" t="s">
        <v>27</v>
      </c>
      <c r="I220" s="331">
        <v>19.350000000000001</v>
      </c>
      <c r="J220" s="12">
        <f>E220*I220</f>
        <v>0</v>
      </c>
    </row>
    <row r="221" spans="1:10" hidden="1" x14ac:dyDescent="0.35">
      <c r="A221" s="103"/>
      <c r="B221" s="12" t="s">
        <v>10</v>
      </c>
      <c r="C221" s="10" t="s">
        <v>365</v>
      </c>
      <c r="D221" s="152"/>
      <c r="E221" s="170"/>
      <c r="F221" s="95"/>
      <c r="G221" s="153" t="str">
        <f t="shared" si="14"/>
        <v/>
      </c>
      <c r="H221" s="10" t="s">
        <v>27</v>
      </c>
      <c r="I221" s="331">
        <v>19.809999999999999</v>
      </c>
      <c r="J221" s="12">
        <f>E221*I221</f>
        <v>0</v>
      </c>
    </row>
    <row r="222" spans="1:10" ht="15.5" hidden="1" x14ac:dyDescent="0.35">
      <c r="A222" s="108" t="s">
        <v>366</v>
      </c>
      <c r="B222" s="108"/>
      <c r="C222" s="108"/>
      <c r="D222" s="223"/>
      <c r="E222" s="169"/>
      <c r="F222" s="109"/>
      <c r="G222" s="165" t="str">
        <f t="shared" si="14"/>
        <v/>
      </c>
      <c r="H222" s="108"/>
      <c r="I222" s="106" t="s">
        <v>18</v>
      </c>
      <c r="J222" s="107">
        <f>J223</f>
        <v>0</v>
      </c>
    </row>
    <row r="223" spans="1:10" hidden="1" x14ac:dyDescent="0.35">
      <c r="A223" s="103"/>
      <c r="B223" s="12" t="s">
        <v>28</v>
      </c>
      <c r="C223" s="10" t="s">
        <v>29</v>
      </c>
      <c r="D223" s="152"/>
      <c r="E223" s="170"/>
      <c r="F223" s="150"/>
      <c r="G223" s="153" t="str">
        <f t="shared" si="14"/>
        <v/>
      </c>
      <c r="H223" s="10" t="s">
        <v>54</v>
      </c>
      <c r="I223" s="331">
        <v>104</v>
      </c>
      <c r="J223" s="12">
        <f>I223*E223</f>
        <v>0</v>
      </c>
    </row>
    <row r="224" spans="1:10" ht="15.5" x14ac:dyDescent="0.35">
      <c r="A224" s="108" t="s">
        <v>367</v>
      </c>
      <c r="B224" s="108"/>
      <c r="C224" s="108"/>
      <c r="D224" s="223"/>
      <c r="E224" s="169"/>
      <c r="F224" s="109"/>
      <c r="G224" s="165" t="str">
        <f t="shared" ref="G224:G257" si="19">IF(E224="","",IF(D224-E224&gt;0,D224-E224,""))</f>
        <v/>
      </c>
      <c r="H224" s="108"/>
      <c r="I224" s="106" t="s">
        <v>18</v>
      </c>
      <c r="J224" s="115">
        <f>SUM(J225:J244)</f>
        <v>107.12</v>
      </c>
    </row>
    <row r="225" spans="1:10" x14ac:dyDescent="0.35">
      <c r="A225" s="103"/>
      <c r="B225" s="12" t="s">
        <v>9</v>
      </c>
      <c r="C225" s="10" t="s">
        <v>423</v>
      </c>
      <c r="D225" s="152"/>
      <c r="E225" s="170"/>
      <c r="F225" s="95"/>
      <c r="G225" s="153" t="str">
        <f t="shared" si="19"/>
        <v/>
      </c>
      <c r="H225" s="10" t="s">
        <v>20</v>
      </c>
      <c r="I225" s="331">
        <v>78</v>
      </c>
      <c r="J225" s="50">
        <f t="shared" ref="J225:J244" si="20">E225*I225</f>
        <v>0</v>
      </c>
    </row>
    <row r="226" spans="1:10" x14ac:dyDescent="0.35">
      <c r="A226" s="103"/>
      <c r="B226" s="12" t="s">
        <v>9</v>
      </c>
      <c r="C226" s="10" t="s">
        <v>424</v>
      </c>
      <c r="D226" s="152"/>
      <c r="E226" s="170">
        <v>1</v>
      </c>
      <c r="F226" s="95"/>
      <c r="G226" s="153" t="str">
        <f t="shared" si="19"/>
        <v/>
      </c>
      <c r="H226" s="10" t="s">
        <v>61</v>
      </c>
      <c r="I226" s="340">
        <v>107.12</v>
      </c>
      <c r="J226" s="50">
        <f t="shared" si="20"/>
        <v>107.12</v>
      </c>
    </row>
    <row r="227" spans="1:10" x14ac:dyDescent="0.35">
      <c r="A227" s="103"/>
      <c r="B227" s="12" t="s">
        <v>9</v>
      </c>
      <c r="C227" s="10" t="s">
        <v>369</v>
      </c>
      <c r="D227" s="152"/>
      <c r="E227" s="170"/>
      <c r="F227" s="95"/>
      <c r="G227" s="153" t="str">
        <f t="shared" si="19"/>
        <v/>
      </c>
      <c r="H227" s="10" t="s">
        <v>20</v>
      </c>
      <c r="I227" s="331">
        <v>0.04</v>
      </c>
      <c r="J227" s="50">
        <f t="shared" si="20"/>
        <v>0</v>
      </c>
    </row>
    <row r="228" spans="1:10" x14ac:dyDescent="0.35">
      <c r="A228" s="103"/>
      <c r="B228" s="12" t="s">
        <v>9</v>
      </c>
      <c r="C228" s="10" t="s">
        <v>370</v>
      </c>
      <c r="D228" s="152"/>
      <c r="E228" s="170"/>
      <c r="F228" s="95"/>
      <c r="G228" s="153" t="str">
        <f t="shared" si="19"/>
        <v/>
      </c>
      <c r="H228" s="10" t="s">
        <v>20</v>
      </c>
      <c r="I228" s="331">
        <v>7.0999999999999994E-2</v>
      </c>
      <c r="J228" s="50">
        <f t="shared" si="20"/>
        <v>0</v>
      </c>
    </row>
    <row r="229" spans="1:10" hidden="1" x14ac:dyDescent="0.35">
      <c r="A229" s="103"/>
      <c r="B229" s="12" t="s">
        <v>9</v>
      </c>
      <c r="C229" s="10" t="s">
        <v>411</v>
      </c>
      <c r="D229" s="152"/>
      <c r="E229" s="170"/>
      <c r="F229" s="95"/>
      <c r="G229" s="153"/>
      <c r="H229" s="10" t="s">
        <v>20</v>
      </c>
      <c r="I229" s="331">
        <v>1.97</v>
      </c>
      <c r="J229" s="50"/>
    </row>
    <row r="230" spans="1:10" hidden="1" x14ac:dyDescent="0.35">
      <c r="A230" s="103"/>
      <c r="B230" s="12" t="s">
        <v>9</v>
      </c>
      <c r="C230" s="10" t="s">
        <v>371</v>
      </c>
      <c r="D230" s="152"/>
      <c r="E230" s="170"/>
      <c r="F230" s="95"/>
      <c r="G230" s="153" t="str">
        <f t="shared" si="19"/>
        <v/>
      </c>
      <c r="H230" s="10" t="s">
        <v>61</v>
      </c>
      <c r="I230" s="331">
        <v>163.80000000000001</v>
      </c>
      <c r="J230" s="50">
        <f t="shared" si="20"/>
        <v>0</v>
      </c>
    </row>
    <row r="231" spans="1:10" hidden="1" x14ac:dyDescent="0.35">
      <c r="A231" s="103"/>
      <c r="B231" s="12" t="s">
        <v>9</v>
      </c>
      <c r="C231" s="10" t="s">
        <v>410</v>
      </c>
      <c r="D231" s="152"/>
      <c r="E231" s="170"/>
      <c r="F231" s="151"/>
      <c r="G231" s="153" t="str">
        <f t="shared" si="19"/>
        <v/>
      </c>
      <c r="H231" s="10" t="s">
        <v>61</v>
      </c>
      <c r="I231" s="331">
        <v>49.33</v>
      </c>
      <c r="J231" s="50">
        <f t="shared" si="20"/>
        <v>0</v>
      </c>
    </row>
    <row r="232" spans="1:10" hidden="1" x14ac:dyDescent="0.35">
      <c r="A232" s="103"/>
      <c r="B232" s="12" t="s">
        <v>9</v>
      </c>
      <c r="C232" s="10" t="s">
        <v>373</v>
      </c>
      <c r="D232" s="152"/>
      <c r="E232" s="170"/>
      <c r="F232" s="151"/>
      <c r="G232" s="153" t="str">
        <f t="shared" si="19"/>
        <v/>
      </c>
      <c r="H232" s="10" t="s">
        <v>61</v>
      </c>
      <c r="I232" s="331">
        <v>105.6</v>
      </c>
      <c r="J232" s="50">
        <f t="shared" si="20"/>
        <v>0</v>
      </c>
    </row>
    <row r="233" spans="1:10" hidden="1" x14ac:dyDescent="0.35">
      <c r="A233" s="103"/>
      <c r="B233" s="12" t="s">
        <v>9</v>
      </c>
      <c r="C233" s="10" t="s">
        <v>374</v>
      </c>
      <c r="D233" s="152"/>
      <c r="E233" s="170"/>
      <c r="F233" s="151"/>
      <c r="G233" s="153" t="str">
        <f t="shared" si="19"/>
        <v/>
      </c>
      <c r="H233" s="10" t="s">
        <v>61</v>
      </c>
      <c r="I233" s="331">
        <v>114.75</v>
      </c>
      <c r="J233" s="50">
        <f t="shared" si="20"/>
        <v>0</v>
      </c>
    </row>
    <row r="234" spans="1:10" hidden="1" x14ac:dyDescent="0.35">
      <c r="A234" s="103"/>
      <c r="B234" s="12" t="s">
        <v>9</v>
      </c>
      <c r="C234" s="10" t="s">
        <v>375</v>
      </c>
      <c r="D234" s="152"/>
      <c r="E234" s="170"/>
      <c r="F234" s="95"/>
      <c r="G234" s="153" t="str">
        <f t="shared" si="19"/>
        <v/>
      </c>
      <c r="H234" s="10" t="s">
        <v>61</v>
      </c>
      <c r="I234" s="331">
        <v>105.55</v>
      </c>
      <c r="J234" s="50">
        <f t="shared" si="20"/>
        <v>0</v>
      </c>
    </row>
    <row r="235" spans="1:10" hidden="1" x14ac:dyDescent="0.35">
      <c r="A235" s="103"/>
      <c r="B235" s="12" t="s">
        <v>9</v>
      </c>
      <c r="C235" s="10" t="s">
        <v>376</v>
      </c>
      <c r="D235" s="152"/>
      <c r="E235" s="170"/>
      <c r="F235" s="95"/>
      <c r="G235" s="153" t="str">
        <f t="shared" si="19"/>
        <v/>
      </c>
      <c r="H235" s="10" t="s">
        <v>61</v>
      </c>
      <c r="I235" s="331">
        <v>33.25</v>
      </c>
      <c r="J235" s="50">
        <f t="shared" si="20"/>
        <v>0</v>
      </c>
    </row>
    <row r="236" spans="1:10" hidden="1" x14ac:dyDescent="0.35">
      <c r="A236" s="103"/>
      <c r="B236" s="12" t="s">
        <v>9</v>
      </c>
      <c r="C236" s="10" t="s">
        <v>377</v>
      </c>
      <c r="D236" s="152"/>
      <c r="E236" s="170"/>
      <c r="F236" s="95"/>
      <c r="G236" s="153" t="str">
        <f t="shared" si="19"/>
        <v/>
      </c>
      <c r="H236" s="10" t="s">
        <v>20</v>
      </c>
      <c r="I236" s="331">
        <v>0.28999999999999998</v>
      </c>
      <c r="J236" s="50">
        <f t="shared" si="20"/>
        <v>0</v>
      </c>
    </row>
    <row r="237" spans="1:10" hidden="1" x14ac:dyDescent="0.35">
      <c r="A237" s="103"/>
      <c r="B237" s="12" t="s">
        <v>9</v>
      </c>
      <c r="C237" s="10" t="s">
        <v>378</v>
      </c>
      <c r="D237" s="152"/>
      <c r="E237" s="170"/>
      <c r="F237" s="95"/>
      <c r="G237" s="153" t="str">
        <f t="shared" si="19"/>
        <v/>
      </c>
      <c r="H237" s="10" t="s">
        <v>61</v>
      </c>
      <c r="I237" s="336">
        <v>37.85</v>
      </c>
      <c r="J237" s="50">
        <f t="shared" si="20"/>
        <v>0</v>
      </c>
    </row>
    <row r="238" spans="1:10" x14ac:dyDescent="0.35">
      <c r="A238" s="103"/>
      <c r="B238" s="12" t="s">
        <v>9</v>
      </c>
      <c r="C238" s="10" t="s">
        <v>425</v>
      </c>
      <c r="D238" s="152">
        <v>1</v>
      </c>
      <c r="E238" s="170"/>
      <c r="F238" s="95"/>
      <c r="G238" s="153" t="str">
        <f t="shared" si="19"/>
        <v/>
      </c>
      <c r="H238" s="10" t="s">
        <v>61</v>
      </c>
      <c r="I238" s="336">
        <v>111.47</v>
      </c>
      <c r="J238" s="50">
        <f t="shared" si="20"/>
        <v>0</v>
      </c>
    </row>
    <row r="239" spans="1:10" hidden="1" x14ac:dyDescent="0.35">
      <c r="A239" s="103"/>
      <c r="B239" s="12" t="s">
        <v>9</v>
      </c>
      <c r="C239" s="10" t="s">
        <v>379</v>
      </c>
      <c r="D239" s="152"/>
      <c r="E239" s="170"/>
      <c r="F239" s="95"/>
      <c r="G239" s="153" t="str">
        <f t="shared" si="19"/>
        <v/>
      </c>
      <c r="H239" s="10" t="s">
        <v>61</v>
      </c>
      <c r="I239" s="336">
        <v>174.97</v>
      </c>
      <c r="J239" s="50">
        <f t="shared" si="20"/>
        <v>0</v>
      </c>
    </row>
    <row r="240" spans="1:10" hidden="1" x14ac:dyDescent="0.35">
      <c r="A240" s="103"/>
      <c r="B240" s="12" t="s">
        <v>9</v>
      </c>
      <c r="C240" s="10" t="s">
        <v>380</v>
      </c>
      <c r="D240" s="152"/>
      <c r="E240" s="170"/>
      <c r="F240" s="95"/>
      <c r="G240" s="153" t="str">
        <f t="shared" si="19"/>
        <v/>
      </c>
      <c r="H240" s="10" t="s">
        <v>61</v>
      </c>
      <c r="I240" s="336">
        <v>44.93</v>
      </c>
      <c r="J240" s="50">
        <f t="shared" si="20"/>
        <v>0</v>
      </c>
    </row>
    <row r="241" spans="1:10" hidden="1" x14ac:dyDescent="0.35">
      <c r="A241" s="103"/>
      <c r="B241" s="12" t="s">
        <v>9</v>
      </c>
      <c r="C241" s="10" t="s">
        <v>426</v>
      </c>
      <c r="D241" s="152"/>
      <c r="E241" s="170"/>
      <c r="F241" s="95"/>
      <c r="G241" s="153" t="str">
        <f t="shared" si="19"/>
        <v/>
      </c>
      <c r="H241" s="10" t="s">
        <v>20</v>
      </c>
      <c r="I241" s="336">
        <v>29.2</v>
      </c>
      <c r="J241" s="50">
        <f t="shared" si="20"/>
        <v>0</v>
      </c>
    </row>
    <row r="242" spans="1:10" hidden="1" x14ac:dyDescent="0.35">
      <c r="A242" s="103"/>
      <c r="B242" s="12" t="s">
        <v>9</v>
      </c>
      <c r="C242" s="10" t="s">
        <v>427</v>
      </c>
      <c r="D242" s="152"/>
      <c r="E242" s="170"/>
      <c r="F242" s="95"/>
      <c r="G242" s="153" t="str">
        <f t="shared" si="19"/>
        <v/>
      </c>
      <c r="H242" s="10" t="s">
        <v>20</v>
      </c>
      <c r="I242" s="336">
        <v>19.03</v>
      </c>
      <c r="J242" s="50">
        <f t="shared" si="20"/>
        <v>0</v>
      </c>
    </row>
    <row r="243" spans="1:10" hidden="1" x14ac:dyDescent="0.35">
      <c r="A243" s="103"/>
      <c r="B243" s="12" t="s">
        <v>9</v>
      </c>
      <c r="C243" s="10" t="s">
        <v>428</v>
      </c>
      <c r="D243" s="152"/>
      <c r="E243" s="170"/>
      <c r="F243" s="95"/>
      <c r="G243" s="153" t="str">
        <f t="shared" si="19"/>
        <v/>
      </c>
      <c r="H243" s="10" t="s">
        <v>20</v>
      </c>
      <c r="I243" s="336">
        <v>8.4600000000000009</v>
      </c>
      <c r="J243" s="50">
        <f t="shared" si="20"/>
        <v>0</v>
      </c>
    </row>
    <row r="244" spans="1:10" hidden="1" x14ac:dyDescent="0.35">
      <c r="A244" s="103"/>
      <c r="B244" s="12" t="s">
        <v>9</v>
      </c>
      <c r="C244" s="10" t="s">
        <v>381</v>
      </c>
      <c r="D244" s="152"/>
      <c r="E244" s="170"/>
      <c r="F244" s="95"/>
      <c r="G244" s="153" t="str">
        <f t="shared" si="19"/>
        <v/>
      </c>
      <c r="H244" s="10" t="s">
        <v>20</v>
      </c>
      <c r="I244" s="336">
        <v>0.02</v>
      </c>
      <c r="J244" s="50">
        <f t="shared" si="20"/>
        <v>0</v>
      </c>
    </row>
    <row r="245" spans="1:10" ht="15.5" x14ac:dyDescent="0.35">
      <c r="A245" s="108" t="s">
        <v>382</v>
      </c>
      <c r="B245" s="108"/>
      <c r="C245" s="108"/>
      <c r="D245" s="223"/>
      <c r="E245" s="169"/>
      <c r="F245" s="109"/>
      <c r="G245" s="165" t="str">
        <f t="shared" si="19"/>
        <v/>
      </c>
      <c r="H245" s="108"/>
      <c r="I245" s="106" t="s">
        <v>18</v>
      </c>
      <c r="J245" s="107">
        <f>SUM(J246:J256)</f>
        <v>10.9</v>
      </c>
    </row>
    <row r="246" spans="1:10" x14ac:dyDescent="0.35">
      <c r="A246" s="103"/>
      <c r="B246" s="12" t="s">
        <v>31</v>
      </c>
      <c r="C246" s="10" t="s">
        <v>383</v>
      </c>
      <c r="D246" s="152"/>
      <c r="E246" s="170"/>
      <c r="F246" s="95"/>
      <c r="G246" s="153" t="str">
        <f t="shared" si="19"/>
        <v/>
      </c>
      <c r="H246" s="10" t="s">
        <v>20</v>
      </c>
      <c r="I246" s="331">
        <v>5.5</v>
      </c>
      <c r="J246" s="12">
        <f t="shared" ref="J246:J256" si="21">E246*I246</f>
        <v>0</v>
      </c>
    </row>
    <row r="247" spans="1:10" x14ac:dyDescent="0.35">
      <c r="A247" s="103"/>
      <c r="B247" s="12" t="s">
        <v>31</v>
      </c>
      <c r="C247" s="10" t="s">
        <v>39</v>
      </c>
      <c r="D247" s="152">
        <v>1</v>
      </c>
      <c r="E247" s="170">
        <v>1</v>
      </c>
      <c r="F247" s="95"/>
      <c r="G247" s="153" t="str">
        <f t="shared" si="19"/>
        <v/>
      </c>
      <c r="H247" s="10" t="s">
        <v>20</v>
      </c>
      <c r="I247" s="331">
        <v>4.55</v>
      </c>
      <c r="J247" s="12">
        <f t="shared" si="21"/>
        <v>4.55</v>
      </c>
    </row>
    <row r="248" spans="1:10" x14ac:dyDescent="0.35">
      <c r="A248" s="103"/>
      <c r="B248" s="12" t="s">
        <v>31</v>
      </c>
      <c r="C248" s="10" t="s">
        <v>422</v>
      </c>
      <c r="D248" s="152">
        <v>1</v>
      </c>
      <c r="E248" s="170">
        <v>1</v>
      </c>
      <c r="F248" s="95"/>
      <c r="G248" s="153" t="str">
        <f t="shared" si="19"/>
        <v/>
      </c>
      <c r="H248" s="10" t="s">
        <v>20</v>
      </c>
      <c r="I248" s="331">
        <v>3.7</v>
      </c>
      <c r="J248" s="12">
        <f t="shared" si="21"/>
        <v>3.7</v>
      </c>
    </row>
    <row r="249" spans="1:10" x14ac:dyDescent="0.35">
      <c r="A249" s="103"/>
      <c r="B249" s="12" t="s">
        <v>31</v>
      </c>
      <c r="C249" s="10" t="s">
        <v>67</v>
      </c>
      <c r="D249" s="152"/>
      <c r="E249" s="170"/>
      <c r="F249" s="95"/>
      <c r="G249" s="153" t="str">
        <f t="shared" si="19"/>
        <v/>
      </c>
      <c r="H249" s="10" t="s">
        <v>20</v>
      </c>
      <c r="I249" s="331">
        <v>15.56</v>
      </c>
      <c r="J249" s="12">
        <f t="shared" si="21"/>
        <v>0</v>
      </c>
    </row>
    <row r="250" spans="1:10" hidden="1" x14ac:dyDescent="0.35">
      <c r="A250" s="103"/>
      <c r="B250" s="12" t="s">
        <v>31</v>
      </c>
      <c r="C250" s="10" t="s">
        <v>384</v>
      </c>
      <c r="D250" s="152"/>
      <c r="E250" s="170"/>
      <c r="F250" s="95"/>
      <c r="G250" s="153" t="str">
        <f t="shared" si="19"/>
        <v/>
      </c>
      <c r="H250" s="10" t="s">
        <v>20</v>
      </c>
      <c r="I250" s="331">
        <v>0.8</v>
      </c>
      <c r="J250" s="12">
        <f t="shared" si="21"/>
        <v>0</v>
      </c>
    </row>
    <row r="251" spans="1:10" hidden="1" x14ac:dyDescent="0.35">
      <c r="A251" s="103"/>
      <c r="B251" s="12" t="s">
        <v>31</v>
      </c>
      <c r="C251" s="10" t="s">
        <v>385</v>
      </c>
      <c r="D251" s="152"/>
      <c r="E251" s="170"/>
      <c r="F251" s="95"/>
      <c r="G251" s="153" t="str">
        <f t="shared" si="19"/>
        <v/>
      </c>
      <c r="H251" s="10" t="s">
        <v>20</v>
      </c>
      <c r="I251" s="331">
        <v>1.83</v>
      </c>
      <c r="J251" s="12">
        <f t="shared" si="21"/>
        <v>0</v>
      </c>
    </row>
    <row r="252" spans="1:10" x14ac:dyDescent="0.35">
      <c r="A252" s="103"/>
      <c r="B252" s="12" t="s">
        <v>31</v>
      </c>
      <c r="C252" s="10" t="s">
        <v>386</v>
      </c>
      <c r="D252" s="152">
        <v>1</v>
      </c>
      <c r="E252" s="170">
        <v>1</v>
      </c>
      <c r="F252" s="95"/>
      <c r="G252" s="153" t="str">
        <f t="shared" si="19"/>
        <v/>
      </c>
      <c r="H252" s="10" t="s">
        <v>20</v>
      </c>
      <c r="I252" s="331">
        <v>2.65</v>
      </c>
      <c r="J252" s="12">
        <f t="shared" si="21"/>
        <v>2.65</v>
      </c>
    </row>
    <row r="253" spans="1:10" x14ac:dyDescent="0.35">
      <c r="A253" s="103"/>
      <c r="B253" s="12" t="s">
        <v>31</v>
      </c>
      <c r="C253" s="10" t="s">
        <v>65</v>
      </c>
      <c r="D253" s="152">
        <v>1</v>
      </c>
      <c r="E253" s="170"/>
      <c r="F253" s="95"/>
      <c r="G253" s="153" t="str">
        <f t="shared" si="19"/>
        <v/>
      </c>
      <c r="H253" s="10" t="s">
        <v>20</v>
      </c>
      <c r="I253" s="331">
        <v>13.43</v>
      </c>
      <c r="J253" s="12">
        <f t="shared" si="21"/>
        <v>0</v>
      </c>
    </row>
    <row r="254" spans="1:10" hidden="1" x14ac:dyDescent="0.35">
      <c r="A254" s="103"/>
      <c r="B254" s="12" t="s">
        <v>31</v>
      </c>
      <c r="C254" s="10" t="s">
        <v>66</v>
      </c>
      <c r="D254" s="152"/>
      <c r="E254" s="170"/>
      <c r="F254" s="95"/>
      <c r="G254" s="153" t="str">
        <f t="shared" si="19"/>
        <v/>
      </c>
      <c r="H254" s="10" t="s">
        <v>20</v>
      </c>
      <c r="I254" s="331">
        <v>75.38</v>
      </c>
      <c r="J254" s="12">
        <f t="shared" si="21"/>
        <v>0</v>
      </c>
    </row>
    <row r="255" spans="1:10" x14ac:dyDescent="0.35">
      <c r="A255" s="103"/>
      <c r="B255" s="12" t="s">
        <v>31</v>
      </c>
      <c r="C255" s="10" t="s">
        <v>412</v>
      </c>
      <c r="D255" s="152"/>
      <c r="E255" s="170"/>
      <c r="F255" s="95"/>
      <c r="G255" s="153" t="str">
        <f t="shared" si="19"/>
        <v/>
      </c>
      <c r="H255" s="10" t="s">
        <v>20</v>
      </c>
      <c r="I255" s="331">
        <v>8.43</v>
      </c>
      <c r="J255" s="12">
        <f t="shared" si="21"/>
        <v>0</v>
      </c>
    </row>
    <row r="256" spans="1:10" x14ac:dyDescent="0.35">
      <c r="A256" s="103"/>
      <c r="B256" s="12" t="s">
        <v>31</v>
      </c>
      <c r="C256" s="10" t="s">
        <v>69</v>
      </c>
      <c r="D256" s="152">
        <v>1</v>
      </c>
      <c r="E256" s="170"/>
      <c r="F256" s="95"/>
      <c r="G256" s="153" t="str">
        <f t="shared" si="19"/>
        <v/>
      </c>
      <c r="H256" s="10" t="s">
        <v>63</v>
      </c>
      <c r="I256" s="331">
        <v>3.5</v>
      </c>
      <c r="J256" s="12">
        <f t="shared" si="21"/>
        <v>0</v>
      </c>
    </row>
    <row r="257" spans="1:10" ht="15.5" hidden="1" x14ac:dyDescent="0.35">
      <c r="A257" s="108" t="s">
        <v>57</v>
      </c>
      <c r="B257" s="108"/>
      <c r="C257" s="108"/>
      <c r="D257" s="108"/>
      <c r="E257" s="162"/>
      <c r="F257" s="108"/>
      <c r="G257" s="165" t="str">
        <f t="shared" si="19"/>
        <v/>
      </c>
      <c r="H257" s="108"/>
      <c r="I257" s="106" t="s">
        <v>18</v>
      </c>
      <c r="J257" s="107">
        <f>SUM(J258:J259)</f>
        <v>0</v>
      </c>
    </row>
    <row r="258" spans="1:10" hidden="1" x14ac:dyDescent="0.35">
      <c r="A258" s="103"/>
      <c r="B258" s="12" t="s">
        <v>56</v>
      </c>
      <c r="C258" s="10" t="s">
        <v>58</v>
      </c>
      <c r="D258" s="94"/>
      <c r="E258" s="170"/>
      <c r="F258" s="94"/>
      <c r="G258" s="94" t="str">
        <f t="shared" ref="G258:G259" si="22">IF(D258-E258&gt;0,D258-E258,"")</f>
        <v/>
      </c>
      <c r="H258" s="10" t="s">
        <v>20</v>
      </c>
      <c r="I258" s="331">
        <v>54.05</v>
      </c>
      <c r="J258" s="12">
        <f>E258*I258</f>
        <v>0</v>
      </c>
    </row>
    <row r="259" spans="1:10" hidden="1" x14ac:dyDescent="0.35">
      <c r="A259" s="103"/>
      <c r="B259" s="12" t="s">
        <v>56</v>
      </c>
      <c r="C259" s="10" t="s">
        <v>388</v>
      </c>
      <c r="D259" s="94"/>
      <c r="E259" s="170"/>
      <c r="F259" s="94"/>
      <c r="G259" s="94" t="str">
        <f t="shared" si="22"/>
        <v/>
      </c>
      <c r="H259" s="10" t="s">
        <v>20</v>
      </c>
      <c r="I259" s="331">
        <v>0</v>
      </c>
      <c r="J259" s="12">
        <f>E259*I259</f>
        <v>0</v>
      </c>
    </row>
  </sheetData>
  <mergeCells count="2">
    <mergeCell ref="B1:C1"/>
    <mergeCell ref="B2:C2"/>
  </mergeCells>
  <pageMargins left="0.7" right="0.7" top="0.75" bottom="0.75" header="0.3" footer="0.3"/>
  <pageSetup paperSize="9" scale="73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B4F2D-4C22-41C0-B537-3CFDBBDC17B1}">
  <sheetPr codeName="Feuil7">
    <tabColor theme="8" tint="0.39997558519241921"/>
  </sheetPr>
  <dimension ref="A1:K259"/>
  <sheetViews>
    <sheetView topLeftCell="B224" zoomScale="115" zoomScaleNormal="115" workbookViewId="0">
      <selection activeCell="J209" sqref="J209"/>
    </sheetView>
  </sheetViews>
  <sheetFormatPr baseColWidth="10" defaultColWidth="10.7265625" defaultRowHeight="14.5" x14ac:dyDescent="0.35"/>
  <cols>
    <col min="1" max="1" width="2.54296875" customWidth="1"/>
    <col min="2" max="2" width="32.26953125" customWidth="1"/>
    <col min="3" max="3" width="44.54296875" bestFit="1" customWidth="1"/>
    <col min="4" max="4" width="19.7265625" bestFit="1" customWidth="1"/>
    <col min="5" max="5" width="18.81640625" style="34" customWidth="1"/>
    <col min="6" max="6" width="0.1796875" hidden="1" customWidth="1"/>
    <col min="7" max="7" width="14" bestFit="1" customWidth="1"/>
    <col min="8" max="8" width="6.81640625" bestFit="1" customWidth="1"/>
    <col min="9" max="9" width="8.453125" style="86" bestFit="1" customWidth="1"/>
    <col min="10" max="10" width="7.1796875" customWidth="1"/>
  </cols>
  <sheetData>
    <row r="1" spans="2:7" ht="15" thickBot="1" x14ac:dyDescent="0.4">
      <c r="B1" s="321" t="s">
        <v>198</v>
      </c>
      <c r="C1" s="322"/>
      <c r="F1" s="89"/>
      <c r="G1" s="89"/>
    </row>
    <row r="2" spans="2:7" ht="15" thickBot="1" x14ac:dyDescent="0.4">
      <c r="B2" s="319"/>
      <c r="C2" s="320"/>
      <c r="F2" s="90"/>
      <c r="G2" s="90"/>
    </row>
    <row r="3" spans="2:7" x14ac:dyDescent="0.35">
      <c r="B3" s="75"/>
      <c r="C3" s="75"/>
      <c r="F3" s="75"/>
      <c r="G3" s="75"/>
    </row>
    <row r="4" spans="2:7" ht="15.5" x14ac:dyDescent="0.35">
      <c r="B4" s="70" t="s">
        <v>0</v>
      </c>
      <c r="C4" s="70" t="s">
        <v>1</v>
      </c>
      <c r="F4" s="91"/>
      <c r="G4" s="91"/>
    </row>
    <row r="5" spans="2:7" x14ac:dyDescent="0.35">
      <c r="B5" s="71" t="s">
        <v>2</v>
      </c>
      <c r="C5" s="72">
        <f>J23</f>
        <v>5362.15</v>
      </c>
      <c r="F5" s="92"/>
      <c r="G5" s="92"/>
    </row>
    <row r="6" spans="2:7" x14ac:dyDescent="0.35">
      <c r="B6" s="71" t="s">
        <v>7</v>
      </c>
      <c r="C6" s="72">
        <f>J4</f>
        <v>0</v>
      </c>
      <c r="F6" s="92"/>
      <c r="G6" s="92"/>
    </row>
    <row r="7" spans="2:7" x14ac:dyDescent="0.35">
      <c r="B7" s="71" t="s">
        <v>13</v>
      </c>
      <c r="C7" s="72">
        <f>J50</f>
        <v>132.5</v>
      </c>
      <c r="F7" s="92"/>
      <c r="G7" s="92"/>
    </row>
    <row r="8" spans="2:7" x14ac:dyDescent="0.35">
      <c r="B8" s="71" t="s">
        <v>3</v>
      </c>
      <c r="C8" s="72">
        <f>J78</f>
        <v>0</v>
      </c>
      <c r="F8" s="92"/>
      <c r="G8" s="92"/>
    </row>
    <row r="9" spans="2:7" x14ac:dyDescent="0.35">
      <c r="B9" s="71" t="s">
        <v>4</v>
      </c>
      <c r="C9" s="72">
        <f>J122</f>
        <v>2047.79</v>
      </c>
      <c r="F9" s="92"/>
      <c r="G9" s="92"/>
    </row>
    <row r="10" spans="2:7" x14ac:dyDescent="0.35">
      <c r="B10" s="71" t="s">
        <v>199</v>
      </c>
      <c r="C10" s="72">
        <f>J176</f>
        <v>0</v>
      </c>
      <c r="F10" s="92"/>
      <c r="G10" s="92"/>
    </row>
    <row r="11" spans="2:7" x14ac:dyDescent="0.35">
      <c r="B11" s="71" t="s">
        <v>200</v>
      </c>
      <c r="C11" s="72">
        <f>J187</f>
        <v>67.199999999999989</v>
      </c>
      <c r="F11" s="92"/>
      <c r="G11" s="92"/>
    </row>
    <row r="12" spans="2:7" x14ac:dyDescent="0.35">
      <c r="B12" s="71" t="s">
        <v>201</v>
      </c>
      <c r="C12" s="72">
        <f>J193</f>
        <v>0</v>
      </c>
      <c r="F12" s="92"/>
      <c r="G12" s="92"/>
    </row>
    <row r="13" spans="2:7" x14ac:dyDescent="0.35">
      <c r="B13" s="71" t="s">
        <v>202</v>
      </c>
      <c r="C13" s="72">
        <f>J195</f>
        <v>168.61</v>
      </c>
      <c r="F13" s="92"/>
      <c r="G13" s="92"/>
    </row>
    <row r="14" spans="2:7" x14ac:dyDescent="0.35">
      <c r="B14" s="71" t="s">
        <v>203</v>
      </c>
      <c r="C14" s="72">
        <f>J208</f>
        <v>870.78499999999997</v>
      </c>
      <c r="F14" s="92"/>
      <c r="G14" s="92"/>
    </row>
    <row r="15" spans="2:7" x14ac:dyDescent="0.35">
      <c r="B15" s="71" t="s">
        <v>12</v>
      </c>
      <c r="C15" s="72">
        <f>J214</f>
        <v>0</v>
      </c>
      <c r="F15" s="92"/>
      <c r="G15" s="92"/>
    </row>
    <row r="16" spans="2:7" x14ac:dyDescent="0.35">
      <c r="B16" s="71" t="s">
        <v>204</v>
      </c>
      <c r="C16" s="72">
        <f>J222</f>
        <v>0</v>
      </c>
      <c r="F16" s="92"/>
      <c r="G16" s="92"/>
    </row>
    <row r="17" spans="1:10" x14ac:dyDescent="0.35">
      <c r="B17" s="71" t="s">
        <v>9</v>
      </c>
      <c r="C17" s="72">
        <f>J224</f>
        <v>428.55</v>
      </c>
      <c r="F17" s="92"/>
      <c r="G17" s="92"/>
    </row>
    <row r="18" spans="1:10" x14ac:dyDescent="0.35">
      <c r="B18" s="71" t="s">
        <v>205</v>
      </c>
      <c r="C18" s="72">
        <f>J245</f>
        <v>238.97000000000003</v>
      </c>
      <c r="F18" s="92"/>
      <c r="G18" s="92"/>
    </row>
    <row r="19" spans="1:10" x14ac:dyDescent="0.35">
      <c r="B19" s="71" t="s">
        <v>56</v>
      </c>
      <c r="C19" s="72">
        <f>J257</f>
        <v>0</v>
      </c>
      <c r="F19" s="92"/>
      <c r="G19" s="92"/>
    </row>
    <row r="20" spans="1:10" x14ac:dyDescent="0.35">
      <c r="B20" s="73" t="s">
        <v>14</v>
      </c>
      <c r="C20" s="74">
        <f>C5+C6+C7+C8+C9+C10+C11+C12+C13+C14+C15+C16+C17+C18+C19</f>
        <v>9316.5549999999985</v>
      </c>
      <c r="F20" s="93"/>
      <c r="G20" s="93"/>
    </row>
    <row r="21" spans="1:10" ht="18.5" x14ac:dyDescent="0.45">
      <c r="A21" s="76" t="s">
        <v>207</v>
      </c>
      <c r="B21" s="76"/>
      <c r="C21" s="76"/>
      <c r="D21" s="76"/>
      <c r="E21" s="167"/>
      <c r="F21" s="76"/>
      <c r="G21" s="76"/>
      <c r="H21" s="76"/>
      <c r="I21" s="262"/>
      <c r="J21" s="76"/>
    </row>
    <row r="22" spans="1:10" x14ac:dyDescent="0.35">
      <c r="A22" s="129"/>
      <c r="B22" s="129" t="s">
        <v>15</v>
      </c>
      <c r="C22" s="129" t="s">
        <v>16</v>
      </c>
      <c r="D22" s="130" t="s">
        <v>398</v>
      </c>
      <c r="E22" s="168" t="s">
        <v>401</v>
      </c>
      <c r="F22" s="130" t="s">
        <v>399</v>
      </c>
      <c r="G22" s="164" t="s">
        <v>400</v>
      </c>
      <c r="H22" s="132" t="s">
        <v>406</v>
      </c>
      <c r="I22" s="341" t="s">
        <v>45</v>
      </c>
      <c r="J22" s="132" t="s">
        <v>402</v>
      </c>
    </row>
    <row r="23" spans="1:10" ht="15.5" x14ac:dyDescent="0.35">
      <c r="A23" s="108" t="s">
        <v>208</v>
      </c>
      <c r="B23" s="108"/>
      <c r="C23" s="108"/>
      <c r="D23" s="108"/>
      <c r="E23" s="169" t="s">
        <v>421</v>
      </c>
      <c r="F23" s="108"/>
      <c r="G23" s="108"/>
      <c r="H23" s="108"/>
      <c r="I23" s="110" t="s">
        <v>18</v>
      </c>
      <c r="J23" s="107">
        <f>SUM(J24:J40)</f>
        <v>5362.15</v>
      </c>
    </row>
    <row r="24" spans="1:10" x14ac:dyDescent="0.35">
      <c r="A24" s="103"/>
      <c r="B24" s="7" t="s">
        <v>2</v>
      </c>
      <c r="C24" s="14" t="s">
        <v>19</v>
      </c>
      <c r="D24" s="152">
        <v>2</v>
      </c>
      <c r="E24" s="170">
        <v>3</v>
      </c>
      <c r="F24" s="95"/>
      <c r="G24" s="153" t="str">
        <f>IF(E24="","",IF(D24-E24&gt;0,D24-E24,""))</f>
        <v/>
      </c>
      <c r="H24" s="10" t="s">
        <v>20</v>
      </c>
      <c r="I24" s="331">
        <v>55.95</v>
      </c>
      <c r="J24" s="12">
        <f t="shared" ref="J24:J40" si="0">E24*I24</f>
        <v>167.85000000000002</v>
      </c>
    </row>
    <row r="25" spans="1:10" hidden="1" x14ac:dyDescent="0.35">
      <c r="A25" s="103"/>
      <c r="B25" s="7" t="s">
        <v>2</v>
      </c>
      <c r="C25" s="14" t="s">
        <v>209</v>
      </c>
      <c r="D25" s="152"/>
      <c r="E25" s="170"/>
      <c r="F25" s="95"/>
      <c r="G25" s="153" t="str">
        <f t="shared" ref="G25:G88" si="1">IF(E25="","",IF(D25-E25&gt;0,D25-E25,""))</f>
        <v/>
      </c>
      <c r="H25" s="10" t="s">
        <v>20</v>
      </c>
      <c r="I25" s="331">
        <v>173.1</v>
      </c>
      <c r="J25" s="12">
        <f t="shared" si="0"/>
        <v>0</v>
      </c>
    </row>
    <row r="26" spans="1:10" x14ac:dyDescent="0.35">
      <c r="A26" s="103"/>
      <c r="B26" s="12" t="s">
        <v>2</v>
      </c>
      <c r="C26" s="10" t="s">
        <v>21</v>
      </c>
      <c r="D26" s="152">
        <v>20</v>
      </c>
      <c r="E26" s="170">
        <v>52</v>
      </c>
      <c r="F26" s="95"/>
      <c r="G26" s="153" t="str">
        <f t="shared" si="1"/>
        <v/>
      </c>
      <c r="H26" s="10" t="s">
        <v>20</v>
      </c>
      <c r="I26" s="331">
        <v>75.400000000000006</v>
      </c>
      <c r="J26" s="12">
        <f t="shared" si="0"/>
        <v>3920.8</v>
      </c>
    </row>
    <row r="27" spans="1:10" x14ac:dyDescent="0.35">
      <c r="A27" s="103"/>
      <c r="B27" s="12" t="s">
        <v>2</v>
      </c>
      <c r="C27" s="10" t="s">
        <v>210</v>
      </c>
      <c r="D27" s="152">
        <v>20</v>
      </c>
      <c r="E27" s="170">
        <v>15</v>
      </c>
      <c r="F27" s="95"/>
      <c r="G27" s="153">
        <f t="shared" si="1"/>
        <v>5</v>
      </c>
      <c r="H27" s="10" t="s">
        <v>20</v>
      </c>
      <c r="I27" s="331">
        <v>84.9</v>
      </c>
      <c r="J27" s="12">
        <f t="shared" si="0"/>
        <v>1273.5</v>
      </c>
    </row>
    <row r="28" spans="1:10" hidden="1" x14ac:dyDescent="0.35">
      <c r="A28" s="103"/>
      <c r="B28" s="12" t="s">
        <v>2</v>
      </c>
      <c r="C28" s="10" t="s">
        <v>211</v>
      </c>
      <c r="D28" s="152"/>
      <c r="E28" s="170"/>
      <c r="F28" s="95"/>
      <c r="G28" s="153" t="str">
        <f t="shared" si="1"/>
        <v/>
      </c>
      <c r="H28" s="10" t="s">
        <v>20</v>
      </c>
      <c r="I28" s="331">
        <v>2.96</v>
      </c>
      <c r="J28" s="12">
        <f t="shared" si="0"/>
        <v>0</v>
      </c>
    </row>
    <row r="29" spans="1:10" hidden="1" x14ac:dyDescent="0.35">
      <c r="A29" s="103"/>
      <c r="B29" s="12" t="s">
        <v>2</v>
      </c>
      <c r="C29" s="10" t="s">
        <v>212</v>
      </c>
      <c r="D29" s="152"/>
      <c r="E29" s="170"/>
      <c r="F29" s="95"/>
      <c r="G29" s="153" t="str">
        <f t="shared" si="1"/>
        <v/>
      </c>
      <c r="H29" s="10" t="s">
        <v>20</v>
      </c>
      <c r="I29" s="331">
        <v>2.96</v>
      </c>
      <c r="J29" s="12">
        <f t="shared" si="0"/>
        <v>0</v>
      </c>
    </row>
    <row r="30" spans="1:10" ht="15.75" hidden="1" customHeight="1" x14ac:dyDescent="0.35">
      <c r="A30" s="103"/>
      <c r="B30" s="12" t="s">
        <v>2</v>
      </c>
      <c r="C30" s="10" t="s">
        <v>213</v>
      </c>
      <c r="D30" s="152"/>
      <c r="E30" s="170"/>
      <c r="F30" s="95"/>
      <c r="G30" s="153" t="str">
        <f t="shared" si="1"/>
        <v/>
      </c>
      <c r="H30" s="10" t="s">
        <v>20</v>
      </c>
      <c r="I30" s="331">
        <v>2.96</v>
      </c>
      <c r="J30" s="12">
        <f t="shared" si="0"/>
        <v>0</v>
      </c>
    </row>
    <row r="31" spans="1:10" hidden="1" x14ac:dyDescent="0.35">
      <c r="A31" s="103"/>
      <c r="B31" s="7" t="s">
        <v>2</v>
      </c>
      <c r="C31" s="14" t="s">
        <v>22</v>
      </c>
      <c r="D31" s="152"/>
      <c r="E31" s="170"/>
      <c r="F31" s="95"/>
      <c r="G31" s="153" t="str">
        <f t="shared" si="1"/>
        <v/>
      </c>
      <c r="H31" s="10" t="s">
        <v>20</v>
      </c>
      <c r="I31" s="331">
        <v>107.2</v>
      </c>
      <c r="J31" s="12">
        <f t="shared" si="0"/>
        <v>0</v>
      </c>
    </row>
    <row r="32" spans="1:10" hidden="1" x14ac:dyDescent="0.35">
      <c r="A32" s="103"/>
      <c r="B32" s="7" t="s">
        <v>2</v>
      </c>
      <c r="C32" s="14" t="s">
        <v>214</v>
      </c>
      <c r="D32" s="152"/>
      <c r="E32" s="170"/>
      <c r="F32" s="95"/>
      <c r="G32" s="153" t="str">
        <f t="shared" si="1"/>
        <v/>
      </c>
      <c r="H32" s="10" t="s">
        <v>20</v>
      </c>
      <c r="I32" s="331">
        <v>170.7</v>
      </c>
      <c r="J32" s="12">
        <f t="shared" si="0"/>
        <v>0</v>
      </c>
    </row>
    <row r="33" spans="1:10" hidden="1" x14ac:dyDescent="0.35">
      <c r="A33" s="103"/>
      <c r="B33" s="12" t="s">
        <v>2</v>
      </c>
      <c r="C33" s="10" t="s">
        <v>215</v>
      </c>
      <c r="D33" s="152"/>
      <c r="E33" s="170"/>
      <c r="F33" s="95"/>
      <c r="G33" s="153" t="str">
        <f t="shared" si="1"/>
        <v/>
      </c>
      <c r="H33" s="10" t="s">
        <v>216</v>
      </c>
      <c r="I33" s="331">
        <v>3.77</v>
      </c>
      <c r="J33" s="12">
        <f t="shared" si="0"/>
        <v>0</v>
      </c>
    </row>
    <row r="34" spans="1:10" hidden="1" x14ac:dyDescent="0.35">
      <c r="A34" s="103"/>
      <c r="B34" s="12" t="s">
        <v>2</v>
      </c>
      <c r="C34" s="10" t="s">
        <v>217</v>
      </c>
      <c r="D34" s="152"/>
      <c r="E34" s="170"/>
      <c r="F34" s="95"/>
      <c r="G34" s="153" t="str">
        <f t="shared" si="1"/>
        <v/>
      </c>
      <c r="H34" s="10" t="s">
        <v>20</v>
      </c>
      <c r="I34" s="331">
        <v>2.56</v>
      </c>
      <c r="J34" s="12">
        <f t="shared" si="0"/>
        <v>0</v>
      </c>
    </row>
    <row r="35" spans="1:10" hidden="1" x14ac:dyDescent="0.35">
      <c r="A35" s="103"/>
      <c r="B35" s="12" t="s">
        <v>2</v>
      </c>
      <c r="C35" s="10" t="s">
        <v>218</v>
      </c>
      <c r="D35" s="152"/>
      <c r="E35" s="170"/>
      <c r="F35" s="95"/>
      <c r="G35" s="153" t="str">
        <f t="shared" si="1"/>
        <v/>
      </c>
      <c r="H35" s="10" t="s">
        <v>20</v>
      </c>
      <c r="I35" s="331">
        <v>3.08</v>
      </c>
      <c r="J35" s="12">
        <f t="shared" si="0"/>
        <v>0</v>
      </c>
    </row>
    <row r="36" spans="1:10" hidden="1" x14ac:dyDescent="0.35">
      <c r="A36" s="103"/>
      <c r="B36" s="12" t="s">
        <v>2</v>
      </c>
      <c r="C36" s="10" t="s">
        <v>219</v>
      </c>
      <c r="D36" s="152"/>
      <c r="E36" s="170"/>
      <c r="F36" s="95"/>
      <c r="G36" s="153" t="str">
        <f t="shared" si="1"/>
        <v/>
      </c>
      <c r="H36" s="10" t="s">
        <v>20</v>
      </c>
      <c r="I36" s="331">
        <v>2.56</v>
      </c>
      <c r="J36" s="12">
        <f t="shared" si="0"/>
        <v>0</v>
      </c>
    </row>
    <row r="37" spans="1:10" hidden="1" x14ac:dyDescent="0.35">
      <c r="A37" s="103"/>
      <c r="B37" s="12" t="s">
        <v>2</v>
      </c>
      <c r="C37" s="10" t="s">
        <v>220</v>
      </c>
      <c r="D37" s="152"/>
      <c r="E37" s="170"/>
      <c r="F37" s="95"/>
      <c r="G37" s="153" t="str">
        <f t="shared" si="1"/>
        <v/>
      </c>
      <c r="H37" s="10" t="s">
        <v>20</v>
      </c>
      <c r="I37" s="331">
        <v>1.41</v>
      </c>
      <c r="J37" s="12">
        <f t="shared" si="0"/>
        <v>0</v>
      </c>
    </row>
    <row r="38" spans="1:10" hidden="1" x14ac:dyDescent="0.35">
      <c r="A38" s="103"/>
      <c r="B38" s="12" t="s">
        <v>2</v>
      </c>
      <c r="C38" s="10" t="s">
        <v>221</v>
      </c>
      <c r="D38" s="152"/>
      <c r="E38" s="170"/>
      <c r="F38" s="95"/>
      <c r="G38" s="153" t="str">
        <f t="shared" si="1"/>
        <v/>
      </c>
      <c r="H38" s="10" t="s">
        <v>20</v>
      </c>
      <c r="I38" s="331">
        <v>1.73</v>
      </c>
      <c r="J38" s="12">
        <f t="shared" si="0"/>
        <v>0</v>
      </c>
    </row>
    <row r="39" spans="1:10" hidden="1" x14ac:dyDescent="0.35">
      <c r="A39" s="103"/>
      <c r="B39" s="12" t="s">
        <v>2</v>
      </c>
      <c r="C39" s="10" t="s">
        <v>222</v>
      </c>
      <c r="D39" s="152"/>
      <c r="E39" s="170"/>
      <c r="F39" s="95"/>
      <c r="G39" s="153" t="str">
        <f t="shared" si="1"/>
        <v/>
      </c>
      <c r="H39" s="10" t="s">
        <v>20</v>
      </c>
      <c r="I39" s="331">
        <v>1.46</v>
      </c>
      <c r="J39" s="12">
        <f t="shared" si="0"/>
        <v>0</v>
      </c>
    </row>
    <row r="40" spans="1:10" hidden="1" x14ac:dyDescent="0.35">
      <c r="A40" s="103"/>
      <c r="B40" s="12" t="s">
        <v>2</v>
      </c>
      <c r="C40" s="10" t="s">
        <v>223</v>
      </c>
      <c r="D40" s="222"/>
      <c r="E40" s="170"/>
      <c r="F40" s="141"/>
      <c r="G40" s="153" t="str">
        <f t="shared" si="1"/>
        <v/>
      </c>
      <c r="H40" s="10" t="s">
        <v>20</v>
      </c>
      <c r="I40" s="332">
        <v>3.45</v>
      </c>
      <c r="J40" s="12">
        <f t="shared" si="0"/>
        <v>0</v>
      </c>
    </row>
    <row r="41" spans="1:10" ht="15.5" x14ac:dyDescent="0.35">
      <c r="A41" s="108" t="s">
        <v>119</v>
      </c>
      <c r="B41" s="108"/>
      <c r="C41" s="108"/>
      <c r="D41" s="223"/>
      <c r="E41" s="169"/>
      <c r="F41" s="109"/>
      <c r="G41" s="165" t="str">
        <f t="shared" si="1"/>
        <v/>
      </c>
      <c r="H41" s="108"/>
      <c r="I41" s="106" t="s">
        <v>18</v>
      </c>
      <c r="J41" s="107">
        <f>SUM(J42:J49)</f>
        <v>3690</v>
      </c>
    </row>
    <row r="42" spans="1:10" x14ac:dyDescent="0.35">
      <c r="A42" s="103"/>
      <c r="B42" s="12" t="s">
        <v>7</v>
      </c>
      <c r="C42" s="10" t="s">
        <v>224</v>
      </c>
      <c r="D42" s="152"/>
      <c r="E42" s="166">
        <f>E24</f>
        <v>3</v>
      </c>
      <c r="F42" s="95"/>
      <c r="G42" s="153" t="str">
        <f>IF(E42="","",IF(D42-E42&gt;0,D42-E42,""))</f>
        <v/>
      </c>
      <c r="H42" s="10" t="s">
        <v>20</v>
      </c>
      <c r="I42" s="331">
        <v>100</v>
      </c>
      <c r="J42" s="12">
        <f t="shared" ref="J42:J49" si="2">E42*I42</f>
        <v>300</v>
      </c>
    </row>
    <row r="43" spans="1:10" hidden="1" x14ac:dyDescent="0.35">
      <c r="A43" s="103"/>
      <c r="B43" s="12" t="s">
        <v>7</v>
      </c>
      <c r="C43" s="10" t="s">
        <v>225</v>
      </c>
      <c r="D43" s="152"/>
      <c r="E43" s="170"/>
      <c r="F43" s="95"/>
      <c r="G43" s="153" t="str">
        <f t="shared" si="1"/>
        <v/>
      </c>
      <c r="H43" s="10" t="s">
        <v>20</v>
      </c>
      <c r="I43" s="331">
        <v>12.2</v>
      </c>
      <c r="J43" s="12">
        <f t="shared" si="2"/>
        <v>0</v>
      </c>
    </row>
    <row r="44" spans="1:10" hidden="1" x14ac:dyDescent="0.35">
      <c r="A44" s="103"/>
      <c r="B44" s="12" t="s">
        <v>7</v>
      </c>
      <c r="C44" s="10" t="s">
        <v>226</v>
      </c>
      <c r="D44" s="152"/>
      <c r="E44" s="170"/>
      <c r="F44" s="95"/>
      <c r="G44" s="153" t="str">
        <f t="shared" si="1"/>
        <v/>
      </c>
      <c r="H44" s="10" t="s">
        <v>20</v>
      </c>
      <c r="I44" s="331">
        <v>11</v>
      </c>
      <c r="J44" s="12">
        <f t="shared" si="2"/>
        <v>0</v>
      </c>
    </row>
    <row r="45" spans="1:10" hidden="1" x14ac:dyDescent="0.35">
      <c r="A45" s="103"/>
      <c r="B45" s="12" t="s">
        <v>7</v>
      </c>
      <c r="C45" s="10" t="s">
        <v>227</v>
      </c>
      <c r="D45" s="152"/>
      <c r="E45" s="170"/>
      <c r="F45" s="95"/>
      <c r="G45" s="153" t="str">
        <f t="shared" si="1"/>
        <v/>
      </c>
      <c r="H45" s="10" t="s">
        <v>20</v>
      </c>
      <c r="I45" s="331">
        <v>5</v>
      </c>
      <c r="J45" s="12">
        <f t="shared" si="2"/>
        <v>0</v>
      </c>
    </row>
    <row r="46" spans="1:10" x14ac:dyDescent="0.35">
      <c r="A46" s="103"/>
      <c r="B46" s="12" t="s">
        <v>7</v>
      </c>
      <c r="C46" s="10" t="s">
        <v>46</v>
      </c>
      <c r="D46" s="152"/>
      <c r="E46" s="170">
        <v>8</v>
      </c>
      <c r="F46" s="95"/>
      <c r="G46" s="153" t="str">
        <f t="shared" si="1"/>
        <v/>
      </c>
      <c r="H46" s="10" t="s">
        <v>20</v>
      </c>
      <c r="I46" s="331">
        <v>5</v>
      </c>
      <c r="J46" s="12">
        <f t="shared" si="2"/>
        <v>40</v>
      </c>
    </row>
    <row r="47" spans="1:10" hidden="1" x14ac:dyDescent="0.35">
      <c r="A47" s="103"/>
      <c r="B47" s="12" t="s">
        <v>7</v>
      </c>
      <c r="C47" s="10" t="s">
        <v>228</v>
      </c>
      <c r="D47" s="152"/>
      <c r="E47" s="170"/>
      <c r="F47" s="95"/>
      <c r="G47" s="153" t="str">
        <f t="shared" si="1"/>
        <v/>
      </c>
      <c r="H47" s="10" t="s">
        <v>20</v>
      </c>
      <c r="I47" s="331">
        <v>11</v>
      </c>
      <c r="J47" s="12">
        <f t="shared" si="2"/>
        <v>0</v>
      </c>
    </row>
    <row r="48" spans="1:10" x14ac:dyDescent="0.35">
      <c r="A48" s="103"/>
      <c r="B48" s="12" t="s">
        <v>7</v>
      </c>
      <c r="C48" s="10" t="s">
        <v>229</v>
      </c>
      <c r="D48" s="152"/>
      <c r="E48" s="166">
        <f>E27+E26</f>
        <v>67</v>
      </c>
      <c r="F48" s="95"/>
      <c r="G48" s="153" t="str">
        <f t="shared" si="1"/>
        <v/>
      </c>
      <c r="H48" s="10" t="s">
        <v>20</v>
      </c>
      <c r="I48" s="331">
        <v>50</v>
      </c>
      <c r="J48" s="12">
        <f t="shared" si="2"/>
        <v>3350</v>
      </c>
    </row>
    <row r="49" spans="1:11" hidden="1" x14ac:dyDescent="0.35">
      <c r="A49" s="103"/>
      <c r="B49" s="12" t="s">
        <v>7</v>
      </c>
      <c r="C49" s="78" t="s">
        <v>206</v>
      </c>
      <c r="D49" s="224"/>
      <c r="E49" s="170"/>
      <c r="F49" s="142"/>
      <c r="G49" s="153" t="str">
        <f t="shared" si="1"/>
        <v/>
      </c>
      <c r="H49" s="10" t="s">
        <v>20</v>
      </c>
      <c r="I49" s="333">
        <v>5</v>
      </c>
      <c r="J49" s="12">
        <f t="shared" si="2"/>
        <v>0</v>
      </c>
    </row>
    <row r="50" spans="1:11" ht="15.5" x14ac:dyDescent="0.35">
      <c r="A50" s="103"/>
      <c r="B50" s="104" t="s">
        <v>230</v>
      </c>
      <c r="C50" s="105"/>
      <c r="D50" s="225"/>
      <c r="E50" s="171"/>
      <c r="F50" s="143"/>
      <c r="G50" s="165" t="str">
        <f t="shared" si="1"/>
        <v/>
      </c>
      <c r="H50" s="105"/>
      <c r="I50" s="106" t="s">
        <v>18</v>
      </c>
      <c r="J50" s="107">
        <f>SUM(J52:J77)</f>
        <v>132.5</v>
      </c>
    </row>
    <row r="51" spans="1:11" ht="15.5" x14ac:dyDescent="0.35">
      <c r="A51" s="111"/>
      <c r="B51" s="126" t="s">
        <v>231</v>
      </c>
      <c r="C51" s="127"/>
      <c r="D51" s="226"/>
      <c r="E51" s="172"/>
      <c r="F51" s="144"/>
      <c r="G51" s="165" t="str">
        <f t="shared" si="1"/>
        <v/>
      </c>
      <c r="H51" s="127"/>
      <c r="I51" s="239"/>
      <c r="J51" s="128"/>
    </row>
    <row r="52" spans="1:11" hidden="1" x14ac:dyDescent="0.35">
      <c r="A52" s="103"/>
      <c r="B52" s="12" t="s">
        <v>13</v>
      </c>
      <c r="C52" s="10" t="s">
        <v>78</v>
      </c>
      <c r="D52" s="152"/>
      <c r="E52" s="170"/>
      <c r="F52" s="95"/>
      <c r="G52" s="153" t="str">
        <f t="shared" si="1"/>
        <v/>
      </c>
      <c r="H52" s="10" t="s">
        <v>20</v>
      </c>
      <c r="I52" s="331">
        <v>13</v>
      </c>
      <c r="J52" s="12">
        <f t="shared" ref="J52:J58" si="3">E52*I52</f>
        <v>0</v>
      </c>
    </row>
    <row r="53" spans="1:11" hidden="1" x14ac:dyDescent="0.35">
      <c r="A53" s="103"/>
      <c r="B53" s="12" t="s">
        <v>13</v>
      </c>
      <c r="C53" s="10" t="s">
        <v>232</v>
      </c>
      <c r="D53" s="152"/>
      <c r="E53" s="170"/>
      <c r="F53" s="95"/>
      <c r="G53" s="153" t="str">
        <f t="shared" si="1"/>
        <v/>
      </c>
      <c r="H53" s="10" t="s">
        <v>20</v>
      </c>
      <c r="I53" s="331">
        <v>13</v>
      </c>
      <c r="J53" s="12">
        <f t="shared" si="3"/>
        <v>0</v>
      </c>
      <c r="K53" s="87"/>
    </row>
    <row r="54" spans="1:11" hidden="1" x14ac:dyDescent="0.35">
      <c r="A54" s="103"/>
      <c r="B54" s="12" t="s">
        <v>13</v>
      </c>
      <c r="C54" s="10" t="s">
        <v>233</v>
      </c>
      <c r="D54" s="152"/>
      <c r="E54" s="170"/>
      <c r="F54" s="95"/>
      <c r="G54" s="153" t="str">
        <f t="shared" si="1"/>
        <v/>
      </c>
      <c r="H54" s="10" t="s">
        <v>20</v>
      </c>
      <c r="I54" s="331">
        <v>8.9</v>
      </c>
      <c r="J54" s="12">
        <f t="shared" si="3"/>
        <v>0</v>
      </c>
    </row>
    <row r="55" spans="1:11" x14ac:dyDescent="0.35">
      <c r="A55" s="103"/>
      <c r="B55" s="12" t="s">
        <v>13</v>
      </c>
      <c r="C55" s="10" t="s">
        <v>32</v>
      </c>
      <c r="D55" s="152">
        <v>6</v>
      </c>
      <c r="E55" s="170"/>
      <c r="F55" s="95"/>
      <c r="G55" s="153" t="str">
        <f t="shared" si="1"/>
        <v/>
      </c>
      <c r="H55" s="10" t="s">
        <v>20</v>
      </c>
      <c r="I55" s="331">
        <v>8.35</v>
      </c>
      <c r="J55" s="12">
        <f t="shared" si="3"/>
        <v>0</v>
      </c>
    </row>
    <row r="56" spans="1:11" x14ac:dyDescent="0.35">
      <c r="A56" s="103"/>
      <c r="B56" s="12" t="s">
        <v>13</v>
      </c>
      <c r="C56" s="10" t="s">
        <v>33</v>
      </c>
      <c r="D56" s="152">
        <v>6</v>
      </c>
      <c r="E56" s="170">
        <v>10</v>
      </c>
      <c r="F56" s="95"/>
      <c r="G56" s="153" t="str">
        <f t="shared" si="1"/>
        <v/>
      </c>
      <c r="H56" s="10" t="s">
        <v>20</v>
      </c>
      <c r="I56" s="331">
        <v>8.9</v>
      </c>
      <c r="J56" s="12">
        <f t="shared" si="3"/>
        <v>89</v>
      </c>
    </row>
    <row r="57" spans="1:11" x14ac:dyDescent="0.35">
      <c r="A57" s="103"/>
      <c r="B57" s="12" t="s">
        <v>13</v>
      </c>
      <c r="C57" s="10" t="s">
        <v>59</v>
      </c>
      <c r="D57" s="152">
        <v>6</v>
      </c>
      <c r="E57" s="170">
        <v>5</v>
      </c>
      <c r="F57" s="95"/>
      <c r="G57" s="153">
        <f t="shared" si="1"/>
        <v>1</v>
      </c>
      <c r="H57" s="10" t="s">
        <v>20</v>
      </c>
      <c r="I57" s="331">
        <v>8.6999999999999993</v>
      </c>
      <c r="J57" s="12">
        <f t="shared" si="3"/>
        <v>43.5</v>
      </c>
    </row>
    <row r="58" spans="1:11" hidden="1" x14ac:dyDescent="0.35">
      <c r="A58" s="103"/>
      <c r="B58" s="12" t="s">
        <v>13</v>
      </c>
      <c r="C58" s="10" t="s">
        <v>234</v>
      </c>
      <c r="D58" s="152"/>
      <c r="E58" s="170"/>
      <c r="F58" s="95"/>
      <c r="G58" s="153" t="str">
        <f t="shared" si="1"/>
        <v/>
      </c>
      <c r="H58" s="10" t="s">
        <v>20</v>
      </c>
      <c r="I58" s="331">
        <v>12.15</v>
      </c>
      <c r="J58" s="12">
        <f t="shared" si="3"/>
        <v>0</v>
      </c>
    </row>
    <row r="59" spans="1:11" hidden="1" x14ac:dyDescent="0.35">
      <c r="A59" s="103"/>
      <c r="B59" s="12" t="s">
        <v>13</v>
      </c>
      <c r="C59" s="10" t="s">
        <v>235</v>
      </c>
      <c r="D59" s="152"/>
      <c r="E59" s="170"/>
      <c r="F59" s="95"/>
      <c r="G59" s="153" t="str">
        <f t="shared" si="1"/>
        <v/>
      </c>
      <c r="H59" s="10" t="s">
        <v>20</v>
      </c>
      <c r="I59" s="331">
        <v>11.35</v>
      </c>
      <c r="J59" s="12">
        <f t="shared" ref="J59:J64" si="4">E59*I59</f>
        <v>0</v>
      </c>
    </row>
    <row r="60" spans="1:11" hidden="1" x14ac:dyDescent="0.35">
      <c r="A60" s="103"/>
      <c r="B60" s="12" t="s">
        <v>13</v>
      </c>
      <c r="C60" s="10" t="s">
        <v>236</v>
      </c>
      <c r="D60" s="152"/>
      <c r="E60" s="170"/>
      <c r="F60" s="95"/>
      <c r="G60" s="153" t="str">
        <f t="shared" si="1"/>
        <v/>
      </c>
      <c r="H60" s="10" t="s">
        <v>20</v>
      </c>
      <c r="I60" s="331">
        <v>14.65</v>
      </c>
      <c r="J60" s="12">
        <f t="shared" si="4"/>
        <v>0</v>
      </c>
    </row>
    <row r="61" spans="1:11" hidden="1" x14ac:dyDescent="0.35">
      <c r="A61" s="103"/>
      <c r="B61" s="12" t="s">
        <v>13</v>
      </c>
      <c r="C61" s="10" t="s">
        <v>237</v>
      </c>
      <c r="D61" s="152"/>
      <c r="E61" s="170"/>
      <c r="F61" s="95"/>
      <c r="G61" s="153" t="str">
        <f t="shared" si="1"/>
        <v/>
      </c>
      <c r="H61" s="10" t="s">
        <v>20</v>
      </c>
      <c r="I61" s="331">
        <v>16.25</v>
      </c>
      <c r="J61" s="12">
        <f t="shared" si="4"/>
        <v>0</v>
      </c>
    </row>
    <row r="62" spans="1:11" hidden="1" x14ac:dyDescent="0.35">
      <c r="A62" s="103"/>
      <c r="B62" s="12" t="s">
        <v>13</v>
      </c>
      <c r="C62" s="10" t="s">
        <v>238</v>
      </c>
      <c r="D62" s="152"/>
      <c r="E62" s="170"/>
      <c r="F62" s="95"/>
      <c r="G62" s="153" t="str">
        <f t="shared" si="1"/>
        <v/>
      </c>
      <c r="H62" s="10" t="s">
        <v>20</v>
      </c>
      <c r="I62" s="331">
        <v>17.899999999999999</v>
      </c>
      <c r="J62" s="12">
        <f t="shared" si="4"/>
        <v>0</v>
      </c>
    </row>
    <row r="63" spans="1:11" hidden="1" x14ac:dyDescent="0.35">
      <c r="A63" s="103"/>
      <c r="B63" s="12" t="s">
        <v>13</v>
      </c>
      <c r="C63" s="10" t="s">
        <v>239</v>
      </c>
      <c r="D63" s="152"/>
      <c r="E63" s="170"/>
      <c r="F63" s="95"/>
      <c r="G63" s="153" t="str">
        <f t="shared" si="1"/>
        <v/>
      </c>
      <c r="H63" s="10" t="s">
        <v>20</v>
      </c>
      <c r="I63" s="331">
        <v>15.95</v>
      </c>
      <c r="J63" s="12">
        <f t="shared" si="4"/>
        <v>0</v>
      </c>
    </row>
    <row r="64" spans="1:11" hidden="1" x14ac:dyDescent="0.35">
      <c r="A64" s="103"/>
      <c r="B64" s="12" t="s">
        <v>13</v>
      </c>
      <c r="C64" s="10" t="s">
        <v>240</v>
      </c>
      <c r="D64" s="152"/>
      <c r="E64" s="170"/>
      <c r="F64" s="95"/>
      <c r="G64" s="153" t="str">
        <f t="shared" si="1"/>
        <v/>
      </c>
      <c r="H64" s="10" t="s">
        <v>20</v>
      </c>
      <c r="I64" s="331">
        <v>15.45</v>
      </c>
      <c r="J64" s="12">
        <f t="shared" si="4"/>
        <v>0</v>
      </c>
    </row>
    <row r="65" spans="1:10" ht="15.5" hidden="1" x14ac:dyDescent="0.35">
      <c r="A65" s="111"/>
      <c r="B65" s="126" t="s">
        <v>241</v>
      </c>
      <c r="C65" s="127"/>
      <c r="D65" s="226"/>
      <c r="E65" s="172"/>
      <c r="F65" s="144"/>
      <c r="G65" s="153" t="str">
        <f t="shared" si="1"/>
        <v/>
      </c>
      <c r="H65" s="127"/>
      <c r="I65" s="239"/>
      <c r="J65" s="128"/>
    </row>
    <row r="66" spans="1:10" hidden="1" x14ac:dyDescent="0.35">
      <c r="A66" s="103"/>
      <c r="B66" s="12" t="s">
        <v>13</v>
      </c>
      <c r="C66" s="10" t="s">
        <v>242</v>
      </c>
      <c r="D66" s="152"/>
      <c r="E66" s="170"/>
      <c r="F66" s="95"/>
      <c r="G66" s="153" t="str">
        <f t="shared" si="1"/>
        <v/>
      </c>
      <c r="H66" s="10" t="s">
        <v>20</v>
      </c>
      <c r="I66" s="331">
        <v>31.05</v>
      </c>
      <c r="J66" s="12">
        <f t="shared" ref="J66:J72" si="5">E66*I66</f>
        <v>0</v>
      </c>
    </row>
    <row r="67" spans="1:10" hidden="1" x14ac:dyDescent="0.35">
      <c r="A67" s="103"/>
      <c r="B67" s="12" t="s">
        <v>13</v>
      </c>
      <c r="C67" s="10" t="s">
        <v>243</v>
      </c>
      <c r="D67" s="152"/>
      <c r="E67" s="170"/>
      <c r="F67" s="95"/>
      <c r="G67" s="153" t="str">
        <f t="shared" si="1"/>
        <v/>
      </c>
      <c r="H67" s="10" t="s">
        <v>20</v>
      </c>
      <c r="I67" s="331">
        <v>60.79</v>
      </c>
      <c r="J67" s="12">
        <f t="shared" si="5"/>
        <v>0</v>
      </c>
    </row>
    <row r="68" spans="1:10" hidden="1" x14ac:dyDescent="0.35">
      <c r="A68" s="103"/>
      <c r="B68" s="12" t="s">
        <v>13</v>
      </c>
      <c r="C68" s="10" t="s">
        <v>244</v>
      </c>
      <c r="D68" s="152"/>
      <c r="E68" s="170"/>
      <c r="F68" s="95"/>
      <c r="G68" s="153" t="str">
        <f t="shared" si="1"/>
        <v/>
      </c>
      <c r="H68" s="10" t="s">
        <v>20</v>
      </c>
      <c r="I68" s="331">
        <v>56.55</v>
      </c>
      <c r="J68" s="12">
        <f t="shared" si="5"/>
        <v>0</v>
      </c>
    </row>
    <row r="69" spans="1:10" hidden="1" x14ac:dyDescent="0.35">
      <c r="A69" s="103"/>
      <c r="B69" s="12" t="s">
        <v>13</v>
      </c>
      <c r="C69" s="10" t="s">
        <v>245</v>
      </c>
      <c r="D69" s="152"/>
      <c r="E69" s="170"/>
      <c r="F69" s="95"/>
      <c r="G69" s="153" t="str">
        <f t="shared" si="1"/>
        <v/>
      </c>
      <c r="H69" s="10" t="s">
        <v>20</v>
      </c>
      <c r="I69" s="331">
        <v>107.44</v>
      </c>
      <c r="J69" s="12">
        <f t="shared" si="5"/>
        <v>0</v>
      </c>
    </row>
    <row r="70" spans="1:10" hidden="1" x14ac:dyDescent="0.35">
      <c r="A70" s="103"/>
      <c r="B70" s="12" t="s">
        <v>13</v>
      </c>
      <c r="C70" s="10" t="s">
        <v>246</v>
      </c>
      <c r="D70" s="152"/>
      <c r="E70" s="170"/>
      <c r="F70" s="95"/>
      <c r="G70" s="153" t="str">
        <f t="shared" si="1"/>
        <v/>
      </c>
      <c r="H70" s="10" t="s">
        <v>20</v>
      </c>
      <c r="I70" s="331">
        <v>47.4</v>
      </c>
      <c r="J70" s="12">
        <f t="shared" si="5"/>
        <v>0</v>
      </c>
    </row>
    <row r="71" spans="1:10" hidden="1" x14ac:dyDescent="0.35">
      <c r="A71" s="103"/>
      <c r="B71" s="12" t="s">
        <v>13</v>
      </c>
      <c r="C71" s="10" t="s">
        <v>247</v>
      </c>
      <c r="D71" s="152"/>
      <c r="E71" s="170"/>
      <c r="F71" s="95"/>
      <c r="G71" s="153" t="str">
        <f t="shared" si="1"/>
        <v/>
      </c>
      <c r="H71" s="10" t="s">
        <v>20</v>
      </c>
      <c r="I71" s="331">
        <v>87.63</v>
      </c>
      <c r="J71" s="12">
        <f t="shared" si="5"/>
        <v>0</v>
      </c>
    </row>
    <row r="72" spans="1:10" hidden="1" x14ac:dyDescent="0.35">
      <c r="A72" s="103"/>
      <c r="B72" s="12" t="s">
        <v>13</v>
      </c>
      <c r="C72" s="10" t="s">
        <v>248</v>
      </c>
      <c r="D72" s="152"/>
      <c r="E72" s="170"/>
      <c r="F72" s="95"/>
      <c r="G72" s="153" t="str">
        <f t="shared" si="1"/>
        <v/>
      </c>
      <c r="H72" s="10" t="s">
        <v>20</v>
      </c>
      <c r="I72" s="331">
        <v>52.31</v>
      </c>
      <c r="J72" s="12">
        <f t="shared" si="5"/>
        <v>0</v>
      </c>
    </row>
    <row r="73" spans="1:10" ht="15.5" hidden="1" x14ac:dyDescent="0.35">
      <c r="A73" s="111"/>
      <c r="B73" s="126" t="s">
        <v>249</v>
      </c>
      <c r="C73" s="127"/>
      <c r="D73" s="226"/>
      <c r="E73" s="172"/>
      <c r="F73" s="144"/>
      <c r="G73" s="153" t="str">
        <f t="shared" si="1"/>
        <v/>
      </c>
      <c r="H73" s="127"/>
      <c r="I73" s="239"/>
      <c r="J73" s="128"/>
    </row>
    <row r="74" spans="1:10" hidden="1" x14ac:dyDescent="0.35">
      <c r="A74" s="103"/>
      <c r="B74" s="12" t="s">
        <v>13</v>
      </c>
      <c r="C74" s="10" t="s">
        <v>250</v>
      </c>
      <c r="D74" s="152"/>
      <c r="E74" s="170"/>
      <c r="F74" s="95"/>
      <c r="G74" s="153" t="str">
        <f t="shared" si="1"/>
        <v/>
      </c>
      <c r="H74" s="10" t="s">
        <v>20</v>
      </c>
      <c r="I74" s="331">
        <v>10.8</v>
      </c>
      <c r="J74" s="12">
        <f>E74*I74</f>
        <v>0</v>
      </c>
    </row>
    <row r="75" spans="1:10" hidden="1" x14ac:dyDescent="0.35">
      <c r="A75" s="103"/>
      <c r="B75" s="12" t="s">
        <v>13</v>
      </c>
      <c r="C75" s="10" t="s">
        <v>251</v>
      </c>
      <c r="D75" s="152"/>
      <c r="E75" s="170"/>
      <c r="F75" s="95"/>
      <c r="G75" s="153" t="str">
        <f t="shared" si="1"/>
        <v/>
      </c>
      <c r="H75" s="10" t="s">
        <v>20</v>
      </c>
      <c r="I75" s="331">
        <v>11.2</v>
      </c>
      <c r="J75" s="12">
        <f>E75*I75</f>
        <v>0</v>
      </c>
    </row>
    <row r="76" spans="1:10" x14ac:dyDescent="0.35">
      <c r="A76" s="103"/>
      <c r="B76" s="12" t="s">
        <v>13</v>
      </c>
      <c r="C76" s="10" t="s">
        <v>252</v>
      </c>
      <c r="D76" s="152"/>
      <c r="E76" s="170"/>
      <c r="F76" s="95"/>
      <c r="G76" s="153" t="str">
        <f t="shared" si="1"/>
        <v/>
      </c>
      <c r="H76" s="10" t="s">
        <v>23</v>
      </c>
      <c r="I76" s="331">
        <v>4.5599999999999996</v>
      </c>
      <c r="J76" s="12">
        <f>E76*I76</f>
        <v>0</v>
      </c>
    </row>
    <row r="77" spans="1:10" x14ac:dyDescent="0.35">
      <c r="A77" s="103"/>
      <c r="B77" s="12" t="s">
        <v>13</v>
      </c>
      <c r="C77" s="10" t="s">
        <v>253</v>
      </c>
      <c r="D77" s="152"/>
      <c r="E77" s="170"/>
      <c r="F77" s="95"/>
      <c r="G77" s="153" t="str">
        <f t="shared" si="1"/>
        <v/>
      </c>
      <c r="H77" s="10" t="s">
        <v>23</v>
      </c>
      <c r="I77" s="331">
        <v>37.700000000000003</v>
      </c>
      <c r="J77" s="12">
        <f>E77*I77</f>
        <v>0</v>
      </c>
    </row>
    <row r="78" spans="1:10" ht="15.5" hidden="1" x14ac:dyDescent="0.35">
      <c r="A78" s="108" t="s">
        <v>254</v>
      </c>
      <c r="B78" s="108"/>
      <c r="C78" s="108"/>
      <c r="D78" s="223"/>
      <c r="E78" s="169"/>
      <c r="F78" s="109"/>
      <c r="G78" s="153" t="str">
        <f t="shared" si="1"/>
        <v/>
      </c>
      <c r="H78" s="108"/>
      <c r="I78" s="110" t="s">
        <v>18</v>
      </c>
      <c r="J78" s="115">
        <f>SUM(J80:J121)</f>
        <v>0</v>
      </c>
    </row>
    <row r="79" spans="1:10" ht="15.5" hidden="1" x14ac:dyDescent="0.35">
      <c r="A79" s="111"/>
      <c r="B79" s="126" t="s">
        <v>255</v>
      </c>
      <c r="C79" s="127"/>
      <c r="D79" s="226"/>
      <c r="E79" s="172"/>
      <c r="F79" s="144"/>
      <c r="G79" s="153" t="str">
        <f t="shared" si="1"/>
        <v/>
      </c>
      <c r="H79" s="127"/>
      <c r="I79" s="239"/>
      <c r="J79" s="128"/>
    </row>
    <row r="80" spans="1:10" hidden="1" x14ac:dyDescent="0.35">
      <c r="A80" s="103"/>
      <c r="B80" s="12" t="s">
        <v>3</v>
      </c>
      <c r="C80" s="10" t="s">
        <v>256</v>
      </c>
      <c r="D80" s="152"/>
      <c r="E80" s="170"/>
      <c r="F80" s="95"/>
      <c r="G80" s="153" t="str">
        <f t="shared" si="1"/>
        <v/>
      </c>
      <c r="H80" s="10" t="s">
        <v>20</v>
      </c>
      <c r="I80" s="331">
        <v>32.950000000000003</v>
      </c>
      <c r="J80" s="12">
        <f t="shared" ref="J80:J86" si="6">E80*I80</f>
        <v>0</v>
      </c>
    </row>
    <row r="81" spans="1:10" hidden="1" x14ac:dyDescent="0.35">
      <c r="A81" s="103"/>
      <c r="B81" s="12" t="s">
        <v>3</v>
      </c>
      <c r="C81" s="10" t="s">
        <v>257</v>
      </c>
      <c r="D81" s="152"/>
      <c r="E81" s="170"/>
      <c r="F81" s="95"/>
      <c r="G81" s="153" t="str">
        <f t="shared" si="1"/>
        <v/>
      </c>
      <c r="H81" s="10" t="s">
        <v>20</v>
      </c>
      <c r="I81" s="331">
        <v>56.95</v>
      </c>
      <c r="J81" s="12">
        <f t="shared" si="6"/>
        <v>0</v>
      </c>
    </row>
    <row r="82" spans="1:10" hidden="1" x14ac:dyDescent="0.35">
      <c r="A82" s="103"/>
      <c r="B82" s="12" t="s">
        <v>3</v>
      </c>
      <c r="C82" s="10" t="s">
        <v>258</v>
      </c>
      <c r="D82" s="152"/>
      <c r="E82" s="170"/>
      <c r="F82" s="95"/>
      <c r="G82" s="153" t="str">
        <f t="shared" si="1"/>
        <v/>
      </c>
      <c r="H82" s="10" t="s">
        <v>20</v>
      </c>
      <c r="I82" s="331">
        <v>15.95</v>
      </c>
      <c r="J82" s="12">
        <f t="shared" si="6"/>
        <v>0</v>
      </c>
    </row>
    <row r="83" spans="1:10" hidden="1" x14ac:dyDescent="0.35">
      <c r="A83" s="103"/>
      <c r="B83" s="12" t="s">
        <v>3</v>
      </c>
      <c r="C83" s="10" t="s">
        <v>259</v>
      </c>
      <c r="D83" s="152"/>
      <c r="E83" s="170"/>
      <c r="F83" s="95"/>
      <c r="G83" s="153" t="str">
        <f t="shared" si="1"/>
        <v/>
      </c>
      <c r="H83" s="10" t="s">
        <v>20</v>
      </c>
      <c r="I83" s="331">
        <v>19.95</v>
      </c>
      <c r="J83" s="12">
        <f t="shared" si="6"/>
        <v>0</v>
      </c>
    </row>
    <row r="84" spans="1:10" hidden="1" x14ac:dyDescent="0.35">
      <c r="A84" s="103"/>
      <c r="B84" s="12" t="s">
        <v>3</v>
      </c>
      <c r="C84" s="10" t="s">
        <v>260</v>
      </c>
      <c r="D84" s="152"/>
      <c r="E84" s="170"/>
      <c r="F84" s="95"/>
      <c r="G84" s="153" t="str">
        <f t="shared" si="1"/>
        <v/>
      </c>
      <c r="H84" s="10" t="s">
        <v>20</v>
      </c>
      <c r="I84" s="331">
        <v>46.95</v>
      </c>
      <c r="J84" s="12">
        <f t="shared" si="6"/>
        <v>0</v>
      </c>
    </row>
    <row r="85" spans="1:10" hidden="1" x14ac:dyDescent="0.35">
      <c r="A85" s="103"/>
      <c r="B85" s="12" t="s">
        <v>3</v>
      </c>
      <c r="C85" s="10" t="s">
        <v>261</v>
      </c>
      <c r="D85" s="152"/>
      <c r="E85" s="170"/>
      <c r="F85" s="95"/>
      <c r="G85" s="153" t="str">
        <f t="shared" si="1"/>
        <v/>
      </c>
      <c r="H85" s="10" t="s">
        <v>20</v>
      </c>
      <c r="I85" s="331">
        <v>34.950000000000003</v>
      </c>
      <c r="J85" s="12">
        <f t="shared" si="6"/>
        <v>0</v>
      </c>
    </row>
    <row r="86" spans="1:10" hidden="1" x14ac:dyDescent="0.35">
      <c r="A86" s="103"/>
      <c r="B86" s="12" t="s">
        <v>3</v>
      </c>
      <c r="C86" s="10" t="s">
        <v>262</v>
      </c>
      <c r="D86" s="152"/>
      <c r="E86" s="170"/>
      <c r="F86" s="95"/>
      <c r="G86" s="153" t="str">
        <f t="shared" si="1"/>
        <v/>
      </c>
      <c r="H86" s="10" t="s">
        <v>20</v>
      </c>
      <c r="I86" s="331">
        <v>24.95</v>
      </c>
      <c r="J86" s="12">
        <f t="shared" si="6"/>
        <v>0</v>
      </c>
    </row>
    <row r="87" spans="1:10" ht="15.5" hidden="1" x14ac:dyDescent="0.35">
      <c r="A87" s="111"/>
      <c r="B87" s="126" t="s">
        <v>263</v>
      </c>
      <c r="C87" s="127"/>
      <c r="D87" s="226"/>
      <c r="E87" s="172"/>
      <c r="F87" s="144"/>
      <c r="G87" s="153" t="str">
        <f t="shared" si="1"/>
        <v/>
      </c>
      <c r="H87" s="127"/>
      <c r="I87" s="239"/>
      <c r="J87" s="128"/>
    </row>
    <row r="88" spans="1:10" hidden="1" x14ac:dyDescent="0.35">
      <c r="A88" s="103"/>
      <c r="B88" s="12" t="s">
        <v>3</v>
      </c>
      <c r="C88" s="10" t="s">
        <v>264</v>
      </c>
      <c r="D88" s="152"/>
      <c r="E88" s="170"/>
      <c r="F88" s="95"/>
      <c r="G88" s="153" t="str">
        <f t="shared" si="1"/>
        <v/>
      </c>
      <c r="H88" s="10" t="s">
        <v>20</v>
      </c>
      <c r="I88" s="331">
        <v>19.5</v>
      </c>
      <c r="J88" s="12">
        <f t="shared" ref="J88:J94" si="7">E88*I88</f>
        <v>0</v>
      </c>
    </row>
    <row r="89" spans="1:10" hidden="1" x14ac:dyDescent="0.35">
      <c r="A89" s="103"/>
      <c r="B89" s="12" t="s">
        <v>3</v>
      </c>
      <c r="C89" s="10" t="s">
        <v>265</v>
      </c>
      <c r="D89" s="152"/>
      <c r="E89" s="170"/>
      <c r="F89" s="95"/>
      <c r="G89" s="153" t="str">
        <f t="shared" ref="G89:G152" si="8">IF(E89="","",IF(D89-E89&gt;0,D89-E89,""))</f>
        <v/>
      </c>
      <c r="H89" s="10" t="s">
        <v>20</v>
      </c>
      <c r="I89" s="331">
        <v>16.95</v>
      </c>
      <c r="J89" s="12">
        <f t="shared" si="7"/>
        <v>0</v>
      </c>
    </row>
    <row r="90" spans="1:10" hidden="1" x14ac:dyDescent="0.35">
      <c r="A90" s="103"/>
      <c r="B90" s="12" t="s">
        <v>3</v>
      </c>
      <c r="C90" s="10" t="s">
        <v>266</v>
      </c>
      <c r="D90" s="152"/>
      <c r="E90" s="170"/>
      <c r="F90" s="95"/>
      <c r="G90" s="153" t="str">
        <f t="shared" si="8"/>
        <v/>
      </c>
      <c r="H90" s="10" t="s">
        <v>20</v>
      </c>
      <c r="I90" s="331">
        <v>17.95</v>
      </c>
      <c r="J90" s="12">
        <f t="shared" si="7"/>
        <v>0</v>
      </c>
    </row>
    <row r="91" spans="1:10" hidden="1" x14ac:dyDescent="0.35">
      <c r="A91" s="103"/>
      <c r="B91" s="12" t="s">
        <v>3</v>
      </c>
      <c r="C91" s="10" t="s">
        <v>267</v>
      </c>
      <c r="D91" s="152"/>
      <c r="E91" s="170"/>
      <c r="F91" s="95"/>
      <c r="G91" s="153" t="str">
        <f t="shared" si="8"/>
        <v/>
      </c>
      <c r="H91" s="10" t="s">
        <v>20</v>
      </c>
      <c r="I91" s="331">
        <v>15.95</v>
      </c>
      <c r="J91" s="12">
        <f t="shared" si="7"/>
        <v>0</v>
      </c>
    </row>
    <row r="92" spans="1:10" hidden="1" x14ac:dyDescent="0.35">
      <c r="A92" s="103"/>
      <c r="B92" s="12" t="s">
        <v>3</v>
      </c>
      <c r="C92" s="10" t="s">
        <v>268</v>
      </c>
      <c r="D92" s="152"/>
      <c r="E92" s="170"/>
      <c r="F92" s="95"/>
      <c r="G92" s="153" t="str">
        <f t="shared" si="8"/>
        <v/>
      </c>
      <c r="H92" s="10" t="s">
        <v>20</v>
      </c>
      <c r="I92" s="331">
        <v>20.95</v>
      </c>
      <c r="J92" s="12">
        <f t="shared" si="7"/>
        <v>0</v>
      </c>
    </row>
    <row r="93" spans="1:10" hidden="1" x14ac:dyDescent="0.35">
      <c r="A93" s="103"/>
      <c r="B93" s="12" t="s">
        <v>3</v>
      </c>
      <c r="C93" s="10" t="s">
        <v>269</v>
      </c>
      <c r="D93" s="152"/>
      <c r="E93" s="170"/>
      <c r="F93" s="95"/>
      <c r="G93" s="153" t="str">
        <f t="shared" si="8"/>
        <v/>
      </c>
      <c r="H93" s="10" t="s">
        <v>20</v>
      </c>
      <c r="I93" s="331">
        <v>26.95</v>
      </c>
      <c r="J93" s="12">
        <f t="shared" si="7"/>
        <v>0</v>
      </c>
    </row>
    <row r="94" spans="1:10" hidden="1" x14ac:dyDescent="0.35">
      <c r="A94" s="103"/>
      <c r="B94" s="12" t="s">
        <v>3</v>
      </c>
      <c r="C94" s="10" t="s">
        <v>270</v>
      </c>
      <c r="D94" s="152"/>
      <c r="E94" s="170"/>
      <c r="F94" s="95"/>
      <c r="G94" s="153" t="str">
        <f t="shared" si="8"/>
        <v/>
      </c>
      <c r="H94" s="10" t="s">
        <v>20</v>
      </c>
      <c r="I94" s="331">
        <v>26.95</v>
      </c>
      <c r="J94" s="12">
        <f t="shared" si="7"/>
        <v>0</v>
      </c>
    </row>
    <row r="95" spans="1:10" ht="15.5" hidden="1" x14ac:dyDescent="0.35">
      <c r="A95" s="111"/>
      <c r="B95" s="126" t="s">
        <v>271</v>
      </c>
      <c r="C95" s="127"/>
      <c r="D95" s="226"/>
      <c r="E95" s="172"/>
      <c r="F95" s="144"/>
      <c r="G95" s="153" t="str">
        <f t="shared" si="8"/>
        <v/>
      </c>
      <c r="H95" s="127"/>
      <c r="I95" s="239"/>
      <c r="J95" s="128"/>
    </row>
    <row r="96" spans="1:10" hidden="1" x14ac:dyDescent="0.35">
      <c r="A96" s="103"/>
      <c r="B96" s="12" t="s">
        <v>3</v>
      </c>
      <c r="C96" s="10" t="s">
        <v>272</v>
      </c>
      <c r="D96" s="152"/>
      <c r="E96" s="170"/>
      <c r="F96" s="95"/>
      <c r="G96" s="153" t="str">
        <f t="shared" si="8"/>
        <v/>
      </c>
      <c r="H96" s="10" t="s">
        <v>20</v>
      </c>
      <c r="I96" s="331">
        <v>20.95</v>
      </c>
      <c r="J96" s="12">
        <f>E96*I96</f>
        <v>0</v>
      </c>
    </row>
    <row r="97" spans="1:10" hidden="1" x14ac:dyDescent="0.35">
      <c r="A97" s="103"/>
      <c r="B97" s="12" t="s">
        <v>3</v>
      </c>
      <c r="C97" s="10" t="s">
        <v>273</v>
      </c>
      <c r="D97" s="152"/>
      <c r="E97" s="170"/>
      <c r="F97" s="95"/>
      <c r="G97" s="153" t="str">
        <f t="shared" si="8"/>
        <v/>
      </c>
      <c r="H97" s="10" t="s">
        <v>20</v>
      </c>
      <c r="I97" s="331">
        <v>23.95</v>
      </c>
      <c r="J97" s="12">
        <f>E97*I97</f>
        <v>0</v>
      </c>
    </row>
    <row r="98" spans="1:10" hidden="1" x14ac:dyDescent="0.35">
      <c r="A98" s="103"/>
      <c r="B98" s="12" t="s">
        <v>3</v>
      </c>
      <c r="C98" s="10" t="s">
        <v>274</v>
      </c>
      <c r="D98" s="152"/>
      <c r="E98" s="170"/>
      <c r="F98" s="95"/>
      <c r="G98" s="153" t="str">
        <f t="shared" si="8"/>
        <v/>
      </c>
      <c r="H98" s="10" t="s">
        <v>20</v>
      </c>
      <c r="I98" s="331">
        <v>22.5</v>
      </c>
      <c r="J98" s="12">
        <f>E98*I98</f>
        <v>0</v>
      </c>
    </row>
    <row r="99" spans="1:10" hidden="1" x14ac:dyDescent="0.35">
      <c r="A99" s="103"/>
      <c r="B99" s="12" t="s">
        <v>3</v>
      </c>
      <c r="C99" s="10" t="s">
        <v>275</v>
      </c>
      <c r="D99" s="152"/>
      <c r="E99" s="170"/>
      <c r="F99" s="95"/>
      <c r="G99" s="153" t="str">
        <f t="shared" si="8"/>
        <v/>
      </c>
      <c r="H99" s="10" t="s">
        <v>20</v>
      </c>
      <c r="I99" s="331">
        <v>29.95</v>
      </c>
      <c r="J99" s="12">
        <f>E99*I99</f>
        <v>0</v>
      </c>
    </row>
    <row r="100" spans="1:10" ht="15.5" hidden="1" x14ac:dyDescent="0.35">
      <c r="A100" s="111"/>
      <c r="B100" s="126" t="s">
        <v>276</v>
      </c>
      <c r="C100" s="127"/>
      <c r="D100" s="226"/>
      <c r="E100" s="172"/>
      <c r="F100" s="144"/>
      <c r="G100" s="153" t="str">
        <f t="shared" si="8"/>
        <v/>
      </c>
      <c r="H100" s="127"/>
      <c r="I100" s="239"/>
      <c r="J100" s="128"/>
    </row>
    <row r="101" spans="1:10" hidden="1" x14ac:dyDescent="0.35">
      <c r="A101" s="103"/>
      <c r="B101" s="12" t="s">
        <v>3</v>
      </c>
      <c r="C101" s="10" t="s">
        <v>277</v>
      </c>
      <c r="D101" s="152"/>
      <c r="E101" s="170"/>
      <c r="F101" s="95"/>
      <c r="G101" s="153" t="str">
        <f t="shared" si="8"/>
        <v/>
      </c>
      <c r="H101" s="10" t="s">
        <v>20</v>
      </c>
      <c r="I101" s="331">
        <v>17.95</v>
      </c>
      <c r="J101" s="12">
        <f>E101*I101</f>
        <v>0</v>
      </c>
    </row>
    <row r="102" spans="1:10" hidden="1" x14ac:dyDescent="0.35">
      <c r="A102" s="103"/>
      <c r="B102" s="12" t="s">
        <v>3</v>
      </c>
      <c r="C102" s="10" t="s">
        <v>278</v>
      </c>
      <c r="D102" s="152"/>
      <c r="E102" s="170"/>
      <c r="F102" s="95"/>
      <c r="G102" s="153" t="str">
        <f t="shared" si="8"/>
        <v/>
      </c>
      <c r="H102" s="10" t="s">
        <v>20</v>
      </c>
      <c r="I102" s="331">
        <v>20.95</v>
      </c>
      <c r="J102" s="12">
        <f>E102*I102</f>
        <v>0</v>
      </c>
    </row>
    <row r="103" spans="1:10" hidden="1" x14ac:dyDescent="0.35">
      <c r="A103" s="103"/>
      <c r="B103" s="12" t="s">
        <v>3</v>
      </c>
      <c r="C103" s="10" t="s">
        <v>279</v>
      </c>
      <c r="D103" s="152"/>
      <c r="E103" s="170"/>
      <c r="F103" s="95"/>
      <c r="G103" s="153" t="str">
        <f t="shared" si="8"/>
        <v/>
      </c>
      <c r="H103" s="10" t="s">
        <v>20</v>
      </c>
      <c r="I103" s="331">
        <v>19.95</v>
      </c>
      <c r="J103" s="12">
        <f>E103*I103</f>
        <v>0</v>
      </c>
    </row>
    <row r="104" spans="1:10" hidden="1" x14ac:dyDescent="0.35">
      <c r="A104" s="103"/>
      <c r="B104" s="40" t="s">
        <v>3</v>
      </c>
      <c r="C104" s="41" t="s">
        <v>280</v>
      </c>
      <c r="D104" s="227"/>
      <c r="E104" s="170"/>
      <c r="F104" s="145"/>
      <c r="G104" s="153" t="str">
        <f t="shared" si="8"/>
        <v/>
      </c>
      <c r="H104" s="41" t="s">
        <v>20</v>
      </c>
      <c r="I104" s="334">
        <v>59.95</v>
      </c>
      <c r="J104" s="40">
        <f>E104*I104</f>
        <v>0</v>
      </c>
    </row>
    <row r="105" spans="1:10" ht="15.5" hidden="1" x14ac:dyDescent="0.35">
      <c r="A105" s="111"/>
      <c r="B105" s="126" t="s">
        <v>281</v>
      </c>
      <c r="C105" s="127"/>
      <c r="D105" s="226"/>
      <c r="E105" s="172"/>
      <c r="F105" s="144"/>
      <c r="G105" s="153" t="str">
        <f t="shared" si="8"/>
        <v/>
      </c>
      <c r="H105" s="127"/>
      <c r="I105" s="239"/>
      <c r="J105" s="128"/>
    </row>
    <row r="106" spans="1:10" hidden="1" x14ac:dyDescent="0.35">
      <c r="A106" s="103"/>
      <c r="B106" s="12" t="s">
        <v>3</v>
      </c>
      <c r="C106" s="10" t="s">
        <v>282</v>
      </c>
      <c r="D106" s="152"/>
      <c r="E106" s="170"/>
      <c r="F106" s="95"/>
      <c r="G106" s="153" t="str">
        <f t="shared" si="8"/>
        <v/>
      </c>
      <c r="H106" s="10" t="s">
        <v>20</v>
      </c>
      <c r="I106" s="331">
        <v>54.95</v>
      </c>
      <c r="J106" s="12">
        <f>E106*I106</f>
        <v>0</v>
      </c>
    </row>
    <row r="107" spans="1:10" hidden="1" x14ac:dyDescent="0.35">
      <c r="A107" s="103"/>
      <c r="B107" s="12" t="s">
        <v>3</v>
      </c>
      <c r="C107" s="10" t="s">
        <v>283</v>
      </c>
      <c r="D107" s="152"/>
      <c r="E107" s="170"/>
      <c r="F107" s="95"/>
      <c r="G107" s="153" t="str">
        <f t="shared" si="8"/>
        <v/>
      </c>
      <c r="H107" s="10" t="s">
        <v>20</v>
      </c>
      <c r="I107" s="331">
        <v>49.95</v>
      </c>
      <c r="J107" s="12">
        <f>E107*I107</f>
        <v>0</v>
      </c>
    </row>
    <row r="108" spans="1:10" ht="15.5" hidden="1" x14ac:dyDescent="0.35">
      <c r="A108" s="111"/>
      <c r="B108" s="126" t="s">
        <v>284</v>
      </c>
      <c r="C108" s="127"/>
      <c r="D108" s="226"/>
      <c r="E108" s="172"/>
      <c r="F108" s="144"/>
      <c r="G108" s="153" t="str">
        <f t="shared" si="8"/>
        <v/>
      </c>
      <c r="H108" s="127"/>
      <c r="I108" s="239"/>
      <c r="J108" s="128"/>
    </row>
    <row r="109" spans="1:10" hidden="1" x14ac:dyDescent="0.35">
      <c r="A109" s="103"/>
      <c r="B109" s="12" t="s">
        <v>3</v>
      </c>
      <c r="C109" s="10" t="s">
        <v>285</v>
      </c>
      <c r="D109" s="152"/>
      <c r="E109" s="170"/>
      <c r="F109" s="95"/>
      <c r="G109" s="153" t="str">
        <f t="shared" si="8"/>
        <v/>
      </c>
      <c r="H109" s="10" t="s">
        <v>20</v>
      </c>
      <c r="I109" s="331">
        <v>41.5</v>
      </c>
      <c r="J109" s="12">
        <f t="shared" ref="J109:J114" si="9">E109*I109</f>
        <v>0</v>
      </c>
    </row>
    <row r="110" spans="1:10" hidden="1" x14ac:dyDescent="0.35">
      <c r="A110" s="103"/>
      <c r="B110" s="12" t="s">
        <v>3</v>
      </c>
      <c r="C110" s="10" t="s">
        <v>286</v>
      </c>
      <c r="D110" s="152"/>
      <c r="E110" s="170"/>
      <c r="F110" s="95"/>
      <c r="G110" s="153" t="str">
        <f t="shared" si="8"/>
        <v/>
      </c>
      <c r="H110" s="10" t="s">
        <v>20</v>
      </c>
      <c r="I110" s="331">
        <v>36.200000000000003</v>
      </c>
      <c r="J110" s="12">
        <f t="shared" si="9"/>
        <v>0</v>
      </c>
    </row>
    <row r="111" spans="1:10" hidden="1" x14ac:dyDescent="0.35">
      <c r="A111" s="103"/>
      <c r="B111" s="12" t="s">
        <v>3</v>
      </c>
      <c r="C111" s="10" t="s">
        <v>287</v>
      </c>
      <c r="D111" s="152"/>
      <c r="E111" s="170"/>
      <c r="F111" s="95"/>
      <c r="G111" s="153" t="str">
        <f t="shared" si="8"/>
        <v/>
      </c>
      <c r="H111" s="10" t="s">
        <v>20</v>
      </c>
      <c r="I111" s="331">
        <v>25.95</v>
      </c>
      <c r="J111" s="12">
        <f t="shared" si="9"/>
        <v>0</v>
      </c>
    </row>
    <row r="112" spans="1:10" hidden="1" x14ac:dyDescent="0.35">
      <c r="A112" s="103"/>
      <c r="B112" s="12" t="s">
        <v>3</v>
      </c>
      <c r="C112" s="10" t="s">
        <v>288</v>
      </c>
      <c r="D112" s="152"/>
      <c r="E112" s="170"/>
      <c r="F112" s="95"/>
      <c r="G112" s="153" t="str">
        <f t="shared" si="8"/>
        <v/>
      </c>
      <c r="H112" s="10" t="s">
        <v>20</v>
      </c>
      <c r="I112" s="331">
        <v>32.799999999999997</v>
      </c>
      <c r="J112" s="12">
        <f t="shared" si="9"/>
        <v>0</v>
      </c>
    </row>
    <row r="113" spans="1:10" hidden="1" x14ac:dyDescent="0.35">
      <c r="A113" s="103"/>
      <c r="B113" s="12" t="s">
        <v>3</v>
      </c>
      <c r="C113" s="10" t="s">
        <v>289</v>
      </c>
      <c r="D113" s="152"/>
      <c r="E113" s="170"/>
      <c r="F113" s="95"/>
      <c r="G113" s="153" t="str">
        <f t="shared" si="8"/>
        <v/>
      </c>
      <c r="H113" s="10" t="s">
        <v>20</v>
      </c>
      <c r="I113" s="331">
        <v>29.2</v>
      </c>
      <c r="J113" s="12">
        <f t="shared" si="9"/>
        <v>0</v>
      </c>
    </row>
    <row r="114" spans="1:10" hidden="1" x14ac:dyDescent="0.35">
      <c r="A114" s="103"/>
      <c r="B114" s="12" t="s">
        <v>3</v>
      </c>
      <c r="C114" s="10" t="s">
        <v>290</v>
      </c>
      <c r="D114" s="152"/>
      <c r="E114" s="170"/>
      <c r="F114" s="95"/>
      <c r="G114" s="153" t="str">
        <f t="shared" si="8"/>
        <v/>
      </c>
      <c r="H114" s="10" t="s">
        <v>20</v>
      </c>
      <c r="I114" s="331">
        <v>22.95</v>
      </c>
      <c r="J114" s="12">
        <f t="shared" si="9"/>
        <v>0</v>
      </c>
    </row>
    <row r="115" spans="1:10" ht="15.5" hidden="1" x14ac:dyDescent="0.35">
      <c r="A115" s="111"/>
      <c r="B115" s="126" t="s">
        <v>291</v>
      </c>
      <c r="C115" s="127"/>
      <c r="D115" s="226"/>
      <c r="E115" s="172"/>
      <c r="F115" s="144"/>
      <c r="G115" s="153" t="str">
        <f t="shared" si="8"/>
        <v/>
      </c>
      <c r="H115" s="127"/>
      <c r="I115" s="239"/>
      <c r="J115" s="128"/>
    </row>
    <row r="116" spans="1:10" hidden="1" x14ac:dyDescent="0.35">
      <c r="A116" s="103"/>
      <c r="B116" s="12" t="s">
        <v>3</v>
      </c>
      <c r="C116" s="10" t="s">
        <v>292</v>
      </c>
      <c r="D116" s="152"/>
      <c r="E116" s="170"/>
      <c r="F116" s="95"/>
      <c r="G116" s="153" t="str">
        <f t="shared" si="8"/>
        <v/>
      </c>
      <c r="H116" s="10" t="s">
        <v>20</v>
      </c>
      <c r="I116" s="331">
        <v>17.95</v>
      </c>
      <c r="J116" s="12">
        <f t="shared" ref="J116:J121" si="10">E116*I116</f>
        <v>0</v>
      </c>
    </row>
    <row r="117" spans="1:10" hidden="1" x14ac:dyDescent="0.35">
      <c r="A117" s="103"/>
      <c r="B117" s="12" t="s">
        <v>3</v>
      </c>
      <c r="C117" s="10" t="s">
        <v>293</v>
      </c>
      <c r="D117" s="152"/>
      <c r="E117" s="170"/>
      <c r="F117" s="95"/>
      <c r="G117" s="153" t="str">
        <f t="shared" si="8"/>
        <v/>
      </c>
      <c r="H117" s="10" t="s">
        <v>20</v>
      </c>
      <c r="I117" s="331">
        <v>12.95</v>
      </c>
      <c r="J117" s="12">
        <f t="shared" si="10"/>
        <v>0</v>
      </c>
    </row>
    <row r="118" spans="1:10" hidden="1" x14ac:dyDescent="0.35">
      <c r="A118" s="103"/>
      <c r="B118" s="12" t="s">
        <v>3</v>
      </c>
      <c r="C118" s="10" t="s">
        <v>294</v>
      </c>
      <c r="D118" s="152"/>
      <c r="E118" s="170"/>
      <c r="F118" s="95"/>
      <c r="G118" s="153" t="str">
        <f t="shared" si="8"/>
        <v/>
      </c>
      <c r="H118" s="10" t="s">
        <v>20</v>
      </c>
      <c r="I118" s="331">
        <v>21.95</v>
      </c>
      <c r="J118" s="12">
        <f t="shared" si="10"/>
        <v>0</v>
      </c>
    </row>
    <row r="119" spans="1:10" hidden="1" x14ac:dyDescent="0.35">
      <c r="A119" s="103"/>
      <c r="B119" s="12" t="s">
        <v>3</v>
      </c>
      <c r="C119" s="10" t="s">
        <v>295</v>
      </c>
      <c r="D119" s="152"/>
      <c r="E119" s="170"/>
      <c r="F119" s="95"/>
      <c r="G119" s="153" t="str">
        <f t="shared" si="8"/>
        <v/>
      </c>
      <c r="H119" s="10" t="s">
        <v>20</v>
      </c>
      <c r="I119" s="331"/>
      <c r="J119" s="12">
        <f t="shared" si="10"/>
        <v>0</v>
      </c>
    </row>
    <row r="120" spans="1:10" hidden="1" x14ac:dyDescent="0.35">
      <c r="A120" s="103"/>
      <c r="B120" s="12" t="s">
        <v>3</v>
      </c>
      <c r="C120" s="10" t="s">
        <v>296</v>
      </c>
      <c r="D120" s="152"/>
      <c r="E120" s="170"/>
      <c r="F120" s="95"/>
      <c r="G120" s="153" t="str">
        <f t="shared" si="8"/>
        <v/>
      </c>
      <c r="H120" s="10" t="s">
        <v>20</v>
      </c>
      <c r="I120" s="331"/>
      <c r="J120" s="12">
        <f t="shared" si="10"/>
        <v>0</v>
      </c>
    </row>
    <row r="121" spans="1:10" hidden="1" x14ac:dyDescent="0.35">
      <c r="A121" s="103"/>
      <c r="B121" s="12" t="s">
        <v>3</v>
      </c>
      <c r="C121" s="10" t="s">
        <v>297</v>
      </c>
      <c r="D121" s="152"/>
      <c r="E121" s="170"/>
      <c r="F121" s="95"/>
      <c r="G121" s="153" t="str">
        <f t="shared" si="8"/>
        <v/>
      </c>
      <c r="H121" s="10" t="s">
        <v>20</v>
      </c>
      <c r="I121" s="331">
        <v>22.95</v>
      </c>
      <c r="J121" s="12">
        <f t="shared" si="10"/>
        <v>0</v>
      </c>
    </row>
    <row r="122" spans="1:10" ht="15.5" hidden="1" x14ac:dyDescent="0.35">
      <c r="A122" s="112" t="s">
        <v>298</v>
      </c>
      <c r="B122" s="116"/>
      <c r="C122" s="116"/>
      <c r="D122" s="228"/>
      <c r="E122" s="173"/>
      <c r="F122" s="146"/>
      <c r="G122" s="153" t="str">
        <f t="shared" si="8"/>
        <v/>
      </c>
      <c r="H122" s="117"/>
      <c r="I122" s="106" t="s">
        <v>18</v>
      </c>
      <c r="J122" s="115">
        <f>SUM(J123:J175)</f>
        <v>2047.79</v>
      </c>
    </row>
    <row r="123" spans="1:10" hidden="1" x14ac:dyDescent="0.35">
      <c r="A123" s="103"/>
      <c r="B123" s="20" t="s">
        <v>4</v>
      </c>
      <c r="C123" s="18" t="s">
        <v>62</v>
      </c>
      <c r="D123" s="229"/>
      <c r="E123" s="170"/>
      <c r="F123" s="147"/>
      <c r="G123" s="153" t="str">
        <f t="shared" si="8"/>
        <v/>
      </c>
      <c r="H123" s="18" t="s">
        <v>20</v>
      </c>
      <c r="I123" s="335">
        <v>7.35</v>
      </c>
      <c r="J123" s="20">
        <f>E123*I123</f>
        <v>0</v>
      </c>
    </row>
    <row r="124" spans="1:10" hidden="1" x14ac:dyDescent="0.35">
      <c r="A124" s="103"/>
      <c r="B124" s="20" t="s">
        <v>4</v>
      </c>
      <c r="C124" s="18" t="s">
        <v>60</v>
      </c>
      <c r="D124" s="229"/>
      <c r="E124" s="170"/>
      <c r="F124" s="147"/>
      <c r="G124" s="153" t="str">
        <f t="shared" si="8"/>
        <v/>
      </c>
      <c r="H124" s="18" t="s">
        <v>20</v>
      </c>
      <c r="I124" s="335">
        <v>10.65</v>
      </c>
      <c r="J124" s="20">
        <f>E124*I124</f>
        <v>0</v>
      </c>
    </row>
    <row r="125" spans="1:10" hidden="1" x14ac:dyDescent="0.35">
      <c r="A125" s="113" t="s">
        <v>40</v>
      </c>
      <c r="B125" s="124"/>
      <c r="C125" s="124"/>
      <c r="D125" s="230"/>
      <c r="E125" s="174"/>
      <c r="F125" s="148"/>
      <c r="G125" s="153" t="str">
        <f t="shared" si="8"/>
        <v/>
      </c>
      <c r="H125" s="124"/>
      <c r="I125" s="241"/>
      <c r="J125" s="125"/>
    </row>
    <row r="126" spans="1:10" hidden="1" x14ac:dyDescent="0.35">
      <c r="A126" s="103"/>
      <c r="B126" s="20" t="s">
        <v>4</v>
      </c>
      <c r="C126" s="18" t="s">
        <v>299</v>
      </c>
      <c r="D126" s="229"/>
      <c r="E126" s="170"/>
      <c r="F126" s="147"/>
      <c r="G126" s="153" t="str">
        <f t="shared" si="8"/>
        <v/>
      </c>
      <c r="H126" s="18" t="s">
        <v>20</v>
      </c>
      <c r="I126" s="335">
        <v>1.31</v>
      </c>
      <c r="J126" s="12">
        <f t="shared" ref="J126:J137" si="11">E126*I126</f>
        <v>0</v>
      </c>
    </row>
    <row r="127" spans="1:10" hidden="1" x14ac:dyDescent="0.35">
      <c r="A127" s="103"/>
      <c r="B127" s="12" t="s">
        <v>4</v>
      </c>
      <c r="C127" s="10" t="s">
        <v>300</v>
      </c>
      <c r="D127" s="152"/>
      <c r="E127" s="170"/>
      <c r="F127" s="95"/>
      <c r="G127" s="153" t="str">
        <f t="shared" si="8"/>
        <v/>
      </c>
      <c r="H127" s="10" t="s">
        <v>20</v>
      </c>
      <c r="I127" s="331">
        <v>1.31</v>
      </c>
      <c r="J127" s="12">
        <f t="shared" si="11"/>
        <v>0</v>
      </c>
    </row>
    <row r="128" spans="1:10" hidden="1" x14ac:dyDescent="0.35">
      <c r="A128" s="103"/>
      <c r="B128" s="20" t="s">
        <v>4</v>
      </c>
      <c r="C128" s="18" t="s">
        <v>301</v>
      </c>
      <c r="D128" s="229"/>
      <c r="E128" s="170"/>
      <c r="F128" s="147"/>
      <c r="G128" s="153" t="str">
        <f t="shared" si="8"/>
        <v/>
      </c>
      <c r="H128" s="18" t="s">
        <v>20</v>
      </c>
      <c r="I128" s="335">
        <v>1.4039999999999999</v>
      </c>
      <c r="J128" s="12">
        <f t="shared" si="11"/>
        <v>0</v>
      </c>
    </row>
    <row r="129" spans="1:10" hidden="1" x14ac:dyDescent="0.35">
      <c r="A129" s="103"/>
      <c r="B129" s="12" t="s">
        <v>4</v>
      </c>
      <c r="C129" s="10" t="s">
        <v>302</v>
      </c>
      <c r="D129" s="152"/>
      <c r="E129" s="170"/>
      <c r="F129" s="95"/>
      <c r="G129" s="153" t="str">
        <f t="shared" si="8"/>
        <v/>
      </c>
      <c r="H129" s="10" t="s">
        <v>20</v>
      </c>
      <c r="I129" s="331">
        <v>1.4039999999999999</v>
      </c>
      <c r="J129" s="12">
        <f t="shared" si="11"/>
        <v>0</v>
      </c>
    </row>
    <row r="130" spans="1:10" hidden="1" x14ac:dyDescent="0.35">
      <c r="A130" s="103"/>
      <c r="B130" s="12" t="s">
        <v>4</v>
      </c>
      <c r="C130" s="10" t="s">
        <v>303</v>
      </c>
      <c r="D130" s="152"/>
      <c r="E130" s="170"/>
      <c r="F130" s="95"/>
      <c r="G130" s="153" t="str">
        <f t="shared" si="8"/>
        <v/>
      </c>
      <c r="H130" s="10" t="s">
        <v>20</v>
      </c>
      <c r="I130" s="331">
        <v>1.53</v>
      </c>
      <c r="J130" s="12">
        <f t="shared" si="11"/>
        <v>0</v>
      </c>
    </row>
    <row r="131" spans="1:10" hidden="1" x14ac:dyDescent="0.35">
      <c r="A131" s="103"/>
      <c r="B131" s="12" t="s">
        <v>4</v>
      </c>
      <c r="C131" s="10" t="s">
        <v>304</v>
      </c>
      <c r="D131" s="152"/>
      <c r="E131" s="170"/>
      <c r="F131" s="95"/>
      <c r="G131" s="153" t="str">
        <f t="shared" si="8"/>
        <v/>
      </c>
      <c r="H131" s="10" t="s">
        <v>20</v>
      </c>
      <c r="I131" s="331">
        <v>1.65</v>
      </c>
      <c r="J131" s="12">
        <f t="shared" si="11"/>
        <v>0</v>
      </c>
    </row>
    <row r="132" spans="1:10" hidden="1" x14ac:dyDescent="0.35">
      <c r="A132" s="103"/>
      <c r="B132" s="12" t="s">
        <v>4</v>
      </c>
      <c r="C132" s="10" t="s">
        <v>83</v>
      </c>
      <c r="D132" s="152"/>
      <c r="E132" s="170"/>
      <c r="F132" s="95"/>
      <c r="G132" s="153" t="str">
        <f t="shared" si="8"/>
        <v/>
      </c>
      <c r="H132" s="10" t="s">
        <v>20</v>
      </c>
      <c r="I132" s="331">
        <v>1.04</v>
      </c>
      <c r="J132" s="12">
        <f t="shared" si="11"/>
        <v>0</v>
      </c>
    </row>
    <row r="133" spans="1:10" hidden="1" x14ac:dyDescent="0.35">
      <c r="A133" s="103"/>
      <c r="B133" s="12" t="s">
        <v>4</v>
      </c>
      <c r="C133" s="10" t="s">
        <v>305</v>
      </c>
      <c r="D133" s="152"/>
      <c r="E133" s="170"/>
      <c r="F133" s="95"/>
      <c r="G133" s="153" t="str">
        <f t="shared" si="8"/>
        <v/>
      </c>
      <c r="H133" s="10" t="s">
        <v>20</v>
      </c>
      <c r="I133" s="331">
        <v>1.04</v>
      </c>
      <c r="J133" s="12">
        <f t="shared" si="11"/>
        <v>0</v>
      </c>
    </row>
    <row r="134" spans="1:10" hidden="1" x14ac:dyDescent="0.35">
      <c r="A134" s="103"/>
      <c r="B134" s="12" t="s">
        <v>4</v>
      </c>
      <c r="C134" s="10" t="s">
        <v>306</v>
      </c>
      <c r="D134" s="152"/>
      <c r="E134" s="170"/>
      <c r="F134" s="95"/>
      <c r="G134" s="153" t="str">
        <f t="shared" si="8"/>
        <v/>
      </c>
      <c r="H134" s="10" t="s">
        <v>20</v>
      </c>
      <c r="I134" s="331">
        <v>1.06</v>
      </c>
      <c r="J134" s="12">
        <f t="shared" si="11"/>
        <v>0</v>
      </c>
    </row>
    <row r="135" spans="1:10" hidden="1" x14ac:dyDescent="0.35">
      <c r="A135" s="103"/>
      <c r="B135" s="12" t="s">
        <v>4</v>
      </c>
      <c r="C135" s="10" t="s">
        <v>307</v>
      </c>
      <c r="D135" s="152"/>
      <c r="E135" s="170"/>
      <c r="F135" s="95"/>
      <c r="G135" s="153" t="str">
        <f t="shared" si="8"/>
        <v/>
      </c>
      <c r="H135" s="10" t="s">
        <v>20</v>
      </c>
      <c r="I135" s="331">
        <v>1.06</v>
      </c>
      <c r="J135" s="12">
        <f t="shared" si="11"/>
        <v>0</v>
      </c>
    </row>
    <row r="136" spans="1:10" hidden="1" x14ac:dyDescent="0.35">
      <c r="A136" s="103"/>
      <c r="B136" s="12" t="s">
        <v>4</v>
      </c>
      <c r="C136" s="10" t="s">
        <v>308</v>
      </c>
      <c r="D136" s="152"/>
      <c r="E136" s="170"/>
      <c r="F136" s="95"/>
      <c r="G136" s="153" t="str">
        <f t="shared" si="8"/>
        <v/>
      </c>
      <c r="H136" s="10" t="s">
        <v>20</v>
      </c>
      <c r="I136" s="331">
        <v>1.2869999999999999</v>
      </c>
      <c r="J136" s="12">
        <f t="shared" si="11"/>
        <v>0</v>
      </c>
    </row>
    <row r="137" spans="1:10" hidden="1" x14ac:dyDescent="0.35">
      <c r="A137" s="103"/>
      <c r="B137" s="12" t="s">
        <v>4</v>
      </c>
      <c r="C137" s="10" t="s">
        <v>309</v>
      </c>
      <c r="D137" s="152"/>
      <c r="E137" s="170"/>
      <c r="F137" s="95"/>
      <c r="G137" s="153" t="str">
        <f t="shared" si="8"/>
        <v/>
      </c>
      <c r="H137" s="10" t="s">
        <v>20</v>
      </c>
      <c r="I137" s="331">
        <v>1.59</v>
      </c>
      <c r="J137" s="12">
        <f t="shared" si="11"/>
        <v>0</v>
      </c>
    </row>
    <row r="138" spans="1:10" hidden="1" x14ac:dyDescent="0.35">
      <c r="A138" s="113" t="s">
        <v>310</v>
      </c>
      <c r="B138" s="124"/>
      <c r="C138" s="124"/>
      <c r="D138" s="230"/>
      <c r="E138" s="174"/>
      <c r="F138" s="148"/>
      <c r="G138" s="153" t="str">
        <f t="shared" si="8"/>
        <v/>
      </c>
      <c r="H138" s="124"/>
      <c r="I138" s="241"/>
      <c r="J138" s="125"/>
    </row>
    <row r="139" spans="1:10" hidden="1" x14ac:dyDescent="0.35">
      <c r="A139" s="103"/>
      <c r="B139" s="12" t="s">
        <v>4</v>
      </c>
      <c r="C139" s="10" t="s">
        <v>311</v>
      </c>
      <c r="D139" s="152"/>
      <c r="E139" s="170"/>
      <c r="F139" s="95"/>
      <c r="G139" s="153" t="str">
        <f t="shared" si="8"/>
        <v/>
      </c>
      <c r="H139" s="10" t="s">
        <v>20</v>
      </c>
      <c r="I139" s="331">
        <v>1.1000000000000001</v>
      </c>
      <c r="J139" s="12">
        <f t="shared" ref="J139:J149" si="12">E139*I139</f>
        <v>0</v>
      </c>
    </row>
    <row r="140" spans="1:10" hidden="1" x14ac:dyDescent="0.35">
      <c r="A140" s="103"/>
      <c r="B140" s="12" t="s">
        <v>4</v>
      </c>
      <c r="C140" s="10" t="s">
        <v>312</v>
      </c>
      <c r="D140" s="152"/>
      <c r="E140" s="170"/>
      <c r="F140" s="95"/>
      <c r="G140" s="153" t="str">
        <f t="shared" si="8"/>
        <v/>
      </c>
      <c r="H140" s="10" t="s">
        <v>20</v>
      </c>
      <c r="I140" s="331">
        <v>1.1000000000000001</v>
      </c>
      <c r="J140" s="12">
        <f t="shared" si="12"/>
        <v>0</v>
      </c>
    </row>
    <row r="141" spans="1:10" hidden="1" x14ac:dyDescent="0.35">
      <c r="A141" s="103"/>
      <c r="B141" s="12" t="s">
        <v>4</v>
      </c>
      <c r="C141" s="10" t="s">
        <v>313</v>
      </c>
      <c r="D141" s="152"/>
      <c r="E141" s="170"/>
      <c r="F141" s="95"/>
      <c r="G141" s="153" t="str">
        <f t="shared" si="8"/>
        <v/>
      </c>
      <c r="H141" s="10" t="s">
        <v>20</v>
      </c>
      <c r="I141" s="331">
        <v>1.3</v>
      </c>
      <c r="J141" s="12">
        <f t="shared" si="12"/>
        <v>0</v>
      </c>
    </row>
    <row r="142" spans="1:10" hidden="1" x14ac:dyDescent="0.35">
      <c r="A142" s="103"/>
      <c r="B142" s="12" t="s">
        <v>4</v>
      </c>
      <c r="C142" s="10" t="s">
        <v>314</v>
      </c>
      <c r="D142" s="152"/>
      <c r="E142" s="170"/>
      <c r="F142" s="95"/>
      <c r="G142" s="153" t="str">
        <f t="shared" si="8"/>
        <v/>
      </c>
      <c r="H142" s="10" t="s">
        <v>20</v>
      </c>
      <c r="I142" s="331">
        <v>1.36</v>
      </c>
      <c r="J142" s="12">
        <f t="shared" si="12"/>
        <v>0</v>
      </c>
    </row>
    <row r="143" spans="1:10" hidden="1" x14ac:dyDescent="0.35">
      <c r="A143" s="103"/>
      <c r="B143" s="12" t="s">
        <v>4</v>
      </c>
      <c r="C143" s="10" t="s">
        <v>315</v>
      </c>
      <c r="D143" s="152"/>
      <c r="E143" s="170"/>
      <c r="F143" s="95"/>
      <c r="G143" s="153" t="str">
        <f t="shared" si="8"/>
        <v/>
      </c>
      <c r="H143" s="10" t="s">
        <v>20</v>
      </c>
      <c r="I143" s="331">
        <v>1.3</v>
      </c>
      <c r="J143" s="12">
        <f t="shared" si="12"/>
        <v>0</v>
      </c>
    </row>
    <row r="144" spans="1:10" hidden="1" x14ac:dyDescent="0.35">
      <c r="A144" s="103"/>
      <c r="B144" s="12" t="s">
        <v>4</v>
      </c>
      <c r="C144" s="10" t="s">
        <v>316</v>
      </c>
      <c r="D144" s="152"/>
      <c r="E144" s="170"/>
      <c r="F144" s="95"/>
      <c r="G144" s="153" t="str">
        <f t="shared" si="8"/>
        <v/>
      </c>
      <c r="H144" s="10" t="s">
        <v>20</v>
      </c>
      <c r="I144" s="331">
        <v>1.35</v>
      </c>
      <c r="J144" s="12">
        <f t="shared" si="12"/>
        <v>0</v>
      </c>
    </row>
    <row r="145" spans="1:10" hidden="1" x14ac:dyDescent="0.35">
      <c r="A145" s="103"/>
      <c r="B145" s="12" t="s">
        <v>4</v>
      </c>
      <c r="C145" s="10" t="s">
        <v>317</v>
      </c>
      <c r="D145" s="152"/>
      <c r="E145" s="170"/>
      <c r="F145" s="95"/>
      <c r="G145" s="153" t="str">
        <f t="shared" si="8"/>
        <v/>
      </c>
      <c r="H145" s="10" t="s">
        <v>20</v>
      </c>
      <c r="I145" s="331">
        <v>1.28</v>
      </c>
      <c r="J145" s="12">
        <f t="shared" si="12"/>
        <v>0</v>
      </c>
    </row>
    <row r="146" spans="1:10" hidden="1" x14ac:dyDescent="0.35">
      <c r="A146" s="103"/>
      <c r="B146" s="12" t="s">
        <v>4</v>
      </c>
      <c r="C146" s="10" t="s">
        <v>318</v>
      </c>
      <c r="D146" s="152"/>
      <c r="E146" s="170"/>
      <c r="F146" s="95"/>
      <c r="G146" s="153" t="str">
        <f t="shared" si="8"/>
        <v/>
      </c>
      <c r="H146" s="10" t="s">
        <v>20</v>
      </c>
      <c r="I146" s="331">
        <v>1.1000000000000001</v>
      </c>
      <c r="J146" s="12">
        <f t="shared" si="12"/>
        <v>0</v>
      </c>
    </row>
    <row r="147" spans="1:10" hidden="1" x14ac:dyDescent="0.35">
      <c r="A147" s="103"/>
      <c r="B147" s="12" t="s">
        <v>4</v>
      </c>
      <c r="C147" s="10" t="s">
        <v>319</v>
      </c>
      <c r="D147" s="152"/>
      <c r="E147" s="170"/>
      <c r="F147" s="95"/>
      <c r="G147" s="153" t="str">
        <f t="shared" si="8"/>
        <v/>
      </c>
      <c r="H147" s="10" t="s">
        <v>20</v>
      </c>
      <c r="I147" s="331">
        <v>1.1000000000000001</v>
      </c>
      <c r="J147" s="12">
        <f t="shared" si="12"/>
        <v>0</v>
      </c>
    </row>
    <row r="148" spans="1:10" hidden="1" x14ac:dyDescent="0.35">
      <c r="A148" s="103"/>
      <c r="B148" s="12" t="s">
        <v>4</v>
      </c>
      <c r="C148" s="10" t="s">
        <v>320</v>
      </c>
      <c r="D148" s="152"/>
      <c r="E148" s="170"/>
      <c r="F148" s="95"/>
      <c r="G148" s="153" t="str">
        <f t="shared" si="8"/>
        <v/>
      </c>
      <c r="H148" s="10" t="s">
        <v>20</v>
      </c>
      <c r="I148" s="331">
        <v>1.1000000000000001</v>
      </c>
      <c r="J148" s="12">
        <f t="shared" si="12"/>
        <v>0</v>
      </c>
    </row>
    <row r="149" spans="1:10" hidden="1" x14ac:dyDescent="0.35">
      <c r="A149" s="103"/>
      <c r="B149" s="12" t="s">
        <v>4</v>
      </c>
      <c r="C149" s="10" t="s">
        <v>321</v>
      </c>
      <c r="D149" s="152"/>
      <c r="E149" s="170"/>
      <c r="F149" s="95"/>
      <c r="G149" s="153" t="str">
        <f t="shared" si="8"/>
        <v/>
      </c>
      <c r="H149" s="10" t="s">
        <v>20</v>
      </c>
      <c r="I149" s="331">
        <v>1.1000000000000001</v>
      </c>
      <c r="J149" s="12">
        <f t="shared" si="12"/>
        <v>0</v>
      </c>
    </row>
    <row r="150" spans="1:10" x14ac:dyDescent="0.35">
      <c r="A150" s="113" t="s">
        <v>41</v>
      </c>
      <c r="B150" s="124"/>
      <c r="C150" s="124"/>
      <c r="D150" s="230"/>
      <c r="E150" s="174"/>
      <c r="F150" s="148"/>
      <c r="G150" s="165" t="str">
        <f t="shared" si="8"/>
        <v/>
      </c>
      <c r="H150" s="124"/>
      <c r="I150" s="241"/>
      <c r="J150" s="125"/>
    </row>
    <row r="151" spans="1:10" x14ac:dyDescent="0.35">
      <c r="A151" s="103"/>
      <c r="B151" s="12" t="s">
        <v>4</v>
      </c>
      <c r="C151" s="10" t="s">
        <v>24</v>
      </c>
      <c r="D151" s="152">
        <v>30</v>
      </c>
      <c r="E151" s="170">
        <v>12</v>
      </c>
      <c r="F151" s="95"/>
      <c r="G151" s="153">
        <f t="shared" si="8"/>
        <v>18</v>
      </c>
      <c r="H151" s="10" t="s">
        <v>20</v>
      </c>
      <c r="I151" s="331">
        <v>3.04</v>
      </c>
      <c r="J151" s="12">
        <f t="shared" ref="J151:J164" si="13">E151*I151</f>
        <v>36.480000000000004</v>
      </c>
    </row>
    <row r="152" spans="1:10" x14ac:dyDescent="0.35">
      <c r="A152" s="103"/>
      <c r="B152" s="12" t="s">
        <v>4</v>
      </c>
      <c r="C152" s="10" t="s">
        <v>80</v>
      </c>
      <c r="D152" s="152">
        <v>60</v>
      </c>
      <c r="E152" s="170">
        <v>43</v>
      </c>
      <c r="F152" s="95"/>
      <c r="G152" s="153">
        <f t="shared" si="8"/>
        <v>17</v>
      </c>
      <c r="H152" s="10" t="s">
        <v>20</v>
      </c>
      <c r="I152" s="331">
        <v>2.31</v>
      </c>
      <c r="J152" s="12">
        <f t="shared" si="13"/>
        <v>99.33</v>
      </c>
    </row>
    <row r="153" spans="1:10" x14ac:dyDescent="0.35">
      <c r="A153" s="103"/>
      <c r="B153" s="12" t="s">
        <v>4</v>
      </c>
      <c r="C153" s="10" t="s">
        <v>84</v>
      </c>
      <c r="D153" s="152">
        <v>30</v>
      </c>
      <c r="E153" s="170">
        <v>146</v>
      </c>
      <c r="F153" s="95"/>
      <c r="G153" s="153" t="str">
        <f t="shared" ref="G153:G223" si="14">IF(E153="","",IF(D153-E153&gt;0,D153-E153,""))</f>
        <v/>
      </c>
      <c r="H153" s="10" t="s">
        <v>20</v>
      </c>
      <c r="I153" s="331">
        <v>2.31</v>
      </c>
      <c r="J153" s="12">
        <f t="shared" si="13"/>
        <v>337.26</v>
      </c>
    </row>
    <row r="154" spans="1:10" hidden="1" x14ac:dyDescent="0.35">
      <c r="A154" s="103"/>
      <c r="B154" s="12" t="s">
        <v>4</v>
      </c>
      <c r="C154" s="10" t="s">
        <v>394</v>
      </c>
      <c r="D154" s="152"/>
      <c r="E154" s="170"/>
      <c r="F154" s="95"/>
      <c r="G154" s="153" t="str">
        <f t="shared" si="14"/>
        <v/>
      </c>
      <c r="H154" s="10" t="s">
        <v>20</v>
      </c>
      <c r="I154" s="331">
        <v>2.54</v>
      </c>
      <c r="J154" s="12">
        <f t="shared" si="13"/>
        <v>0</v>
      </c>
    </row>
    <row r="155" spans="1:10" hidden="1" x14ac:dyDescent="0.35">
      <c r="A155" s="103"/>
      <c r="B155" s="12" t="s">
        <v>4</v>
      </c>
      <c r="C155" s="10" t="s">
        <v>394</v>
      </c>
      <c r="D155" s="152"/>
      <c r="E155" s="170"/>
      <c r="F155" s="95"/>
      <c r="G155" s="153" t="str">
        <f t="shared" si="14"/>
        <v/>
      </c>
      <c r="H155" s="10" t="s">
        <v>20</v>
      </c>
      <c r="I155" s="331">
        <v>2.54</v>
      </c>
      <c r="J155" s="12">
        <f t="shared" si="13"/>
        <v>0</v>
      </c>
    </row>
    <row r="156" spans="1:10" x14ac:dyDescent="0.35">
      <c r="A156" s="103"/>
      <c r="B156" s="12" t="s">
        <v>4</v>
      </c>
      <c r="C156" s="10" t="s">
        <v>25</v>
      </c>
      <c r="D156" s="152">
        <v>30</v>
      </c>
      <c r="E156" s="170">
        <v>28</v>
      </c>
      <c r="F156" s="95"/>
      <c r="G156" s="153">
        <f t="shared" si="14"/>
        <v>2</v>
      </c>
      <c r="H156" s="10" t="s">
        <v>20</v>
      </c>
      <c r="I156" s="331">
        <v>1.79</v>
      </c>
      <c r="J156" s="12">
        <f t="shared" si="13"/>
        <v>50.120000000000005</v>
      </c>
    </row>
    <row r="157" spans="1:10" hidden="1" x14ac:dyDescent="0.35">
      <c r="A157" s="103"/>
      <c r="B157" s="12" t="s">
        <v>4</v>
      </c>
      <c r="C157" s="10" t="s">
        <v>322</v>
      </c>
      <c r="D157" s="152"/>
      <c r="E157" s="170"/>
      <c r="F157" s="95"/>
      <c r="G157" s="153" t="str">
        <f t="shared" si="14"/>
        <v/>
      </c>
      <c r="H157" s="10" t="s">
        <v>20</v>
      </c>
      <c r="I157" s="331">
        <v>2.46</v>
      </c>
      <c r="J157" s="12">
        <f t="shared" si="13"/>
        <v>0</v>
      </c>
    </row>
    <row r="158" spans="1:10" x14ac:dyDescent="0.35">
      <c r="A158" s="103"/>
      <c r="B158" s="12" t="s">
        <v>4</v>
      </c>
      <c r="C158" s="10" t="s">
        <v>393</v>
      </c>
      <c r="D158" s="152">
        <v>60</v>
      </c>
      <c r="E158" s="170">
        <v>374</v>
      </c>
      <c r="F158" s="95"/>
      <c r="G158" s="153" t="str">
        <f t="shared" si="14"/>
        <v/>
      </c>
      <c r="H158" s="10" t="s">
        <v>20</v>
      </c>
      <c r="I158" s="331">
        <v>2.46</v>
      </c>
      <c r="J158" s="12">
        <f t="shared" si="13"/>
        <v>920.04</v>
      </c>
    </row>
    <row r="159" spans="1:10" hidden="1" x14ac:dyDescent="0.35">
      <c r="A159" s="103"/>
      <c r="B159" s="12" t="s">
        <v>4</v>
      </c>
      <c r="C159" s="10" t="s">
        <v>43</v>
      </c>
      <c r="D159" s="152"/>
      <c r="E159" s="170"/>
      <c r="F159" s="95"/>
      <c r="G159" s="153" t="str">
        <f t="shared" si="14"/>
        <v/>
      </c>
      <c r="H159" s="10" t="s">
        <v>20</v>
      </c>
      <c r="I159" s="331">
        <v>2.5499999999999998</v>
      </c>
      <c r="J159" s="12">
        <f t="shared" si="13"/>
        <v>0</v>
      </c>
    </row>
    <row r="160" spans="1:10" x14ac:dyDescent="0.35">
      <c r="A160" s="103"/>
      <c r="B160" s="12" t="s">
        <v>4</v>
      </c>
      <c r="C160" s="10" t="s">
        <v>81</v>
      </c>
      <c r="D160" s="152">
        <v>60</v>
      </c>
      <c r="E160" s="170">
        <v>20</v>
      </c>
      <c r="F160" s="95"/>
      <c r="G160" s="153">
        <f t="shared" si="14"/>
        <v>40</v>
      </c>
      <c r="H160" s="10" t="s">
        <v>20</v>
      </c>
      <c r="I160" s="331">
        <v>1.51</v>
      </c>
      <c r="J160" s="12">
        <f t="shared" si="13"/>
        <v>30.2</v>
      </c>
    </row>
    <row r="161" spans="1:10" x14ac:dyDescent="0.35">
      <c r="A161" s="103"/>
      <c r="B161" s="12" t="s">
        <v>4</v>
      </c>
      <c r="C161" s="10" t="s">
        <v>82</v>
      </c>
      <c r="D161" s="152">
        <v>60</v>
      </c>
      <c r="E161" s="170">
        <v>302</v>
      </c>
      <c r="F161" s="95"/>
      <c r="G161" s="153" t="str">
        <f t="shared" si="14"/>
        <v/>
      </c>
      <c r="H161" s="10" t="s">
        <v>20</v>
      </c>
      <c r="I161" s="331">
        <v>1.51</v>
      </c>
      <c r="J161" s="12">
        <f t="shared" si="13"/>
        <v>456.02</v>
      </c>
    </row>
    <row r="162" spans="1:10" hidden="1" x14ac:dyDescent="0.35">
      <c r="A162" s="103"/>
      <c r="B162" s="12" t="s">
        <v>4</v>
      </c>
      <c r="C162" s="10" t="s">
        <v>323</v>
      </c>
      <c r="D162" s="152"/>
      <c r="E162" s="170"/>
      <c r="F162" s="95"/>
      <c r="G162" s="153" t="str">
        <f t="shared" si="14"/>
        <v/>
      </c>
      <c r="H162" s="10" t="s">
        <v>20</v>
      </c>
      <c r="I162" s="331">
        <v>1.54</v>
      </c>
      <c r="J162" s="12">
        <f t="shared" si="13"/>
        <v>0</v>
      </c>
    </row>
    <row r="163" spans="1:10" hidden="1" x14ac:dyDescent="0.35">
      <c r="A163" s="103"/>
      <c r="B163" s="12" t="s">
        <v>4</v>
      </c>
      <c r="C163" s="10" t="s">
        <v>324</v>
      </c>
      <c r="D163" s="152"/>
      <c r="E163" s="170"/>
      <c r="F163" s="95"/>
      <c r="G163" s="153" t="str">
        <f t="shared" si="14"/>
        <v/>
      </c>
      <c r="H163" s="10" t="s">
        <v>20</v>
      </c>
      <c r="I163" s="331">
        <v>1.6</v>
      </c>
      <c r="J163" s="12">
        <f t="shared" si="13"/>
        <v>0</v>
      </c>
    </row>
    <row r="164" spans="1:10" hidden="1" x14ac:dyDescent="0.35">
      <c r="A164" s="103"/>
      <c r="B164" s="12" t="s">
        <v>4</v>
      </c>
      <c r="C164" s="78" t="s">
        <v>325</v>
      </c>
      <c r="D164" s="224"/>
      <c r="E164" s="170"/>
      <c r="F164" s="142"/>
      <c r="G164" s="153" t="str">
        <f t="shared" si="14"/>
        <v/>
      </c>
      <c r="H164" s="10" t="s">
        <v>20</v>
      </c>
      <c r="I164" s="333">
        <v>49.95</v>
      </c>
      <c r="J164" s="12">
        <f t="shared" si="13"/>
        <v>0</v>
      </c>
    </row>
    <row r="165" spans="1:10" x14ac:dyDescent="0.35">
      <c r="A165" s="113" t="s">
        <v>44</v>
      </c>
      <c r="B165" s="124"/>
      <c r="C165" s="124"/>
      <c r="D165" s="230"/>
      <c r="E165" s="174"/>
      <c r="F165" s="148"/>
      <c r="G165" s="165" t="str">
        <f t="shared" si="14"/>
        <v/>
      </c>
      <c r="H165" s="124"/>
      <c r="I165" s="241"/>
      <c r="J165" s="125"/>
    </row>
    <row r="166" spans="1:10" x14ac:dyDescent="0.35">
      <c r="A166" s="103"/>
      <c r="B166" s="12" t="s">
        <v>4</v>
      </c>
      <c r="C166" s="10" t="s">
        <v>48</v>
      </c>
      <c r="D166" s="152">
        <v>20</v>
      </c>
      <c r="E166" s="170">
        <v>14</v>
      </c>
      <c r="F166" s="95"/>
      <c r="G166" s="153">
        <f t="shared" si="14"/>
        <v>6</v>
      </c>
      <c r="H166" s="10" t="s">
        <v>20</v>
      </c>
      <c r="I166" s="331">
        <v>1.94</v>
      </c>
      <c r="J166" s="12">
        <f t="shared" ref="J166:J175" si="15">E166*I166</f>
        <v>27.16</v>
      </c>
    </row>
    <row r="167" spans="1:10" x14ac:dyDescent="0.35">
      <c r="A167" s="103"/>
      <c r="B167" s="12" t="s">
        <v>4</v>
      </c>
      <c r="C167" s="10" t="s">
        <v>49</v>
      </c>
      <c r="D167" s="152">
        <v>10</v>
      </c>
      <c r="E167" s="170">
        <v>23</v>
      </c>
      <c r="F167" s="95"/>
      <c r="G167" s="153" t="str">
        <f t="shared" si="14"/>
        <v/>
      </c>
      <c r="H167" s="10" t="s">
        <v>20</v>
      </c>
      <c r="I167" s="331">
        <v>1.94</v>
      </c>
      <c r="J167" s="12">
        <f t="shared" si="15"/>
        <v>44.62</v>
      </c>
    </row>
    <row r="168" spans="1:10" x14ac:dyDescent="0.35">
      <c r="A168" s="103"/>
      <c r="B168" s="12" t="s">
        <v>4</v>
      </c>
      <c r="C168" s="10" t="s">
        <v>50</v>
      </c>
      <c r="D168" s="152">
        <v>10</v>
      </c>
      <c r="E168" s="170">
        <v>24</v>
      </c>
      <c r="F168" s="95"/>
      <c r="G168" s="153" t="str">
        <f t="shared" si="14"/>
        <v/>
      </c>
      <c r="H168" s="10" t="s">
        <v>20</v>
      </c>
      <c r="I168" s="331">
        <v>1.94</v>
      </c>
      <c r="J168" s="12">
        <f t="shared" si="15"/>
        <v>46.56</v>
      </c>
    </row>
    <row r="169" spans="1:10" hidden="1" x14ac:dyDescent="0.35">
      <c r="A169" s="103"/>
      <c r="B169" s="12" t="s">
        <v>4</v>
      </c>
      <c r="C169" s="10" t="s">
        <v>415</v>
      </c>
      <c r="D169" s="152"/>
      <c r="E169" s="170"/>
      <c r="F169" s="95"/>
      <c r="G169" s="153" t="str">
        <f t="shared" si="14"/>
        <v/>
      </c>
      <c r="H169" s="10" t="s">
        <v>20</v>
      </c>
      <c r="I169" s="331">
        <v>1.98</v>
      </c>
      <c r="J169" s="12">
        <f t="shared" si="15"/>
        <v>0</v>
      </c>
    </row>
    <row r="170" spans="1:10" hidden="1" x14ac:dyDescent="0.35">
      <c r="A170" s="103"/>
      <c r="B170" s="12" t="s">
        <v>4</v>
      </c>
      <c r="C170" s="10" t="s">
        <v>414</v>
      </c>
      <c r="D170" s="152"/>
      <c r="E170" s="170"/>
      <c r="F170" s="95"/>
      <c r="G170" s="153" t="str">
        <f t="shared" si="14"/>
        <v/>
      </c>
      <c r="H170" s="10" t="s">
        <v>20</v>
      </c>
      <c r="I170" s="331">
        <v>1.98</v>
      </c>
      <c r="J170" s="12">
        <f t="shared" si="15"/>
        <v>0</v>
      </c>
    </row>
    <row r="171" spans="1:10" hidden="1" x14ac:dyDescent="0.35">
      <c r="A171" s="103"/>
      <c r="B171" s="12" t="s">
        <v>4</v>
      </c>
      <c r="C171" s="10" t="s">
        <v>328</v>
      </c>
      <c r="D171" s="152"/>
      <c r="E171" s="170"/>
      <c r="F171" s="95"/>
      <c r="G171" s="153" t="str">
        <f t="shared" si="14"/>
        <v/>
      </c>
      <c r="H171" s="10" t="s">
        <v>20</v>
      </c>
      <c r="I171" s="331">
        <v>1.98</v>
      </c>
      <c r="J171" s="12">
        <f t="shared" si="15"/>
        <v>0</v>
      </c>
    </row>
    <row r="172" spans="1:10" hidden="1" x14ac:dyDescent="0.35">
      <c r="A172" s="103"/>
      <c r="B172" s="12" t="s">
        <v>4</v>
      </c>
      <c r="C172" s="10" t="s">
        <v>329</v>
      </c>
      <c r="D172" s="152"/>
      <c r="E172" s="170"/>
      <c r="F172" s="95"/>
      <c r="G172" s="153" t="str">
        <f t="shared" si="14"/>
        <v/>
      </c>
      <c r="H172" s="10" t="s">
        <v>20</v>
      </c>
      <c r="I172" s="331">
        <v>1.98</v>
      </c>
      <c r="J172" s="12">
        <f t="shared" si="15"/>
        <v>0</v>
      </c>
    </row>
    <row r="173" spans="1:10" hidden="1" x14ac:dyDescent="0.35">
      <c r="A173" s="103"/>
      <c r="B173" s="40" t="s">
        <v>4</v>
      </c>
      <c r="C173" s="41" t="s">
        <v>330</v>
      </c>
      <c r="D173" s="227"/>
      <c r="E173" s="170"/>
      <c r="F173" s="145"/>
      <c r="G173" s="153" t="str">
        <f t="shared" si="14"/>
        <v/>
      </c>
      <c r="H173" s="10" t="s">
        <v>20</v>
      </c>
      <c r="I173" s="331">
        <v>1.98</v>
      </c>
      <c r="J173" s="12">
        <f t="shared" si="15"/>
        <v>0</v>
      </c>
    </row>
    <row r="174" spans="1:10" hidden="1" x14ac:dyDescent="0.35">
      <c r="A174" s="103"/>
      <c r="B174" s="40" t="s">
        <v>4</v>
      </c>
      <c r="C174" s="41" t="s">
        <v>331</v>
      </c>
      <c r="D174" s="227"/>
      <c r="E174" s="170"/>
      <c r="F174" s="145"/>
      <c r="G174" s="153" t="str">
        <f t="shared" si="14"/>
        <v/>
      </c>
      <c r="H174" s="10" t="s">
        <v>20</v>
      </c>
      <c r="I174" s="331">
        <v>1.98</v>
      </c>
      <c r="J174" s="12">
        <f t="shared" si="15"/>
        <v>0</v>
      </c>
    </row>
    <row r="175" spans="1:10" hidden="1" x14ac:dyDescent="0.35">
      <c r="A175" s="103"/>
      <c r="B175" s="40" t="s">
        <v>4</v>
      </c>
      <c r="C175" s="41" t="s">
        <v>413</v>
      </c>
      <c r="D175" s="227"/>
      <c r="E175" s="170"/>
      <c r="F175" s="145"/>
      <c r="G175" s="153" t="str">
        <f t="shared" si="14"/>
        <v/>
      </c>
      <c r="H175" s="41" t="s">
        <v>20</v>
      </c>
      <c r="I175" s="334">
        <v>1.98</v>
      </c>
      <c r="J175" s="12">
        <f t="shared" si="15"/>
        <v>0</v>
      </c>
    </row>
    <row r="176" spans="1:10" ht="15.5" hidden="1" x14ac:dyDescent="0.35">
      <c r="A176" s="114" t="s">
        <v>333</v>
      </c>
      <c r="B176" s="120"/>
      <c r="C176" s="120"/>
      <c r="D176" s="228"/>
      <c r="E176" s="175"/>
      <c r="F176" s="149"/>
      <c r="G176" s="153" t="str">
        <f t="shared" si="14"/>
        <v/>
      </c>
      <c r="H176" s="121"/>
      <c r="I176" s="122" t="s">
        <v>18</v>
      </c>
      <c r="J176" s="123">
        <f>SUM(J177:J186)</f>
        <v>0</v>
      </c>
    </row>
    <row r="177" spans="1:10" hidden="1" x14ac:dyDescent="0.35">
      <c r="A177" s="103"/>
      <c r="B177" s="12" t="s">
        <v>26</v>
      </c>
      <c r="C177" s="10" t="s">
        <v>334</v>
      </c>
      <c r="D177" s="152"/>
      <c r="E177" s="170"/>
      <c r="F177" s="95"/>
      <c r="G177" s="153" t="str">
        <f t="shared" si="14"/>
        <v/>
      </c>
      <c r="H177" s="10" t="s">
        <v>335</v>
      </c>
      <c r="I177" s="331">
        <v>20</v>
      </c>
      <c r="J177" s="12">
        <f t="shared" ref="J177:J186" si="16">E177*I177</f>
        <v>0</v>
      </c>
    </row>
    <row r="178" spans="1:10" hidden="1" x14ac:dyDescent="0.35">
      <c r="A178" s="103"/>
      <c r="B178" s="20" t="s">
        <v>26</v>
      </c>
      <c r="C178" s="18" t="s">
        <v>53</v>
      </c>
      <c r="D178" s="229"/>
      <c r="E178" s="170"/>
      <c r="F178" s="147"/>
      <c r="G178" s="153" t="str">
        <f t="shared" si="14"/>
        <v/>
      </c>
      <c r="H178" s="18" t="s">
        <v>20</v>
      </c>
      <c r="I178" s="335">
        <v>0.43</v>
      </c>
      <c r="J178" s="20">
        <f t="shared" si="16"/>
        <v>0</v>
      </c>
    </row>
    <row r="179" spans="1:10" hidden="1" x14ac:dyDescent="0.35">
      <c r="A179" s="103"/>
      <c r="B179" s="20" t="s">
        <v>26</v>
      </c>
      <c r="C179" s="18" t="s">
        <v>336</v>
      </c>
      <c r="D179" s="229"/>
      <c r="E179" s="170"/>
      <c r="F179" s="147"/>
      <c r="G179" s="153" t="str">
        <f t="shared" si="14"/>
        <v/>
      </c>
      <c r="H179" s="18" t="s">
        <v>20</v>
      </c>
      <c r="I179" s="335">
        <v>0.43</v>
      </c>
      <c r="J179" s="20">
        <f t="shared" si="16"/>
        <v>0</v>
      </c>
    </row>
    <row r="180" spans="1:10" hidden="1" x14ac:dyDescent="0.35">
      <c r="A180" s="103"/>
      <c r="B180" s="12" t="s">
        <v>26</v>
      </c>
      <c r="C180" s="10" t="s">
        <v>337</v>
      </c>
      <c r="D180" s="152"/>
      <c r="E180" s="170"/>
      <c r="F180" s="95"/>
      <c r="G180" s="153" t="str">
        <f t="shared" si="14"/>
        <v/>
      </c>
      <c r="H180" s="10" t="s">
        <v>20</v>
      </c>
      <c r="I180" s="331">
        <v>0.43</v>
      </c>
      <c r="J180" s="12">
        <f t="shared" si="16"/>
        <v>0</v>
      </c>
    </row>
    <row r="181" spans="1:10" hidden="1" x14ac:dyDescent="0.35">
      <c r="A181" s="103"/>
      <c r="B181" s="12" t="s">
        <v>26</v>
      </c>
      <c r="C181" s="10" t="s">
        <v>51</v>
      </c>
      <c r="D181" s="152"/>
      <c r="E181" s="170"/>
      <c r="F181" s="95"/>
      <c r="G181" s="153" t="str">
        <f t="shared" si="14"/>
        <v/>
      </c>
      <c r="H181" s="10" t="s">
        <v>61</v>
      </c>
      <c r="I181" s="331">
        <v>14</v>
      </c>
      <c r="J181" s="12">
        <f t="shared" si="16"/>
        <v>0</v>
      </c>
    </row>
    <row r="182" spans="1:10" hidden="1" x14ac:dyDescent="0.35">
      <c r="A182" s="103"/>
      <c r="B182" s="12" t="s">
        <v>26</v>
      </c>
      <c r="C182" s="10" t="s">
        <v>338</v>
      </c>
      <c r="D182" s="152"/>
      <c r="E182" s="170"/>
      <c r="F182" s="95"/>
      <c r="G182" s="153" t="str">
        <f t="shared" si="14"/>
        <v/>
      </c>
      <c r="H182" s="10" t="s">
        <v>61</v>
      </c>
      <c r="I182" s="331">
        <v>14.78</v>
      </c>
      <c r="J182" s="12">
        <f t="shared" si="16"/>
        <v>0</v>
      </c>
    </row>
    <row r="183" spans="1:10" hidden="1" x14ac:dyDescent="0.35">
      <c r="A183" s="103"/>
      <c r="B183" s="12" t="s">
        <v>26</v>
      </c>
      <c r="C183" s="10" t="s">
        <v>339</v>
      </c>
      <c r="D183" s="152"/>
      <c r="E183" s="170"/>
      <c r="F183" s="95"/>
      <c r="G183" s="153" t="str">
        <f t="shared" si="14"/>
        <v/>
      </c>
      <c r="H183" s="10" t="s">
        <v>61</v>
      </c>
      <c r="I183" s="331">
        <v>14.78</v>
      </c>
      <c r="J183" s="12">
        <f t="shared" si="16"/>
        <v>0</v>
      </c>
    </row>
    <row r="184" spans="1:10" hidden="1" x14ac:dyDescent="0.35">
      <c r="A184" s="103"/>
      <c r="B184" s="12" t="s">
        <v>26</v>
      </c>
      <c r="C184" s="10" t="s">
        <v>340</v>
      </c>
      <c r="D184" s="152"/>
      <c r="E184" s="170"/>
      <c r="F184" s="95"/>
      <c r="G184" s="153" t="str">
        <f t="shared" si="14"/>
        <v/>
      </c>
      <c r="H184" s="10" t="s">
        <v>61</v>
      </c>
      <c r="I184" s="331">
        <v>14.78</v>
      </c>
      <c r="J184" s="12">
        <f t="shared" si="16"/>
        <v>0</v>
      </c>
    </row>
    <row r="185" spans="1:10" hidden="1" x14ac:dyDescent="0.35">
      <c r="A185" s="103"/>
      <c r="B185" s="12" t="s">
        <v>26</v>
      </c>
      <c r="C185" s="10" t="s">
        <v>341</v>
      </c>
      <c r="D185" s="152"/>
      <c r="E185" s="170"/>
      <c r="F185" s="95"/>
      <c r="G185" s="153" t="str">
        <f t="shared" si="14"/>
        <v/>
      </c>
      <c r="H185" s="10" t="s">
        <v>61</v>
      </c>
      <c r="I185" s="331">
        <v>14.78</v>
      </c>
      <c r="J185" s="12">
        <f t="shared" si="16"/>
        <v>0</v>
      </c>
    </row>
    <row r="186" spans="1:10" hidden="1" x14ac:dyDescent="0.35">
      <c r="A186" s="103"/>
      <c r="B186" s="12" t="s">
        <v>26</v>
      </c>
      <c r="C186" s="10" t="s">
        <v>342</v>
      </c>
      <c r="D186" s="152"/>
      <c r="E186" s="170"/>
      <c r="F186" s="95"/>
      <c r="G186" s="153" t="str">
        <f t="shared" si="14"/>
        <v/>
      </c>
      <c r="H186" s="10" t="s">
        <v>61</v>
      </c>
      <c r="I186" s="331">
        <v>14.78</v>
      </c>
      <c r="J186" s="10">
        <f t="shared" si="16"/>
        <v>0</v>
      </c>
    </row>
    <row r="187" spans="1:10" ht="15.5" x14ac:dyDescent="0.35">
      <c r="A187" s="108" t="s">
        <v>343</v>
      </c>
      <c r="B187" s="108"/>
      <c r="C187" s="108"/>
      <c r="D187" s="223"/>
      <c r="E187" s="169"/>
      <c r="F187" s="109"/>
      <c r="G187" s="165" t="str">
        <f t="shared" si="14"/>
        <v/>
      </c>
      <c r="H187" s="108"/>
      <c r="I187" s="106" t="s">
        <v>18</v>
      </c>
      <c r="J187" s="107">
        <f>SUM(J188:J192)</f>
        <v>67.199999999999989</v>
      </c>
    </row>
    <row r="188" spans="1:10" hidden="1" x14ac:dyDescent="0.35">
      <c r="A188" s="103"/>
      <c r="B188" s="7" t="s">
        <v>6</v>
      </c>
      <c r="C188" s="14" t="s">
        <v>344</v>
      </c>
      <c r="D188" s="152"/>
      <c r="E188" s="170"/>
      <c r="F188" s="95"/>
      <c r="G188" s="153" t="str">
        <f t="shared" si="14"/>
        <v/>
      </c>
      <c r="H188" s="14" t="s">
        <v>20</v>
      </c>
      <c r="I188" s="336">
        <v>0.79</v>
      </c>
      <c r="J188" s="7">
        <f>E188*I188</f>
        <v>0</v>
      </c>
    </row>
    <row r="189" spans="1:10" x14ac:dyDescent="0.35">
      <c r="A189" s="103"/>
      <c r="B189" s="7" t="s">
        <v>6</v>
      </c>
      <c r="C189" s="14" t="s">
        <v>345</v>
      </c>
      <c r="D189" s="152">
        <v>10</v>
      </c>
      <c r="E189" s="170">
        <v>10</v>
      </c>
      <c r="F189" s="95"/>
      <c r="G189" s="153" t="str">
        <f t="shared" si="14"/>
        <v/>
      </c>
      <c r="H189" s="14" t="s">
        <v>20</v>
      </c>
      <c r="I189" s="336">
        <v>2.76</v>
      </c>
      <c r="J189" s="7">
        <f>E189*I189</f>
        <v>27.599999999999998</v>
      </c>
    </row>
    <row r="190" spans="1:10" x14ac:dyDescent="0.35">
      <c r="A190" s="103"/>
      <c r="B190" s="7" t="s">
        <v>6</v>
      </c>
      <c r="C190" s="14" t="s">
        <v>346</v>
      </c>
      <c r="D190" s="152"/>
      <c r="E190" s="170"/>
      <c r="F190" s="95"/>
      <c r="G190" s="153" t="str">
        <f t="shared" si="14"/>
        <v/>
      </c>
      <c r="H190" s="14" t="s">
        <v>20</v>
      </c>
      <c r="I190" s="336">
        <v>1</v>
      </c>
      <c r="J190" s="7">
        <f>E190*I190</f>
        <v>0</v>
      </c>
    </row>
    <row r="191" spans="1:10" x14ac:dyDescent="0.35">
      <c r="A191" s="103"/>
      <c r="B191" s="7" t="s">
        <v>6</v>
      </c>
      <c r="C191" s="14" t="s">
        <v>34</v>
      </c>
      <c r="D191" s="152">
        <v>20</v>
      </c>
      <c r="E191" s="170">
        <v>10</v>
      </c>
      <c r="F191" s="95"/>
      <c r="G191" s="153">
        <f t="shared" si="14"/>
        <v>10</v>
      </c>
      <c r="H191" s="14" t="s">
        <v>20</v>
      </c>
      <c r="I191" s="336">
        <v>1.8</v>
      </c>
      <c r="J191" s="7">
        <f>E191*I191</f>
        <v>18</v>
      </c>
    </row>
    <row r="192" spans="1:10" x14ac:dyDescent="0.35">
      <c r="A192" s="103"/>
      <c r="B192" s="7" t="s">
        <v>6</v>
      </c>
      <c r="C192" s="14" t="s">
        <v>35</v>
      </c>
      <c r="D192" s="152">
        <v>20</v>
      </c>
      <c r="E192" s="170">
        <v>12</v>
      </c>
      <c r="F192" s="95"/>
      <c r="G192" s="153">
        <f t="shared" si="14"/>
        <v>8</v>
      </c>
      <c r="H192" s="14" t="s">
        <v>20</v>
      </c>
      <c r="I192" s="336">
        <v>1.8</v>
      </c>
      <c r="J192" s="7">
        <f>E192*I192</f>
        <v>21.6</v>
      </c>
    </row>
    <row r="193" spans="1:10" ht="15.5" x14ac:dyDescent="0.35">
      <c r="A193" s="112" t="s">
        <v>347</v>
      </c>
      <c r="B193" s="116"/>
      <c r="C193" s="116"/>
      <c r="D193" s="228"/>
      <c r="E193" s="173"/>
      <c r="F193" s="146"/>
      <c r="G193" s="165" t="str">
        <f t="shared" si="14"/>
        <v/>
      </c>
      <c r="H193" s="117"/>
      <c r="I193" s="118" t="s">
        <v>18</v>
      </c>
      <c r="J193" s="119">
        <f>SUM(J194)</f>
        <v>0</v>
      </c>
    </row>
    <row r="194" spans="1:10" x14ac:dyDescent="0.35">
      <c r="A194" s="103"/>
      <c r="B194" s="12" t="s">
        <v>5</v>
      </c>
      <c r="C194" s="10" t="s">
        <v>55</v>
      </c>
      <c r="D194" s="152"/>
      <c r="E194" s="170"/>
      <c r="F194" s="95"/>
      <c r="G194" s="153" t="str">
        <f t="shared" si="14"/>
        <v/>
      </c>
      <c r="H194" s="10" t="s">
        <v>20</v>
      </c>
      <c r="I194" s="331">
        <v>1.01</v>
      </c>
      <c r="J194" s="12">
        <f>E194*I194</f>
        <v>0</v>
      </c>
    </row>
    <row r="195" spans="1:10" ht="15.5" x14ac:dyDescent="0.35">
      <c r="A195" s="112" t="s">
        <v>348</v>
      </c>
      <c r="B195" s="116"/>
      <c r="C195" s="116"/>
      <c r="D195" s="228"/>
      <c r="E195" s="173"/>
      <c r="F195" s="146"/>
      <c r="G195" s="165" t="str">
        <f t="shared" si="14"/>
        <v/>
      </c>
      <c r="H195" s="117"/>
      <c r="I195" s="118" t="s">
        <v>18</v>
      </c>
      <c r="J195" s="119">
        <f>SUM(J196:J207)</f>
        <v>168.61</v>
      </c>
    </row>
    <row r="196" spans="1:10" x14ac:dyDescent="0.35">
      <c r="A196" s="103"/>
      <c r="B196" s="20" t="s">
        <v>8</v>
      </c>
      <c r="C196" s="18" t="s">
        <v>349</v>
      </c>
      <c r="D196" s="229">
        <v>1</v>
      </c>
      <c r="E196" s="170"/>
      <c r="F196" s="147"/>
      <c r="G196" s="153" t="str">
        <f t="shared" si="14"/>
        <v/>
      </c>
      <c r="H196" s="18" t="s">
        <v>27</v>
      </c>
      <c r="I196" s="337">
        <v>28.62</v>
      </c>
      <c r="J196" s="12">
        <f t="shared" ref="J196:J207" si="17">E196*I196</f>
        <v>0</v>
      </c>
    </row>
    <row r="197" spans="1:10" x14ac:dyDescent="0.35">
      <c r="A197" s="103"/>
      <c r="B197" s="12" t="s">
        <v>8</v>
      </c>
      <c r="C197" s="10" t="s">
        <v>350</v>
      </c>
      <c r="D197" s="152"/>
      <c r="E197" s="170"/>
      <c r="F197" s="95"/>
      <c r="G197" s="153" t="str">
        <f t="shared" si="14"/>
        <v/>
      </c>
      <c r="H197" s="10" t="s">
        <v>335</v>
      </c>
      <c r="I197" s="338">
        <v>30</v>
      </c>
      <c r="J197" s="12">
        <f t="shared" si="17"/>
        <v>0</v>
      </c>
    </row>
    <row r="198" spans="1:10" x14ac:dyDescent="0.35">
      <c r="A198" s="103"/>
      <c r="B198" s="12" t="s">
        <v>8</v>
      </c>
      <c r="C198" s="10" t="s">
        <v>351</v>
      </c>
      <c r="D198" s="152"/>
      <c r="E198" s="170"/>
      <c r="F198" s="95"/>
      <c r="G198" s="153" t="str">
        <f t="shared" si="14"/>
        <v/>
      </c>
      <c r="H198" s="10" t="s">
        <v>335</v>
      </c>
      <c r="I198" s="331">
        <v>1.1499999999999999</v>
      </c>
      <c r="J198" s="12">
        <f t="shared" si="17"/>
        <v>0</v>
      </c>
    </row>
    <row r="199" spans="1:10" x14ac:dyDescent="0.35">
      <c r="A199" s="103"/>
      <c r="B199" s="12" t="s">
        <v>8</v>
      </c>
      <c r="C199" s="10" t="s">
        <v>352</v>
      </c>
      <c r="D199" s="152">
        <v>3</v>
      </c>
      <c r="E199" s="170">
        <v>1</v>
      </c>
      <c r="F199" s="95"/>
      <c r="G199" s="153">
        <f t="shared" si="14"/>
        <v>2</v>
      </c>
      <c r="H199" s="10" t="s">
        <v>27</v>
      </c>
      <c r="I199" s="331">
        <v>23.83</v>
      </c>
      <c r="J199" s="12">
        <f t="shared" si="17"/>
        <v>23.83</v>
      </c>
    </row>
    <row r="200" spans="1:10" x14ac:dyDescent="0.35">
      <c r="A200" s="103"/>
      <c r="B200" s="12" t="s">
        <v>8</v>
      </c>
      <c r="C200" s="10" t="s">
        <v>353</v>
      </c>
      <c r="D200" s="152">
        <v>3</v>
      </c>
      <c r="E200" s="170">
        <v>3</v>
      </c>
      <c r="F200" s="95"/>
      <c r="G200" s="153" t="str">
        <f t="shared" si="14"/>
        <v/>
      </c>
      <c r="H200" s="10" t="s">
        <v>27</v>
      </c>
      <c r="I200" s="331">
        <v>28.89</v>
      </c>
      <c r="J200" s="12">
        <f t="shared" si="17"/>
        <v>86.67</v>
      </c>
    </row>
    <row r="201" spans="1:10" x14ac:dyDescent="0.35">
      <c r="A201" s="103"/>
      <c r="B201" s="12" t="s">
        <v>8</v>
      </c>
      <c r="C201" s="10" t="s">
        <v>354</v>
      </c>
      <c r="D201" s="152">
        <v>3</v>
      </c>
      <c r="E201" s="170">
        <v>3</v>
      </c>
      <c r="F201" s="95"/>
      <c r="G201" s="153" t="str">
        <f>IF(E201="","",IF(D201-E201&gt;0,D201-E201,""))</f>
        <v/>
      </c>
      <c r="H201" s="10" t="s">
        <v>27</v>
      </c>
      <c r="I201" s="331">
        <v>19.37</v>
      </c>
      <c r="J201" s="12">
        <f>E201*I201</f>
        <v>58.11</v>
      </c>
    </row>
    <row r="202" spans="1:10" x14ac:dyDescent="0.35">
      <c r="A202" s="103"/>
      <c r="B202" s="12" t="s">
        <v>8</v>
      </c>
      <c r="C202" s="10" t="s">
        <v>429</v>
      </c>
      <c r="D202" s="152"/>
      <c r="E202" s="170"/>
      <c r="F202" s="95"/>
      <c r="G202" s="153"/>
      <c r="H202" s="10" t="s">
        <v>27</v>
      </c>
      <c r="I202" s="331">
        <v>14.07</v>
      </c>
      <c r="J202" s="12"/>
    </row>
    <row r="203" spans="1:10" x14ac:dyDescent="0.35">
      <c r="A203" s="103"/>
      <c r="B203" s="12" t="s">
        <v>8</v>
      </c>
      <c r="C203" s="10" t="s">
        <v>430</v>
      </c>
      <c r="D203" s="152"/>
      <c r="E203" s="170"/>
      <c r="F203" s="95"/>
      <c r="G203" s="153"/>
      <c r="H203" s="10" t="s">
        <v>27</v>
      </c>
      <c r="I203" s="331">
        <v>16.07</v>
      </c>
      <c r="J203" s="12"/>
    </row>
    <row r="204" spans="1:10" x14ac:dyDescent="0.35">
      <c r="A204" s="103"/>
      <c r="B204" s="12" t="s">
        <v>8</v>
      </c>
      <c r="C204" s="10" t="s">
        <v>431</v>
      </c>
      <c r="D204" s="152"/>
      <c r="G204" s="153"/>
      <c r="H204" s="10" t="s">
        <v>27</v>
      </c>
      <c r="I204" s="339">
        <v>14.62</v>
      </c>
      <c r="J204" s="12"/>
    </row>
    <row r="205" spans="1:10" hidden="1" x14ac:dyDescent="0.35">
      <c r="A205" s="103"/>
      <c r="B205" s="12" t="s">
        <v>8</v>
      </c>
      <c r="C205" s="10" t="s">
        <v>355</v>
      </c>
      <c r="D205" s="152"/>
      <c r="E205" s="170"/>
      <c r="F205" s="95"/>
      <c r="G205" s="153" t="str">
        <f t="shared" si="14"/>
        <v/>
      </c>
      <c r="H205" s="10" t="s">
        <v>61</v>
      </c>
      <c r="I205" s="331">
        <v>17.11</v>
      </c>
      <c r="J205" s="12">
        <f t="shared" si="17"/>
        <v>0</v>
      </c>
    </row>
    <row r="206" spans="1:10" hidden="1" x14ac:dyDescent="0.35">
      <c r="A206" s="103"/>
      <c r="B206" s="12" t="s">
        <v>8</v>
      </c>
      <c r="C206" s="10" t="s">
        <v>356</v>
      </c>
      <c r="D206" s="152"/>
      <c r="E206" s="170"/>
      <c r="F206" s="95"/>
      <c r="G206" s="153" t="str">
        <f t="shared" si="14"/>
        <v/>
      </c>
      <c r="H206" s="10" t="s">
        <v>61</v>
      </c>
      <c r="I206" s="331">
        <v>22.13</v>
      </c>
      <c r="J206" s="12">
        <f t="shared" si="17"/>
        <v>0</v>
      </c>
    </row>
    <row r="207" spans="1:10" hidden="1" x14ac:dyDescent="0.35">
      <c r="A207" s="103"/>
      <c r="B207" s="40" t="s">
        <v>8</v>
      </c>
      <c r="C207" s="41" t="s">
        <v>357</v>
      </c>
      <c r="D207" s="227"/>
      <c r="E207" s="170"/>
      <c r="F207" s="145"/>
      <c r="G207" s="153" t="str">
        <f t="shared" si="14"/>
        <v/>
      </c>
      <c r="H207" s="41" t="s">
        <v>61</v>
      </c>
      <c r="I207" s="334">
        <v>18.8</v>
      </c>
      <c r="J207" s="40">
        <f t="shared" si="17"/>
        <v>0</v>
      </c>
    </row>
    <row r="208" spans="1:10" ht="15.5" x14ac:dyDescent="0.35">
      <c r="A208" s="112" t="s">
        <v>358</v>
      </c>
      <c r="B208" s="116"/>
      <c r="C208" s="116"/>
      <c r="D208" s="228"/>
      <c r="E208" s="173"/>
      <c r="F208" s="146"/>
      <c r="G208" s="165" t="str">
        <f t="shared" si="14"/>
        <v/>
      </c>
      <c r="H208" s="117"/>
      <c r="I208" s="118" t="s">
        <v>18</v>
      </c>
      <c r="J208" s="119">
        <f>J209+J210+J211+J212+J213</f>
        <v>870.78499999999997</v>
      </c>
    </row>
    <row r="209" spans="1:10" x14ac:dyDescent="0.35">
      <c r="A209" s="103"/>
      <c r="B209" s="13" t="s">
        <v>11</v>
      </c>
      <c r="C209" s="298" t="s">
        <v>359</v>
      </c>
      <c r="D209" s="299">
        <v>40</v>
      </c>
      <c r="E209" s="300">
        <v>2</v>
      </c>
      <c r="F209" s="301"/>
      <c r="G209" s="302">
        <f t="shared" si="14"/>
        <v>38</v>
      </c>
      <c r="H209" s="41" t="s">
        <v>52</v>
      </c>
      <c r="I209" s="334">
        <v>11.63</v>
      </c>
      <c r="J209" s="40">
        <f>E209*I209</f>
        <v>23.26</v>
      </c>
    </row>
    <row r="210" spans="1:10" x14ac:dyDescent="0.35">
      <c r="A210" s="103"/>
      <c r="B210" s="12" t="s">
        <v>11</v>
      </c>
      <c r="C210" s="10" t="s">
        <v>436</v>
      </c>
      <c r="D210" s="152"/>
      <c r="E210" s="170">
        <v>13</v>
      </c>
      <c r="F210" s="95"/>
      <c r="G210" s="153"/>
      <c r="H210" s="10" t="s">
        <v>52</v>
      </c>
      <c r="I210" s="331">
        <v>16.8</v>
      </c>
      <c r="J210" s="40">
        <f t="shared" ref="J210:J213" si="18">E210*I210</f>
        <v>218.4</v>
      </c>
    </row>
    <row r="211" spans="1:10" x14ac:dyDescent="0.35">
      <c r="A211" s="103"/>
      <c r="B211" s="12" t="s">
        <v>11</v>
      </c>
      <c r="C211" s="10" t="s">
        <v>437</v>
      </c>
      <c r="D211" s="152"/>
      <c r="E211" s="170">
        <v>7.5</v>
      </c>
      <c r="F211" s="95"/>
      <c r="G211" s="153"/>
      <c r="H211" s="10" t="s">
        <v>440</v>
      </c>
      <c r="I211" s="331">
        <v>9.35</v>
      </c>
      <c r="J211" s="40">
        <f>E211*I211</f>
        <v>70.125</v>
      </c>
    </row>
    <row r="212" spans="1:10" x14ac:dyDescent="0.35">
      <c r="A212" s="103"/>
      <c r="B212" s="12" t="s">
        <v>11</v>
      </c>
      <c r="C212" s="10" t="s">
        <v>438</v>
      </c>
      <c r="D212" s="152"/>
      <c r="E212" s="170">
        <v>2</v>
      </c>
      <c r="F212" s="95"/>
      <c r="G212" s="153"/>
      <c r="H212" s="10" t="s">
        <v>52</v>
      </c>
      <c r="I212" s="331">
        <v>87</v>
      </c>
      <c r="J212" s="40">
        <f t="shared" si="18"/>
        <v>174</v>
      </c>
    </row>
    <row r="213" spans="1:10" x14ac:dyDescent="0.35">
      <c r="A213" s="103"/>
      <c r="B213" s="12" t="s">
        <v>11</v>
      </c>
      <c r="C213" s="10" t="s">
        <v>439</v>
      </c>
      <c r="D213" s="152"/>
      <c r="E213" s="170">
        <v>7</v>
      </c>
      <c r="F213" s="95"/>
      <c r="G213" s="153"/>
      <c r="H213" s="10" t="s">
        <v>52</v>
      </c>
      <c r="I213" s="331">
        <v>55</v>
      </c>
      <c r="J213" s="40">
        <f t="shared" si="18"/>
        <v>385</v>
      </c>
    </row>
    <row r="214" spans="1:10" ht="15.5" x14ac:dyDescent="0.35">
      <c r="A214" s="108" t="s">
        <v>360</v>
      </c>
      <c r="B214" s="108"/>
      <c r="C214" s="108"/>
      <c r="D214" s="223"/>
      <c r="E214" s="169"/>
      <c r="F214" s="109"/>
      <c r="G214" s="310" t="str">
        <f t="shared" si="14"/>
        <v/>
      </c>
      <c r="H214" s="108"/>
      <c r="I214" s="106" t="s">
        <v>18</v>
      </c>
      <c r="J214" s="107">
        <f>SUM(J215:J216)</f>
        <v>0</v>
      </c>
    </row>
    <row r="215" spans="1:10" x14ac:dyDescent="0.35">
      <c r="A215" s="103"/>
      <c r="B215" s="12" t="s">
        <v>12</v>
      </c>
      <c r="C215" s="10" t="s">
        <v>70</v>
      </c>
      <c r="D215" s="152">
        <v>40</v>
      </c>
      <c r="E215" s="170"/>
      <c r="F215" s="95"/>
      <c r="G215" s="153" t="str">
        <f t="shared" si="14"/>
        <v/>
      </c>
      <c r="H215" s="10" t="s">
        <v>27</v>
      </c>
      <c r="I215" s="331">
        <v>20.7</v>
      </c>
      <c r="J215" s="12">
        <f>+E215*I215</f>
        <v>0</v>
      </c>
    </row>
    <row r="216" spans="1:10" x14ac:dyDescent="0.35">
      <c r="A216" s="103"/>
      <c r="B216" s="12" t="s">
        <v>12</v>
      </c>
      <c r="C216" s="10" t="s">
        <v>71</v>
      </c>
      <c r="D216" s="152">
        <v>40</v>
      </c>
      <c r="E216" s="170"/>
      <c r="F216" s="95"/>
      <c r="G216" s="153" t="str">
        <f t="shared" si="14"/>
        <v/>
      </c>
      <c r="H216" s="10" t="s">
        <v>27</v>
      </c>
      <c r="I216" s="331">
        <v>13.7</v>
      </c>
      <c r="J216" s="12">
        <f>+E216*I216</f>
        <v>0</v>
      </c>
    </row>
    <row r="217" spans="1:10" ht="15.5" hidden="1" x14ac:dyDescent="0.35">
      <c r="A217" s="108" t="s">
        <v>361</v>
      </c>
      <c r="B217" s="108"/>
      <c r="C217" s="108"/>
      <c r="D217" s="223"/>
      <c r="E217" s="169"/>
      <c r="F217" s="109"/>
      <c r="G217" s="153" t="str">
        <f t="shared" si="14"/>
        <v/>
      </c>
      <c r="H217" s="108"/>
      <c r="I217" s="106" t="s">
        <v>18</v>
      </c>
      <c r="J217" s="107">
        <f>SUM(J218:J221)</f>
        <v>0</v>
      </c>
    </row>
    <row r="218" spans="1:10" hidden="1" x14ac:dyDescent="0.35">
      <c r="A218" s="103"/>
      <c r="B218" s="12" t="s">
        <v>10</v>
      </c>
      <c r="C218" s="10" t="s">
        <v>362</v>
      </c>
      <c r="D218" s="152"/>
      <c r="E218" s="170"/>
      <c r="F218" s="95"/>
      <c r="G218" s="153" t="str">
        <f t="shared" si="14"/>
        <v/>
      </c>
      <c r="H218" s="10" t="s">
        <v>20</v>
      </c>
      <c r="I218" s="331">
        <v>11.08</v>
      </c>
      <c r="J218" s="12">
        <f>E218*I218</f>
        <v>0</v>
      </c>
    </row>
    <row r="219" spans="1:10" hidden="1" x14ac:dyDescent="0.35">
      <c r="A219" s="103"/>
      <c r="B219" s="12" t="s">
        <v>10</v>
      </c>
      <c r="C219" s="10" t="s">
        <v>363</v>
      </c>
      <c r="D219" s="152"/>
      <c r="E219" s="170"/>
      <c r="F219" s="95"/>
      <c r="G219" s="153" t="str">
        <f t="shared" si="14"/>
        <v/>
      </c>
      <c r="H219" s="10" t="s">
        <v>27</v>
      </c>
      <c r="I219" s="331">
        <v>16.21</v>
      </c>
      <c r="J219" s="12">
        <f>E219*I219</f>
        <v>0</v>
      </c>
    </row>
    <row r="220" spans="1:10" hidden="1" x14ac:dyDescent="0.35">
      <c r="A220" s="103"/>
      <c r="B220" s="12" t="s">
        <v>10</v>
      </c>
      <c r="C220" s="10" t="s">
        <v>364</v>
      </c>
      <c r="D220" s="152"/>
      <c r="E220" s="170"/>
      <c r="F220" s="95"/>
      <c r="G220" s="153" t="str">
        <f t="shared" si="14"/>
        <v/>
      </c>
      <c r="H220" s="10" t="s">
        <v>27</v>
      </c>
      <c r="I220" s="331">
        <v>19.350000000000001</v>
      </c>
      <c r="J220" s="12">
        <f>E220*I220</f>
        <v>0</v>
      </c>
    </row>
    <row r="221" spans="1:10" hidden="1" x14ac:dyDescent="0.35">
      <c r="A221" s="103"/>
      <c r="B221" s="12" t="s">
        <v>10</v>
      </c>
      <c r="C221" s="10" t="s">
        <v>365</v>
      </c>
      <c r="D221" s="152"/>
      <c r="E221" s="170"/>
      <c r="F221" s="95"/>
      <c r="G221" s="153" t="str">
        <f t="shared" si="14"/>
        <v/>
      </c>
      <c r="H221" s="10" t="s">
        <v>27</v>
      </c>
      <c r="I221" s="331">
        <v>19.809999999999999</v>
      </c>
      <c r="J221" s="12">
        <f>E221*I221</f>
        <v>0</v>
      </c>
    </row>
    <row r="222" spans="1:10" ht="15.5" x14ac:dyDescent="0.35">
      <c r="A222" s="108" t="s">
        <v>366</v>
      </c>
      <c r="B222" s="108"/>
      <c r="C222" s="108"/>
      <c r="D222" s="223"/>
      <c r="E222" s="169"/>
      <c r="F222" s="109"/>
      <c r="G222" s="165" t="str">
        <f t="shared" si="14"/>
        <v/>
      </c>
      <c r="H222" s="108"/>
      <c r="I222" s="106" t="s">
        <v>18</v>
      </c>
      <c r="J222" s="107">
        <f>J223</f>
        <v>0</v>
      </c>
    </row>
    <row r="223" spans="1:10" x14ac:dyDescent="0.35">
      <c r="A223" s="103"/>
      <c r="B223" s="12" t="s">
        <v>28</v>
      </c>
      <c r="C223" s="10" t="s">
        <v>29</v>
      </c>
      <c r="D223" s="152">
        <v>1</v>
      </c>
      <c r="E223" s="170"/>
      <c r="F223" s="150"/>
      <c r="G223" s="153" t="str">
        <f t="shared" si="14"/>
        <v/>
      </c>
      <c r="H223" s="10" t="s">
        <v>54</v>
      </c>
      <c r="I223" s="331">
        <v>104</v>
      </c>
      <c r="J223" s="12">
        <f>I223*E223</f>
        <v>0</v>
      </c>
    </row>
    <row r="224" spans="1:10" ht="15.5" x14ac:dyDescent="0.35">
      <c r="A224" s="108" t="s">
        <v>367</v>
      </c>
      <c r="B224" s="108"/>
      <c r="C224" s="108"/>
      <c r="D224" s="223"/>
      <c r="E224" s="169"/>
      <c r="F224" s="109"/>
      <c r="G224" s="165" t="str">
        <f t="shared" ref="G224:G257" si="19">IF(E224="","",IF(D224-E224&gt;0,D224-E224,""))</f>
        <v/>
      </c>
      <c r="H224" s="108"/>
      <c r="I224" s="106" t="s">
        <v>18</v>
      </c>
      <c r="J224" s="115">
        <f>SUM(J225:J244)</f>
        <v>428.55</v>
      </c>
    </row>
    <row r="225" spans="1:10" x14ac:dyDescent="0.35">
      <c r="A225" s="103"/>
      <c r="B225" s="12" t="s">
        <v>9</v>
      </c>
      <c r="C225" s="10" t="s">
        <v>423</v>
      </c>
      <c r="D225" s="152"/>
      <c r="E225" s="170">
        <v>1</v>
      </c>
      <c r="F225" s="95"/>
      <c r="G225" s="153" t="str">
        <f t="shared" si="19"/>
        <v/>
      </c>
      <c r="H225" s="10" t="s">
        <v>20</v>
      </c>
      <c r="I225" s="331">
        <v>78</v>
      </c>
      <c r="J225" s="50">
        <f t="shared" ref="J225:J244" si="20">E225*I225</f>
        <v>78</v>
      </c>
    </row>
    <row r="226" spans="1:10" x14ac:dyDescent="0.35">
      <c r="A226" s="103"/>
      <c r="B226" s="12" t="s">
        <v>9</v>
      </c>
      <c r="C226" s="10" t="s">
        <v>424</v>
      </c>
      <c r="D226" s="152"/>
      <c r="E226" s="170"/>
      <c r="F226" s="95"/>
      <c r="G226" s="153" t="str">
        <f t="shared" si="19"/>
        <v/>
      </c>
      <c r="H226" s="10" t="s">
        <v>61</v>
      </c>
      <c r="I226" s="340">
        <v>107.12</v>
      </c>
      <c r="J226" s="50">
        <f t="shared" si="20"/>
        <v>0</v>
      </c>
    </row>
    <row r="227" spans="1:10" x14ac:dyDescent="0.35">
      <c r="A227" s="103"/>
      <c r="B227" s="12" t="s">
        <v>9</v>
      </c>
      <c r="C227" s="10" t="s">
        <v>369</v>
      </c>
      <c r="D227" s="152"/>
      <c r="E227" s="170"/>
      <c r="F227" s="95"/>
      <c r="G227" s="153" t="str">
        <f t="shared" si="19"/>
        <v/>
      </c>
      <c r="H227" s="10" t="s">
        <v>20</v>
      </c>
      <c r="I227" s="331">
        <v>0.04</v>
      </c>
      <c r="J227" s="50">
        <f t="shared" si="20"/>
        <v>0</v>
      </c>
    </row>
    <row r="228" spans="1:10" x14ac:dyDescent="0.35">
      <c r="A228" s="103"/>
      <c r="B228" s="12" t="s">
        <v>9</v>
      </c>
      <c r="C228" s="10" t="s">
        <v>370</v>
      </c>
      <c r="D228" s="152"/>
      <c r="E228" s="170"/>
      <c r="F228" s="95"/>
      <c r="G228" s="153" t="str">
        <f t="shared" si="19"/>
        <v/>
      </c>
      <c r="H228" s="10" t="s">
        <v>20</v>
      </c>
      <c r="I228" s="331">
        <v>7.0999999999999994E-2</v>
      </c>
      <c r="J228" s="50">
        <f t="shared" si="20"/>
        <v>0</v>
      </c>
    </row>
    <row r="229" spans="1:10" hidden="1" x14ac:dyDescent="0.35">
      <c r="A229" s="103"/>
      <c r="B229" s="12" t="s">
        <v>9</v>
      </c>
      <c r="C229" s="10" t="s">
        <v>411</v>
      </c>
      <c r="D229" s="152"/>
      <c r="E229" s="170"/>
      <c r="F229" s="95"/>
      <c r="G229" s="153"/>
      <c r="H229" s="10" t="s">
        <v>20</v>
      </c>
      <c r="I229" s="331">
        <v>1.97</v>
      </c>
      <c r="J229" s="50"/>
    </row>
    <row r="230" spans="1:10" hidden="1" x14ac:dyDescent="0.35">
      <c r="A230" s="103"/>
      <c r="B230" s="12" t="s">
        <v>9</v>
      </c>
      <c r="C230" s="10" t="s">
        <v>371</v>
      </c>
      <c r="D230" s="152"/>
      <c r="E230" s="170"/>
      <c r="F230" s="95"/>
      <c r="G230" s="153" t="str">
        <f t="shared" si="19"/>
        <v/>
      </c>
      <c r="H230" s="10" t="s">
        <v>61</v>
      </c>
      <c r="I230" s="331">
        <v>163.80000000000001</v>
      </c>
      <c r="J230" s="50">
        <f t="shared" si="20"/>
        <v>0</v>
      </c>
    </row>
    <row r="231" spans="1:10" hidden="1" x14ac:dyDescent="0.35">
      <c r="A231" s="103"/>
      <c r="B231" s="12" t="s">
        <v>9</v>
      </c>
      <c r="C231" s="10" t="s">
        <v>410</v>
      </c>
      <c r="D231" s="152"/>
      <c r="E231" s="170"/>
      <c r="F231" s="151"/>
      <c r="G231" s="153" t="str">
        <f t="shared" si="19"/>
        <v/>
      </c>
      <c r="H231" s="10" t="s">
        <v>61</v>
      </c>
      <c r="I231" s="331">
        <v>49.33</v>
      </c>
      <c r="J231" s="50">
        <f t="shared" si="20"/>
        <v>0</v>
      </c>
    </row>
    <row r="232" spans="1:10" hidden="1" x14ac:dyDescent="0.35">
      <c r="A232" s="103"/>
      <c r="B232" s="12" t="s">
        <v>9</v>
      </c>
      <c r="C232" s="10" t="s">
        <v>373</v>
      </c>
      <c r="D232" s="152"/>
      <c r="E232" s="170"/>
      <c r="F232" s="151"/>
      <c r="G232" s="153" t="str">
        <f t="shared" si="19"/>
        <v/>
      </c>
      <c r="H232" s="10" t="s">
        <v>61</v>
      </c>
      <c r="I232" s="331">
        <v>105.6</v>
      </c>
      <c r="J232" s="50">
        <f t="shared" si="20"/>
        <v>0</v>
      </c>
    </row>
    <row r="233" spans="1:10" hidden="1" x14ac:dyDescent="0.35">
      <c r="A233" s="103"/>
      <c r="B233" s="12" t="s">
        <v>9</v>
      </c>
      <c r="C233" s="10" t="s">
        <v>374</v>
      </c>
      <c r="D233" s="152"/>
      <c r="E233" s="170"/>
      <c r="F233" s="151"/>
      <c r="G233" s="153" t="str">
        <f t="shared" si="19"/>
        <v/>
      </c>
      <c r="H233" s="10" t="s">
        <v>61</v>
      </c>
      <c r="I233" s="331">
        <v>114.75</v>
      </c>
      <c r="J233" s="50">
        <f t="shared" si="20"/>
        <v>0</v>
      </c>
    </row>
    <row r="234" spans="1:10" hidden="1" x14ac:dyDescent="0.35">
      <c r="A234" s="103"/>
      <c r="B234" s="12" t="s">
        <v>9</v>
      </c>
      <c r="C234" s="10" t="s">
        <v>375</v>
      </c>
      <c r="D234" s="152"/>
      <c r="E234" s="170"/>
      <c r="F234" s="95"/>
      <c r="G234" s="153" t="str">
        <f t="shared" si="19"/>
        <v/>
      </c>
      <c r="H234" s="10" t="s">
        <v>61</v>
      </c>
      <c r="I234" s="331">
        <v>105.55</v>
      </c>
      <c r="J234" s="50">
        <f t="shared" si="20"/>
        <v>0</v>
      </c>
    </row>
    <row r="235" spans="1:10" x14ac:dyDescent="0.35">
      <c r="A235" s="103"/>
      <c r="B235" s="12" t="s">
        <v>9</v>
      </c>
      <c r="C235" s="10" t="s">
        <v>376</v>
      </c>
      <c r="D235" s="152">
        <v>1</v>
      </c>
      <c r="E235" s="170">
        <v>2</v>
      </c>
      <c r="F235" s="95"/>
      <c r="G235" s="153" t="str">
        <f t="shared" si="19"/>
        <v/>
      </c>
      <c r="H235" s="10" t="s">
        <v>61</v>
      </c>
      <c r="I235" s="331">
        <v>33.25</v>
      </c>
      <c r="J235" s="50">
        <f t="shared" si="20"/>
        <v>66.5</v>
      </c>
    </row>
    <row r="236" spans="1:10" hidden="1" x14ac:dyDescent="0.35">
      <c r="A236" s="103"/>
      <c r="B236" s="12" t="s">
        <v>9</v>
      </c>
      <c r="C236" s="10" t="s">
        <v>377</v>
      </c>
      <c r="D236" s="152"/>
      <c r="E236" s="170"/>
      <c r="F236" s="95"/>
      <c r="G236" s="153" t="str">
        <f t="shared" si="19"/>
        <v/>
      </c>
      <c r="H236" s="10" t="s">
        <v>20</v>
      </c>
      <c r="I236" s="331">
        <v>0.28999999999999998</v>
      </c>
      <c r="J236" s="50">
        <f t="shared" si="20"/>
        <v>0</v>
      </c>
    </row>
    <row r="237" spans="1:10" hidden="1" x14ac:dyDescent="0.35">
      <c r="A237" s="103"/>
      <c r="B237" s="12" t="s">
        <v>9</v>
      </c>
      <c r="C237" s="10" t="s">
        <v>378</v>
      </c>
      <c r="D237" s="152"/>
      <c r="E237" s="170"/>
      <c r="F237" s="95"/>
      <c r="G237" s="153" t="str">
        <f t="shared" si="19"/>
        <v/>
      </c>
      <c r="H237" s="10" t="s">
        <v>61</v>
      </c>
      <c r="I237" s="336">
        <v>37.85</v>
      </c>
      <c r="J237" s="50">
        <f t="shared" si="20"/>
        <v>0</v>
      </c>
    </row>
    <row r="238" spans="1:10" x14ac:dyDescent="0.35">
      <c r="A238" s="103"/>
      <c r="B238" s="12" t="s">
        <v>9</v>
      </c>
      <c r="C238" s="10" t="s">
        <v>425</v>
      </c>
      <c r="D238" s="152">
        <v>1</v>
      </c>
      <c r="E238" s="170">
        <v>1</v>
      </c>
      <c r="F238" s="95"/>
      <c r="G238" s="153" t="str">
        <f t="shared" si="19"/>
        <v/>
      </c>
      <c r="H238" s="10" t="s">
        <v>61</v>
      </c>
      <c r="I238" s="336">
        <v>111.47</v>
      </c>
      <c r="J238" s="50">
        <f t="shared" si="20"/>
        <v>111.47</v>
      </c>
    </row>
    <row r="239" spans="1:10" hidden="1" x14ac:dyDescent="0.35">
      <c r="A239" s="103"/>
      <c r="B239" s="12" t="s">
        <v>9</v>
      </c>
      <c r="C239" s="10" t="s">
        <v>379</v>
      </c>
      <c r="D239" s="152"/>
      <c r="E239" s="170"/>
      <c r="F239" s="95"/>
      <c r="G239" s="153" t="str">
        <f t="shared" si="19"/>
        <v/>
      </c>
      <c r="H239" s="10" t="s">
        <v>61</v>
      </c>
      <c r="I239" s="336">
        <v>174.97</v>
      </c>
      <c r="J239" s="50">
        <f t="shared" si="20"/>
        <v>0</v>
      </c>
    </row>
    <row r="240" spans="1:10" x14ac:dyDescent="0.35">
      <c r="A240" s="103"/>
      <c r="B240" s="12" t="s">
        <v>9</v>
      </c>
      <c r="C240" s="10" t="s">
        <v>380</v>
      </c>
      <c r="D240" s="152"/>
      <c r="E240" s="170"/>
      <c r="F240" s="95"/>
      <c r="G240" s="153" t="str">
        <f t="shared" si="19"/>
        <v/>
      </c>
      <c r="H240" s="10" t="s">
        <v>61</v>
      </c>
      <c r="I240" s="336">
        <v>44.93</v>
      </c>
      <c r="J240" s="50">
        <f t="shared" si="20"/>
        <v>0</v>
      </c>
    </row>
    <row r="241" spans="1:10" x14ac:dyDescent="0.35">
      <c r="A241" s="103"/>
      <c r="B241" s="12" t="s">
        <v>9</v>
      </c>
      <c r="C241" s="10" t="s">
        <v>426</v>
      </c>
      <c r="D241" s="152">
        <v>2</v>
      </c>
      <c r="E241" s="170">
        <v>2</v>
      </c>
      <c r="F241" s="95"/>
      <c r="G241" s="153" t="str">
        <f t="shared" si="19"/>
        <v/>
      </c>
      <c r="H241" s="10" t="s">
        <v>20</v>
      </c>
      <c r="I241" s="336">
        <v>29.2</v>
      </c>
      <c r="J241" s="50">
        <f t="shared" si="20"/>
        <v>58.4</v>
      </c>
    </row>
    <row r="242" spans="1:10" x14ac:dyDescent="0.35">
      <c r="A242" s="103"/>
      <c r="B242" s="12" t="s">
        <v>9</v>
      </c>
      <c r="C242" s="10" t="s">
        <v>427</v>
      </c>
      <c r="D242" s="152">
        <v>2</v>
      </c>
      <c r="E242" s="170">
        <v>6</v>
      </c>
      <c r="F242" s="95"/>
      <c r="G242" s="153" t="str">
        <f t="shared" si="19"/>
        <v/>
      </c>
      <c r="H242" s="10" t="s">
        <v>20</v>
      </c>
      <c r="I242" s="336">
        <v>19.03</v>
      </c>
      <c r="J242" s="50">
        <f t="shared" si="20"/>
        <v>114.18</v>
      </c>
    </row>
    <row r="243" spans="1:10" x14ac:dyDescent="0.35">
      <c r="A243" s="103"/>
      <c r="B243" s="12" t="s">
        <v>9</v>
      </c>
      <c r="C243" s="10" t="s">
        <v>428</v>
      </c>
      <c r="D243" s="152"/>
      <c r="E243" s="170"/>
      <c r="F243" s="95"/>
      <c r="G243" s="153" t="str">
        <f t="shared" si="19"/>
        <v/>
      </c>
      <c r="H243" s="10" t="s">
        <v>20</v>
      </c>
      <c r="I243" s="336">
        <v>8.4600000000000009</v>
      </c>
      <c r="J243" s="50">
        <f t="shared" si="20"/>
        <v>0</v>
      </c>
    </row>
    <row r="244" spans="1:10" hidden="1" x14ac:dyDescent="0.35">
      <c r="A244" s="103"/>
      <c r="B244" s="12" t="s">
        <v>9</v>
      </c>
      <c r="C244" s="10" t="s">
        <v>381</v>
      </c>
      <c r="D244" s="152"/>
      <c r="E244" s="170"/>
      <c r="F244" s="95"/>
      <c r="G244" s="153" t="str">
        <f t="shared" si="19"/>
        <v/>
      </c>
      <c r="H244" s="10" t="s">
        <v>20</v>
      </c>
      <c r="I244" s="336">
        <v>0.02</v>
      </c>
      <c r="J244" s="50">
        <f t="shared" si="20"/>
        <v>0</v>
      </c>
    </row>
    <row r="245" spans="1:10" ht="15.5" x14ac:dyDescent="0.35">
      <c r="A245" s="108" t="s">
        <v>382</v>
      </c>
      <c r="B245" s="108"/>
      <c r="C245" s="108"/>
      <c r="D245" s="223"/>
      <c r="E245" s="169"/>
      <c r="F245" s="109"/>
      <c r="G245" s="165" t="str">
        <f t="shared" si="19"/>
        <v/>
      </c>
      <c r="H245" s="108"/>
      <c r="I245" s="106" t="s">
        <v>18</v>
      </c>
      <c r="J245" s="107">
        <f>SUM(J246:J256)</f>
        <v>238.97000000000003</v>
      </c>
    </row>
    <row r="246" spans="1:10" x14ac:dyDescent="0.35">
      <c r="A246" s="103"/>
      <c r="B246" s="12" t="s">
        <v>31</v>
      </c>
      <c r="C246" s="10" t="s">
        <v>383</v>
      </c>
      <c r="D246" s="152"/>
      <c r="E246" s="170"/>
      <c r="F246" s="95"/>
      <c r="G246" s="153" t="str">
        <f t="shared" si="19"/>
        <v/>
      </c>
      <c r="H246" s="10" t="s">
        <v>20</v>
      </c>
      <c r="I246" s="331">
        <v>5.5</v>
      </c>
      <c r="J246" s="12">
        <f t="shared" ref="J246:J256" si="21">E246*I246</f>
        <v>0</v>
      </c>
    </row>
    <row r="247" spans="1:10" x14ac:dyDescent="0.35">
      <c r="A247" s="103"/>
      <c r="B247" s="12" t="s">
        <v>31</v>
      </c>
      <c r="C247" s="10" t="s">
        <v>39</v>
      </c>
      <c r="D247" s="152">
        <v>2</v>
      </c>
      <c r="E247" s="170">
        <v>6</v>
      </c>
      <c r="F247" s="95"/>
      <c r="G247" s="153" t="str">
        <f t="shared" si="19"/>
        <v/>
      </c>
      <c r="H247" s="10" t="s">
        <v>20</v>
      </c>
      <c r="I247" s="331">
        <v>4.55</v>
      </c>
      <c r="J247" s="12">
        <f t="shared" si="21"/>
        <v>27.299999999999997</v>
      </c>
    </row>
    <row r="248" spans="1:10" x14ac:dyDescent="0.35">
      <c r="A248" s="103"/>
      <c r="B248" s="12" t="s">
        <v>31</v>
      </c>
      <c r="C248" s="10" t="s">
        <v>422</v>
      </c>
      <c r="D248" s="152">
        <v>2</v>
      </c>
      <c r="E248" s="170">
        <v>11</v>
      </c>
      <c r="F248" s="95"/>
      <c r="G248" s="153" t="str">
        <f t="shared" si="19"/>
        <v/>
      </c>
      <c r="H248" s="10" t="s">
        <v>20</v>
      </c>
      <c r="I248" s="331">
        <v>3.7</v>
      </c>
      <c r="J248" s="12">
        <f t="shared" si="21"/>
        <v>40.700000000000003</v>
      </c>
    </row>
    <row r="249" spans="1:10" x14ac:dyDescent="0.35">
      <c r="A249" s="103"/>
      <c r="B249" s="12" t="s">
        <v>31</v>
      </c>
      <c r="C249" s="10" t="s">
        <v>67</v>
      </c>
      <c r="D249" s="152">
        <v>1</v>
      </c>
      <c r="E249" s="170">
        <v>4</v>
      </c>
      <c r="F249" s="95"/>
      <c r="G249" s="153" t="str">
        <f t="shared" si="19"/>
        <v/>
      </c>
      <c r="H249" s="10" t="s">
        <v>20</v>
      </c>
      <c r="I249" s="331">
        <v>15.56</v>
      </c>
      <c r="J249" s="12">
        <f t="shared" si="21"/>
        <v>62.24</v>
      </c>
    </row>
    <row r="250" spans="1:10" hidden="1" x14ac:dyDescent="0.35">
      <c r="A250" s="103"/>
      <c r="B250" s="12" t="s">
        <v>31</v>
      </c>
      <c r="C250" s="10" t="s">
        <v>384</v>
      </c>
      <c r="D250" s="152"/>
      <c r="E250" s="170"/>
      <c r="F250" s="95"/>
      <c r="G250" s="153" t="str">
        <f t="shared" si="19"/>
        <v/>
      </c>
      <c r="H250" s="10" t="s">
        <v>20</v>
      </c>
      <c r="I250" s="331">
        <v>0.8</v>
      </c>
      <c r="J250" s="12">
        <f t="shared" si="21"/>
        <v>0</v>
      </c>
    </row>
    <row r="251" spans="1:10" hidden="1" x14ac:dyDescent="0.35">
      <c r="A251" s="103"/>
      <c r="B251" s="12" t="s">
        <v>31</v>
      </c>
      <c r="C251" s="10" t="s">
        <v>385</v>
      </c>
      <c r="D251" s="152"/>
      <c r="E251" s="170"/>
      <c r="F251" s="95"/>
      <c r="G251" s="153" t="str">
        <f t="shared" si="19"/>
        <v/>
      </c>
      <c r="H251" s="10" t="s">
        <v>20</v>
      </c>
      <c r="I251" s="331">
        <v>1.83</v>
      </c>
      <c r="J251" s="12">
        <f t="shared" si="21"/>
        <v>0</v>
      </c>
    </row>
    <row r="252" spans="1:10" x14ac:dyDescent="0.35">
      <c r="A252" s="103"/>
      <c r="B252" s="12" t="s">
        <v>31</v>
      </c>
      <c r="C252" s="10" t="s">
        <v>386</v>
      </c>
      <c r="D252" s="152">
        <v>2</v>
      </c>
      <c r="E252" s="170">
        <v>22</v>
      </c>
      <c r="F252" s="95"/>
      <c r="G252" s="153" t="str">
        <f t="shared" si="19"/>
        <v/>
      </c>
      <c r="H252" s="10" t="s">
        <v>20</v>
      </c>
      <c r="I252" s="331">
        <v>2.65</v>
      </c>
      <c r="J252" s="12">
        <f t="shared" si="21"/>
        <v>58.3</v>
      </c>
    </row>
    <row r="253" spans="1:10" x14ac:dyDescent="0.35">
      <c r="A253" s="103"/>
      <c r="B253" s="12" t="s">
        <v>31</v>
      </c>
      <c r="C253" s="10" t="s">
        <v>65</v>
      </c>
      <c r="D253" s="152">
        <v>1</v>
      </c>
      <c r="E253" s="170"/>
      <c r="F253" s="95"/>
      <c r="G253" s="153" t="str">
        <f t="shared" si="19"/>
        <v/>
      </c>
      <c r="H253" s="10" t="s">
        <v>20</v>
      </c>
      <c r="I253" s="331">
        <v>13.43</v>
      </c>
      <c r="J253" s="12">
        <f t="shared" si="21"/>
        <v>0</v>
      </c>
    </row>
    <row r="254" spans="1:10" hidden="1" x14ac:dyDescent="0.35">
      <c r="A254" s="103"/>
      <c r="B254" s="12" t="s">
        <v>31</v>
      </c>
      <c r="C254" s="10" t="s">
        <v>66</v>
      </c>
      <c r="D254" s="152"/>
      <c r="E254" s="170"/>
      <c r="F254" s="95"/>
      <c r="G254" s="153" t="str">
        <f t="shared" si="19"/>
        <v/>
      </c>
      <c r="H254" s="10" t="s">
        <v>20</v>
      </c>
      <c r="I254" s="331">
        <v>75.38</v>
      </c>
      <c r="J254" s="12">
        <f t="shared" si="21"/>
        <v>0</v>
      </c>
    </row>
    <row r="255" spans="1:10" x14ac:dyDescent="0.35">
      <c r="A255" s="103"/>
      <c r="B255" s="12" t="s">
        <v>31</v>
      </c>
      <c r="C255" s="10" t="s">
        <v>412</v>
      </c>
      <c r="D255" s="152">
        <v>1</v>
      </c>
      <c r="E255" s="170">
        <v>1</v>
      </c>
      <c r="F255" s="95"/>
      <c r="G255" s="153" t="str">
        <f t="shared" si="19"/>
        <v/>
      </c>
      <c r="H255" s="10" t="s">
        <v>20</v>
      </c>
      <c r="I255" s="331">
        <v>8.43</v>
      </c>
      <c r="J255" s="12">
        <f t="shared" si="21"/>
        <v>8.43</v>
      </c>
    </row>
    <row r="256" spans="1:10" x14ac:dyDescent="0.35">
      <c r="A256" s="103"/>
      <c r="B256" s="12" t="s">
        <v>31</v>
      </c>
      <c r="C256" s="10" t="s">
        <v>69</v>
      </c>
      <c r="D256" s="152">
        <v>1</v>
      </c>
      <c r="E256" s="170">
        <v>12</v>
      </c>
      <c r="F256" s="95"/>
      <c r="G256" s="153" t="str">
        <f t="shared" si="19"/>
        <v/>
      </c>
      <c r="H256" s="10" t="s">
        <v>63</v>
      </c>
      <c r="I256" s="331">
        <v>3.5</v>
      </c>
      <c r="J256" s="12">
        <f t="shared" si="21"/>
        <v>42</v>
      </c>
    </row>
    <row r="257" spans="1:10" ht="15.5" x14ac:dyDescent="0.35">
      <c r="A257" s="108" t="s">
        <v>57</v>
      </c>
      <c r="B257" s="108"/>
      <c r="C257" s="108"/>
      <c r="D257" s="231"/>
      <c r="E257" s="169"/>
      <c r="F257" s="109"/>
      <c r="G257" s="165" t="str">
        <f t="shared" si="19"/>
        <v/>
      </c>
      <c r="H257" s="108"/>
      <c r="I257" s="106" t="s">
        <v>18</v>
      </c>
      <c r="J257" s="107">
        <f>SUM(J258:J259)</f>
        <v>0</v>
      </c>
    </row>
    <row r="258" spans="1:10" hidden="1" x14ac:dyDescent="0.35">
      <c r="A258" s="103"/>
      <c r="B258" s="12" t="s">
        <v>56</v>
      </c>
      <c r="C258" s="10" t="s">
        <v>58</v>
      </c>
      <c r="D258" s="94"/>
      <c r="E258" s="170"/>
      <c r="F258" s="94"/>
      <c r="G258" s="94" t="str">
        <f t="shared" ref="G258:G259" si="22">IF(D258-E258&gt;0,D258-E258,"")</f>
        <v/>
      </c>
      <c r="H258" s="10" t="s">
        <v>20</v>
      </c>
      <c r="I258" s="331">
        <v>54.05</v>
      </c>
      <c r="J258" s="12">
        <f>E258*I258</f>
        <v>0</v>
      </c>
    </row>
    <row r="259" spans="1:10" hidden="1" x14ac:dyDescent="0.35">
      <c r="A259" s="103"/>
      <c r="B259" s="12" t="s">
        <v>56</v>
      </c>
      <c r="C259" s="10" t="s">
        <v>388</v>
      </c>
      <c r="D259" s="94"/>
      <c r="E259" s="170"/>
      <c r="F259" s="94"/>
      <c r="G259" s="94" t="str">
        <f t="shared" si="22"/>
        <v/>
      </c>
      <c r="H259" s="10" t="s">
        <v>20</v>
      </c>
      <c r="I259" s="331">
        <v>0</v>
      </c>
      <c r="J259" s="12">
        <f>E259*I259</f>
        <v>0</v>
      </c>
    </row>
  </sheetData>
  <mergeCells count="2">
    <mergeCell ref="B1:C1"/>
    <mergeCell ref="B2:C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0CCA7-50C1-464E-89CF-B4DF7F93604B}">
  <sheetPr codeName="Feuil8">
    <tabColor theme="8" tint="0.39997558519241921"/>
    <pageSetUpPr fitToPage="1"/>
  </sheetPr>
  <dimension ref="A1:N259"/>
  <sheetViews>
    <sheetView topLeftCell="A222" zoomScaleNormal="100" workbookViewId="0">
      <selection activeCell="J209" sqref="J209"/>
    </sheetView>
  </sheetViews>
  <sheetFormatPr baseColWidth="10" defaultColWidth="8.453125" defaultRowHeight="14.5" x14ac:dyDescent="0.35"/>
  <cols>
    <col min="1" max="1" width="2.54296875" customWidth="1"/>
    <col min="2" max="2" width="32.26953125" customWidth="1"/>
    <col min="3" max="3" width="44.54296875" bestFit="1" customWidth="1"/>
    <col min="4" max="4" width="19.7265625" bestFit="1" customWidth="1"/>
    <col min="5" max="5" width="18.81640625" style="34" bestFit="1" customWidth="1"/>
    <col min="6" max="6" width="18.26953125" hidden="1" customWidth="1"/>
    <col min="7" max="7" width="14" bestFit="1" customWidth="1"/>
    <col min="8" max="8" width="6.81640625" bestFit="1" customWidth="1"/>
    <col min="9" max="9" width="8.453125" style="86" bestFit="1" customWidth="1"/>
    <col min="10" max="10" width="7.1796875" customWidth="1"/>
  </cols>
  <sheetData>
    <row r="1" spans="2:7" ht="15" thickBot="1" x14ac:dyDescent="0.4">
      <c r="B1" s="321" t="s">
        <v>198</v>
      </c>
      <c r="C1" s="322"/>
      <c r="F1" s="89"/>
      <c r="G1" s="89"/>
    </row>
    <row r="2" spans="2:7" ht="15" thickBot="1" x14ac:dyDescent="0.4">
      <c r="B2" s="319"/>
      <c r="C2" s="320"/>
      <c r="F2" s="90"/>
      <c r="G2" s="90"/>
    </row>
    <row r="3" spans="2:7" x14ac:dyDescent="0.35">
      <c r="B3" s="75"/>
      <c r="C3" s="75"/>
      <c r="F3" s="75"/>
      <c r="G3" s="75"/>
    </row>
    <row r="4" spans="2:7" ht="15.5" x14ac:dyDescent="0.35">
      <c r="B4" s="70" t="s">
        <v>0</v>
      </c>
      <c r="C4" s="70" t="s">
        <v>1</v>
      </c>
      <c r="F4" s="91"/>
      <c r="G4" s="91"/>
    </row>
    <row r="5" spans="2:7" x14ac:dyDescent="0.35">
      <c r="B5" s="71" t="s">
        <v>2</v>
      </c>
      <c r="C5" s="72">
        <f>J23</f>
        <v>4615.25</v>
      </c>
      <c r="F5" s="92"/>
      <c r="G5" s="92"/>
    </row>
    <row r="6" spans="2:7" x14ac:dyDescent="0.35">
      <c r="B6" s="71" t="s">
        <v>7</v>
      </c>
      <c r="C6" s="72">
        <f>J4</f>
        <v>0</v>
      </c>
      <c r="F6" s="92"/>
      <c r="G6" s="92"/>
    </row>
    <row r="7" spans="2:7" x14ac:dyDescent="0.35">
      <c r="B7" s="71" t="s">
        <v>13</v>
      </c>
      <c r="C7" s="72">
        <f>J50</f>
        <v>79</v>
      </c>
      <c r="F7" s="92"/>
      <c r="G7" s="92"/>
    </row>
    <row r="8" spans="2:7" x14ac:dyDescent="0.35">
      <c r="B8" s="71" t="s">
        <v>3</v>
      </c>
      <c r="C8" s="72">
        <f>J78</f>
        <v>0</v>
      </c>
      <c r="F8" s="92"/>
      <c r="G8" s="92"/>
    </row>
    <row r="9" spans="2:7" x14ac:dyDescent="0.35">
      <c r="B9" s="71" t="s">
        <v>4</v>
      </c>
      <c r="C9" s="72">
        <f>J122</f>
        <v>3584.54</v>
      </c>
      <c r="F9" s="92"/>
      <c r="G9" s="92"/>
    </row>
    <row r="10" spans="2:7" x14ac:dyDescent="0.35">
      <c r="B10" s="71" t="s">
        <v>199</v>
      </c>
      <c r="C10" s="72">
        <f>J176</f>
        <v>0</v>
      </c>
      <c r="F10" s="92"/>
      <c r="G10" s="92"/>
    </row>
    <row r="11" spans="2:7" x14ac:dyDescent="0.35">
      <c r="B11" s="71" t="s">
        <v>200</v>
      </c>
      <c r="C11" s="72">
        <f>J187</f>
        <v>76.8</v>
      </c>
      <c r="F11" s="92"/>
      <c r="G11" s="92"/>
    </row>
    <row r="12" spans="2:7" x14ac:dyDescent="0.35">
      <c r="B12" s="71" t="s">
        <v>201</v>
      </c>
      <c r="C12" s="72">
        <f>J193</f>
        <v>0</v>
      </c>
      <c r="F12" s="92"/>
      <c r="G12" s="92"/>
    </row>
    <row r="13" spans="2:7" x14ac:dyDescent="0.35">
      <c r="B13" s="71" t="s">
        <v>202</v>
      </c>
      <c r="C13" s="72">
        <f>J195</f>
        <v>236.57</v>
      </c>
      <c r="F13" s="92"/>
      <c r="G13" s="92"/>
    </row>
    <row r="14" spans="2:7" x14ac:dyDescent="0.35">
      <c r="B14" s="71" t="s">
        <v>203</v>
      </c>
      <c r="C14" s="72">
        <f>J208</f>
        <v>2160.4700000000003</v>
      </c>
      <c r="F14" s="92"/>
      <c r="G14" s="92"/>
    </row>
    <row r="15" spans="2:7" x14ac:dyDescent="0.35">
      <c r="B15" s="71" t="s">
        <v>12</v>
      </c>
      <c r="C15" s="72">
        <f>J214</f>
        <v>0</v>
      </c>
      <c r="F15" s="92"/>
      <c r="G15" s="92"/>
    </row>
    <row r="16" spans="2:7" x14ac:dyDescent="0.35">
      <c r="B16" s="71" t="s">
        <v>204</v>
      </c>
      <c r="C16" s="72">
        <f>J222</f>
        <v>208</v>
      </c>
      <c r="F16" s="92"/>
      <c r="G16" s="92"/>
    </row>
    <row r="17" spans="1:11" x14ac:dyDescent="0.35">
      <c r="B17" s="71" t="s">
        <v>9</v>
      </c>
      <c r="C17" s="72">
        <f>J224</f>
        <v>521.92000000000007</v>
      </c>
      <c r="F17" s="92"/>
      <c r="G17" s="92"/>
    </row>
    <row r="18" spans="1:11" x14ac:dyDescent="0.35">
      <c r="B18" s="71" t="s">
        <v>205</v>
      </c>
      <c r="C18" s="72">
        <f>J245</f>
        <v>226.24</v>
      </c>
      <c r="F18" s="92"/>
      <c r="G18" s="92"/>
    </row>
    <row r="19" spans="1:11" x14ac:dyDescent="0.35">
      <c r="B19" s="71" t="s">
        <v>56</v>
      </c>
      <c r="C19" s="72">
        <f>J257</f>
        <v>0</v>
      </c>
      <c r="F19" s="92"/>
      <c r="G19" s="92"/>
    </row>
    <row r="20" spans="1:11" x14ac:dyDescent="0.35">
      <c r="B20" s="73" t="s">
        <v>14</v>
      </c>
      <c r="C20" s="74">
        <f>C5+C6+C7+C8+C9+C10+C11+C12+C13+C14+C15+C16+C17+C18+C19</f>
        <v>11708.79</v>
      </c>
      <c r="F20" s="93"/>
      <c r="G20" s="93"/>
    </row>
    <row r="21" spans="1:11" ht="18.75" customHeight="1" x14ac:dyDescent="0.45">
      <c r="A21" s="76" t="s">
        <v>207</v>
      </c>
      <c r="B21" s="76"/>
      <c r="C21" s="76"/>
      <c r="D21" s="76"/>
      <c r="E21" s="167"/>
      <c r="F21" s="76"/>
      <c r="G21" s="76"/>
      <c r="H21" s="76"/>
      <c r="I21" s="262"/>
      <c r="J21" s="76"/>
    </row>
    <row r="22" spans="1:11" ht="14.25" customHeight="1" x14ac:dyDescent="0.35">
      <c r="A22" s="129"/>
      <c r="B22" s="129" t="s">
        <v>15</v>
      </c>
      <c r="C22" s="129" t="s">
        <v>16</v>
      </c>
      <c r="D22" s="130" t="s">
        <v>398</v>
      </c>
      <c r="E22" s="168" t="s">
        <v>401</v>
      </c>
      <c r="F22" s="130" t="s">
        <v>399</v>
      </c>
      <c r="G22" s="164" t="s">
        <v>400</v>
      </c>
      <c r="H22" s="132" t="s">
        <v>406</v>
      </c>
      <c r="I22" s="341" t="s">
        <v>45</v>
      </c>
      <c r="J22" s="132" t="s">
        <v>402</v>
      </c>
    </row>
    <row r="23" spans="1:11" s="6" customFormat="1" ht="15.5" x14ac:dyDescent="0.35">
      <c r="A23" s="108" t="s">
        <v>208</v>
      </c>
      <c r="B23" s="108"/>
      <c r="C23" s="108"/>
      <c r="D23" s="108"/>
      <c r="E23" s="169" t="s">
        <v>421</v>
      </c>
      <c r="F23" s="108"/>
      <c r="G23" s="108"/>
      <c r="H23" s="108"/>
      <c r="I23" s="110" t="s">
        <v>18</v>
      </c>
      <c r="J23" s="107">
        <f>SUM(J24:J40)</f>
        <v>4615.25</v>
      </c>
    </row>
    <row r="24" spans="1:11" x14ac:dyDescent="0.35">
      <c r="A24" s="103"/>
      <c r="B24" s="7" t="s">
        <v>2</v>
      </c>
      <c r="C24" s="14" t="s">
        <v>19</v>
      </c>
      <c r="D24" s="152">
        <v>2</v>
      </c>
      <c r="E24" s="170">
        <v>7</v>
      </c>
      <c r="F24" s="95"/>
      <c r="G24" s="153" t="str">
        <f>IF(E24="","",IF(D24-E24&gt;0,D24-E24,""))</f>
        <v/>
      </c>
      <c r="H24" s="10" t="s">
        <v>20</v>
      </c>
      <c r="I24" s="331">
        <v>55.95</v>
      </c>
      <c r="J24" s="12">
        <f t="shared" ref="J24:J40" si="0">E24*I24</f>
        <v>391.65000000000003</v>
      </c>
      <c r="K24" s="13"/>
    </row>
    <row r="25" spans="1:11" hidden="1" x14ac:dyDescent="0.35">
      <c r="A25" s="103"/>
      <c r="B25" s="7" t="s">
        <v>2</v>
      </c>
      <c r="C25" s="14" t="s">
        <v>209</v>
      </c>
      <c r="D25" s="152"/>
      <c r="E25" s="170"/>
      <c r="F25" s="95"/>
      <c r="G25" s="153" t="str">
        <f t="shared" ref="G25:G88" si="1">IF(E25="","",IF(D25-E25&gt;0,D25-E25,""))</f>
        <v/>
      </c>
      <c r="H25" s="10" t="s">
        <v>20</v>
      </c>
      <c r="I25" s="331">
        <v>173.1</v>
      </c>
      <c r="J25" s="12">
        <f t="shared" si="0"/>
        <v>0</v>
      </c>
      <c r="K25" s="13"/>
    </row>
    <row r="26" spans="1:11" x14ac:dyDescent="0.35">
      <c r="A26" s="103"/>
      <c r="B26" s="12" t="s">
        <v>2</v>
      </c>
      <c r="C26" s="10" t="s">
        <v>21</v>
      </c>
      <c r="D26" s="152">
        <v>20</v>
      </c>
      <c r="E26" s="170">
        <v>38</v>
      </c>
      <c r="F26" s="95"/>
      <c r="G26" s="153" t="str">
        <f t="shared" si="1"/>
        <v/>
      </c>
      <c r="H26" s="10" t="s">
        <v>20</v>
      </c>
      <c r="I26" s="331">
        <v>75.400000000000006</v>
      </c>
      <c r="J26" s="12">
        <f t="shared" si="0"/>
        <v>2865.2000000000003</v>
      </c>
      <c r="K26" s="13"/>
    </row>
    <row r="27" spans="1:11" ht="14.5" customHeight="1" x14ac:dyDescent="0.35">
      <c r="A27" s="103"/>
      <c r="B27" s="12" t="s">
        <v>2</v>
      </c>
      <c r="C27" s="10" t="s">
        <v>210</v>
      </c>
      <c r="D27" s="152">
        <v>20</v>
      </c>
      <c r="E27" s="170">
        <v>16</v>
      </c>
      <c r="F27" s="95"/>
      <c r="G27" s="153">
        <f t="shared" si="1"/>
        <v>4</v>
      </c>
      <c r="H27" s="10" t="s">
        <v>20</v>
      </c>
      <c r="I27" s="331">
        <v>84.9</v>
      </c>
      <c r="J27" s="12">
        <f t="shared" si="0"/>
        <v>1358.4</v>
      </c>
      <c r="K27" s="13"/>
    </row>
    <row r="28" spans="1:11" ht="14.5" hidden="1" customHeight="1" x14ac:dyDescent="0.35">
      <c r="A28" s="103"/>
      <c r="B28" s="12" t="s">
        <v>2</v>
      </c>
      <c r="C28" s="10" t="s">
        <v>211</v>
      </c>
      <c r="D28" s="152"/>
      <c r="E28" s="170"/>
      <c r="F28" s="95"/>
      <c r="G28" s="153" t="str">
        <f t="shared" si="1"/>
        <v/>
      </c>
      <c r="H28" s="10" t="s">
        <v>20</v>
      </c>
      <c r="I28" s="331">
        <v>2.96</v>
      </c>
      <c r="J28" s="12">
        <f t="shared" si="0"/>
        <v>0</v>
      </c>
      <c r="K28" s="13"/>
    </row>
    <row r="29" spans="1:11" ht="14.5" hidden="1" customHeight="1" x14ac:dyDescent="0.35">
      <c r="A29" s="103"/>
      <c r="B29" s="12" t="s">
        <v>2</v>
      </c>
      <c r="C29" s="10" t="s">
        <v>212</v>
      </c>
      <c r="D29" s="152"/>
      <c r="E29" s="170"/>
      <c r="F29" s="95"/>
      <c r="G29" s="153" t="str">
        <f t="shared" si="1"/>
        <v/>
      </c>
      <c r="H29" s="10" t="s">
        <v>20</v>
      </c>
      <c r="I29" s="331">
        <v>2.96</v>
      </c>
      <c r="J29" s="12">
        <f t="shared" si="0"/>
        <v>0</v>
      </c>
      <c r="K29" s="13"/>
    </row>
    <row r="30" spans="1:11" ht="15.75" hidden="1" customHeight="1" x14ac:dyDescent="0.35">
      <c r="A30" s="103"/>
      <c r="B30" s="12" t="s">
        <v>2</v>
      </c>
      <c r="C30" s="10" t="s">
        <v>213</v>
      </c>
      <c r="D30" s="152"/>
      <c r="E30" s="170"/>
      <c r="F30" s="95"/>
      <c r="G30" s="153" t="str">
        <f t="shared" si="1"/>
        <v/>
      </c>
      <c r="H30" s="10" t="s">
        <v>20</v>
      </c>
      <c r="I30" s="331">
        <v>2.96</v>
      </c>
      <c r="J30" s="12">
        <f t="shared" si="0"/>
        <v>0</v>
      </c>
      <c r="K30" s="13"/>
    </row>
    <row r="31" spans="1:11" hidden="1" x14ac:dyDescent="0.35">
      <c r="A31" s="103"/>
      <c r="B31" s="7" t="s">
        <v>2</v>
      </c>
      <c r="C31" s="14" t="s">
        <v>22</v>
      </c>
      <c r="D31" s="152"/>
      <c r="E31" s="170"/>
      <c r="F31" s="95"/>
      <c r="G31" s="153" t="str">
        <f t="shared" si="1"/>
        <v/>
      </c>
      <c r="H31" s="10" t="s">
        <v>20</v>
      </c>
      <c r="I31" s="331">
        <v>107.2</v>
      </c>
      <c r="J31" s="12">
        <f t="shared" si="0"/>
        <v>0</v>
      </c>
      <c r="K31" s="13"/>
    </row>
    <row r="32" spans="1:11" ht="14.5" hidden="1" customHeight="1" x14ac:dyDescent="0.35">
      <c r="A32" s="103"/>
      <c r="B32" s="7" t="s">
        <v>2</v>
      </c>
      <c r="C32" s="14" t="s">
        <v>214</v>
      </c>
      <c r="D32" s="152"/>
      <c r="E32" s="170"/>
      <c r="F32" s="95"/>
      <c r="G32" s="153" t="str">
        <f t="shared" si="1"/>
        <v/>
      </c>
      <c r="H32" s="10" t="s">
        <v>20</v>
      </c>
      <c r="I32" s="331">
        <v>170.7</v>
      </c>
      <c r="J32" s="12">
        <f t="shared" si="0"/>
        <v>0</v>
      </c>
      <c r="K32" s="13"/>
    </row>
    <row r="33" spans="1:11" ht="14.5" hidden="1" customHeight="1" x14ac:dyDescent="0.35">
      <c r="A33" s="103"/>
      <c r="B33" s="12" t="s">
        <v>2</v>
      </c>
      <c r="C33" s="10" t="s">
        <v>215</v>
      </c>
      <c r="D33" s="152"/>
      <c r="E33" s="170"/>
      <c r="F33" s="95"/>
      <c r="G33" s="153" t="str">
        <f t="shared" si="1"/>
        <v/>
      </c>
      <c r="H33" s="10" t="s">
        <v>216</v>
      </c>
      <c r="I33" s="331">
        <v>3.77</v>
      </c>
      <c r="J33" s="12">
        <f t="shared" si="0"/>
        <v>0</v>
      </c>
      <c r="K33" s="13"/>
    </row>
    <row r="34" spans="1:11" s="6" customFormat="1" ht="15.65" hidden="1" customHeight="1" x14ac:dyDescent="0.35">
      <c r="A34" s="103"/>
      <c r="B34" s="12" t="s">
        <v>2</v>
      </c>
      <c r="C34" s="10" t="s">
        <v>217</v>
      </c>
      <c r="D34" s="152"/>
      <c r="E34" s="170"/>
      <c r="F34" s="95"/>
      <c r="G34" s="153" t="str">
        <f t="shared" si="1"/>
        <v/>
      </c>
      <c r="H34" s="10" t="s">
        <v>20</v>
      </c>
      <c r="I34" s="331">
        <v>2.56</v>
      </c>
      <c r="J34" s="12">
        <f t="shared" si="0"/>
        <v>0</v>
      </c>
    </row>
    <row r="35" spans="1:11" ht="14.5" hidden="1" customHeight="1" x14ac:dyDescent="0.35">
      <c r="A35" s="103"/>
      <c r="B35" s="12" t="s">
        <v>2</v>
      </c>
      <c r="C35" s="10" t="s">
        <v>218</v>
      </c>
      <c r="D35" s="152"/>
      <c r="E35" s="170"/>
      <c r="F35" s="95"/>
      <c r="G35" s="153" t="str">
        <f t="shared" si="1"/>
        <v/>
      </c>
      <c r="H35" s="10" t="s">
        <v>20</v>
      </c>
      <c r="I35" s="331">
        <v>3.08</v>
      </c>
      <c r="J35" s="12">
        <f t="shared" si="0"/>
        <v>0</v>
      </c>
      <c r="K35" s="13"/>
    </row>
    <row r="36" spans="1:11" ht="14.5" hidden="1" customHeight="1" x14ac:dyDescent="0.35">
      <c r="A36" s="103"/>
      <c r="B36" s="12" t="s">
        <v>2</v>
      </c>
      <c r="C36" s="10" t="s">
        <v>219</v>
      </c>
      <c r="D36" s="152"/>
      <c r="E36" s="170"/>
      <c r="F36" s="95"/>
      <c r="G36" s="153" t="str">
        <f t="shared" si="1"/>
        <v/>
      </c>
      <c r="H36" s="10" t="s">
        <v>20</v>
      </c>
      <c r="I36" s="331">
        <v>2.56</v>
      </c>
      <c r="J36" s="12">
        <f t="shared" si="0"/>
        <v>0</v>
      </c>
      <c r="K36" s="13"/>
    </row>
    <row r="37" spans="1:11" hidden="1" x14ac:dyDescent="0.35">
      <c r="A37" s="103"/>
      <c r="B37" s="12" t="s">
        <v>2</v>
      </c>
      <c r="C37" s="10" t="s">
        <v>220</v>
      </c>
      <c r="D37" s="152"/>
      <c r="E37" s="170"/>
      <c r="F37" s="95"/>
      <c r="G37" s="153" t="str">
        <f t="shared" si="1"/>
        <v/>
      </c>
      <c r="H37" s="10" t="s">
        <v>20</v>
      </c>
      <c r="I37" s="331">
        <v>1.41</v>
      </c>
      <c r="J37" s="12">
        <f t="shared" si="0"/>
        <v>0</v>
      </c>
      <c r="K37" s="13"/>
    </row>
    <row r="38" spans="1:11" hidden="1" x14ac:dyDescent="0.35">
      <c r="A38" s="103"/>
      <c r="B38" s="12" t="s">
        <v>2</v>
      </c>
      <c r="C38" s="10" t="s">
        <v>221</v>
      </c>
      <c r="D38" s="152"/>
      <c r="E38" s="170"/>
      <c r="F38" s="95"/>
      <c r="G38" s="153" t="str">
        <f t="shared" si="1"/>
        <v/>
      </c>
      <c r="H38" s="10" t="s">
        <v>20</v>
      </c>
      <c r="I38" s="331">
        <v>1.73</v>
      </c>
      <c r="J38" s="12">
        <f t="shared" si="0"/>
        <v>0</v>
      </c>
      <c r="K38" s="13"/>
    </row>
    <row r="39" spans="1:11" hidden="1" x14ac:dyDescent="0.35">
      <c r="A39" s="103"/>
      <c r="B39" s="12" t="s">
        <v>2</v>
      </c>
      <c r="C39" s="10" t="s">
        <v>222</v>
      </c>
      <c r="D39" s="152"/>
      <c r="E39" s="170"/>
      <c r="F39" s="95"/>
      <c r="G39" s="153" t="str">
        <f t="shared" si="1"/>
        <v/>
      </c>
      <c r="H39" s="10" t="s">
        <v>20</v>
      </c>
      <c r="I39" s="331">
        <v>1.46</v>
      </c>
      <c r="J39" s="12">
        <f t="shared" si="0"/>
        <v>0</v>
      </c>
      <c r="K39" s="13"/>
    </row>
    <row r="40" spans="1:11" ht="14.5" hidden="1" customHeight="1" x14ac:dyDescent="0.35">
      <c r="A40" s="103"/>
      <c r="B40" s="12" t="s">
        <v>2</v>
      </c>
      <c r="C40" s="10" t="s">
        <v>223</v>
      </c>
      <c r="D40" s="222"/>
      <c r="E40" s="170"/>
      <c r="F40" s="141"/>
      <c r="G40" s="153" t="str">
        <f t="shared" si="1"/>
        <v/>
      </c>
      <c r="H40" s="10" t="s">
        <v>20</v>
      </c>
      <c r="I40" s="332">
        <v>3.45</v>
      </c>
      <c r="J40" s="12">
        <f t="shared" si="0"/>
        <v>0</v>
      </c>
      <c r="K40" s="13"/>
    </row>
    <row r="41" spans="1:11" s="6" customFormat="1" ht="15.65" customHeight="1" x14ac:dyDescent="0.35">
      <c r="A41" s="108" t="s">
        <v>119</v>
      </c>
      <c r="B41" s="108"/>
      <c r="C41" s="108"/>
      <c r="D41" s="223"/>
      <c r="E41" s="169"/>
      <c r="F41" s="109"/>
      <c r="G41" s="165" t="str">
        <f t="shared" si="1"/>
        <v/>
      </c>
      <c r="H41" s="108"/>
      <c r="I41" s="106" t="s">
        <v>18</v>
      </c>
      <c r="J41" s="107">
        <f>SUM(J42:J49)</f>
        <v>3570</v>
      </c>
    </row>
    <row r="42" spans="1:11" ht="14.5" customHeight="1" x14ac:dyDescent="0.35">
      <c r="A42" s="103"/>
      <c r="B42" s="12" t="s">
        <v>7</v>
      </c>
      <c r="C42" s="10" t="s">
        <v>224</v>
      </c>
      <c r="D42" s="152"/>
      <c r="E42" s="166">
        <f>E24</f>
        <v>7</v>
      </c>
      <c r="F42" s="95"/>
      <c r="G42" s="153" t="str">
        <f t="shared" si="1"/>
        <v/>
      </c>
      <c r="H42" s="10" t="s">
        <v>20</v>
      </c>
      <c r="I42" s="331">
        <v>100</v>
      </c>
      <c r="J42" s="12">
        <f t="shared" ref="J42:J49" si="2">E42*I42</f>
        <v>700</v>
      </c>
      <c r="K42" s="13"/>
    </row>
    <row r="43" spans="1:11" hidden="1" x14ac:dyDescent="0.35">
      <c r="A43" s="103"/>
      <c r="B43" s="12" t="s">
        <v>7</v>
      </c>
      <c r="C43" s="10" t="s">
        <v>225</v>
      </c>
      <c r="D43" s="152"/>
      <c r="E43" s="170"/>
      <c r="F43" s="95"/>
      <c r="G43" s="153" t="str">
        <f t="shared" si="1"/>
        <v/>
      </c>
      <c r="H43" s="10" t="s">
        <v>20</v>
      </c>
      <c r="I43" s="331">
        <v>12.2</v>
      </c>
      <c r="J43" s="12">
        <f t="shared" si="2"/>
        <v>0</v>
      </c>
      <c r="K43" s="13"/>
    </row>
    <row r="44" spans="1:11" ht="14.5" hidden="1" customHeight="1" x14ac:dyDescent="0.35">
      <c r="A44" s="103"/>
      <c r="B44" s="12" t="s">
        <v>7</v>
      </c>
      <c r="C44" s="10" t="s">
        <v>226</v>
      </c>
      <c r="D44" s="152"/>
      <c r="E44" s="170"/>
      <c r="F44" s="95"/>
      <c r="G44" s="153" t="str">
        <f t="shared" si="1"/>
        <v/>
      </c>
      <c r="H44" s="10" t="s">
        <v>20</v>
      </c>
      <c r="I44" s="331">
        <v>11</v>
      </c>
      <c r="J44" s="12">
        <f t="shared" si="2"/>
        <v>0</v>
      </c>
      <c r="K44" s="88"/>
    </row>
    <row r="45" spans="1:11" hidden="1" x14ac:dyDescent="0.35">
      <c r="A45" s="103"/>
      <c r="B45" s="12" t="s">
        <v>7</v>
      </c>
      <c r="C45" s="10" t="s">
        <v>227</v>
      </c>
      <c r="D45" s="152"/>
      <c r="E45" s="170"/>
      <c r="F45" s="95"/>
      <c r="G45" s="153" t="str">
        <f t="shared" si="1"/>
        <v/>
      </c>
      <c r="H45" s="10" t="s">
        <v>20</v>
      </c>
      <c r="I45" s="331">
        <v>5</v>
      </c>
      <c r="J45" s="12">
        <f t="shared" si="2"/>
        <v>0</v>
      </c>
      <c r="K45" s="13" t="s">
        <v>47</v>
      </c>
    </row>
    <row r="46" spans="1:11" x14ac:dyDescent="0.35">
      <c r="A46" s="103"/>
      <c r="B46" s="12" t="s">
        <v>7</v>
      </c>
      <c r="C46" s="10" t="s">
        <v>46</v>
      </c>
      <c r="D46" s="152"/>
      <c r="E46" s="170">
        <v>34</v>
      </c>
      <c r="F46" s="95"/>
      <c r="G46" s="153" t="str">
        <f t="shared" si="1"/>
        <v/>
      </c>
      <c r="H46" s="10" t="s">
        <v>20</v>
      </c>
      <c r="I46" s="331">
        <v>5</v>
      </c>
      <c r="J46" s="12">
        <f t="shared" si="2"/>
        <v>170</v>
      </c>
      <c r="K46" s="13"/>
    </row>
    <row r="47" spans="1:11" ht="14.5" hidden="1" customHeight="1" x14ac:dyDescent="0.35">
      <c r="A47" s="103"/>
      <c r="B47" s="12" t="s">
        <v>7</v>
      </c>
      <c r="C47" s="10" t="s">
        <v>228</v>
      </c>
      <c r="D47" s="152"/>
      <c r="E47" s="170"/>
      <c r="F47" s="95"/>
      <c r="G47" s="153" t="str">
        <f t="shared" si="1"/>
        <v/>
      </c>
      <c r="H47" s="10" t="s">
        <v>20</v>
      </c>
      <c r="I47" s="331">
        <v>11</v>
      </c>
      <c r="J47" s="12">
        <f t="shared" si="2"/>
        <v>0</v>
      </c>
      <c r="K47" s="13"/>
    </row>
    <row r="48" spans="1:11" ht="16.399999999999999" customHeight="1" x14ac:dyDescent="0.35">
      <c r="A48" s="103"/>
      <c r="B48" s="12" t="s">
        <v>7</v>
      </c>
      <c r="C48" s="10" t="s">
        <v>229</v>
      </c>
      <c r="D48" s="152"/>
      <c r="E48" s="166">
        <f>E27+E26</f>
        <v>54</v>
      </c>
      <c r="F48" s="95"/>
      <c r="G48" s="153" t="str">
        <f t="shared" si="1"/>
        <v/>
      </c>
      <c r="H48" s="10" t="s">
        <v>20</v>
      </c>
      <c r="I48" s="331">
        <v>50</v>
      </c>
      <c r="J48" s="12">
        <f t="shared" si="2"/>
        <v>2700</v>
      </c>
      <c r="K48" s="13"/>
    </row>
    <row r="49" spans="1:11" hidden="1" x14ac:dyDescent="0.35">
      <c r="A49" s="103"/>
      <c r="B49" s="12" t="s">
        <v>7</v>
      </c>
      <c r="C49" s="78" t="s">
        <v>206</v>
      </c>
      <c r="D49" s="224"/>
      <c r="E49" s="170"/>
      <c r="F49" s="142"/>
      <c r="G49" s="153" t="str">
        <f t="shared" si="1"/>
        <v/>
      </c>
      <c r="H49" s="10" t="s">
        <v>20</v>
      </c>
      <c r="I49" s="333">
        <v>5</v>
      </c>
      <c r="J49" s="12">
        <f t="shared" si="2"/>
        <v>0</v>
      </c>
      <c r="K49" s="13"/>
    </row>
    <row r="50" spans="1:11" ht="14.5" customHeight="1" x14ac:dyDescent="0.35">
      <c r="A50" s="103"/>
      <c r="B50" s="104" t="s">
        <v>230</v>
      </c>
      <c r="C50" s="105"/>
      <c r="D50" s="225"/>
      <c r="E50" s="171"/>
      <c r="F50" s="143"/>
      <c r="G50" s="165" t="str">
        <f t="shared" si="1"/>
        <v/>
      </c>
      <c r="H50" s="105"/>
      <c r="I50" s="106" t="s">
        <v>18</v>
      </c>
      <c r="J50" s="107">
        <f>SUM(J52:J77)</f>
        <v>79</v>
      </c>
      <c r="K50" s="13"/>
    </row>
    <row r="51" spans="1:11" ht="14.5" customHeight="1" x14ac:dyDescent="0.35">
      <c r="A51" s="111"/>
      <c r="B51" s="126" t="s">
        <v>231</v>
      </c>
      <c r="C51" s="127"/>
      <c r="D51" s="226"/>
      <c r="E51" s="172"/>
      <c r="F51" s="144"/>
      <c r="G51" s="165" t="str">
        <f t="shared" si="1"/>
        <v/>
      </c>
      <c r="H51" s="127"/>
      <c r="I51" s="239"/>
      <c r="J51" s="128"/>
      <c r="K51" s="13"/>
    </row>
    <row r="52" spans="1:11" ht="14.5" hidden="1" customHeight="1" x14ac:dyDescent="0.35">
      <c r="A52" s="103"/>
      <c r="B52" s="12" t="s">
        <v>13</v>
      </c>
      <c r="C52" s="10" t="s">
        <v>78</v>
      </c>
      <c r="D52" s="152"/>
      <c r="E52" s="170"/>
      <c r="F52" s="95"/>
      <c r="G52" s="153" t="str">
        <f t="shared" si="1"/>
        <v/>
      </c>
      <c r="H52" s="10" t="s">
        <v>20</v>
      </c>
      <c r="I52" s="331">
        <v>13</v>
      </c>
      <c r="J52" s="12">
        <f t="shared" ref="J52:J58" si="3">E52*I52</f>
        <v>0</v>
      </c>
      <c r="K52" s="13"/>
    </row>
    <row r="53" spans="1:11" hidden="1" x14ac:dyDescent="0.35">
      <c r="A53" s="103"/>
      <c r="B53" s="12" t="s">
        <v>13</v>
      </c>
      <c r="C53" s="10" t="s">
        <v>232</v>
      </c>
      <c r="D53" s="152"/>
      <c r="E53" s="170"/>
      <c r="F53" s="95"/>
      <c r="G53" s="153" t="str">
        <f t="shared" si="1"/>
        <v/>
      </c>
      <c r="H53" s="10" t="s">
        <v>20</v>
      </c>
      <c r="I53" s="331">
        <v>13</v>
      </c>
      <c r="J53" s="12">
        <f t="shared" si="3"/>
        <v>0</v>
      </c>
      <c r="K53" s="134"/>
    </row>
    <row r="54" spans="1:11" hidden="1" x14ac:dyDescent="0.35">
      <c r="A54" s="103"/>
      <c r="B54" s="12" t="s">
        <v>13</v>
      </c>
      <c r="C54" s="10" t="s">
        <v>233</v>
      </c>
      <c r="D54" s="152"/>
      <c r="E54" s="170"/>
      <c r="F54" s="95"/>
      <c r="G54" s="153" t="str">
        <f t="shared" si="1"/>
        <v/>
      </c>
      <c r="H54" s="10" t="s">
        <v>20</v>
      </c>
      <c r="I54" s="331">
        <v>8.9</v>
      </c>
      <c r="J54" s="12">
        <f t="shared" si="3"/>
        <v>0</v>
      </c>
      <c r="K54" s="13"/>
    </row>
    <row r="55" spans="1:11" x14ac:dyDescent="0.35">
      <c r="A55" s="103"/>
      <c r="B55" s="12" t="s">
        <v>13</v>
      </c>
      <c r="C55" s="10" t="s">
        <v>32</v>
      </c>
      <c r="D55" s="152">
        <v>6</v>
      </c>
      <c r="E55" s="170">
        <v>2</v>
      </c>
      <c r="F55" s="95"/>
      <c r="G55" s="153">
        <f t="shared" si="1"/>
        <v>4</v>
      </c>
      <c r="H55" s="10" t="s">
        <v>20</v>
      </c>
      <c r="I55" s="331">
        <v>8.35</v>
      </c>
      <c r="J55" s="12">
        <f t="shared" si="3"/>
        <v>16.7</v>
      </c>
      <c r="K55" s="13"/>
    </row>
    <row r="56" spans="1:11" s="6" customFormat="1" ht="15.65" customHeight="1" x14ac:dyDescent="0.35">
      <c r="A56" s="103"/>
      <c r="B56" s="12" t="s">
        <v>13</v>
      </c>
      <c r="C56" s="10" t="s">
        <v>33</v>
      </c>
      <c r="D56" s="152">
        <v>6</v>
      </c>
      <c r="E56" s="170">
        <v>7</v>
      </c>
      <c r="F56" s="95"/>
      <c r="G56" s="153" t="str">
        <f t="shared" si="1"/>
        <v/>
      </c>
      <c r="H56" s="10" t="s">
        <v>20</v>
      </c>
      <c r="I56" s="331">
        <v>8.9</v>
      </c>
      <c r="J56" s="12">
        <f t="shared" si="3"/>
        <v>62.300000000000004</v>
      </c>
    </row>
    <row r="57" spans="1:11" s="6" customFormat="1" ht="15.65" customHeight="1" x14ac:dyDescent="0.35">
      <c r="A57" s="103"/>
      <c r="B57" s="12" t="s">
        <v>13</v>
      </c>
      <c r="C57" s="10" t="s">
        <v>59</v>
      </c>
      <c r="D57" s="152">
        <v>6</v>
      </c>
      <c r="E57" s="170"/>
      <c r="F57" s="95"/>
      <c r="G57" s="153" t="str">
        <f t="shared" si="1"/>
        <v/>
      </c>
      <c r="H57" s="10" t="s">
        <v>20</v>
      </c>
      <c r="I57" s="331">
        <v>8.6999999999999993</v>
      </c>
      <c r="J57" s="12">
        <f t="shared" si="3"/>
        <v>0</v>
      </c>
    </row>
    <row r="58" spans="1:11" ht="14.5" hidden="1" customHeight="1" x14ac:dyDescent="0.35">
      <c r="A58" s="103"/>
      <c r="B58" s="12" t="s">
        <v>13</v>
      </c>
      <c r="C58" s="10" t="s">
        <v>234</v>
      </c>
      <c r="D58" s="152"/>
      <c r="E58" s="170"/>
      <c r="F58" s="95"/>
      <c r="G58" s="153" t="str">
        <f t="shared" si="1"/>
        <v/>
      </c>
      <c r="H58" s="10" t="s">
        <v>20</v>
      </c>
      <c r="I58" s="331">
        <v>12.15</v>
      </c>
      <c r="J58" s="12">
        <f t="shared" si="3"/>
        <v>0</v>
      </c>
      <c r="K58" s="13"/>
    </row>
    <row r="59" spans="1:11" ht="14.5" hidden="1" customHeight="1" x14ac:dyDescent="0.35">
      <c r="A59" s="103"/>
      <c r="B59" s="12" t="s">
        <v>13</v>
      </c>
      <c r="C59" s="10" t="s">
        <v>235</v>
      </c>
      <c r="D59" s="152"/>
      <c r="E59" s="170"/>
      <c r="F59" s="95"/>
      <c r="G59" s="153" t="str">
        <f t="shared" si="1"/>
        <v/>
      </c>
      <c r="H59" s="10" t="s">
        <v>20</v>
      </c>
      <c r="I59" s="331">
        <v>11.35</v>
      </c>
      <c r="J59" s="12">
        <f t="shared" ref="J59:J64" si="4">E59*I59</f>
        <v>0</v>
      </c>
      <c r="K59" s="13"/>
    </row>
    <row r="60" spans="1:11" s="6" customFormat="1" ht="15.65" hidden="1" customHeight="1" x14ac:dyDescent="0.35">
      <c r="A60" s="103"/>
      <c r="B60" s="12" t="s">
        <v>13</v>
      </c>
      <c r="C60" s="10" t="s">
        <v>236</v>
      </c>
      <c r="D60" s="152"/>
      <c r="E60" s="170"/>
      <c r="F60" s="95"/>
      <c r="G60" s="153" t="str">
        <f t="shared" si="1"/>
        <v/>
      </c>
      <c r="H60" s="10" t="s">
        <v>20</v>
      </c>
      <c r="I60" s="331">
        <v>14.65</v>
      </c>
      <c r="J60" s="12">
        <f t="shared" si="4"/>
        <v>0</v>
      </c>
    </row>
    <row r="61" spans="1:11" ht="14.5" hidden="1" customHeight="1" x14ac:dyDescent="0.35">
      <c r="A61" s="103"/>
      <c r="B61" s="12" t="s">
        <v>13</v>
      </c>
      <c r="C61" s="10" t="s">
        <v>237</v>
      </c>
      <c r="D61" s="152"/>
      <c r="E61" s="170"/>
      <c r="F61" s="95"/>
      <c r="G61" s="153" t="str">
        <f t="shared" si="1"/>
        <v/>
      </c>
      <c r="H61" s="10" t="s">
        <v>20</v>
      </c>
      <c r="I61" s="331">
        <v>16.25</v>
      </c>
      <c r="J61" s="12">
        <f t="shared" si="4"/>
        <v>0</v>
      </c>
      <c r="K61" s="13"/>
    </row>
    <row r="62" spans="1:11" s="6" customFormat="1" ht="15.5" hidden="1" x14ac:dyDescent="0.35">
      <c r="A62" s="103"/>
      <c r="B62" s="12" t="s">
        <v>13</v>
      </c>
      <c r="C62" s="10" t="s">
        <v>238</v>
      </c>
      <c r="D62" s="152"/>
      <c r="E62" s="170"/>
      <c r="F62" s="95"/>
      <c r="G62" s="153" t="str">
        <f t="shared" si="1"/>
        <v/>
      </c>
      <c r="H62" s="10" t="s">
        <v>20</v>
      </c>
      <c r="I62" s="331">
        <v>17.899999999999999</v>
      </c>
      <c r="J62" s="12">
        <f t="shared" si="4"/>
        <v>0</v>
      </c>
    </row>
    <row r="63" spans="1:11" ht="14.5" hidden="1" customHeight="1" x14ac:dyDescent="0.35">
      <c r="A63" s="103"/>
      <c r="B63" s="12" t="s">
        <v>13</v>
      </c>
      <c r="C63" s="10" t="s">
        <v>239</v>
      </c>
      <c r="D63" s="152"/>
      <c r="E63" s="170"/>
      <c r="F63" s="95"/>
      <c r="G63" s="153" t="str">
        <f t="shared" si="1"/>
        <v/>
      </c>
      <c r="H63" s="10" t="s">
        <v>20</v>
      </c>
      <c r="I63" s="331">
        <v>15.95</v>
      </c>
      <c r="J63" s="12">
        <f t="shared" si="4"/>
        <v>0</v>
      </c>
      <c r="K63" s="13"/>
    </row>
    <row r="64" spans="1:11" ht="14.5" hidden="1" customHeight="1" x14ac:dyDescent="0.35">
      <c r="A64" s="103"/>
      <c r="B64" s="12" t="s">
        <v>13</v>
      </c>
      <c r="C64" s="10" t="s">
        <v>240</v>
      </c>
      <c r="D64" s="152"/>
      <c r="E64" s="170"/>
      <c r="F64" s="95"/>
      <c r="G64" s="153" t="str">
        <f t="shared" si="1"/>
        <v/>
      </c>
      <c r="H64" s="10" t="s">
        <v>20</v>
      </c>
      <c r="I64" s="331">
        <v>15.45</v>
      </c>
      <c r="J64" s="12">
        <f t="shared" si="4"/>
        <v>0</v>
      </c>
      <c r="K64" s="13"/>
    </row>
    <row r="65" spans="1:11" s="6" customFormat="1" ht="15.65" hidden="1" customHeight="1" x14ac:dyDescent="0.35">
      <c r="A65" s="111"/>
      <c r="B65" s="126" t="s">
        <v>241</v>
      </c>
      <c r="C65" s="127"/>
      <c r="D65" s="226"/>
      <c r="E65" s="172"/>
      <c r="F65" s="144"/>
      <c r="G65" s="153" t="str">
        <f t="shared" si="1"/>
        <v/>
      </c>
      <c r="H65" s="127"/>
      <c r="I65" s="239"/>
      <c r="J65" s="128"/>
    </row>
    <row r="66" spans="1:11" ht="14.5" hidden="1" customHeight="1" x14ac:dyDescent="0.35">
      <c r="A66" s="103"/>
      <c r="B66" s="12" t="s">
        <v>13</v>
      </c>
      <c r="C66" s="10" t="s">
        <v>242</v>
      </c>
      <c r="D66" s="152"/>
      <c r="E66" s="170"/>
      <c r="F66" s="95"/>
      <c r="G66" s="153" t="str">
        <f t="shared" si="1"/>
        <v/>
      </c>
      <c r="H66" s="10" t="s">
        <v>20</v>
      </c>
      <c r="I66" s="331">
        <v>31.05</v>
      </c>
      <c r="J66" s="12">
        <f t="shared" ref="J66:J72" si="5">E66*I66</f>
        <v>0</v>
      </c>
      <c r="K66" s="13"/>
    </row>
    <row r="67" spans="1:11" ht="14.5" hidden="1" customHeight="1" x14ac:dyDescent="0.35">
      <c r="A67" s="103"/>
      <c r="B67" s="12" t="s">
        <v>13</v>
      </c>
      <c r="C67" s="10" t="s">
        <v>243</v>
      </c>
      <c r="D67" s="152"/>
      <c r="E67" s="170"/>
      <c r="F67" s="95"/>
      <c r="G67" s="153" t="str">
        <f t="shared" si="1"/>
        <v/>
      </c>
      <c r="H67" s="10" t="s">
        <v>20</v>
      </c>
      <c r="I67" s="331">
        <v>60.79</v>
      </c>
      <c r="J67" s="12">
        <f t="shared" si="5"/>
        <v>0</v>
      </c>
      <c r="K67" s="13"/>
    </row>
    <row r="68" spans="1:11" hidden="1" x14ac:dyDescent="0.35">
      <c r="A68" s="103"/>
      <c r="B68" s="12" t="s">
        <v>13</v>
      </c>
      <c r="C68" s="10" t="s">
        <v>244</v>
      </c>
      <c r="D68" s="152"/>
      <c r="E68" s="170"/>
      <c r="F68" s="95"/>
      <c r="G68" s="153" t="str">
        <f t="shared" si="1"/>
        <v/>
      </c>
      <c r="H68" s="10" t="s">
        <v>20</v>
      </c>
      <c r="I68" s="331">
        <v>56.55</v>
      </c>
      <c r="J68" s="12">
        <f t="shared" si="5"/>
        <v>0</v>
      </c>
      <c r="K68" s="13"/>
    </row>
    <row r="69" spans="1:11" hidden="1" x14ac:dyDescent="0.35">
      <c r="A69" s="103"/>
      <c r="B69" s="12" t="s">
        <v>13</v>
      </c>
      <c r="C69" s="10" t="s">
        <v>245</v>
      </c>
      <c r="D69" s="152"/>
      <c r="E69" s="170"/>
      <c r="F69" s="95"/>
      <c r="G69" s="153" t="str">
        <f t="shared" si="1"/>
        <v/>
      </c>
      <c r="H69" s="10" t="s">
        <v>20</v>
      </c>
      <c r="I69" s="331">
        <v>107.44</v>
      </c>
      <c r="J69" s="12">
        <f t="shared" si="5"/>
        <v>0</v>
      </c>
      <c r="K69" s="13"/>
    </row>
    <row r="70" spans="1:11" ht="14.5" hidden="1" customHeight="1" x14ac:dyDescent="0.35">
      <c r="A70" s="103"/>
      <c r="B70" s="12" t="s">
        <v>13</v>
      </c>
      <c r="C70" s="10" t="s">
        <v>246</v>
      </c>
      <c r="D70" s="152"/>
      <c r="E70" s="170"/>
      <c r="F70" s="95"/>
      <c r="G70" s="153" t="str">
        <f t="shared" si="1"/>
        <v/>
      </c>
      <c r="H70" s="10" t="s">
        <v>20</v>
      </c>
      <c r="I70" s="331">
        <v>47.4</v>
      </c>
      <c r="J70" s="12">
        <f t="shared" si="5"/>
        <v>0</v>
      </c>
      <c r="K70" s="13"/>
    </row>
    <row r="71" spans="1:11" ht="15.65" hidden="1" customHeight="1" x14ac:dyDescent="0.35">
      <c r="A71" s="103"/>
      <c r="B71" s="12" t="s">
        <v>13</v>
      </c>
      <c r="C71" s="10" t="s">
        <v>247</v>
      </c>
      <c r="D71" s="152"/>
      <c r="E71" s="170"/>
      <c r="F71" s="95"/>
      <c r="G71" s="153" t="str">
        <f t="shared" si="1"/>
        <v/>
      </c>
      <c r="H71" s="10" t="s">
        <v>20</v>
      </c>
      <c r="I71" s="331">
        <v>87.63</v>
      </c>
      <c r="J71" s="12">
        <f t="shared" si="5"/>
        <v>0</v>
      </c>
      <c r="K71" s="13"/>
    </row>
    <row r="72" spans="1:11" hidden="1" x14ac:dyDescent="0.35">
      <c r="A72" s="103"/>
      <c r="B72" s="12" t="s">
        <v>13</v>
      </c>
      <c r="C72" s="10" t="s">
        <v>248</v>
      </c>
      <c r="D72" s="152"/>
      <c r="E72" s="170"/>
      <c r="F72" s="95"/>
      <c r="G72" s="153" t="str">
        <f t="shared" si="1"/>
        <v/>
      </c>
      <c r="H72" s="10" t="s">
        <v>20</v>
      </c>
      <c r="I72" s="331">
        <v>52.31</v>
      </c>
      <c r="J72" s="12">
        <f t="shared" si="5"/>
        <v>0</v>
      </c>
      <c r="K72" s="13"/>
    </row>
    <row r="73" spans="1:11" ht="16.399999999999999" hidden="1" customHeight="1" x14ac:dyDescent="0.35">
      <c r="A73" s="111"/>
      <c r="B73" s="126" t="s">
        <v>249</v>
      </c>
      <c r="C73" s="127"/>
      <c r="D73" s="226"/>
      <c r="E73" s="172"/>
      <c r="F73" s="144"/>
      <c r="G73" s="153" t="str">
        <f t="shared" si="1"/>
        <v/>
      </c>
      <c r="H73" s="127"/>
      <c r="I73" s="239"/>
      <c r="J73" s="128"/>
      <c r="K73" s="13"/>
    </row>
    <row r="74" spans="1:11" ht="14.5" hidden="1" customHeight="1" x14ac:dyDescent="0.35">
      <c r="A74" s="103"/>
      <c r="B74" s="12" t="s">
        <v>13</v>
      </c>
      <c r="C74" s="10" t="s">
        <v>250</v>
      </c>
      <c r="D74" s="152"/>
      <c r="E74" s="170"/>
      <c r="F74" s="95"/>
      <c r="G74" s="153" t="str">
        <f t="shared" si="1"/>
        <v/>
      </c>
      <c r="H74" s="10" t="s">
        <v>20</v>
      </c>
      <c r="I74" s="331">
        <v>10.8</v>
      </c>
      <c r="J74" s="12">
        <f>E74*I74</f>
        <v>0</v>
      </c>
      <c r="K74" s="13"/>
    </row>
    <row r="75" spans="1:11" ht="14.5" hidden="1" customHeight="1" x14ac:dyDescent="0.35">
      <c r="A75" s="103"/>
      <c r="B75" s="12" t="s">
        <v>13</v>
      </c>
      <c r="C75" s="10" t="s">
        <v>251</v>
      </c>
      <c r="D75" s="152"/>
      <c r="E75" s="170"/>
      <c r="F75" s="95"/>
      <c r="G75" s="153" t="str">
        <f t="shared" si="1"/>
        <v/>
      </c>
      <c r="H75" s="10" t="s">
        <v>20</v>
      </c>
      <c r="I75" s="331">
        <v>11.2</v>
      </c>
      <c r="J75" s="12">
        <f>E75*I75</f>
        <v>0</v>
      </c>
      <c r="K75" s="13"/>
    </row>
    <row r="76" spans="1:11" s="24" customFormat="1" ht="15.65" customHeight="1" x14ac:dyDescent="0.35">
      <c r="A76" s="103"/>
      <c r="B76" s="12" t="s">
        <v>13</v>
      </c>
      <c r="C76" s="10" t="s">
        <v>252</v>
      </c>
      <c r="D76" s="152"/>
      <c r="E76" s="170"/>
      <c r="F76" s="95"/>
      <c r="G76" s="153" t="str">
        <f t="shared" si="1"/>
        <v/>
      </c>
      <c r="H76" s="10" t="s">
        <v>23</v>
      </c>
      <c r="I76" s="331">
        <v>4.5599999999999996</v>
      </c>
      <c r="J76" s="12">
        <f>E76*I76</f>
        <v>0</v>
      </c>
    </row>
    <row r="77" spans="1:11" s="6" customFormat="1" ht="15.65" customHeight="1" x14ac:dyDescent="0.35">
      <c r="A77" s="103"/>
      <c r="B77" s="12" t="s">
        <v>13</v>
      </c>
      <c r="C77" s="10" t="s">
        <v>253</v>
      </c>
      <c r="D77" s="152"/>
      <c r="E77" s="170"/>
      <c r="F77" s="95"/>
      <c r="G77" s="153" t="str">
        <f t="shared" si="1"/>
        <v/>
      </c>
      <c r="H77" s="10" t="s">
        <v>23</v>
      </c>
      <c r="I77" s="331">
        <v>37.700000000000003</v>
      </c>
      <c r="J77" s="12">
        <f>E77*I77</f>
        <v>0</v>
      </c>
    </row>
    <row r="78" spans="1:11" ht="14.5" hidden="1" customHeight="1" x14ac:dyDescent="0.35">
      <c r="A78" s="108" t="s">
        <v>254</v>
      </c>
      <c r="B78" s="108"/>
      <c r="C78" s="108"/>
      <c r="D78" s="223"/>
      <c r="E78" s="169"/>
      <c r="F78" s="109"/>
      <c r="G78" s="153" t="str">
        <f t="shared" si="1"/>
        <v/>
      </c>
      <c r="H78" s="108"/>
      <c r="I78" s="110" t="s">
        <v>18</v>
      </c>
      <c r="J78" s="115">
        <f>SUM(J80:J121)</f>
        <v>0</v>
      </c>
    </row>
    <row r="79" spans="1:11" ht="14.5" hidden="1" customHeight="1" x14ac:dyDescent="0.35">
      <c r="A79" s="111"/>
      <c r="B79" s="126" t="s">
        <v>255</v>
      </c>
      <c r="C79" s="127"/>
      <c r="D79" s="226"/>
      <c r="E79" s="172"/>
      <c r="F79" s="144"/>
      <c r="G79" s="153" t="str">
        <f t="shared" si="1"/>
        <v/>
      </c>
      <c r="H79" s="127"/>
      <c r="I79" s="239"/>
      <c r="J79" s="128"/>
      <c r="K79" s="13"/>
    </row>
    <row r="80" spans="1:11" ht="14.5" hidden="1" customHeight="1" x14ac:dyDescent="0.35">
      <c r="A80" s="103"/>
      <c r="B80" s="12" t="s">
        <v>3</v>
      </c>
      <c r="C80" s="10" t="s">
        <v>256</v>
      </c>
      <c r="D80" s="152"/>
      <c r="E80" s="170"/>
      <c r="F80" s="95"/>
      <c r="G80" s="153" t="str">
        <f t="shared" si="1"/>
        <v/>
      </c>
      <c r="H80" s="10" t="s">
        <v>20</v>
      </c>
      <c r="I80" s="331">
        <v>32.950000000000003</v>
      </c>
      <c r="J80" s="12">
        <f t="shared" ref="J80:J86" si="6">E80*I80</f>
        <v>0</v>
      </c>
      <c r="K80" s="13"/>
    </row>
    <row r="81" spans="1:13" ht="14.5" hidden="1" customHeight="1" x14ac:dyDescent="0.35">
      <c r="A81" s="103"/>
      <c r="B81" s="12" t="s">
        <v>3</v>
      </c>
      <c r="C81" s="10" t="s">
        <v>257</v>
      </c>
      <c r="D81" s="152"/>
      <c r="E81" s="170"/>
      <c r="F81" s="95"/>
      <c r="G81" s="153" t="str">
        <f t="shared" si="1"/>
        <v/>
      </c>
      <c r="H81" s="10" t="s">
        <v>20</v>
      </c>
      <c r="I81" s="331">
        <v>56.95</v>
      </c>
      <c r="J81" s="12">
        <f t="shared" si="6"/>
        <v>0</v>
      </c>
      <c r="K81" s="13" t="s">
        <v>47</v>
      </c>
    </row>
    <row r="82" spans="1:13" ht="14.5" hidden="1" customHeight="1" x14ac:dyDescent="0.35">
      <c r="A82" s="103"/>
      <c r="B82" s="12" t="s">
        <v>3</v>
      </c>
      <c r="C82" s="10" t="s">
        <v>258</v>
      </c>
      <c r="D82" s="152"/>
      <c r="E82" s="170"/>
      <c r="F82" s="95"/>
      <c r="G82" s="153" t="str">
        <f t="shared" si="1"/>
        <v/>
      </c>
      <c r="H82" s="10" t="s">
        <v>20</v>
      </c>
      <c r="I82" s="331">
        <v>15.95</v>
      </c>
      <c r="J82" s="12">
        <f t="shared" si="6"/>
        <v>0</v>
      </c>
    </row>
    <row r="83" spans="1:13" ht="14.5" hidden="1" customHeight="1" x14ac:dyDescent="0.35">
      <c r="A83" s="103"/>
      <c r="B83" s="12" t="s">
        <v>3</v>
      </c>
      <c r="C83" s="10" t="s">
        <v>259</v>
      </c>
      <c r="D83" s="152"/>
      <c r="E83" s="170"/>
      <c r="F83" s="95"/>
      <c r="G83" s="153" t="str">
        <f t="shared" si="1"/>
        <v/>
      </c>
      <c r="H83" s="10" t="s">
        <v>20</v>
      </c>
      <c r="I83" s="331">
        <v>19.95</v>
      </c>
      <c r="J83" s="12">
        <f t="shared" si="6"/>
        <v>0</v>
      </c>
      <c r="K83" s="28"/>
    </row>
    <row r="84" spans="1:13" s="6" customFormat="1" ht="15.65" hidden="1" customHeight="1" x14ac:dyDescent="0.35">
      <c r="A84" s="103"/>
      <c r="B84" s="12" t="s">
        <v>3</v>
      </c>
      <c r="C84" s="10" t="s">
        <v>260</v>
      </c>
      <c r="D84" s="152"/>
      <c r="E84" s="170"/>
      <c r="F84" s="95"/>
      <c r="G84" s="153" t="str">
        <f t="shared" si="1"/>
        <v/>
      </c>
      <c r="H84" s="10" t="s">
        <v>20</v>
      </c>
      <c r="I84" s="331">
        <v>46.95</v>
      </c>
      <c r="J84" s="12">
        <f t="shared" si="6"/>
        <v>0</v>
      </c>
      <c r="K84" s="30"/>
    </row>
    <row r="85" spans="1:13" ht="14.5" hidden="1" customHeight="1" x14ac:dyDescent="0.35">
      <c r="A85" s="103"/>
      <c r="B85" s="12" t="s">
        <v>3</v>
      </c>
      <c r="C85" s="10" t="s">
        <v>261</v>
      </c>
      <c r="D85" s="152"/>
      <c r="E85" s="170"/>
      <c r="F85" s="95"/>
      <c r="G85" s="153" t="str">
        <f t="shared" si="1"/>
        <v/>
      </c>
      <c r="H85" s="10" t="s">
        <v>20</v>
      </c>
      <c r="I85" s="331">
        <v>34.950000000000003</v>
      </c>
      <c r="J85" s="12">
        <f t="shared" si="6"/>
        <v>0</v>
      </c>
      <c r="K85" s="28"/>
    </row>
    <row r="86" spans="1:13" s="6" customFormat="1" ht="15.65" hidden="1" customHeight="1" x14ac:dyDescent="0.35">
      <c r="A86" s="103"/>
      <c r="B86" s="12" t="s">
        <v>3</v>
      </c>
      <c r="C86" s="10" t="s">
        <v>262</v>
      </c>
      <c r="D86" s="152"/>
      <c r="E86" s="170"/>
      <c r="F86" s="95"/>
      <c r="G86" s="153" t="str">
        <f t="shared" si="1"/>
        <v/>
      </c>
      <c r="H86" s="10" t="s">
        <v>20</v>
      </c>
      <c r="I86" s="331">
        <v>24.95</v>
      </c>
      <c r="J86" s="12">
        <f t="shared" si="6"/>
        <v>0</v>
      </c>
    </row>
    <row r="87" spans="1:13" ht="15.5" hidden="1" x14ac:dyDescent="0.35">
      <c r="A87" s="111"/>
      <c r="B87" s="126" t="s">
        <v>263</v>
      </c>
      <c r="C87" s="127"/>
      <c r="D87" s="226"/>
      <c r="E87" s="172"/>
      <c r="F87" s="144"/>
      <c r="G87" s="153" t="str">
        <f t="shared" si="1"/>
        <v/>
      </c>
      <c r="H87" s="127"/>
      <c r="I87" s="239"/>
      <c r="J87" s="128"/>
      <c r="K87" s="28"/>
      <c r="M87" t="s">
        <v>47</v>
      </c>
    </row>
    <row r="88" spans="1:13" hidden="1" x14ac:dyDescent="0.35">
      <c r="A88" s="103"/>
      <c r="B88" s="12" t="s">
        <v>3</v>
      </c>
      <c r="C88" s="10" t="s">
        <v>264</v>
      </c>
      <c r="D88" s="152"/>
      <c r="E88" s="170"/>
      <c r="F88" s="95"/>
      <c r="G88" s="153" t="str">
        <f t="shared" si="1"/>
        <v/>
      </c>
      <c r="H88" s="10" t="s">
        <v>20</v>
      </c>
      <c r="I88" s="331">
        <v>19.5</v>
      </c>
      <c r="J88" s="12">
        <f t="shared" ref="J88:J94" si="7">E88*I88</f>
        <v>0</v>
      </c>
      <c r="K88" s="28"/>
    </row>
    <row r="89" spans="1:13" hidden="1" x14ac:dyDescent="0.35">
      <c r="A89" s="103"/>
      <c r="B89" s="12" t="s">
        <v>3</v>
      </c>
      <c r="C89" s="10" t="s">
        <v>265</v>
      </c>
      <c r="D89" s="152"/>
      <c r="E89" s="170"/>
      <c r="F89" s="95"/>
      <c r="G89" s="153" t="str">
        <f t="shared" ref="G89:G152" si="8">IF(E89="","",IF(D89-E89&gt;0,D89-E89,""))</f>
        <v/>
      </c>
      <c r="H89" s="10" t="s">
        <v>20</v>
      </c>
      <c r="I89" s="331">
        <v>16.95</v>
      </c>
      <c r="J89" s="12">
        <f t="shared" si="7"/>
        <v>0</v>
      </c>
      <c r="K89" s="28"/>
    </row>
    <row r="90" spans="1:13" hidden="1" x14ac:dyDescent="0.35">
      <c r="A90" s="103"/>
      <c r="B90" s="12" t="s">
        <v>3</v>
      </c>
      <c r="C90" s="10" t="s">
        <v>266</v>
      </c>
      <c r="D90" s="152"/>
      <c r="E90" s="170"/>
      <c r="F90" s="95"/>
      <c r="G90" s="153" t="str">
        <f t="shared" si="8"/>
        <v/>
      </c>
      <c r="H90" s="10" t="s">
        <v>20</v>
      </c>
      <c r="I90" s="331">
        <v>17.95</v>
      </c>
      <c r="J90" s="12">
        <f t="shared" si="7"/>
        <v>0</v>
      </c>
      <c r="K90" s="28"/>
    </row>
    <row r="91" spans="1:13" hidden="1" x14ac:dyDescent="0.35">
      <c r="A91" s="103"/>
      <c r="B91" s="12" t="s">
        <v>3</v>
      </c>
      <c r="C91" s="10" t="s">
        <v>267</v>
      </c>
      <c r="D91" s="152"/>
      <c r="E91" s="170"/>
      <c r="F91" s="95"/>
      <c r="G91" s="153" t="str">
        <f t="shared" si="8"/>
        <v/>
      </c>
      <c r="H91" s="10" t="s">
        <v>20</v>
      </c>
      <c r="I91" s="331">
        <v>15.95</v>
      </c>
      <c r="J91" s="12">
        <f t="shared" si="7"/>
        <v>0</v>
      </c>
      <c r="K91" s="28"/>
    </row>
    <row r="92" spans="1:13" s="6" customFormat="1" ht="15.5" hidden="1" x14ac:dyDescent="0.35">
      <c r="A92" s="103"/>
      <c r="B92" s="12" t="s">
        <v>3</v>
      </c>
      <c r="C92" s="10" t="s">
        <v>268</v>
      </c>
      <c r="D92" s="152"/>
      <c r="E92" s="170"/>
      <c r="F92" s="95"/>
      <c r="G92" s="153" t="str">
        <f t="shared" si="8"/>
        <v/>
      </c>
      <c r="H92" s="10" t="s">
        <v>20</v>
      </c>
      <c r="I92" s="331">
        <v>20.95</v>
      </c>
      <c r="J92" s="12">
        <f t="shared" si="7"/>
        <v>0</v>
      </c>
      <c r="K92" s="30"/>
    </row>
    <row r="93" spans="1:13" hidden="1" x14ac:dyDescent="0.35">
      <c r="A93" s="103"/>
      <c r="B93" s="12" t="s">
        <v>3</v>
      </c>
      <c r="C93" s="10" t="s">
        <v>269</v>
      </c>
      <c r="D93" s="152"/>
      <c r="E93" s="170"/>
      <c r="F93" s="95"/>
      <c r="G93" s="153" t="str">
        <f t="shared" si="8"/>
        <v/>
      </c>
      <c r="H93" s="10" t="s">
        <v>20</v>
      </c>
      <c r="I93" s="331">
        <v>26.95</v>
      </c>
      <c r="J93" s="12">
        <f t="shared" si="7"/>
        <v>0</v>
      </c>
      <c r="K93" s="31"/>
    </row>
    <row r="94" spans="1:13" hidden="1" x14ac:dyDescent="0.35">
      <c r="A94" s="103"/>
      <c r="B94" s="12" t="s">
        <v>3</v>
      </c>
      <c r="C94" s="10" t="s">
        <v>270</v>
      </c>
      <c r="D94" s="152"/>
      <c r="E94" s="170"/>
      <c r="F94" s="95"/>
      <c r="G94" s="153" t="str">
        <f t="shared" si="8"/>
        <v/>
      </c>
      <c r="H94" s="10" t="s">
        <v>20</v>
      </c>
      <c r="I94" s="331">
        <v>26.95</v>
      </c>
      <c r="J94" s="12">
        <f t="shared" si="7"/>
        <v>0</v>
      </c>
      <c r="K94" s="31"/>
    </row>
    <row r="95" spans="1:13" s="6" customFormat="1" ht="15.5" hidden="1" x14ac:dyDescent="0.35">
      <c r="A95" s="111"/>
      <c r="B95" s="126" t="s">
        <v>271</v>
      </c>
      <c r="C95" s="127"/>
      <c r="D95" s="226"/>
      <c r="E95" s="172"/>
      <c r="F95" s="144"/>
      <c r="G95" s="153" t="str">
        <f t="shared" si="8"/>
        <v/>
      </c>
      <c r="H95" s="127"/>
      <c r="I95" s="239"/>
      <c r="J95" s="128"/>
      <c r="K95" s="30"/>
    </row>
    <row r="96" spans="1:13" ht="14.15" hidden="1" customHeight="1" x14ac:dyDescent="0.35">
      <c r="A96" s="103"/>
      <c r="B96" s="12" t="s">
        <v>3</v>
      </c>
      <c r="C96" s="10" t="s">
        <v>272</v>
      </c>
      <c r="D96" s="152"/>
      <c r="E96" s="170"/>
      <c r="F96" s="95"/>
      <c r="G96" s="153" t="str">
        <f t="shared" si="8"/>
        <v/>
      </c>
      <c r="H96" s="10" t="s">
        <v>20</v>
      </c>
      <c r="I96" s="331">
        <v>20.95</v>
      </c>
      <c r="J96" s="12">
        <f>E96*I96</f>
        <v>0</v>
      </c>
      <c r="K96" s="28"/>
    </row>
    <row r="97" spans="1:11" hidden="1" x14ac:dyDescent="0.35">
      <c r="A97" s="103"/>
      <c r="B97" s="12" t="s">
        <v>3</v>
      </c>
      <c r="C97" s="10" t="s">
        <v>273</v>
      </c>
      <c r="D97" s="152"/>
      <c r="E97" s="170"/>
      <c r="F97" s="95"/>
      <c r="G97" s="153" t="str">
        <f t="shared" si="8"/>
        <v/>
      </c>
      <c r="H97" s="10" t="s">
        <v>20</v>
      </c>
      <c r="I97" s="331">
        <v>23.95</v>
      </c>
      <c r="J97" s="12">
        <f>E97*I97</f>
        <v>0</v>
      </c>
      <c r="K97" s="28"/>
    </row>
    <row r="98" spans="1:11" s="6" customFormat="1" ht="15.65" hidden="1" customHeight="1" x14ac:dyDescent="0.35">
      <c r="A98" s="103"/>
      <c r="B98" s="12" t="s">
        <v>3</v>
      </c>
      <c r="C98" s="10" t="s">
        <v>274</v>
      </c>
      <c r="D98" s="152"/>
      <c r="E98" s="170"/>
      <c r="F98" s="95"/>
      <c r="G98" s="153" t="str">
        <f t="shared" si="8"/>
        <v/>
      </c>
      <c r="H98" s="10" t="s">
        <v>20</v>
      </c>
      <c r="I98" s="331">
        <v>22.5</v>
      </c>
      <c r="J98" s="12">
        <f>E98*I98</f>
        <v>0</v>
      </c>
      <c r="K98" s="30"/>
    </row>
    <row r="99" spans="1:11" ht="14.5" hidden="1" customHeight="1" x14ac:dyDescent="0.35">
      <c r="A99" s="103"/>
      <c r="B99" s="12" t="s">
        <v>3</v>
      </c>
      <c r="C99" s="10" t="s">
        <v>275</v>
      </c>
      <c r="D99" s="152"/>
      <c r="E99" s="170"/>
      <c r="F99" s="95"/>
      <c r="G99" s="153" t="str">
        <f t="shared" si="8"/>
        <v/>
      </c>
      <c r="H99" s="10" t="s">
        <v>20</v>
      </c>
      <c r="I99" s="331">
        <v>29.95</v>
      </c>
      <c r="J99" s="12">
        <f>E99*I99</f>
        <v>0</v>
      </c>
      <c r="K99" s="31"/>
    </row>
    <row r="100" spans="1:11" s="6" customFormat="1" ht="15.65" hidden="1" customHeight="1" x14ac:dyDescent="0.35">
      <c r="A100" s="111"/>
      <c r="B100" s="126" t="s">
        <v>276</v>
      </c>
      <c r="C100" s="127"/>
      <c r="D100" s="226"/>
      <c r="E100" s="172"/>
      <c r="F100" s="144"/>
      <c r="G100" s="153" t="str">
        <f t="shared" si="8"/>
        <v/>
      </c>
      <c r="H100" s="127"/>
      <c r="I100" s="239"/>
      <c r="J100" s="128"/>
    </row>
    <row r="101" spans="1:11" hidden="1" x14ac:dyDescent="0.35">
      <c r="A101" s="103"/>
      <c r="B101" s="12" t="s">
        <v>3</v>
      </c>
      <c r="C101" s="10" t="s">
        <v>277</v>
      </c>
      <c r="D101" s="152"/>
      <c r="E101" s="170"/>
      <c r="F101" s="95"/>
      <c r="G101" s="153" t="str">
        <f t="shared" si="8"/>
        <v/>
      </c>
      <c r="H101" s="10" t="s">
        <v>20</v>
      </c>
      <c r="I101" s="331">
        <v>17.95</v>
      </c>
      <c r="J101" s="12">
        <f>E101*I101</f>
        <v>0</v>
      </c>
      <c r="K101" s="28"/>
    </row>
    <row r="102" spans="1:11" s="6" customFormat="1" ht="15.5" hidden="1" x14ac:dyDescent="0.35">
      <c r="A102" s="103"/>
      <c r="B102" s="12" t="s">
        <v>3</v>
      </c>
      <c r="C102" s="10" t="s">
        <v>278</v>
      </c>
      <c r="D102" s="152"/>
      <c r="E102" s="170"/>
      <c r="F102" s="95"/>
      <c r="G102" s="153" t="str">
        <f t="shared" si="8"/>
        <v/>
      </c>
      <c r="H102" s="10" t="s">
        <v>20</v>
      </c>
      <c r="I102" s="331">
        <v>20.95</v>
      </c>
      <c r="J102" s="12">
        <f>E102*I102</f>
        <v>0</v>
      </c>
    </row>
    <row r="103" spans="1:11" hidden="1" x14ac:dyDescent="0.35">
      <c r="A103" s="103"/>
      <c r="B103" s="12" t="s">
        <v>3</v>
      </c>
      <c r="C103" s="10" t="s">
        <v>279</v>
      </c>
      <c r="D103" s="152"/>
      <c r="E103" s="170"/>
      <c r="F103" s="95"/>
      <c r="G103" s="153" t="str">
        <f t="shared" si="8"/>
        <v/>
      </c>
      <c r="H103" s="10" t="s">
        <v>20</v>
      </c>
      <c r="I103" s="331">
        <v>19.95</v>
      </c>
      <c r="J103" s="12">
        <f>E103*I103</f>
        <v>0</v>
      </c>
      <c r="K103" s="13"/>
    </row>
    <row r="104" spans="1:11" hidden="1" x14ac:dyDescent="0.35">
      <c r="A104" s="103"/>
      <c r="B104" s="40" t="s">
        <v>3</v>
      </c>
      <c r="C104" s="41" t="s">
        <v>280</v>
      </c>
      <c r="D104" s="227"/>
      <c r="E104" s="170"/>
      <c r="F104" s="145"/>
      <c r="G104" s="153" t="str">
        <f t="shared" si="8"/>
        <v/>
      </c>
      <c r="H104" s="41" t="s">
        <v>20</v>
      </c>
      <c r="I104" s="334">
        <v>59.95</v>
      </c>
      <c r="J104" s="40">
        <f>E104*I104</f>
        <v>0</v>
      </c>
      <c r="K104" s="13"/>
    </row>
    <row r="105" spans="1:11" ht="15.5" hidden="1" x14ac:dyDescent="0.35">
      <c r="A105" s="111"/>
      <c r="B105" s="126" t="s">
        <v>281</v>
      </c>
      <c r="C105" s="127"/>
      <c r="D105" s="226"/>
      <c r="E105" s="172"/>
      <c r="F105" s="144"/>
      <c r="G105" s="153" t="str">
        <f t="shared" si="8"/>
        <v/>
      </c>
      <c r="H105" s="127"/>
      <c r="I105" s="239"/>
      <c r="J105" s="128"/>
      <c r="K105" s="13"/>
    </row>
    <row r="106" spans="1:11" hidden="1" x14ac:dyDescent="0.35">
      <c r="A106" s="103"/>
      <c r="B106" s="12" t="s">
        <v>3</v>
      </c>
      <c r="C106" s="10" t="s">
        <v>282</v>
      </c>
      <c r="D106" s="152"/>
      <c r="E106" s="170"/>
      <c r="F106" s="95"/>
      <c r="G106" s="153" t="str">
        <f t="shared" si="8"/>
        <v/>
      </c>
      <c r="H106" s="10" t="s">
        <v>20</v>
      </c>
      <c r="I106" s="331">
        <v>54.95</v>
      </c>
      <c r="J106" s="12">
        <f>E106*I106</f>
        <v>0</v>
      </c>
      <c r="K106" s="13"/>
    </row>
    <row r="107" spans="1:11" ht="14.5" hidden="1" customHeight="1" x14ac:dyDescent="0.35">
      <c r="A107" s="103"/>
      <c r="B107" s="12" t="s">
        <v>3</v>
      </c>
      <c r="C107" s="10" t="s">
        <v>283</v>
      </c>
      <c r="D107" s="152"/>
      <c r="E107" s="170"/>
      <c r="F107" s="95"/>
      <c r="G107" s="153" t="str">
        <f t="shared" si="8"/>
        <v/>
      </c>
      <c r="H107" s="10" t="s">
        <v>20</v>
      </c>
      <c r="I107" s="331">
        <v>49.95</v>
      </c>
      <c r="J107" s="12">
        <f>E107*I107</f>
        <v>0</v>
      </c>
      <c r="K107" s="13"/>
    </row>
    <row r="108" spans="1:11" ht="14.5" hidden="1" customHeight="1" x14ac:dyDescent="0.35">
      <c r="A108" s="111"/>
      <c r="B108" s="126" t="s">
        <v>284</v>
      </c>
      <c r="C108" s="127"/>
      <c r="D108" s="226"/>
      <c r="E108" s="172"/>
      <c r="F108" s="144"/>
      <c r="G108" s="153" t="str">
        <f t="shared" si="8"/>
        <v/>
      </c>
      <c r="H108" s="127"/>
      <c r="I108" s="239"/>
      <c r="J108" s="128"/>
      <c r="K108" s="13"/>
    </row>
    <row r="109" spans="1:11" ht="14.5" hidden="1" customHeight="1" x14ac:dyDescent="0.35">
      <c r="A109" s="103"/>
      <c r="B109" s="12" t="s">
        <v>3</v>
      </c>
      <c r="C109" s="10" t="s">
        <v>285</v>
      </c>
      <c r="D109" s="152"/>
      <c r="E109" s="170"/>
      <c r="F109" s="95"/>
      <c r="G109" s="153" t="str">
        <f t="shared" si="8"/>
        <v/>
      </c>
      <c r="H109" s="10" t="s">
        <v>20</v>
      </c>
      <c r="I109" s="331">
        <v>41.5</v>
      </c>
      <c r="J109" s="12">
        <f t="shared" ref="J109:J114" si="9">E109*I109</f>
        <v>0</v>
      </c>
      <c r="K109" s="13"/>
    </row>
    <row r="110" spans="1:11" ht="15.65" hidden="1" customHeight="1" x14ac:dyDescent="0.35">
      <c r="A110" s="103"/>
      <c r="B110" s="12" t="s">
        <v>3</v>
      </c>
      <c r="C110" s="10" t="s">
        <v>286</v>
      </c>
      <c r="D110" s="152"/>
      <c r="E110" s="170"/>
      <c r="F110" s="95"/>
      <c r="G110" s="153" t="str">
        <f t="shared" si="8"/>
        <v/>
      </c>
      <c r="H110" s="10" t="s">
        <v>20</v>
      </c>
      <c r="I110" s="331">
        <v>36.200000000000003</v>
      </c>
      <c r="J110" s="12">
        <f t="shared" si="9"/>
        <v>0</v>
      </c>
      <c r="K110" s="13"/>
    </row>
    <row r="111" spans="1:11" hidden="1" x14ac:dyDescent="0.35">
      <c r="A111" s="103"/>
      <c r="B111" s="12" t="s">
        <v>3</v>
      </c>
      <c r="C111" s="10" t="s">
        <v>287</v>
      </c>
      <c r="D111" s="152"/>
      <c r="E111" s="170"/>
      <c r="F111" s="95"/>
      <c r="G111" s="153" t="str">
        <f t="shared" si="8"/>
        <v/>
      </c>
      <c r="H111" s="10" t="s">
        <v>20</v>
      </c>
      <c r="I111" s="331">
        <v>25.95</v>
      </c>
      <c r="J111" s="12">
        <f t="shared" si="9"/>
        <v>0</v>
      </c>
      <c r="K111" s="13"/>
    </row>
    <row r="112" spans="1:11" hidden="1" x14ac:dyDescent="0.35">
      <c r="A112" s="103"/>
      <c r="B112" s="12" t="s">
        <v>3</v>
      </c>
      <c r="C112" s="10" t="s">
        <v>288</v>
      </c>
      <c r="D112" s="152"/>
      <c r="E112" s="170"/>
      <c r="F112" s="95"/>
      <c r="G112" s="153" t="str">
        <f t="shared" si="8"/>
        <v/>
      </c>
      <c r="H112" s="10" t="s">
        <v>20</v>
      </c>
      <c r="I112" s="331">
        <v>32.799999999999997</v>
      </c>
      <c r="J112" s="12">
        <f t="shared" si="9"/>
        <v>0</v>
      </c>
      <c r="K112" s="13"/>
    </row>
    <row r="113" spans="1:11" s="6" customFormat="1" ht="15.5" hidden="1" x14ac:dyDescent="0.35">
      <c r="A113" s="103"/>
      <c r="B113" s="12" t="s">
        <v>3</v>
      </c>
      <c r="C113" s="10" t="s">
        <v>289</v>
      </c>
      <c r="D113" s="152"/>
      <c r="E113" s="170"/>
      <c r="F113" s="95"/>
      <c r="G113" s="153" t="str">
        <f t="shared" si="8"/>
        <v/>
      </c>
      <c r="H113" s="10" t="s">
        <v>20</v>
      </c>
      <c r="I113" s="331">
        <v>29.2</v>
      </c>
      <c r="J113" s="12">
        <f t="shared" si="9"/>
        <v>0</v>
      </c>
    </row>
    <row r="114" spans="1:11" hidden="1" x14ac:dyDescent="0.35">
      <c r="A114" s="103"/>
      <c r="B114" s="12" t="s">
        <v>3</v>
      </c>
      <c r="C114" s="10" t="s">
        <v>290</v>
      </c>
      <c r="D114" s="152"/>
      <c r="E114" s="170"/>
      <c r="F114" s="95"/>
      <c r="G114" s="153" t="str">
        <f t="shared" si="8"/>
        <v/>
      </c>
      <c r="H114" s="10" t="s">
        <v>20</v>
      </c>
      <c r="I114" s="331">
        <v>22.95</v>
      </c>
      <c r="J114" s="12">
        <f t="shared" si="9"/>
        <v>0</v>
      </c>
      <c r="K114" s="13"/>
    </row>
    <row r="115" spans="1:11" ht="15.5" hidden="1" x14ac:dyDescent="0.35">
      <c r="A115" s="111"/>
      <c r="B115" s="126" t="s">
        <v>291</v>
      </c>
      <c r="C115" s="127"/>
      <c r="D115" s="226"/>
      <c r="E115" s="172"/>
      <c r="F115" s="144"/>
      <c r="G115" s="153" t="str">
        <f t="shared" si="8"/>
        <v/>
      </c>
      <c r="H115" s="127"/>
      <c r="I115" s="239"/>
      <c r="J115" s="128"/>
      <c r="K115" s="13"/>
    </row>
    <row r="116" spans="1:11" ht="14.5" hidden="1" customHeight="1" x14ac:dyDescent="0.35">
      <c r="A116" s="103"/>
      <c r="B116" s="12" t="s">
        <v>3</v>
      </c>
      <c r="C116" s="10" t="s">
        <v>292</v>
      </c>
      <c r="D116" s="152"/>
      <c r="E116" s="170"/>
      <c r="F116" s="95"/>
      <c r="G116" s="153" t="str">
        <f t="shared" si="8"/>
        <v/>
      </c>
      <c r="H116" s="10" t="s">
        <v>20</v>
      </c>
      <c r="I116" s="331">
        <v>17.95</v>
      </c>
      <c r="J116" s="12">
        <f t="shared" ref="J116:J121" si="10">E116*I116</f>
        <v>0</v>
      </c>
      <c r="K116" s="13"/>
    </row>
    <row r="117" spans="1:11" ht="14.5" hidden="1" customHeight="1" x14ac:dyDescent="0.35">
      <c r="A117" s="103"/>
      <c r="B117" s="12" t="s">
        <v>3</v>
      </c>
      <c r="C117" s="10" t="s">
        <v>293</v>
      </c>
      <c r="D117" s="152"/>
      <c r="E117" s="170"/>
      <c r="F117" s="95"/>
      <c r="G117" s="153" t="str">
        <f t="shared" si="8"/>
        <v/>
      </c>
      <c r="H117" s="10" t="s">
        <v>20</v>
      </c>
      <c r="I117" s="331">
        <v>12.95</v>
      </c>
      <c r="J117" s="12">
        <f t="shared" si="10"/>
        <v>0</v>
      </c>
      <c r="K117" s="13"/>
    </row>
    <row r="118" spans="1:11" ht="14.5" hidden="1" customHeight="1" x14ac:dyDescent="0.35">
      <c r="A118" s="103"/>
      <c r="B118" s="12" t="s">
        <v>3</v>
      </c>
      <c r="C118" s="10" t="s">
        <v>294</v>
      </c>
      <c r="D118" s="152"/>
      <c r="E118" s="170"/>
      <c r="F118" s="95"/>
      <c r="G118" s="153" t="str">
        <f t="shared" si="8"/>
        <v/>
      </c>
      <c r="H118" s="10" t="s">
        <v>20</v>
      </c>
      <c r="I118" s="331">
        <v>21.95</v>
      </c>
      <c r="J118" s="12">
        <f t="shared" si="10"/>
        <v>0</v>
      </c>
      <c r="K118" s="13"/>
    </row>
    <row r="119" spans="1:11" ht="14.5" hidden="1" customHeight="1" x14ac:dyDescent="0.35">
      <c r="A119" s="103"/>
      <c r="B119" s="12" t="s">
        <v>3</v>
      </c>
      <c r="C119" s="10" t="s">
        <v>295</v>
      </c>
      <c r="D119" s="152"/>
      <c r="E119" s="170"/>
      <c r="F119" s="95"/>
      <c r="G119" s="153" t="str">
        <f t="shared" si="8"/>
        <v/>
      </c>
      <c r="H119" s="10" t="s">
        <v>20</v>
      </c>
      <c r="I119" s="331"/>
      <c r="J119" s="12">
        <f t="shared" si="10"/>
        <v>0</v>
      </c>
      <c r="K119" s="13"/>
    </row>
    <row r="120" spans="1:11" ht="15.65" hidden="1" customHeight="1" x14ac:dyDescent="0.35">
      <c r="A120" s="103"/>
      <c r="B120" s="12" t="s">
        <v>3</v>
      </c>
      <c r="C120" s="10" t="s">
        <v>296</v>
      </c>
      <c r="D120" s="152"/>
      <c r="E120" s="170"/>
      <c r="F120" s="95"/>
      <c r="G120" s="153" t="str">
        <f t="shared" si="8"/>
        <v/>
      </c>
      <c r="H120" s="10" t="s">
        <v>20</v>
      </c>
      <c r="I120" s="331"/>
      <c r="J120" s="12">
        <f t="shared" si="10"/>
        <v>0</v>
      </c>
      <c r="K120" s="13"/>
    </row>
    <row r="121" spans="1:11" ht="15.65" hidden="1" customHeight="1" x14ac:dyDescent="0.35">
      <c r="A121" s="103"/>
      <c r="B121" s="12" t="s">
        <v>3</v>
      </c>
      <c r="C121" s="10" t="s">
        <v>297</v>
      </c>
      <c r="D121" s="152"/>
      <c r="E121" s="170"/>
      <c r="F121" s="95"/>
      <c r="G121" s="153" t="str">
        <f t="shared" si="8"/>
        <v/>
      </c>
      <c r="H121" s="10" t="s">
        <v>20</v>
      </c>
      <c r="I121" s="331">
        <v>22.95</v>
      </c>
      <c r="J121" s="12">
        <f t="shared" si="10"/>
        <v>0</v>
      </c>
      <c r="K121" s="13"/>
    </row>
    <row r="122" spans="1:11" ht="14.5" hidden="1" customHeight="1" x14ac:dyDescent="0.35">
      <c r="A122" s="112" t="s">
        <v>298</v>
      </c>
      <c r="B122" s="116"/>
      <c r="C122" s="116"/>
      <c r="D122" s="228"/>
      <c r="E122" s="173"/>
      <c r="F122" s="146"/>
      <c r="G122" s="153" t="str">
        <f t="shared" si="8"/>
        <v/>
      </c>
      <c r="H122" s="117"/>
      <c r="I122" s="106" t="s">
        <v>18</v>
      </c>
      <c r="J122" s="115">
        <f>SUM(J123:J175)</f>
        <v>3584.54</v>
      </c>
      <c r="K122" s="13"/>
    </row>
    <row r="123" spans="1:11" ht="14.5" hidden="1" customHeight="1" x14ac:dyDescent="0.35">
      <c r="A123" s="103"/>
      <c r="B123" s="20" t="s">
        <v>4</v>
      </c>
      <c r="C123" s="18" t="s">
        <v>62</v>
      </c>
      <c r="D123" s="229"/>
      <c r="E123" s="170"/>
      <c r="F123" s="147"/>
      <c r="G123" s="153" t="str">
        <f t="shared" si="8"/>
        <v/>
      </c>
      <c r="H123" s="18" t="s">
        <v>20</v>
      </c>
      <c r="I123" s="335">
        <v>7.35</v>
      </c>
      <c r="J123" s="20">
        <f>E123*I123</f>
        <v>0</v>
      </c>
      <c r="K123" s="13"/>
    </row>
    <row r="124" spans="1:11" ht="14.5" hidden="1" customHeight="1" x14ac:dyDescent="0.35">
      <c r="A124" s="103"/>
      <c r="B124" s="20" t="s">
        <v>4</v>
      </c>
      <c r="C124" s="18" t="s">
        <v>60</v>
      </c>
      <c r="D124" s="229"/>
      <c r="E124" s="170"/>
      <c r="F124" s="147"/>
      <c r="G124" s="153" t="str">
        <f t="shared" si="8"/>
        <v/>
      </c>
      <c r="H124" s="18" t="s">
        <v>20</v>
      </c>
      <c r="I124" s="335">
        <v>10.65</v>
      </c>
      <c r="J124" s="20">
        <f>E124*I124</f>
        <v>0</v>
      </c>
      <c r="K124" s="13"/>
    </row>
    <row r="125" spans="1:11" ht="15.65" hidden="1" customHeight="1" x14ac:dyDescent="0.35">
      <c r="A125" s="113" t="s">
        <v>40</v>
      </c>
      <c r="B125" s="124"/>
      <c r="C125" s="124"/>
      <c r="D125" s="230"/>
      <c r="E125" s="174"/>
      <c r="F125" s="148"/>
      <c r="G125" s="153" t="str">
        <f t="shared" si="8"/>
        <v/>
      </c>
      <c r="H125" s="124"/>
      <c r="I125" s="241"/>
      <c r="J125" s="125"/>
      <c r="K125" s="13"/>
    </row>
    <row r="126" spans="1:11" hidden="1" x14ac:dyDescent="0.35">
      <c r="A126" s="103"/>
      <c r="B126" s="20" t="s">
        <v>4</v>
      </c>
      <c r="C126" s="18" t="s">
        <v>299</v>
      </c>
      <c r="D126" s="229"/>
      <c r="E126" s="170"/>
      <c r="F126" s="147"/>
      <c r="G126" s="153" t="str">
        <f t="shared" si="8"/>
        <v/>
      </c>
      <c r="H126" s="18" t="s">
        <v>20</v>
      </c>
      <c r="I126" s="335">
        <v>1.31</v>
      </c>
      <c r="J126" s="12">
        <f t="shared" ref="J126:J137" si="11">E126*I126</f>
        <v>0</v>
      </c>
      <c r="K126" s="13"/>
    </row>
    <row r="127" spans="1:11" hidden="1" x14ac:dyDescent="0.35">
      <c r="A127" s="103"/>
      <c r="B127" s="12" t="s">
        <v>4</v>
      </c>
      <c r="C127" s="10" t="s">
        <v>300</v>
      </c>
      <c r="D127" s="152"/>
      <c r="E127" s="170"/>
      <c r="F127" s="95"/>
      <c r="G127" s="153" t="str">
        <f t="shared" si="8"/>
        <v/>
      </c>
      <c r="H127" s="10" t="s">
        <v>20</v>
      </c>
      <c r="I127" s="331">
        <v>1.31</v>
      </c>
      <c r="J127" s="12">
        <f t="shared" si="11"/>
        <v>0</v>
      </c>
    </row>
    <row r="128" spans="1:11" hidden="1" x14ac:dyDescent="0.35">
      <c r="A128" s="103"/>
      <c r="B128" s="20" t="s">
        <v>4</v>
      </c>
      <c r="C128" s="18" t="s">
        <v>301</v>
      </c>
      <c r="D128" s="229"/>
      <c r="E128" s="170"/>
      <c r="F128" s="147"/>
      <c r="G128" s="153" t="str">
        <f t="shared" si="8"/>
        <v/>
      </c>
      <c r="H128" s="18" t="s">
        <v>20</v>
      </c>
      <c r="I128" s="335">
        <v>1.4039999999999999</v>
      </c>
      <c r="J128" s="12">
        <f t="shared" si="11"/>
        <v>0</v>
      </c>
    </row>
    <row r="129" spans="1:11" hidden="1" x14ac:dyDescent="0.35">
      <c r="A129" s="103"/>
      <c r="B129" s="12" t="s">
        <v>4</v>
      </c>
      <c r="C129" s="10" t="s">
        <v>302</v>
      </c>
      <c r="D129" s="152"/>
      <c r="E129" s="170"/>
      <c r="F129" s="95"/>
      <c r="G129" s="153" t="str">
        <f t="shared" si="8"/>
        <v/>
      </c>
      <c r="H129" s="10" t="s">
        <v>20</v>
      </c>
      <c r="I129" s="331">
        <v>1.4039999999999999</v>
      </c>
      <c r="J129" s="12">
        <f t="shared" si="11"/>
        <v>0</v>
      </c>
    </row>
    <row r="130" spans="1:11" hidden="1" x14ac:dyDescent="0.35">
      <c r="A130" s="103"/>
      <c r="B130" s="12" t="s">
        <v>4</v>
      </c>
      <c r="C130" s="10" t="s">
        <v>303</v>
      </c>
      <c r="D130" s="152"/>
      <c r="E130" s="170"/>
      <c r="F130" s="95"/>
      <c r="G130" s="153" t="str">
        <f t="shared" si="8"/>
        <v/>
      </c>
      <c r="H130" s="10" t="s">
        <v>20</v>
      </c>
      <c r="I130" s="331">
        <v>1.53</v>
      </c>
      <c r="J130" s="12">
        <f t="shared" si="11"/>
        <v>0</v>
      </c>
    </row>
    <row r="131" spans="1:11" hidden="1" x14ac:dyDescent="0.35">
      <c r="A131" s="103"/>
      <c r="B131" s="12" t="s">
        <v>4</v>
      </c>
      <c r="C131" s="10" t="s">
        <v>304</v>
      </c>
      <c r="D131" s="152"/>
      <c r="E131" s="170"/>
      <c r="F131" s="95"/>
      <c r="G131" s="153" t="str">
        <f t="shared" si="8"/>
        <v/>
      </c>
      <c r="H131" s="10" t="s">
        <v>20</v>
      </c>
      <c r="I131" s="331">
        <v>1.65</v>
      </c>
      <c r="J131" s="12">
        <f t="shared" si="11"/>
        <v>0</v>
      </c>
    </row>
    <row r="132" spans="1:11" hidden="1" x14ac:dyDescent="0.35">
      <c r="A132" s="103"/>
      <c r="B132" s="12" t="s">
        <v>4</v>
      </c>
      <c r="C132" s="10" t="s">
        <v>83</v>
      </c>
      <c r="D132" s="152"/>
      <c r="E132" s="170"/>
      <c r="F132" s="95"/>
      <c r="G132" s="153" t="str">
        <f t="shared" si="8"/>
        <v/>
      </c>
      <c r="H132" s="10" t="s">
        <v>20</v>
      </c>
      <c r="I132" s="331">
        <v>1.04</v>
      </c>
      <c r="J132" s="12">
        <f t="shared" si="11"/>
        <v>0</v>
      </c>
    </row>
    <row r="133" spans="1:11" hidden="1" x14ac:dyDescent="0.35">
      <c r="A133" s="103"/>
      <c r="B133" s="12" t="s">
        <v>4</v>
      </c>
      <c r="C133" s="10" t="s">
        <v>305</v>
      </c>
      <c r="D133" s="152"/>
      <c r="E133" s="170"/>
      <c r="F133" s="95"/>
      <c r="G133" s="153" t="str">
        <f t="shared" si="8"/>
        <v/>
      </c>
      <c r="H133" s="10" t="s">
        <v>20</v>
      </c>
      <c r="I133" s="331">
        <v>1.04</v>
      </c>
      <c r="J133" s="12">
        <f t="shared" si="11"/>
        <v>0</v>
      </c>
    </row>
    <row r="134" spans="1:11" ht="14.5" hidden="1" customHeight="1" x14ac:dyDescent="0.35">
      <c r="A134" s="103"/>
      <c r="B134" s="12" t="s">
        <v>4</v>
      </c>
      <c r="C134" s="10" t="s">
        <v>306</v>
      </c>
      <c r="D134" s="152"/>
      <c r="E134" s="170"/>
      <c r="F134" s="95"/>
      <c r="G134" s="153" t="str">
        <f t="shared" si="8"/>
        <v/>
      </c>
      <c r="H134" s="10" t="s">
        <v>20</v>
      </c>
      <c r="I134" s="331">
        <v>1.06</v>
      </c>
      <c r="J134" s="12">
        <f t="shared" si="11"/>
        <v>0</v>
      </c>
    </row>
    <row r="135" spans="1:11" ht="14.5" hidden="1" customHeight="1" x14ac:dyDescent="0.35">
      <c r="A135" s="103"/>
      <c r="B135" s="12" t="s">
        <v>4</v>
      </c>
      <c r="C135" s="10" t="s">
        <v>307</v>
      </c>
      <c r="D135" s="152"/>
      <c r="E135" s="170"/>
      <c r="F135" s="95"/>
      <c r="G135" s="153" t="str">
        <f t="shared" si="8"/>
        <v/>
      </c>
      <c r="H135" s="10" t="s">
        <v>20</v>
      </c>
      <c r="I135" s="331">
        <v>1.06</v>
      </c>
      <c r="J135" s="12">
        <f t="shared" si="11"/>
        <v>0</v>
      </c>
    </row>
    <row r="136" spans="1:11" ht="14.5" hidden="1" customHeight="1" x14ac:dyDescent="0.35">
      <c r="A136" s="103"/>
      <c r="B136" s="12" t="s">
        <v>4</v>
      </c>
      <c r="C136" s="10" t="s">
        <v>308</v>
      </c>
      <c r="D136" s="152"/>
      <c r="E136" s="170"/>
      <c r="F136" s="95"/>
      <c r="G136" s="153" t="str">
        <f t="shared" si="8"/>
        <v/>
      </c>
      <c r="H136" s="10" t="s">
        <v>20</v>
      </c>
      <c r="I136" s="331">
        <v>1.2869999999999999</v>
      </c>
      <c r="J136" s="12">
        <f t="shared" si="11"/>
        <v>0</v>
      </c>
    </row>
    <row r="137" spans="1:11" ht="15.65" hidden="1" customHeight="1" x14ac:dyDescent="0.35">
      <c r="A137" s="103"/>
      <c r="B137" s="12" t="s">
        <v>4</v>
      </c>
      <c r="C137" s="10" t="s">
        <v>309</v>
      </c>
      <c r="D137" s="152"/>
      <c r="E137" s="170"/>
      <c r="F137" s="95"/>
      <c r="G137" s="153" t="str">
        <f t="shared" si="8"/>
        <v/>
      </c>
      <c r="H137" s="10" t="s">
        <v>20</v>
      </c>
      <c r="I137" s="331">
        <v>1.59</v>
      </c>
      <c r="J137" s="12">
        <f t="shared" si="11"/>
        <v>0</v>
      </c>
      <c r="K137" s="13"/>
    </row>
    <row r="138" spans="1:11" hidden="1" x14ac:dyDescent="0.35">
      <c r="A138" s="113" t="s">
        <v>310</v>
      </c>
      <c r="B138" s="124"/>
      <c r="C138" s="124"/>
      <c r="D138" s="230"/>
      <c r="E138" s="174"/>
      <c r="F138" s="148"/>
      <c r="G138" s="153" t="str">
        <f t="shared" si="8"/>
        <v/>
      </c>
      <c r="H138" s="124"/>
      <c r="I138" s="241"/>
      <c r="J138" s="125"/>
    </row>
    <row r="139" spans="1:11" hidden="1" x14ac:dyDescent="0.35">
      <c r="A139" s="103"/>
      <c r="B139" s="12" t="s">
        <v>4</v>
      </c>
      <c r="C139" s="10" t="s">
        <v>311</v>
      </c>
      <c r="D139" s="152"/>
      <c r="E139" s="170"/>
      <c r="F139" s="95"/>
      <c r="G139" s="153" t="str">
        <f t="shared" si="8"/>
        <v/>
      </c>
      <c r="H139" s="10" t="s">
        <v>20</v>
      </c>
      <c r="I139" s="331">
        <v>1.1000000000000001</v>
      </c>
      <c r="J139" s="12">
        <f t="shared" ref="J139:J149" si="12">E139*I139</f>
        <v>0</v>
      </c>
    </row>
    <row r="140" spans="1:11" hidden="1" x14ac:dyDescent="0.35">
      <c r="A140" s="103"/>
      <c r="B140" s="12" t="s">
        <v>4</v>
      </c>
      <c r="C140" s="10" t="s">
        <v>312</v>
      </c>
      <c r="D140" s="152"/>
      <c r="E140" s="170"/>
      <c r="F140" s="95"/>
      <c r="G140" s="153" t="str">
        <f t="shared" si="8"/>
        <v/>
      </c>
      <c r="H140" s="10" t="s">
        <v>20</v>
      </c>
      <c r="I140" s="331">
        <v>1.1000000000000001</v>
      </c>
      <c r="J140" s="12">
        <f t="shared" si="12"/>
        <v>0</v>
      </c>
    </row>
    <row r="141" spans="1:11" hidden="1" x14ac:dyDescent="0.35">
      <c r="A141" s="103"/>
      <c r="B141" s="12" t="s">
        <v>4</v>
      </c>
      <c r="C141" s="10" t="s">
        <v>313</v>
      </c>
      <c r="D141" s="152"/>
      <c r="E141" s="170"/>
      <c r="F141" s="95"/>
      <c r="G141" s="153" t="str">
        <f t="shared" si="8"/>
        <v/>
      </c>
      <c r="H141" s="10" t="s">
        <v>20</v>
      </c>
      <c r="I141" s="331">
        <v>1.3</v>
      </c>
      <c r="J141" s="12">
        <f t="shared" si="12"/>
        <v>0</v>
      </c>
    </row>
    <row r="142" spans="1:11" ht="14.5" hidden="1" customHeight="1" x14ac:dyDescent="0.35">
      <c r="A142" s="103"/>
      <c r="B142" s="12" t="s">
        <v>4</v>
      </c>
      <c r="C142" s="10" t="s">
        <v>314</v>
      </c>
      <c r="D142" s="152"/>
      <c r="E142" s="170"/>
      <c r="F142" s="95"/>
      <c r="G142" s="153" t="str">
        <f t="shared" si="8"/>
        <v/>
      </c>
      <c r="H142" s="10" t="s">
        <v>20</v>
      </c>
      <c r="I142" s="331">
        <v>1.36</v>
      </c>
      <c r="J142" s="12">
        <f t="shared" si="12"/>
        <v>0</v>
      </c>
    </row>
    <row r="143" spans="1:11" ht="14.5" hidden="1" customHeight="1" x14ac:dyDescent="0.35">
      <c r="A143" s="103"/>
      <c r="B143" s="12" t="s">
        <v>4</v>
      </c>
      <c r="C143" s="10" t="s">
        <v>315</v>
      </c>
      <c r="D143" s="152"/>
      <c r="E143" s="170"/>
      <c r="F143" s="95"/>
      <c r="G143" s="153" t="str">
        <f t="shared" si="8"/>
        <v/>
      </c>
      <c r="H143" s="10" t="s">
        <v>20</v>
      </c>
      <c r="I143" s="331">
        <v>1.3</v>
      </c>
      <c r="J143" s="12">
        <f t="shared" si="12"/>
        <v>0</v>
      </c>
    </row>
    <row r="144" spans="1:11" ht="15.65" hidden="1" customHeight="1" x14ac:dyDescent="0.35">
      <c r="A144" s="103"/>
      <c r="B144" s="12" t="s">
        <v>4</v>
      </c>
      <c r="C144" s="10" t="s">
        <v>316</v>
      </c>
      <c r="D144" s="152"/>
      <c r="E144" s="170"/>
      <c r="F144" s="95"/>
      <c r="G144" s="153" t="str">
        <f t="shared" si="8"/>
        <v/>
      </c>
      <c r="H144" s="10" t="s">
        <v>20</v>
      </c>
      <c r="I144" s="331">
        <v>1.35</v>
      </c>
      <c r="J144" s="12">
        <f t="shared" si="12"/>
        <v>0</v>
      </c>
      <c r="K144" s="13"/>
    </row>
    <row r="145" spans="1:11" hidden="1" x14ac:dyDescent="0.35">
      <c r="A145" s="103"/>
      <c r="B145" s="12" t="s">
        <v>4</v>
      </c>
      <c r="C145" s="10" t="s">
        <v>317</v>
      </c>
      <c r="D145" s="152"/>
      <c r="E145" s="170"/>
      <c r="F145" s="95"/>
      <c r="G145" s="153" t="str">
        <f t="shared" si="8"/>
        <v/>
      </c>
      <c r="H145" s="10" t="s">
        <v>20</v>
      </c>
      <c r="I145" s="331">
        <v>1.28</v>
      </c>
      <c r="J145" s="12">
        <f t="shared" si="12"/>
        <v>0</v>
      </c>
    </row>
    <row r="146" spans="1:11" hidden="1" x14ac:dyDescent="0.35">
      <c r="A146" s="103"/>
      <c r="B146" s="12" t="s">
        <v>4</v>
      </c>
      <c r="C146" s="10" t="s">
        <v>318</v>
      </c>
      <c r="D146" s="152"/>
      <c r="E146" s="170"/>
      <c r="F146" s="95"/>
      <c r="G146" s="153" t="str">
        <f t="shared" si="8"/>
        <v/>
      </c>
      <c r="H146" s="10" t="s">
        <v>20</v>
      </c>
      <c r="I146" s="331">
        <v>1.1000000000000001</v>
      </c>
      <c r="J146" s="12">
        <f t="shared" si="12"/>
        <v>0</v>
      </c>
    </row>
    <row r="147" spans="1:11" hidden="1" x14ac:dyDescent="0.35">
      <c r="A147" s="103"/>
      <c r="B147" s="12" t="s">
        <v>4</v>
      </c>
      <c r="C147" s="10" t="s">
        <v>319</v>
      </c>
      <c r="D147" s="152"/>
      <c r="E147" s="170"/>
      <c r="F147" s="95"/>
      <c r="G147" s="153" t="str">
        <f t="shared" si="8"/>
        <v/>
      </c>
      <c r="H147" s="10" t="s">
        <v>20</v>
      </c>
      <c r="I147" s="331">
        <v>1.1000000000000001</v>
      </c>
      <c r="J147" s="12">
        <f t="shared" si="12"/>
        <v>0</v>
      </c>
    </row>
    <row r="148" spans="1:11" hidden="1" x14ac:dyDescent="0.35">
      <c r="A148" s="103"/>
      <c r="B148" s="12" t="s">
        <v>4</v>
      </c>
      <c r="C148" s="10" t="s">
        <v>320</v>
      </c>
      <c r="D148" s="152"/>
      <c r="E148" s="170"/>
      <c r="F148" s="95"/>
      <c r="G148" s="153" t="str">
        <f t="shared" si="8"/>
        <v/>
      </c>
      <c r="H148" s="10" t="s">
        <v>20</v>
      </c>
      <c r="I148" s="331">
        <v>1.1000000000000001</v>
      </c>
      <c r="J148" s="12">
        <f t="shared" si="12"/>
        <v>0</v>
      </c>
    </row>
    <row r="149" spans="1:11" hidden="1" x14ac:dyDescent="0.35">
      <c r="A149" s="103"/>
      <c r="B149" s="12" t="s">
        <v>4</v>
      </c>
      <c r="C149" s="10" t="s">
        <v>321</v>
      </c>
      <c r="D149" s="152"/>
      <c r="E149" s="170"/>
      <c r="F149" s="95"/>
      <c r="G149" s="153" t="str">
        <f t="shared" si="8"/>
        <v/>
      </c>
      <c r="H149" s="10" t="s">
        <v>20</v>
      </c>
      <c r="I149" s="331">
        <v>1.1000000000000001</v>
      </c>
      <c r="J149" s="12">
        <f t="shared" si="12"/>
        <v>0</v>
      </c>
    </row>
    <row r="150" spans="1:11" x14ac:dyDescent="0.35">
      <c r="A150" s="113" t="s">
        <v>41</v>
      </c>
      <c r="B150" s="124"/>
      <c r="C150" s="124"/>
      <c r="D150" s="230"/>
      <c r="E150" s="174"/>
      <c r="F150" s="148"/>
      <c r="G150" s="165" t="str">
        <f t="shared" si="8"/>
        <v/>
      </c>
      <c r="H150" s="124"/>
      <c r="I150" s="241"/>
      <c r="J150" s="125"/>
    </row>
    <row r="151" spans="1:11" x14ac:dyDescent="0.35">
      <c r="A151" s="103"/>
      <c r="B151" s="12" t="s">
        <v>4</v>
      </c>
      <c r="C151" s="10" t="s">
        <v>24</v>
      </c>
      <c r="D151" s="152">
        <v>30</v>
      </c>
      <c r="E151" s="170">
        <v>298</v>
      </c>
      <c r="F151" s="95"/>
      <c r="G151" s="153" t="str">
        <f t="shared" si="8"/>
        <v/>
      </c>
      <c r="H151" s="10" t="s">
        <v>20</v>
      </c>
      <c r="I151" s="331">
        <v>3.04</v>
      </c>
      <c r="J151" s="12">
        <f t="shared" ref="J151:J164" si="13">E151*I151</f>
        <v>905.92</v>
      </c>
      <c r="K151" s="13"/>
    </row>
    <row r="152" spans="1:11" x14ac:dyDescent="0.35">
      <c r="A152" s="103"/>
      <c r="B152" s="12" t="s">
        <v>4</v>
      </c>
      <c r="C152" s="10" t="s">
        <v>80</v>
      </c>
      <c r="D152" s="152">
        <v>60</v>
      </c>
      <c r="E152" s="170">
        <v>324</v>
      </c>
      <c r="F152" s="95"/>
      <c r="G152" s="153" t="str">
        <f t="shared" si="8"/>
        <v/>
      </c>
      <c r="H152" s="10" t="s">
        <v>20</v>
      </c>
      <c r="I152" s="331">
        <v>2.31</v>
      </c>
      <c r="J152" s="12">
        <f t="shared" si="13"/>
        <v>748.44</v>
      </c>
    </row>
    <row r="153" spans="1:11" ht="15.65" customHeight="1" x14ac:dyDescent="0.35">
      <c r="A153" s="103"/>
      <c r="B153" s="12" t="s">
        <v>4</v>
      </c>
      <c r="C153" s="10" t="s">
        <v>84</v>
      </c>
      <c r="D153" s="152">
        <v>30</v>
      </c>
      <c r="E153" s="170">
        <v>38</v>
      </c>
      <c r="F153" s="95"/>
      <c r="G153" s="153" t="str">
        <f t="shared" ref="G153:G223" si="14">IF(E153="","",IF(D153-E153&gt;0,D153-E153,""))</f>
        <v/>
      </c>
      <c r="H153" s="10" t="s">
        <v>20</v>
      </c>
      <c r="I153" s="331">
        <v>2.31</v>
      </c>
      <c r="J153" s="12">
        <f t="shared" si="13"/>
        <v>87.78</v>
      </c>
    </row>
    <row r="154" spans="1:11" ht="14.5" hidden="1" customHeight="1" x14ac:dyDescent="0.35">
      <c r="A154" s="103"/>
      <c r="B154" s="12" t="s">
        <v>4</v>
      </c>
      <c r="C154" s="10" t="s">
        <v>394</v>
      </c>
      <c r="D154" s="152"/>
      <c r="E154" s="170"/>
      <c r="F154" s="95"/>
      <c r="G154" s="153" t="str">
        <f t="shared" si="14"/>
        <v/>
      </c>
      <c r="H154" s="10" t="s">
        <v>20</v>
      </c>
      <c r="I154" s="331">
        <v>2.54</v>
      </c>
      <c r="J154" s="12">
        <f t="shared" si="13"/>
        <v>0</v>
      </c>
    </row>
    <row r="155" spans="1:11" ht="14.5" hidden="1" customHeight="1" x14ac:dyDescent="0.35">
      <c r="A155" s="103"/>
      <c r="B155" s="12" t="s">
        <v>4</v>
      </c>
      <c r="C155" s="10" t="s">
        <v>394</v>
      </c>
      <c r="D155" s="152"/>
      <c r="E155" s="170"/>
      <c r="F155" s="95"/>
      <c r="G155" s="153" t="str">
        <f t="shared" si="14"/>
        <v/>
      </c>
      <c r="H155" s="10" t="s">
        <v>20</v>
      </c>
      <c r="I155" s="331">
        <v>2.54</v>
      </c>
      <c r="J155" s="12">
        <f t="shared" si="13"/>
        <v>0</v>
      </c>
    </row>
    <row r="156" spans="1:11" ht="14.5" customHeight="1" x14ac:dyDescent="0.35">
      <c r="A156" s="103"/>
      <c r="B156" s="12" t="s">
        <v>4</v>
      </c>
      <c r="C156" s="10" t="s">
        <v>25</v>
      </c>
      <c r="D156" s="152">
        <v>30</v>
      </c>
      <c r="E156" s="170">
        <v>36</v>
      </c>
      <c r="F156" s="95"/>
      <c r="G156" s="153" t="str">
        <f t="shared" si="14"/>
        <v/>
      </c>
      <c r="H156" s="10" t="s">
        <v>20</v>
      </c>
      <c r="I156" s="331">
        <v>1.79</v>
      </c>
      <c r="J156" s="12">
        <f t="shared" si="13"/>
        <v>64.44</v>
      </c>
      <c r="K156" s="13"/>
    </row>
    <row r="157" spans="1:11" ht="15.65" hidden="1" customHeight="1" x14ac:dyDescent="0.35">
      <c r="A157" s="103"/>
      <c r="B157" s="12" t="s">
        <v>4</v>
      </c>
      <c r="C157" s="10" t="s">
        <v>322</v>
      </c>
      <c r="D157" s="152"/>
      <c r="E157" s="170"/>
      <c r="F157" s="95"/>
      <c r="G157" s="153" t="str">
        <f t="shared" si="14"/>
        <v/>
      </c>
      <c r="H157" s="10" t="s">
        <v>20</v>
      </c>
      <c r="I157" s="331">
        <v>2.46</v>
      </c>
      <c r="J157" s="12">
        <f t="shared" si="13"/>
        <v>0</v>
      </c>
    </row>
    <row r="158" spans="1:11" x14ac:dyDescent="0.35">
      <c r="A158" s="103"/>
      <c r="B158" s="12" t="s">
        <v>4</v>
      </c>
      <c r="C158" s="10" t="s">
        <v>393</v>
      </c>
      <c r="D158" s="152">
        <v>60</v>
      </c>
      <c r="E158" s="170">
        <v>140</v>
      </c>
      <c r="F158" s="95"/>
      <c r="G158" s="153" t="str">
        <f t="shared" si="14"/>
        <v/>
      </c>
      <c r="H158" s="10" t="s">
        <v>20</v>
      </c>
      <c r="I158" s="331">
        <v>2.46</v>
      </c>
      <c r="J158" s="12">
        <f t="shared" si="13"/>
        <v>344.4</v>
      </c>
    </row>
    <row r="159" spans="1:11" hidden="1" x14ac:dyDescent="0.35">
      <c r="A159" s="103"/>
      <c r="B159" s="12" t="s">
        <v>4</v>
      </c>
      <c r="C159" s="10" t="s">
        <v>43</v>
      </c>
      <c r="D159" s="152"/>
      <c r="E159" s="170"/>
      <c r="F159" s="95"/>
      <c r="G159" s="153" t="str">
        <f t="shared" si="14"/>
        <v/>
      </c>
      <c r="H159" s="10" t="s">
        <v>20</v>
      </c>
      <c r="I159" s="331">
        <v>2.5499999999999998</v>
      </c>
      <c r="J159" s="12">
        <f t="shared" si="13"/>
        <v>0</v>
      </c>
    </row>
    <row r="160" spans="1:11" ht="14.5" customHeight="1" x14ac:dyDescent="0.35">
      <c r="A160" s="103"/>
      <c r="B160" s="12" t="s">
        <v>4</v>
      </c>
      <c r="C160" s="10" t="s">
        <v>81</v>
      </c>
      <c r="D160" s="152">
        <v>60</v>
      </c>
      <c r="E160" s="170">
        <v>476</v>
      </c>
      <c r="F160" s="95"/>
      <c r="G160" s="153" t="str">
        <f t="shared" si="14"/>
        <v/>
      </c>
      <c r="H160" s="10" t="s">
        <v>20</v>
      </c>
      <c r="I160" s="331">
        <v>1.51</v>
      </c>
      <c r="J160" s="12">
        <f t="shared" si="13"/>
        <v>718.76</v>
      </c>
      <c r="K160" s="13"/>
    </row>
    <row r="161" spans="1:11" ht="15.65" customHeight="1" x14ac:dyDescent="0.35">
      <c r="A161" s="103"/>
      <c r="B161" s="12" t="s">
        <v>4</v>
      </c>
      <c r="C161" s="10" t="s">
        <v>82</v>
      </c>
      <c r="D161" s="152">
        <v>60</v>
      </c>
      <c r="E161" s="170">
        <v>404</v>
      </c>
      <c r="F161" s="95"/>
      <c r="G161" s="153" t="str">
        <f t="shared" si="14"/>
        <v/>
      </c>
      <c r="H161" s="10" t="s">
        <v>20</v>
      </c>
      <c r="I161" s="331">
        <v>1.51</v>
      </c>
      <c r="J161" s="12">
        <f t="shared" si="13"/>
        <v>610.04</v>
      </c>
    </row>
    <row r="162" spans="1:11" hidden="1" x14ac:dyDescent="0.35">
      <c r="A162" s="103"/>
      <c r="B162" s="12" t="s">
        <v>4</v>
      </c>
      <c r="C162" s="10" t="s">
        <v>323</v>
      </c>
      <c r="D162" s="152"/>
      <c r="E162" s="170"/>
      <c r="F162" s="95"/>
      <c r="G162" s="153" t="str">
        <f t="shared" si="14"/>
        <v/>
      </c>
      <c r="H162" s="10" t="s">
        <v>20</v>
      </c>
      <c r="I162" s="331">
        <v>1.54</v>
      </c>
      <c r="J162" s="12">
        <f t="shared" si="13"/>
        <v>0</v>
      </c>
    </row>
    <row r="163" spans="1:11" ht="14.5" hidden="1" customHeight="1" x14ac:dyDescent="0.35">
      <c r="A163" s="103"/>
      <c r="B163" s="12" t="s">
        <v>4</v>
      </c>
      <c r="C163" s="10" t="s">
        <v>324</v>
      </c>
      <c r="D163" s="152"/>
      <c r="E163" s="170"/>
      <c r="F163" s="95"/>
      <c r="G163" s="153" t="str">
        <f t="shared" si="14"/>
        <v/>
      </c>
      <c r="H163" s="10" t="s">
        <v>20</v>
      </c>
      <c r="I163" s="331">
        <v>1.6</v>
      </c>
      <c r="J163" s="12">
        <f t="shared" si="13"/>
        <v>0</v>
      </c>
    </row>
    <row r="164" spans="1:11" ht="14.5" hidden="1" customHeight="1" x14ac:dyDescent="0.35">
      <c r="A164" s="103"/>
      <c r="B164" s="12" t="s">
        <v>4</v>
      </c>
      <c r="C164" s="78" t="s">
        <v>325</v>
      </c>
      <c r="D164" s="224"/>
      <c r="E164" s="170"/>
      <c r="F164" s="142"/>
      <c r="G164" s="153" t="str">
        <f t="shared" si="14"/>
        <v/>
      </c>
      <c r="H164" s="10" t="s">
        <v>20</v>
      </c>
      <c r="I164" s="333">
        <v>49.95</v>
      </c>
      <c r="J164" s="12">
        <f t="shared" si="13"/>
        <v>0</v>
      </c>
    </row>
    <row r="165" spans="1:11" ht="14.5" customHeight="1" x14ac:dyDescent="0.35">
      <c r="A165" s="113" t="s">
        <v>44</v>
      </c>
      <c r="B165" s="124"/>
      <c r="C165" s="124"/>
      <c r="D165" s="230"/>
      <c r="E165" s="174"/>
      <c r="F165" s="148"/>
      <c r="G165" s="165" t="str">
        <f t="shared" si="14"/>
        <v/>
      </c>
      <c r="H165" s="124"/>
      <c r="I165" s="241"/>
      <c r="J165" s="125"/>
    </row>
    <row r="166" spans="1:11" x14ac:dyDescent="0.35">
      <c r="A166" s="103"/>
      <c r="B166" s="12" t="s">
        <v>4</v>
      </c>
      <c r="C166" s="10" t="s">
        <v>48</v>
      </c>
      <c r="D166" s="152">
        <v>10</v>
      </c>
      <c r="E166" s="170">
        <v>11</v>
      </c>
      <c r="F166" s="95"/>
      <c r="G166" s="153" t="str">
        <f t="shared" si="14"/>
        <v/>
      </c>
      <c r="H166" s="10" t="s">
        <v>20</v>
      </c>
      <c r="I166" s="331">
        <v>1.94</v>
      </c>
      <c r="J166" s="12">
        <f t="shared" ref="J166:J175" si="15">E166*I166</f>
        <v>21.34</v>
      </c>
    </row>
    <row r="167" spans="1:11" x14ac:dyDescent="0.35">
      <c r="A167" s="103"/>
      <c r="B167" s="12" t="s">
        <v>4</v>
      </c>
      <c r="C167" s="10" t="s">
        <v>49</v>
      </c>
      <c r="D167" s="152">
        <v>10</v>
      </c>
      <c r="E167" s="170">
        <v>3</v>
      </c>
      <c r="F167" s="95"/>
      <c r="G167" s="153">
        <f t="shared" si="14"/>
        <v>7</v>
      </c>
      <c r="H167" s="10" t="s">
        <v>20</v>
      </c>
      <c r="I167" s="331">
        <v>1.94</v>
      </c>
      <c r="J167" s="12">
        <f t="shared" si="15"/>
        <v>5.82</v>
      </c>
    </row>
    <row r="168" spans="1:11" x14ac:dyDescent="0.35">
      <c r="A168" s="103"/>
      <c r="B168" s="12" t="s">
        <v>4</v>
      </c>
      <c r="C168" s="10" t="s">
        <v>50</v>
      </c>
      <c r="D168" s="152">
        <v>10</v>
      </c>
      <c r="E168" s="170">
        <v>40</v>
      </c>
      <c r="F168" s="95"/>
      <c r="G168" s="153" t="str">
        <f t="shared" si="14"/>
        <v/>
      </c>
      <c r="H168" s="10" t="s">
        <v>20</v>
      </c>
      <c r="I168" s="331">
        <v>1.94</v>
      </c>
      <c r="J168" s="12">
        <f t="shared" si="15"/>
        <v>77.599999999999994</v>
      </c>
    </row>
    <row r="169" spans="1:11" hidden="1" x14ac:dyDescent="0.35">
      <c r="A169" s="103"/>
      <c r="B169" s="12" t="s">
        <v>4</v>
      </c>
      <c r="C169" s="10" t="s">
        <v>415</v>
      </c>
      <c r="D169" s="152"/>
      <c r="E169" s="170"/>
      <c r="F169" s="95"/>
      <c r="G169" s="153" t="str">
        <f t="shared" si="14"/>
        <v/>
      </c>
      <c r="H169" s="10" t="s">
        <v>20</v>
      </c>
      <c r="I169" s="331">
        <v>1.98</v>
      </c>
      <c r="J169" s="12">
        <f t="shared" si="15"/>
        <v>0</v>
      </c>
    </row>
    <row r="170" spans="1:11" ht="14.5" hidden="1" customHeight="1" x14ac:dyDescent="0.35">
      <c r="A170" s="103"/>
      <c r="B170" s="12" t="s">
        <v>4</v>
      </c>
      <c r="C170" s="10" t="s">
        <v>414</v>
      </c>
      <c r="D170" s="152"/>
      <c r="E170" s="170"/>
      <c r="F170" s="95"/>
      <c r="G170" s="153" t="str">
        <f t="shared" si="14"/>
        <v/>
      </c>
      <c r="H170" s="10" t="s">
        <v>20</v>
      </c>
      <c r="I170" s="331">
        <v>1.98</v>
      </c>
      <c r="J170" s="12">
        <f t="shared" si="15"/>
        <v>0</v>
      </c>
    </row>
    <row r="171" spans="1:11" ht="14.5" hidden="1" customHeight="1" x14ac:dyDescent="0.35">
      <c r="A171" s="103"/>
      <c r="B171" s="12" t="s">
        <v>4</v>
      </c>
      <c r="C171" s="10" t="s">
        <v>328</v>
      </c>
      <c r="D171" s="152"/>
      <c r="E171" s="170"/>
      <c r="F171" s="95"/>
      <c r="G171" s="153" t="str">
        <f t="shared" si="14"/>
        <v/>
      </c>
      <c r="H171" s="10" t="s">
        <v>20</v>
      </c>
      <c r="I171" s="331">
        <v>1.98</v>
      </c>
      <c r="J171" s="12">
        <f t="shared" si="15"/>
        <v>0</v>
      </c>
    </row>
    <row r="172" spans="1:11" hidden="1" x14ac:dyDescent="0.35">
      <c r="A172" s="103"/>
      <c r="B172" s="12" t="s">
        <v>4</v>
      </c>
      <c r="C172" s="10" t="s">
        <v>329</v>
      </c>
      <c r="D172" s="152"/>
      <c r="E172" s="170"/>
      <c r="F172" s="95"/>
      <c r="G172" s="153" t="str">
        <f t="shared" si="14"/>
        <v/>
      </c>
      <c r="H172" s="10" t="s">
        <v>20</v>
      </c>
      <c r="I172" s="331">
        <v>1.98</v>
      </c>
      <c r="J172" s="12">
        <f t="shared" si="15"/>
        <v>0</v>
      </c>
    </row>
    <row r="173" spans="1:11" ht="14.5" hidden="1" customHeight="1" x14ac:dyDescent="0.35">
      <c r="A173" s="103"/>
      <c r="B173" s="40" t="s">
        <v>4</v>
      </c>
      <c r="C173" s="41" t="s">
        <v>330</v>
      </c>
      <c r="D173" s="227"/>
      <c r="E173" s="170"/>
      <c r="F173" s="145"/>
      <c r="G173" s="153" t="str">
        <f t="shared" si="14"/>
        <v/>
      </c>
      <c r="H173" s="10" t="s">
        <v>20</v>
      </c>
      <c r="I173" s="331">
        <v>1.98</v>
      </c>
      <c r="J173" s="12">
        <f t="shared" si="15"/>
        <v>0</v>
      </c>
    </row>
    <row r="174" spans="1:11" ht="14.5" hidden="1" customHeight="1" x14ac:dyDescent="0.35">
      <c r="A174" s="103"/>
      <c r="B174" s="40" t="s">
        <v>4</v>
      </c>
      <c r="C174" s="41" t="s">
        <v>331</v>
      </c>
      <c r="D174" s="227"/>
      <c r="E174" s="170"/>
      <c r="F174" s="145"/>
      <c r="G174" s="153" t="str">
        <f t="shared" si="14"/>
        <v/>
      </c>
      <c r="H174" s="10" t="s">
        <v>20</v>
      </c>
      <c r="I174" s="331">
        <v>1.98</v>
      </c>
      <c r="J174" s="12">
        <f t="shared" si="15"/>
        <v>0</v>
      </c>
    </row>
    <row r="175" spans="1:11" ht="14.5" hidden="1" customHeight="1" x14ac:dyDescent="0.35">
      <c r="A175" s="103"/>
      <c r="B175" s="40" t="s">
        <v>4</v>
      </c>
      <c r="C175" s="41" t="s">
        <v>413</v>
      </c>
      <c r="D175" s="227"/>
      <c r="E175" s="170"/>
      <c r="F175" s="145"/>
      <c r="G175" s="153" t="str">
        <f t="shared" si="14"/>
        <v/>
      </c>
      <c r="H175" s="41" t="s">
        <v>20</v>
      </c>
      <c r="I175" s="334">
        <v>1.98</v>
      </c>
      <c r="J175" s="12">
        <f t="shared" si="15"/>
        <v>0</v>
      </c>
    </row>
    <row r="176" spans="1:11" ht="15.5" hidden="1" x14ac:dyDescent="0.35">
      <c r="A176" s="114" t="s">
        <v>333</v>
      </c>
      <c r="B176" s="120"/>
      <c r="C176" s="120"/>
      <c r="D176" s="228"/>
      <c r="E176" s="175"/>
      <c r="F176" s="149"/>
      <c r="G176" s="153" t="str">
        <f t="shared" si="14"/>
        <v/>
      </c>
      <c r="H176" s="121"/>
      <c r="I176" s="122" t="s">
        <v>18</v>
      </c>
      <c r="J176" s="123">
        <f>SUM(J177:J186)</f>
        <v>0</v>
      </c>
      <c r="K176" s="13"/>
    </row>
    <row r="177" spans="1:14" hidden="1" x14ac:dyDescent="0.35">
      <c r="A177" s="103"/>
      <c r="B177" s="12" t="s">
        <v>26</v>
      </c>
      <c r="C177" s="10" t="s">
        <v>334</v>
      </c>
      <c r="D177" s="152"/>
      <c r="E177" s="170"/>
      <c r="F177" s="95"/>
      <c r="G177" s="153" t="str">
        <f t="shared" si="14"/>
        <v/>
      </c>
      <c r="H177" s="10" t="s">
        <v>335</v>
      </c>
      <c r="I177" s="331">
        <v>20</v>
      </c>
      <c r="J177" s="12">
        <f t="shared" ref="J177:J186" si="16">E177*I177</f>
        <v>0</v>
      </c>
    </row>
    <row r="178" spans="1:14" hidden="1" x14ac:dyDescent="0.35">
      <c r="A178" s="103"/>
      <c r="B178" s="20" t="s">
        <v>26</v>
      </c>
      <c r="C178" s="18" t="s">
        <v>53</v>
      </c>
      <c r="D178" s="229"/>
      <c r="E178" s="170"/>
      <c r="F178" s="147"/>
      <c r="G178" s="153" t="str">
        <f t="shared" si="14"/>
        <v/>
      </c>
      <c r="H178" s="18" t="s">
        <v>20</v>
      </c>
      <c r="I178" s="335">
        <v>0.43</v>
      </c>
      <c r="J178" s="20">
        <f t="shared" si="16"/>
        <v>0</v>
      </c>
      <c r="N178" t="s">
        <v>47</v>
      </c>
    </row>
    <row r="179" spans="1:14" hidden="1" x14ac:dyDescent="0.35">
      <c r="A179" s="103"/>
      <c r="B179" s="20" t="s">
        <v>26</v>
      </c>
      <c r="C179" s="18" t="s">
        <v>336</v>
      </c>
      <c r="D179" s="229"/>
      <c r="E179" s="170"/>
      <c r="F179" s="147"/>
      <c r="G179" s="153" t="str">
        <f t="shared" si="14"/>
        <v/>
      </c>
      <c r="H179" s="18" t="s">
        <v>20</v>
      </c>
      <c r="I179" s="335">
        <v>0.43</v>
      </c>
      <c r="J179" s="20">
        <f t="shared" si="16"/>
        <v>0</v>
      </c>
    </row>
    <row r="180" spans="1:14" ht="16.399999999999999" hidden="1" customHeight="1" x14ac:dyDescent="0.35">
      <c r="A180" s="103"/>
      <c r="B180" s="12" t="s">
        <v>26</v>
      </c>
      <c r="C180" s="10" t="s">
        <v>337</v>
      </c>
      <c r="D180" s="152"/>
      <c r="E180" s="170"/>
      <c r="F180" s="95"/>
      <c r="G180" s="153" t="str">
        <f t="shared" si="14"/>
        <v/>
      </c>
      <c r="H180" s="10" t="s">
        <v>20</v>
      </c>
      <c r="I180" s="331">
        <v>0.43</v>
      </c>
      <c r="J180" s="12">
        <f t="shared" si="16"/>
        <v>0</v>
      </c>
    </row>
    <row r="181" spans="1:14" hidden="1" x14ac:dyDescent="0.35">
      <c r="A181" s="103"/>
      <c r="B181" s="12" t="s">
        <v>26</v>
      </c>
      <c r="C181" s="10" t="s">
        <v>51</v>
      </c>
      <c r="D181" s="152"/>
      <c r="E181" s="170"/>
      <c r="F181" s="95"/>
      <c r="G181" s="153" t="str">
        <f t="shared" si="14"/>
        <v/>
      </c>
      <c r="H181" s="10" t="s">
        <v>61</v>
      </c>
      <c r="I181" s="331">
        <v>14</v>
      </c>
      <c r="J181" s="12">
        <f t="shared" si="16"/>
        <v>0</v>
      </c>
    </row>
    <row r="182" spans="1:14" hidden="1" x14ac:dyDescent="0.35">
      <c r="A182" s="103"/>
      <c r="B182" s="12" t="s">
        <v>26</v>
      </c>
      <c r="C182" s="10" t="s">
        <v>338</v>
      </c>
      <c r="D182" s="152"/>
      <c r="E182" s="170"/>
      <c r="F182" s="95"/>
      <c r="G182" s="153" t="str">
        <f t="shared" si="14"/>
        <v/>
      </c>
      <c r="H182" s="10" t="s">
        <v>61</v>
      </c>
      <c r="I182" s="331">
        <v>14.78</v>
      </c>
      <c r="J182" s="12">
        <f t="shared" si="16"/>
        <v>0</v>
      </c>
    </row>
    <row r="183" spans="1:14" hidden="1" x14ac:dyDescent="0.35">
      <c r="A183" s="103"/>
      <c r="B183" s="12" t="s">
        <v>26</v>
      </c>
      <c r="C183" s="10" t="s">
        <v>339</v>
      </c>
      <c r="D183" s="152"/>
      <c r="E183" s="170"/>
      <c r="F183" s="95"/>
      <c r="G183" s="153" t="str">
        <f t="shared" si="14"/>
        <v/>
      </c>
      <c r="H183" s="10" t="s">
        <v>61</v>
      </c>
      <c r="I183" s="331">
        <v>14.78</v>
      </c>
      <c r="J183" s="12">
        <f t="shared" si="16"/>
        <v>0</v>
      </c>
    </row>
    <row r="184" spans="1:14" hidden="1" x14ac:dyDescent="0.35">
      <c r="A184" s="103"/>
      <c r="B184" s="12" t="s">
        <v>26</v>
      </c>
      <c r="C184" s="10" t="s">
        <v>340</v>
      </c>
      <c r="D184" s="152"/>
      <c r="E184" s="170"/>
      <c r="F184" s="95"/>
      <c r="G184" s="153" t="str">
        <f t="shared" si="14"/>
        <v/>
      </c>
      <c r="H184" s="10" t="s">
        <v>61</v>
      </c>
      <c r="I184" s="331">
        <v>14.78</v>
      </c>
      <c r="J184" s="12">
        <f t="shared" si="16"/>
        <v>0</v>
      </c>
    </row>
    <row r="185" spans="1:14" hidden="1" x14ac:dyDescent="0.35">
      <c r="A185" s="103"/>
      <c r="B185" s="12" t="s">
        <v>26</v>
      </c>
      <c r="C185" s="10" t="s">
        <v>341</v>
      </c>
      <c r="D185" s="152"/>
      <c r="E185" s="170"/>
      <c r="F185" s="95"/>
      <c r="G185" s="153" t="str">
        <f t="shared" si="14"/>
        <v/>
      </c>
      <c r="H185" s="10" t="s">
        <v>61</v>
      </c>
      <c r="I185" s="331">
        <v>14.78</v>
      </c>
      <c r="J185" s="12">
        <f t="shared" si="16"/>
        <v>0</v>
      </c>
    </row>
    <row r="186" spans="1:14" hidden="1" x14ac:dyDescent="0.35">
      <c r="A186" s="103"/>
      <c r="B186" s="12" t="s">
        <v>26</v>
      </c>
      <c r="C186" s="10" t="s">
        <v>342</v>
      </c>
      <c r="D186" s="152"/>
      <c r="E186" s="170"/>
      <c r="F186" s="95"/>
      <c r="G186" s="153" t="str">
        <f t="shared" si="14"/>
        <v/>
      </c>
      <c r="H186" s="10" t="s">
        <v>61</v>
      </c>
      <c r="I186" s="331">
        <v>14.78</v>
      </c>
      <c r="J186" s="10">
        <f t="shared" si="16"/>
        <v>0</v>
      </c>
    </row>
    <row r="187" spans="1:14" ht="15.5" x14ac:dyDescent="0.35">
      <c r="A187" s="108" t="s">
        <v>343</v>
      </c>
      <c r="B187" s="108"/>
      <c r="C187" s="108"/>
      <c r="D187" s="223"/>
      <c r="E187" s="169"/>
      <c r="F187" s="109"/>
      <c r="G187" s="165" t="str">
        <f t="shared" si="14"/>
        <v/>
      </c>
      <c r="H187" s="108"/>
      <c r="I187" s="106" t="s">
        <v>18</v>
      </c>
      <c r="J187" s="107">
        <f>SUM(J188:J192)</f>
        <v>76.8</v>
      </c>
    </row>
    <row r="188" spans="1:14" hidden="1" x14ac:dyDescent="0.35">
      <c r="A188" s="103"/>
      <c r="B188" s="7" t="s">
        <v>6</v>
      </c>
      <c r="C188" s="14" t="s">
        <v>344</v>
      </c>
      <c r="D188" s="152"/>
      <c r="E188" s="170"/>
      <c r="F188" s="95"/>
      <c r="G188" s="153" t="str">
        <f t="shared" si="14"/>
        <v/>
      </c>
      <c r="H188" s="14" t="s">
        <v>20</v>
      </c>
      <c r="I188" s="336">
        <v>0.79</v>
      </c>
      <c r="J188" s="7">
        <f>E188*I188</f>
        <v>0</v>
      </c>
    </row>
    <row r="189" spans="1:14" x14ac:dyDescent="0.35">
      <c r="A189" s="103"/>
      <c r="B189" s="7" t="s">
        <v>6</v>
      </c>
      <c r="C189" s="14" t="s">
        <v>345</v>
      </c>
      <c r="D189" s="152">
        <v>10</v>
      </c>
      <c r="E189" s="170">
        <v>20</v>
      </c>
      <c r="F189" s="95"/>
      <c r="G189" s="153" t="str">
        <f t="shared" si="14"/>
        <v/>
      </c>
      <c r="H189" s="14" t="s">
        <v>20</v>
      </c>
      <c r="I189" s="336">
        <v>2.76</v>
      </c>
      <c r="J189" s="7">
        <f>E189*I189</f>
        <v>55.199999999999996</v>
      </c>
    </row>
    <row r="190" spans="1:14" x14ac:dyDescent="0.35">
      <c r="A190" s="103"/>
      <c r="B190" s="7" t="s">
        <v>6</v>
      </c>
      <c r="C190" s="14" t="s">
        <v>346</v>
      </c>
      <c r="D190" s="152"/>
      <c r="E190" s="170"/>
      <c r="F190" s="95"/>
      <c r="G190" s="153" t="str">
        <f t="shared" si="14"/>
        <v/>
      </c>
      <c r="H190" s="14" t="s">
        <v>20</v>
      </c>
      <c r="I190" s="336">
        <v>1</v>
      </c>
      <c r="J190" s="7">
        <f>E190*I190</f>
        <v>0</v>
      </c>
    </row>
    <row r="191" spans="1:14" x14ac:dyDescent="0.35">
      <c r="A191" s="103"/>
      <c r="B191" s="7" t="s">
        <v>6</v>
      </c>
      <c r="C191" s="14" t="s">
        <v>34</v>
      </c>
      <c r="D191" s="152">
        <v>20</v>
      </c>
      <c r="E191" s="170">
        <v>12</v>
      </c>
      <c r="F191" s="95"/>
      <c r="G191" s="153">
        <f t="shared" si="14"/>
        <v>8</v>
      </c>
      <c r="H191" s="14" t="s">
        <v>20</v>
      </c>
      <c r="I191" s="336">
        <v>1.8</v>
      </c>
      <c r="J191" s="7">
        <f>E191*I191</f>
        <v>21.6</v>
      </c>
    </row>
    <row r="192" spans="1:14" x14ac:dyDescent="0.35">
      <c r="A192" s="103"/>
      <c r="B192" s="7" t="s">
        <v>6</v>
      </c>
      <c r="C192" s="14" t="s">
        <v>35</v>
      </c>
      <c r="D192" s="152">
        <v>20</v>
      </c>
      <c r="E192" s="170"/>
      <c r="F192" s="95"/>
      <c r="G192" s="153" t="str">
        <f t="shared" si="14"/>
        <v/>
      </c>
      <c r="H192" s="14" t="s">
        <v>20</v>
      </c>
      <c r="I192" s="336">
        <v>1.8</v>
      </c>
      <c r="J192" s="7">
        <f>E192*I192</f>
        <v>0</v>
      </c>
    </row>
    <row r="193" spans="1:10" ht="15.5" x14ac:dyDescent="0.35">
      <c r="A193" s="112" t="s">
        <v>347</v>
      </c>
      <c r="B193" s="116"/>
      <c r="C193" s="116"/>
      <c r="D193" s="228"/>
      <c r="E193" s="173"/>
      <c r="F193" s="146"/>
      <c r="G193" s="165" t="str">
        <f t="shared" si="14"/>
        <v/>
      </c>
      <c r="H193" s="117"/>
      <c r="I193" s="118" t="s">
        <v>18</v>
      </c>
      <c r="J193" s="119">
        <f>SUM(J194)</f>
        <v>0</v>
      </c>
    </row>
    <row r="194" spans="1:10" x14ac:dyDescent="0.35">
      <c r="A194" s="103"/>
      <c r="B194" s="12" t="s">
        <v>5</v>
      </c>
      <c r="C194" s="10" t="s">
        <v>55</v>
      </c>
      <c r="D194" s="152"/>
      <c r="E194" s="170"/>
      <c r="F194" s="95"/>
      <c r="G194" s="153" t="str">
        <f t="shared" si="14"/>
        <v/>
      </c>
      <c r="H194" s="10" t="s">
        <v>20</v>
      </c>
      <c r="I194" s="331">
        <v>1.01</v>
      </c>
      <c r="J194" s="12">
        <f>E194*I194</f>
        <v>0</v>
      </c>
    </row>
    <row r="195" spans="1:10" ht="15.5" x14ac:dyDescent="0.35">
      <c r="A195" s="112" t="s">
        <v>348</v>
      </c>
      <c r="B195" s="116"/>
      <c r="C195" s="116"/>
      <c r="D195" s="228"/>
      <c r="E195" s="173"/>
      <c r="F195" s="146"/>
      <c r="G195" s="165" t="str">
        <f t="shared" si="14"/>
        <v/>
      </c>
      <c r="H195" s="117"/>
      <c r="I195" s="118" t="s">
        <v>18</v>
      </c>
      <c r="J195" s="119">
        <f>SUM(J196:J207)</f>
        <v>236.57</v>
      </c>
    </row>
    <row r="196" spans="1:10" x14ac:dyDescent="0.35">
      <c r="A196" s="103"/>
      <c r="B196" s="20" t="s">
        <v>8</v>
      </c>
      <c r="C196" s="18" t="s">
        <v>349</v>
      </c>
      <c r="D196" s="229">
        <v>1</v>
      </c>
      <c r="E196" s="170"/>
      <c r="F196" s="147"/>
      <c r="G196" s="153" t="str">
        <f t="shared" si="14"/>
        <v/>
      </c>
      <c r="H196" s="18" t="s">
        <v>27</v>
      </c>
      <c r="I196" s="337">
        <v>28.62</v>
      </c>
      <c r="J196" s="12">
        <f t="shared" ref="J196:J207" si="17">E196*I196</f>
        <v>0</v>
      </c>
    </row>
    <row r="197" spans="1:10" x14ac:dyDescent="0.35">
      <c r="A197" s="103"/>
      <c r="B197" s="12" t="s">
        <v>8</v>
      </c>
      <c r="C197" s="10" t="s">
        <v>350</v>
      </c>
      <c r="D197" s="152"/>
      <c r="E197" s="170"/>
      <c r="F197" s="95"/>
      <c r="G197" s="153" t="str">
        <f t="shared" si="14"/>
        <v/>
      </c>
      <c r="H197" s="10" t="s">
        <v>335</v>
      </c>
      <c r="I197" s="338">
        <v>30</v>
      </c>
      <c r="J197" s="12">
        <f t="shared" si="17"/>
        <v>0</v>
      </c>
    </row>
    <row r="198" spans="1:10" x14ac:dyDescent="0.35">
      <c r="A198" s="103"/>
      <c r="B198" s="12" t="s">
        <v>8</v>
      </c>
      <c r="C198" s="10" t="s">
        <v>351</v>
      </c>
      <c r="D198" s="152"/>
      <c r="E198" s="170"/>
      <c r="F198" s="95"/>
      <c r="G198" s="153" t="str">
        <f t="shared" si="14"/>
        <v/>
      </c>
      <c r="H198" s="10" t="s">
        <v>335</v>
      </c>
      <c r="I198" s="331">
        <v>1.1499999999999999</v>
      </c>
      <c r="J198" s="12">
        <f t="shared" si="17"/>
        <v>0</v>
      </c>
    </row>
    <row r="199" spans="1:10" x14ac:dyDescent="0.35">
      <c r="A199" s="103"/>
      <c r="B199" s="12" t="s">
        <v>8</v>
      </c>
      <c r="C199" s="10" t="s">
        <v>352</v>
      </c>
      <c r="D199" s="152">
        <v>3</v>
      </c>
      <c r="E199" s="170">
        <v>1</v>
      </c>
      <c r="F199" s="95"/>
      <c r="G199" s="153">
        <f t="shared" si="14"/>
        <v>2</v>
      </c>
      <c r="H199" s="10" t="s">
        <v>27</v>
      </c>
      <c r="I199" s="331">
        <v>23.83</v>
      </c>
      <c r="J199" s="12">
        <f t="shared" si="17"/>
        <v>23.83</v>
      </c>
    </row>
    <row r="200" spans="1:10" x14ac:dyDescent="0.35">
      <c r="A200" s="103"/>
      <c r="B200" s="12" t="s">
        <v>8</v>
      </c>
      <c r="C200" s="10" t="s">
        <v>353</v>
      </c>
      <c r="D200" s="152">
        <v>3</v>
      </c>
      <c r="E200" s="170">
        <v>2</v>
      </c>
      <c r="F200" s="95"/>
      <c r="G200" s="153">
        <f t="shared" si="14"/>
        <v>1</v>
      </c>
      <c r="H200" s="10" t="s">
        <v>27</v>
      </c>
      <c r="I200" s="331">
        <v>28.89</v>
      </c>
      <c r="J200" s="12">
        <f t="shared" si="17"/>
        <v>57.78</v>
      </c>
    </row>
    <row r="201" spans="1:10" x14ac:dyDescent="0.35">
      <c r="A201" s="103"/>
      <c r="B201" s="12" t="s">
        <v>8</v>
      </c>
      <c r="C201" s="10" t="s">
        <v>354</v>
      </c>
      <c r="D201" s="152">
        <v>3</v>
      </c>
      <c r="E201" s="170">
        <v>8</v>
      </c>
      <c r="F201" s="95"/>
      <c r="G201" s="153" t="str">
        <f>IF(E201="","",IF(D201-E201&gt;0,D201-E201,""))</f>
        <v/>
      </c>
      <c r="H201" s="10" t="s">
        <v>27</v>
      </c>
      <c r="I201" s="331">
        <v>19.37</v>
      </c>
      <c r="J201" s="12">
        <f>E201*I201</f>
        <v>154.96</v>
      </c>
    </row>
    <row r="202" spans="1:10" x14ac:dyDescent="0.35">
      <c r="A202" s="103"/>
      <c r="B202" s="12" t="s">
        <v>8</v>
      </c>
      <c r="C202" s="10" t="s">
        <v>429</v>
      </c>
      <c r="D202" s="152"/>
      <c r="E202" s="170"/>
      <c r="F202" s="95"/>
      <c r="G202" s="153"/>
      <c r="H202" s="10" t="s">
        <v>27</v>
      </c>
      <c r="I202" s="331">
        <v>14.07</v>
      </c>
      <c r="J202" s="12"/>
    </row>
    <row r="203" spans="1:10" x14ac:dyDescent="0.35">
      <c r="A203" s="103"/>
      <c r="B203" s="12" t="s">
        <v>8</v>
      </c>
      <c r="C203" s="10" t="s">
        <v>430</v>
      </c>
      <c r="D203" s="152"/>
      <c r="E203" s="170"/>
      <c r="F203" s="95"/>
      <c r="G203" s="153"/>
      <c r="H203" s="10" t="s">
        <v>27</v>
      </c>
      <c r="I203" s="331">
        <v>16.07</v>
      </c>
      <c r="J203" s="12"/>
    </row>
    <row r="204" spans="1:10" x14ac:dyDescent="0.35">
      <c r="A204" s="103"/>
      <c r="B204" s="12" t="s">
        <v>8</v>
      </c>
      <c r="C204" s="10" t="s">
        <v>431</v>
      </c>
      <c r="D204" s="152"/>
      <c r="G204" s="153"/>
      <c r="H204" s="10" t="s">
        <v>27</v>
      </c>
      <c r="I204" s="339">
        <v>14.62</v>
      </c>
      <c r="J204" s="12"/>
    </row>
    <row r="205" spans="1:10" hidden="1" x14ac:dyDescent="0.35">
      <c r="A205" s="103"/>
      <c r="B205" s="12" t="s">
        <v>8</v>
      </c>
      <c r="C205" s="10" t="s">
        <v>355</v>
      </c>
      <c r="D205" s="152"/>
      <c r="E205" s="170"/>
      <c r="F205" s="95"/>
      <c r="G205" s="153" t="str">
        <f t="shared" si="14"/>
        <v/>
      </c>
      <c r="H205" s="10" t="s">
        <v>61</v>
      </c>
      <c r="I205" s="331">
        <v>17.11</v>
      </c>
      <c r="J205" s="12">
        <f t="shared" si="17"/>
        <v>0</v>
      </c>
    </row>
    <row r="206" spans="1:10" hidden="1" x14ac:dyDescent="0.35">
      <c r="A206" s="103"/>
      <c r="B206" s="12" t="s">
        <v>8</v>
      </c>
      <c r="C206" s="10" t="s">
        <v>356</v>
      </c>
      <c r="D206" s="152"/>
      <c r="E206" s="170"/>
      <c r="F206" s="95"/>
      <c r="G206" s="153" t="str">
        <f t="shared" si="14"/>
        <v/>
      </c>
      <c r="H206" s="10" t="s">
        <v>61</v>
      </c>
      <c r="I206" s="331">
        <v>22.13</v>
      </c>
      <c r="J206" s="12">
        <f t="shared" si="17"/>
        <v>0</v>
      </c>
    </row>
    <row r="207" spans="1:10" hidden="1" x14ac:dyDescent="0.35">
      <c r="A207" s="103"/>
      <c r="B207" s="40" t="s">
        <v>8</v>
      </c>
      <c r="C207" s="41" t="s">
        <v>357</v>
      </c>
      <c r="D207" s="227"/>
      <c r="E207" s="170"/>
      <c r="F207" s="145"/>
      <c r="G207" s="153" t="str">
        <f t="shared" si="14"/>
        <v/>
      </c>
      <c r="H207" s="41" t="s">
        <v>61</v>
      </c>
      <c r="I207" s="334">
        <v>18.8</v>
      </c>
      <c r="J207" s="40">
        <f t="shared" si="17"/>
        <v>0</v>
      </c>
    </row>
    <row r="208" spans="1:10" ht="15.5" x14ac:dyDescent="0.35">
      <c r="A208" s="112" t="s">
        <v>358</v>
      </c>
      <c r="B208" s="116"/>
      <c r="C208" s="116"/>
      <c r="D208" s="228"/>
      <c r="E208" s="173"/>
      <c r="F208" s="146"/>
      <c r="G208" s="165" t="str">
        <f t="shared" si="14"/>
        <v/>
      </c>
      <c r="H208" s="117"/>
      <c r="I208" s="118" t="s">
        <v>18</v>
      </c>
      <c r="J208" s="119">
        <f>J209+J210+J211+J212+J213</f>
        <v>2160.4700000000003</v>
      </c>
    </row>
    <row r="209" spans="1:10" x14ac:dyDescent="0.35">
      <c r="A209" s="103"/>
      <c r="B209" s="13" t="s">
        <v>11</v>
      </c>
      <c r="C209" s="298" t="s">
        <v>359</v>
      </c>
      <c r="D209" s="299">
        <v>40</v>
      </c>
      <c r="E209" s="300">
        <v>4</v>
      </c>
      <c r="F209" s="301"/>
      <c r="G209" s="302">
        <f t="shared" si="14"/>
        <v>36</v>
      </c>
      <c r="H209" s="41" t="s">
        <v>52</v>
      </c>
      <c r="I209" s="334">
        <v>11.63</v>
      </c>
      <c r="J209" s="40">
        <f>E209*I209</f>
        <v>46.52</v>
      </c>
    </row>
    <row r="210" spans="1:10" x14ac:dyDescent="0.35">
      <c r="A210" s="103"/>
      <c r="B210" s="12" t="s">
        <v>11</v>
      </c>
      <c r="C210" s="10" t="s">
        <v>436</v>
      </c>
      <c r="D210" s="152"/>
      <c r="E210" s="170">
        <v>44</v>
      </c>
      <c r="F210" s="95"/>
      <c r="G210" s="153"/>
      <c r="H210" s="10" t="s">
        <v>52</v>
      </c>
      <c r="I210" s="331">
        <v>16.8</v>
      </c>
      <c r="J210" s="40">
        <f t="shared" ref="J210:J213" si="18">E210*I210</f>
        <v>739.2</v>
      </c>
    </row>
    <row r="211" spans="1:10" x14ac:dyDescent="0.35">
      <c r="A211" s="103"/>
      <c r="B211" s="12" t="s">
        <v>11</v>
      </c>
      <c r="C211" s="10" t="s">
        <v>437</v>
      </c>
      <c r="D211" s="152"/>
      <c r="E211" s="170">
        <v>5</v>
      </c>
      <c r="F211" s="95"/>
      <c r="G211" s="153"/>
      <c r="H211" s="10" t="s">
        <v>440</v>
      </c>
      <c r="I211" s="331">
        <v>9.35</v>
      </c>
      <c r="J211" s="40">
        <f>E211*I211</f>
        <v>46.75</v>
      </c>
    </row>
    <row r="212" spans="1:10" x14ac:dyDescent="0.35">
      <c r="A212" s="103"/>
      <c r="B212" s="12" t="s">
        <v>11</v>
      </c>
      <c r="C212" s="10" t="s">
        <v>438</v>
      </c>
      <c r="D212" s="152"/>
      <c r="E212" s="170">
        <v>14</v>
      </c>
      <c r="F212" s="95"/>
      <c r="G212" s="153"/>
      <c r="H212" s="10" t="s">
        <v>52</v>
      </c>
      <c r="I212" s="331">
        <v>87</v>
      </c>
      <c r="J212" s="40">
        <f t="shared" si="18"/>
        <v>1218</v>
      </c>
    </row>
    <row r="213" spans="1:10" x14ac:dyDescent="0.35">
      <c r="A213" s="103"/>
      <c r="B213" s="12" t="s">
        <v>11</v>
      </c>
      <c r="C213" s="10" t="s">
        <v>439</v>
      </c>
      <c r="D213" s="152"/>
      <c r="E213" s="170">
        <v>2</v>
      </c>
      <c r="F213" s="95"/>
      <c r="G213" s="153"/>
      <c r="H213" s="10" t="s">
        <v>52</v>
      </c>
      <c r="I213" s="331">
        <v>55</v>
      </c>
      <c r="J213" s="40">
        <f t="shared" si="18"/>
        <v>110</v>
      </c>
    </row>
    <row r="214" spans="1:10" ht="15.5" x14ac:dyDescent="0.35">
      <c r="A214" s="108" t="s">
        <v>360</v>
      </c>
      <c r="B214" s="108"/>
      <c r="C214" s="108"/>
      <c r="D214" s="223"/>
      <c r="E214" s="169"/>
      <c r="F214" s="109"/>
      <c r="G214" s="310" t="str">
        <f t="shared" si="14"/>
        <v/>
      </c>
      <c r="H214" s="108"/>
      <c r="I214" s="106" t="s">
        <v>18</v>
      </c>
      <c r="J214" s="107">
        <f>SUM(J215:J216)</f>
        <v>0</v>
      </c>
    </row>
    <row r="215" spans="1:10" x14ac:dyDescent="0.35">
      <c r="A215" s="103"/>
      <c r="B215" s="12" t="s">
        <v>12</v>
      </c>
      <c r="C215" s="10" t="s">
        <v>70</v>
      </c>
      <c r="D215" s="152">
        <v>40</v>
      </c>
      <c r="E215" s="170"/>
      <c r="F215" s="95"/>
      <c r="G215" s="153" t="str">
        <f t="shared" si="14"/>
        <v/>
      </c>
      <c r="H215" s="10" t="s">
        <v>27</v>
      </c>
      <c r="I215" s="331">
        <v>20.7</v>
      </c>
      <c r="J215" s="12">
        <f>+E215*I215</f>
        <v>0</v>
      </c>
    </row>
    <row r="216" spans="1:10" x14ac:dyDescent="0.35">
      <c r="A216" s="103"/>
      <c r="B216" s="12" t="s">
        <v>12</v>
      </c>
      <c r="C216" s="10" t="s">
        <v>71</v>
      </c>
      <c r="D216" s="152">
        <v>40</v>
      </c>
      <c r="E216" s="170"/>
      <c r="F216" s="95"/>
      <c r="G216" s="153" t="str">
        <f t="shared" si="14"/>
        <v/>
      </c>
      <c r="H216" s="10" t="s">
        <v>27</v>
      </c>
      <c r="I216" s="331">
        <v>13.7</v>
      </c>
      <c r="J216" s="12">
        <f>+E216*I216</f>
        <v>0</v>
      </c>
    </row>
    <row r="217" spans="1:10" ht="15.5" hidden="1" x14ac:dyDescent="0.35">
      <c r="A217" s="108" t="s">
        <v>361</v>
      </c>
      <c r="B217" s="108"/>
      <c r="C217" s="108"/>
      <c r="D217" s="223"/>
      <c r="E217" s="169"/>
      <c r="F217" s="109"/>
      <c r="G217" s="153" t="str">
        <f t="shared" si="14"/>
        <v/>
      </c>
      <c r="H217" s="108"/>
      <c r="I217" s="106" t="s">
        <v>18</v>
      </c>
      <c r="J217" s="107">
        <f>SUM(J218:J221)</f>
        <v>0</v>
      </c>
    </row>
    <row r="218" spans="1:10" hidden="1" x14ac:dyDescent="0.35">
      <c r="A218" s="103"/>
      <c r="B218" s="12" t="s">
        <v>10</v>
      </c>
      <c r="C218" s="10" t="s">
        <v>362</v>
      </c>
      <c r="D218" s="152"/>
      <c r="E218" s="170"/>
      <c r="F218" s="95"/>
      <c r="G218" s="153" t="str">
        <f t="shared" si="14"/>
        <v/>
      </c>
      <c r="H218" s="10" t="s">
        <v>20</v>
      </c>
      <c r="I218" s="331">
        <v>11.08</v>
      </c>
      <c r="J218" s="12">
        <f>E218*I218</f>
        <v>0</v>
      </c>
    </row>
    <row r="219" spans="1:10" hidden="1" x14ac:dyDescent="0.35">
      <c r="A219" s="103"/>
      <c r="B219" s="12" t="s">
        <v>10</v>
      </c>
      <c r="C219" s="10" t="s">
        <v>363</v>
      </c>
      <c r="D219" s="152"/>
      <c r="E219" s="170"/>
      <c r="F219" s="95"/>
      <c r="G219" s="153" t="str">
        <f t="shared" si="14"/>
        <v/>
      </c>
      <c r="H219" s="10" t="s">
        <v>27</v>
      </c>
      <c r="I219" s="331">
        <v>16.21</v>
      </c>
      <c r="J219" s="12">
        <f>E219*I219</f>
        <v>0</v>
      </c>
    </row>
    <row r="220" spans="1:10" hidden="1" x14ac:dyDescent="0.35">
      <c r="A220" s="103"/>
      <c r="B220" s="12" t="s">
        <v>10</v>
      </c>
      <c r="C220" s="10" t="s">
        <v>364</v>
      </c>
      <c r="D220" s="152"/>
      <c r="E220" s="170"/>
      <c r="F220" s="95"/>
      <c r="G220" s="153" t="str">
        <f t="shared" si="14"/>
        <v/>
      </c>
      <c r="H220" s="10" t="s">
        <v>27</v>
      </c>
      <c r="I220" s="331">
        <v>19.350000000000001</v>
      </c>
      <c r="J220" s="12">
        <f>E220*I220</f>
        <v>0</v>
      </c>
    </row>
    <row r="221" spans="1:10" hidden="1" x14ac:dyDescent="0.35">
      <c r="A221" s="103"/>
      <c r="B221" s="12" t="s">
        <v>10</v>
      </c>
      <c r="C221" s="10" t="s">
        <v>365</v>
      </c>
      <c r="D221" s="152"/>
      <c r="E221" s="170"/>
      <c r="F221" s="95"/>
      <c r="G221" s="153" t="str">
        <f t="shared" si="14"/>
        <v/>
      </c>
      <c r="H221" s="10" t="s">
        <v>27</v>
      </c>
      <c r="I221" s="331">
        <v>19.809999999999999</v>
      </c>
      <c r="J221" s="12">
        <f>E221*I221</f>
        <v>0</v>
      </c>
    </row>
    <row r="222" spans="1:10" ht="15.5" x14ac:dyDescent="0.35">
      <c r="A222" s="108" t="s">
        <v>366</v>
      </c>
      <c r="B222" s="108"/>
      <c r="C222" s="108"/>
      <c r="D222" s="223"/>
      <c r="E222" s="169"/>
      <c r="F222" s="109"/>
      <c r="G222" s="165" t="str">
        <f t="shared" si="14"/>
        <v/>
      </c>
      <c r="H222" s="108"/>
      <c r="I222" s="106" t="s">
        <v>18</v>
      </c>
      <c r="J222" s="107">
        <f>J223</f>
        <v>208</v>
      </c>
    </row>
    <row r="223" spans="1:10" x14ac:dyDescent="0.35">
      <c r="A223" s="103"/>
      <c r="B223" s="12" t="s">
        <v>28</v>
      </c>
      <c r="C223" s="10" t="s">
        <v>29</v>
      </c>
      <c r="D223" s="152">
        <v>1</v>
      </c>
      <c r="E223" s="170">
        <v>2</v>
      </c>
      <c r="F223" s="150"/>
      <c r="G223" s="153" t="str">
        <f t="shared" si="14"/>
        <v/>
      </c>
      <c r="H223" s="10" t="s">
        <v>54</v>
      </c>
      <c r="I223" s="331">
        <v>104</v>
      </c>
      <c r="J223" s="12">
        <f>I223*E223</f>
        <v>208</v>
      </c>
    </row>
    <row r="224" spans="1:10" ht="15.5" x14ac:dyDescent="0.35">
      <c r="A224" s="108" t="s">
        <v>367</v>
      </c>
      <c r="B224" s="108"/>
      <c r="C224" s="108"/>
      <c r="D224" s="223"/>
      <c r="E224" s="169"/>
      <c r="F224" s="109"/>
      <c r="G224" s="165" t="str">
        <f t="shared" ref="G224:G257" si="19">IF(E224="","",IF(D224-E224&gt;0,D224-E224,""))</f>
        <v/>
      </c>
      <c r="H224" s="108"/>
      <c r="I224" s="106" t="s">
        <v>18</v>
      </c>
      <c r="J224" s="115">
        <f>SUM(J225:J244)</f>
        <v>521.92000000000007</v>
      </c>
    </row>
    <row r="225" spans="1:10" x14ac:dyDescent="0.35">
      <c r="A225" s="103"/>
      <c r="B225" s="12" t="s">
        <v>9</v>
      </c>
      <c r="C225" s="10" t="s">
        <v>423</v>
      </c>
      <c r="D225" s="152"/>
      <c r="E225" s="170"/>
      <c r="F225" s="95"/>
      <c r="G225" s="153" t="str">
        <f t="shared" si="19"/>
        <v/>
      </c>
      <c r="H225" s="10" t="s">
        <v>20</v>
      </c>
      <c r="I225" s="331">
        <v>78</v>
      </c>
      <c r="J225" s="50">
        <f t="shared" ref="J225:J244" si="20">E225*I225</f>
        <v>0</v>
      </c>
    </row>
    <row r="226" spans="1:10" x14ac:dyDescent="0.35">
      <c r="A226" s="103"/>
      <c r="B226" s="12" t="s">
        <v>9</v>
      </c>
      <c r="C226" s="10" t="s">
        <v>424</v>
      </c>
      <c r="D226" s="152"/>
      <c r="E226" s="170">
        <v>2</v>
      </c>
      <c r="F226" s="95"/>
      <c r="G226" s="153" t="str">
        <f t="shared" si="19"/>
        <v/>
      </c>
      <c r="H226" s="10" t="s">
        <v>61</v>
      </c>
      <c r="I226" s="340">
        <v>107.12</v>
      </c>
      <c r="J226" s="50">
        <f t="shared" si="20"/>
        <v>214.24</v>
      </c>
    </row>
    <row r="227" spans="1:10" x14ac:dyDescent="0.35">
      <c r="A227" s="103"/>
      <c r="B227" s="12" t="s">
        <v>9</v>
      </c>
      <c r="C227" s="10" t="s">
        <v>369</v>
      </c>
      <c r="D227" s="152"/>
      <c r="E227" s="170"/>
      <c r="F227" s="95"/>
      <c r="G227" s="153" t="str">
        <f t="shared" si="19"/>
        <v/>
      </c>
      <c r="H227" s="10" t="s">
        <v>20</v>
      </c>
      <c r="I227" s="331">
        <v>0.04</v>
      </c>
      <c r="J227" s="50">
        <f t="shared" si="20"/>
        <v>0</v>
      </c>
    </row>
    <row r="228" spans="1:10" x14ac:dyDescent="0.35">
      <c r="A228" s="103"/>
      <c r="B228" s="12" t="s">
        <v>9</v>
      </c>
      <c r="C228" s="10" t="s">
        <v>370</v>
      </c>
      <c r="D228" s="152"/>
      <c r="E228" s="170"/>
      <c r="F228" s="95"/>
      <c r="G228" s="153" t="str">
        <f t="shared" si="19"/>
        <v/>
      </c>
      <c r="H228" s="10" t="s">
        <v>20</v>
      </c>
      <c r="I228" s="331">
        <v>7.0999999999999994E-2</v>
      </c>
      <c r="J228" s="50">
        <f t="shared" si="20"/>
        <v>0</v>
      </c>
    </row>
    <row r="229" spans="1:10" hidden="1" x14ac:dyDescent="0.35">
      <c r="A229" s="103"/>
      <c r="B229" s="12" t="s">
        <v>9</v>
      </c>
      <c r="C229" s="10" t="s">
        <v>411</v>
      </c>
      <c r="D229" s="152"/>
      <c r="E229" s="170"/>
      <c r="F229" s="95"/>
      <c r="G229" s="153"/>
      <c r="H229" s="10" t="s">
        <v>20</v>
      </c>
      <c r="I229" s="331">
        <v>1.97</v>
      </c>
      <c r="J229" s="50"/>
    </row>
    <row r="230" spans="1:10" hidden="1" x14ac:dyDescent="0.35">
      <c r="A230" s="103"/>
      <c r="B230" s="12" t="s">
        <v>9</v>
      </c>
      <c r="C230" s="10" t="s">
        <v>371</v>
      </c>
      <c r="D230" s="152"/>
      <c r="E230" s="170"/>
      <c r="F230" s="95"/>
      <c r="G230" s="153" t="str">
        <f t="shared" si="19"/>
        <v/>
      </c>
      <c r="H230" s="10" t="s">
        <v>61</v>
      </c>
      <c r="I230" s="331">
        <v>163.80000000000001</v>
      </c>
      <c r="J230" s="50">
        <f t="shared" si="20"/>
        <v>0</v>
      </c>
    </row>
    <row r="231" spans="1:10" hidden="1" x14ac:dyDescent="0.35">
      <c r="A231" s="103"/>
      <c r="B231" s="12" t="s">
        <v>9</v>
      </c>
      <c r="C231" s="10" t="s">
        <v>410</v>
      </c>
      <c r="D231" s="152"/>
      <c r="E231" s="170"/>
      <c r="F231" s="151"/>
      <c r="G231" s="153" t="str">
        <f t="shared" si="19"/>
        <v/>
      </c>
      <c r="H231" s="10" t="s">
        <v>61</v>
      </c>
      <c r="I231" s="331">
        <v>49.33</v>
      </c>
      <c r="J231" s="50">
        <f t="shared" si="20"/>
        <v>0</v>
      </c>
    </row>
    <row r="232" spans="1:10" hidden="1" x14ac:dyDescent="0.35">
      <c r="A232" s="103"/>
      <c r="B232" s="12" t="s">
        <v>9</v>
      </c>
      <c r="C232" s="10" t="s">
        <v>373</v>
      </c>
      <c r="D232" s="152"/>
      <c r="E232" s="170"/>
      <c r="F232" s="151"/>
      <c r="G232" s="153" t="str">
        <f t="shared" si="19"/>
        <v/>
      </c>
      <c r="H232" s="10" t="s">
        <v>61</v>
      </c>
      <c r="I232" s="331">
        <v>105.6</v>
      </c>
      <c r="J232" s="50">
        <f t="shared" si="20"/>
        <v>0</v>
      </c>
    </row>
    <row r="233" spans="1:10" hidden="1" x14ac:dyDescent="0.35">
      <c r="A233" s="103"/>
      <c r="B233" s="12" t="s">
        <v>9</v>
      </c>
      <c r="C233" s="10" t="s">
        <v>374</v>
      </c>
      <c r="D233" s="152"/>
      <c r="E233" s="170"/>
      <c r="F233" s="151"/>
      <c r="G233" s="153" t="str">
        <f t="shared" si="19"/>
        <v/>
      </c>
      <c r="H233" s="10" t="s">
        <v>61</v>
      </c>
      <c r="I233" s="331">
        <v>114.75</v>
      </c>
      <c r="J233" s="50">
        <f t="shared" si="20"/>
        <v>0</v>
      </c>
    </row>
    <row r="234" spans="1:10" hidden="1" x14ac:dyDescent="0.35">
      <c r="A234" s="103"/>
      <c r="B234" s="12" t="s">
        <v>9</v>
      </c>
      <c r="C234" s="10" t="s">
        <v>375</v>
      </c>
      <c r="D234" s="152"/>
      <c r="E234" s="170"/>
      <c r="F234" s="95"/>
      <c r="G234" s="153" t="str">
        <f t="shared" si="19"/>
        <v/>
      </c>
      <c r="H234" s="10" t="s">
        <v>61</v>
      </c>
      <c r="I234" s="331">
        <v>105.55</v>
      </c>
      <c r="J234" s="50">
        <f t="shared" si="20"/>
        <v>0</v>
      </c>
    </row>
    <row r="235" spans="1:10" x14ac:dyDescent="0.35">
      <c r="A235" s="103"/>
      <c r="B235" s="12" t="s">
        <v>9</v>
      </c>
      <c r="C235" s="10" t="s">
        <v>376</v>
      </c>
      <c r="D235" s="152">
        <v>1</v>
      </c>
      <c r="E235" s="170">
        <v>3</v>
      </c>
      <c r="F235" s="95"/>
      <c r="G235" s="153" t="str">
        <f t="shared" si="19"/>
        <v/>
      </c>
      <c r="H235" s="10" t="s">
        <v>61</v>
      </c>
      <c r="I235" s="331">
        <v>33.25</v>
      </c>
      <c r="J235" s="50">
        <f t="shared" si="20"/>
        <v>99.75</v>
      </c>
    </row>
    <row r="236" spans="1:10" hidden="1" x14ac:dyDescent="0.35">
      <c r="A236" s="103"/>
      <c r="B236" s="12" t="s">
        <v>9</v>
      </c>
      <c r="C236" s="10" t="s">
        <v>377</v>
      </c>
      <c r="D236" s="152"/>
      <c r="E236" s="170"/>
      <c r="F236" s="95"/>
      <c r="G236" s="153" t="str">
        <f t="shared" si="19"/>
        <v/>
      </c>
      <c r="H236" s="10" t="s">
        <v>20</v>
      </c>
      <c r="I236" s="331">
        <v>0.28999999999999998</v>
      </c>
      <c r="J236" s="50">
        <f t="shared" si="20"/>
        <v>0</v>
      </c>
    </row>
    <row r="237" spans="1:10" hidden="1" x14ac:dyDescent="0.35">
      <c r="A237" s="103"/>
      <c r="B237" s="12" t="s">
        <v>9</v>
      </c>
      <c r="C237" s="10" t="s">
        <v>378</v>
      </c>
      <c r="D237" s="152"/>
      <c r="E237" s="170"/>
      <c r="F237" s="95"/>
      <c r="G237" s="153" t="str">
        <f t="shared" si="19"/>
        <v/>
      </c>
      <c r="H237" s="10" t="s">
        <v>61</v>
      </c>
      <c r="I237" s="336">
        <v>37.85</v>
      </c>
      <c r="J237" s="50">
        <f t="shared" si="20"/>
        <v>0</v>
      </c>
    </row>
    <row r="238" spans="1:10" x14ac:dyDescent="0.35">
      <c r="A238" s="103"/>
      <c r="B238" s="12" t="s">
        <v>9</v>
      </c>
      <c r="C238" s="10" t="s">
        <v>425</v>
      </c>
      <c r="D238" s="152">
        <v>1</v>
      </c>
      <c r="E238" s="170">
        <v>1</v>
      </c>
      <c r="F238" s="95"/>
      <c r="G238" s="153" t="str">
        <f t="shared" si="19"/>
        <v/>
      </c>
      <c r="H238" s="10" t="s">
        <v>61</v>
      </c>
      <c r="I238" s="336">
        <v>111.47</v>
      </c>
      <c r="J238" s="50">
        <f t="shared" si="20"/>
        <v>111.47</v>
      </c>
    </row>
    <row r="239" spans="1:10" hidden="1" x14ac:dyDescent="0.35">
      <c r="A239" s="103"/>
      <c r="B239" s="12" t="s">
        <v>9</v>
      </c>
      <c r="C239" s="10" t="s">
        <v>379</v>
      </c>
      <c r="D239" s="152"/>
      <c r="E239" s="170"/>
      <c r="F239" s="95"/>
      <c r="G239" s="153" t="str">
        <f t="shared" si="19"/>
        <v/>
      </c>
      <c r="H239" s="10" t="s">
        <v>61</v>
      </c>
      <c r="I239" s="336">
        <v>174.97</v>
      </c>
      <c r="J239" s="50">
        <f t="shared" si="20"/>
        <v>0</v>
      </c>
    </row>
    <row r="240" spans="1:10" x14ac:dyDescent="0.35">
      <c r="A240" s="103"/>
      <c r="B240" s="12" t="s">
        <v>9</v>
      </c>
      <c r="C240" s="10" t="s">
        <v>380</v>
      </c>
      <c r="D240" s="152"/>
      <c r="E240" s="170"/>
      <c r="F240" s="95"/>
      <c r="G240" s="153" t="str">
        <f t="shared" si="19"/>
        <v/>
      </c>
      <c r="H240" s="10" t="s">
        <v>61</v>
      </c>
      <c r="I240" s="336">
        <v>44.93</v>
      </c>
      <c r="J240" s="50">
        <f t="shared" si="20"/>
        <v>0</v>
      </c>
    </row>
    <row r="241" spans="1:10" x14ac:dyDescent="0.35">
      <c r="A241" s="103"/>
      <c r="B241" s="12" t="s">
        <v>9</v>
      </c>
      <c r="C241" s="10" t="s">
        <v>426</v>
      </c>
      <c r="D241" s="152">
        <v>2</v>
      </c>
      <c r="E241" s="170">
        <v>2</v>
      </c>
      <c r="F241" s="95"/>
      <c r="G241" s="153" t="str">
        <f t="shared" si="19"/>
        <v/>
      </c>
      <c r="H241" s="10" t="s">
        <v>20</v>
      </c>
      <c r="I241" s="336">
        <v>29.2</v>
      </c>
      <c r="J241" s="50">
        <f t="shared" si="20"/>
        <v>58.4</v>
      </c>
    </row>
    <row r="242" spans="1:10" x14ac:dyDescent="0.35">
      <c r="A242" s="103"/>
      <c r="B242" s="12" t="s">
        <v>9</v>
      </c>
      <c r="C242" s="10" t="s">
        <v>427</v>
      </c>
      <c r="D242" s="152">
        <v>2</v>
      </c>
      <c r="E242" s="170">
        <v>2</v>
      </c>
      <c r="F242" s="95"/>
      <c r="G242" s="153" t="str">
        <f t="shared" si="19"/>
        <v/>
      </c>
      <c r="H242" s="10" t="s">
        <v>20</v>
      </c>
      <c r="I242" s="336">
        <v>19.03</v>
      </c>
      <c r="J242" s="50">
        <f t="shared" si="20"/>
        <v>38.06</v>
      </c>
    </row>
    <row r="243" spans="1:10" x14ac:dyDescent="0.35">
      <c r="A243" s="103"/>
      <c r="B243" s="12" t="s">
        <v>9</v>
      </c>
      <c r="C243" s="10" t="s">
        <v>428</v>
      </c>
      <c r="D243" s="152"/>
      <c r="E243" s="170"/>
      <c r="F243" s="95"/>
      <c r="G243" s="153" t="str">
        <f t="shared" si="19"/>
        <v/>
      </c>
      <c r="H243" s="10" t="s">
        <v>20</v>
      </c>
      <c r="I243" s="336">
        <v>8.4600000000000009</v>
      </c>
      <c r="J243" s="50">
        <f t="shared" si="20"/>
        <v>0</v>
      </c>
    </row>
    <row r="244" spans="1:10" hidden="1" x14ac:dyDescent="0.35">
      <c r="A244" s="103"/>
      <c r="B244" s="12" t="s">
        <v>9</v>
      </c>
      <c r="C244" s="10" t="s">
        <v>381</v>
      </c>
      <c r="D244" s="152"/>
      <c r="E244" s="170"/>
      <c r="F244" s="95"/>
      <c r="G244" s="153" t="str">
        <f t="shared" si="19"/>
        <v/>
      </c>
      <c r="H244" s="10" t="s">
        <v>20</v>
      </c>
      <c r="I244" s="336">
        <v>0.02</v>
      </c>
      <c r="J244" s="50">
        <f t="shared" si="20"/>
        <v>0</v>
      </c>
    </row>
    <row r="245" spans="1:10" ht="15.5" x14ac:dyDescent="0.35">
      <c r="A245" s="108" t="s">
        <v>382</v>
      </c>
      <c r="B245" s="108"/>
      <c r="C245" s="108"/>
      <c r="D245" s="223"/>
      <c r="E245" s="169"/>
      <c r="F245" s="109"/>
      <c r="G245" s="165" t="str">
        <f t="shared" si="19"/>
        <v/>
      </c>
      <c r="H245" s="108"/>
      <c r="I245" s="106" t="s">
        <v>18</v>
      </c>
      <c r="J245" s="107">
        <f>SUM(J246:J256)</f>
        <v>226.24</v>
      </c>
    </row>
    <row r="246" spans="1:10" x14ac:dyDescent="0.35">
      <c r="A246" s="103"/>
      <c r="B246" s="12" t="s">
        <v>31</v>
      </c>
      <c r="C246" s="10" t="s">
        <v>383</v>
      </c>
      <c r="D246" s="152"/>
      <c r="E246" s="170"/>
      <c r="F246" s="95"/>
      <c r="G246" s="153" t="str">
        <f t="shared" si="19"/>
        <v/>
      </c>
      <c r="H246" s="10" t="s">
        <v>20</v>
      </c>
      <c r="I246" s="331">
        <v>5.5</v>
      </c>
      <c r="J246" s="12">
        <f t="shared" ref="J246:J256" si="21">E246*I246</f>
        <v>0</v>
      </c>
    </row>
    <row r="247" spans="1:10" x14ac:dyDescent="0.35">
      <c r="A247" s="103"/>
      <c r="B247" s="12" t="s">
        <v>31</v>
      </c>
      <c r="C247" s="10" t="s">
        <v>39</v>
      </c>
      <c r="D247" s="152">
        <v>2</v>
      </c>
      <c r="E247" s="170">
        <v>8</v>
      </c>
      <c r="F247" s="95"/>
      <c r="G247" s="153" t="str">
        <f t="shared" si="19"/>
        <v/>
      </c>
      <c r="H247" s="10" t="s">
        <v>20</v>
      </c>
      <c r="I247" s="331">
        <v>4.55</v>
      </c>
      <c r="J247" s="12">
        <f t="shared" si="21"/>
        <v>36.4</v>
      </c>
    </row>
    <row r="248" spans="1:10" x14ac:dyDescent="0.35">
      <c r="A248" s="103"/>
      <c r="B248" s="12" t="s">
        <v>31</v>
      </c>
      <c r="C248" s="10" t="s">
        <v>422</v>
      </c>
      <c r="D248" s="152">
        <v>2</v>
      </c>
      <c r="E248" s="170">
        <v>15</v>
      </c>
      <c r="F248" s="95"/>
      <c r="G248" s="153" t="str">
        <f t="shared" si="19"/>
        <v/>
      </c>
      <c r="H248" s="10" t="s">
        <v>20</v>
      </c>
      <c r="I248" s="331">
        <v>3.7</v>
      </c>
      <c r="J248" s="12">
        <f t="shared" si="21"/>
        <v>55.5</v>
      </c>
    </row>
    <row r="249" spans="1:10" x14ac:dyDescent="0.35">
      <c r="A249" s="103"/>
      <c r="B249" s="12" t="s">
        <v>31</v>
      </c>
      <c r="C249" s="10" t="s">
        <v>67</v>
      </c>
      <c r="D249" s="152">
        <v>1</v>
      </c>
      <c r="E249" s="170">
        <v>4</v>
      </c>
      <c r="F249" s="95"/>
      <c r="G249" s="153" t="str">
        <f t="shared" si="19"/>
        <v/>
      </c>
      <c r="H249" s="10" t="s">
        <v>20</v>
      </c>
      <c r="I249" s="331">
        <v>15.56</v>
      </c>
      <c r="J249" s="12">
        <f t="shared" si="21"/>
        <v>62.24</v>
      </c>
    </row>
    <row r="250" spans="1:10" hidden="1" x14ac:dyDescent="0.35">
      <c r="A250" s="103"/>
      <c r="B250" s="12" t="s">
        <v>31</v>
      </c>
      <c r="C250" s="10" t="s">
        <v>384</v>
      </c>
      <c r="D250" s="152"/>
      <c r="E250" s="170"/>
      <c r="F250" s="95"/>
      <c r="G250" s="153" t="str">
        <f t="shared" si="19"/>
        <v/>
      </c>
      <c r="H250" s="10" t="s">
        <v>20</v>
      </c>
      <c r="I250" s="331">
        <v>0.8</v>
      </c>
      <c r="J250" s="12">
        <f t="shared" si="21"/>
        <v>0</v>
      </c>
    </row>
    <row r="251" spans="1:10" hidden="1" x14ac:dyDescent="0.35">
      <c r="A251" s="103"/>
      <c r="B251" s="12" t="s">
        <v>31</v>
      </c>
      <c r="C251" s="10" t="s">
        <v>385</v>
      </c>
      <c r="D251" s="152"/>
      <c r="E251" s="170"/>
      <c r="F251" s="95"/>
      <c r="G251" s="153" t="str">
        <f t="shared" si="19"/>
        <v/>
      </c>
      <c r="H251" s="10" t="s">
        <v>20</v>
      </c>
      <c r="I251" s="331">
        <v>1.83</v>
      </c>
      <c r="J251" s="12">
        <f t="shared" si="21"/>
        <v>0</v>
      </c>
    </row>
    <row r="252" spans="1:10" x14ac:dyDescent="0.35">
      <c r="A252" s="103"/>
      <c r="B252" s="12" t="s">
        <v>31</v>
      </c>
      <c r="C252" s="10" t="s">
        <v>386</v>
      </c>
      <c r="D252" s="152">
        <v>2</v>
      </c>
      <c r="E252" s="170">
        <v>14</v>
      </c>
      <c r="F252" s="95"/>
      <c r="G252" s="153" t="str">
        <f t="shared" si="19"/>
        <v/>
      </c>
      <c r="H252" s="10" t="s">
        <v>20</v>
      </c>
      <c r="I252" s="331">
        <v>2.65</v>
      </c>
      <c r="J252" s="12">
        <f t="shared" si="21"/>
        <v>37.1</v>
      </c>
    </row>
    <row r="253" spans="1:10" x14ac:dyDescent="0.35">
      <c r="A253" s="103"/>
      <c r="B253" s="12" t="s">
        <v>31</v>
      </c>
      <c r="C253" s="10" t="s">
        <v>65</v>
      </c>
      <c r="D253" s="152">
        <v>1</v>
      </c>
      <c r="E253" s="170"/>
      <c r="F253" s="95"/>
      <c r="G253" s="153" t="str">
        <f t="shared" si="19"/>
        <v/>
      </c>
      <c r="H253" s="10" t="s">
        <v>20</v>
      </c>
      <c r="I253" s="331">
        <v>13.43</v>
      </c>
      <c r="J253" s="12">
        <f t="shared" si="21"/>
        <v>0</v>
      </c>
    </row>
    <row r="254" spans="1:10" hidden="1" x14ac:dyDescent="0.35">
      <c r="A254" s="103"/>
      <c r="B254" s="12" t="s">
        <v>31</v>
      </c>
      <c r="C254" s="10" t="s">
        <v>66</v>
      </c>
      <c r="D254" s="152"/>
      <c r="E254" s="170"/>
      <c r="F254" s="95"/>
      <c r="G254" s="153" t="str">
        <f t="shared" si="19"/>
        <v/>
      </c>
      <c r="H254" s="10" t="s">
        <v>20</v>
      </c>
      <c r="I254" s="331">
        <v>75.38</v>
      </c>
      <c r="J254" s="12">
        <f t="shared" si="21"/>
        <v>0</v>
      </c>
    </row>
    <row r="255" spans="1:10" x14ac:dyDescent="0.35">
      <c r="A255" s="103"/>
      <c r="B255" s="12" t="s">
        <v>31</v>
      </c>
      <c r="C255" s="10" t="s">
        <v>412</v>
      </c>
      <c r="D255" s="152">
        <v>1</v>
      </c>
      <c r="E255" s="170"/>
      <c r="F255" s="95"/>
      <c r="G255" s="153" t="str">
        <f t="shared" si="19"/>
        <v/>
      </c>
      <c r="H255" s="10" t="s">
        <v>20</v>
      </c>
      <c r="I255" s="331">
        <v>8.43</v>
      </c>
      <c r="J255" s="12">
        <f t="shared" si="21"/>
        <v>0</v>
      </c>
    </row>
    <row r="256" spans="1:10" x14ac:dyDescent="0.35">
      <c r="A256" s="103"/>
      <c r="B256" s="12" t="s">
        <v>31</v>
      </c>
      <c r="C256" s="10" t="s">
        <v>69</v>
      </c>
      <c r="D256" s="152">
        <v>1</v>
      </c>
      <c r="E256" s="170">
        <v>10</v>
      </c>
      <c r="F256" s="95"/>
      <c r="G256" s="153" t="str">
        <f t="shared" si="19"/>
        <v/>
      </c>
      <c r="H256" s="10" t="s">
        <v>63</v>
      </c>
      <c r="I256" s="331">
        <v>3.5</v>
      </c>
      <c r="J256" s="12">
        <f t="shared" si="21"/>
        <v>35</v>
      </c>
    </row>
    <row r="257" spans="1:10" ht="15.5" x14ac:dyDescent="0.35">
      <c r="A257" s="108" t="s">
        <v>57</v>
      </c>
      <c r="B257" s="108"/>
      <c r="C257" s="108"/>
      <c r="D257" s="231"/>
      <c r="E257" s="169"/>
      <c r="F257" s="109"/>
      <c r="G257" s="165" t="str">
        <f t="shared" si="19"/>
        <v/>
      </c>
      <c r="H257" s="108"/>
      <c r="I257" s="106" t="s">
        <v>18</v>
      </c>
      <c r="J257" s="107">
        <f>SUM(J258:J259)</f>
        <v>0</v>
      </c>
    </row>
    <row r="258" spans="1:10" hidden="1" x14ac:dyDescent="0.35">
      <c r="A258" s="103"/>
      <c r="B258" s="12" t="s">
        <v>56</v>
      </c>
      <c r="C258" s="10" t="s">
        <v>58</v>
      </c>
      <c r="D258" s="94"/>
      <c r="E258" s="170"/>
      <c r="F258" s="94"/>
      <c r="G258" s="94" t="str">
        <f t="shared" ref="G258:G259" si="22">IF(D258-E258&gt;0,D258-E258,"")</f>
        <v/>
      </c>
      <c r="H258" s="10" t="s">
        <v>20</v>
      </c>
      <c r="I258" s="331">
        <v>54.05</v>
      </c>
      <c r="J258" s="12">
        <f>E258*I258</f>
        <v>0</v>
      </c>
    </row>
    <row r="259" spans="1:10" hidden="1" x14ac:dyDescent="0.35">
      <c r="A259" s="103"/>
      <c r="B259" s="12" t="s">
        <v>56</v>
      </c>
      <c r="C259" s="10" t="s">
        <v>388</v>
      </c>
      <c r="D259" s="94"/>
      <c r="E259" s="170"/>
      <c r="F259" s="94"/>
      <c r="G259" s="94" t="str">
        <f t="shared" si="22"/>
        <v/>
      </c>
      <c r="H259" s="10" t="s">
        <v>20</v>
      </c>
      <c r="I259" s="331">
        <v>0</v>
      </c>
      <c r="J259" s="12">
        <f>E259*I259</f>
        <v>0</v>
      </c>
    </row>
  </sheetData>
  <mergeCells count="2">
    <mergeCell ref="B1:C1"/>
    <mergeCell ref="B2:C2"/>
  </mergeCells>
  <phoneticPr fontId="8" type="noConversion"/>
  <pageMargins left="0.7" right="0.7" top="0.75" bottom="0.75" header="0.3" footer="0.3"/>
  <pageSetup paperSize="9" scale="73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D62BA-423E-4E44-93FA-B0876D7D94EA}">
  <sheetPr codeName="Feuil9">
    <tabColor theme="8" tint="0.39997558519241921"/>
    <pageSetUpPr fitToPage="1"/>
  </sheetPr>
  <dimension ref="A1:N259"/>
  <sheetViews>
    <sheetView topLeftCell="A156" zoomScaleNormal="100" workbookViewId="0">
      <selection activeCell="J209" sqref="J209"/>
    </sheetView>
  </sheetViews>
  <sheetFormatPr baseColWidth="10" defaultColWidth="8.453125" defaultRowHeight="14.5" x14ac:dyDescent="0.35"/>
  <cols>
    <col min="1" max="1" width="2.54296875" customWidth="1"/>
    <col min="2" max="2" width="32.26953125" customWidth="1"/>
    <col min="3" max="3" width="44.54296875" bestFit="1" customWidth="1"/>
    <col min="4" max="4" width="19.7265625" bestFit="1" customWidth="1"/>
    <col min="5" max="5" width="18.81640625" style="34" bestFit="1" customWidth="1"/>
    <col min="6" max="6" width="18.26953125" hidden="1" customWidth="1"/>
    <col min="7" max="7" width="14" bestFit="1" customWidth="1"/>
    <col min="8" max="8" width="6.81640625" bestFit="1" customWidth="1"/>
    <col min="9" max="9" width="8.453125" style="86" bestFit="1" customWidth="1"/>
    <col min="10" max="10" width="7.1796875" customWidth="1"/>
  </cols>
  <sheetData>
    <row r="1" spans="2:7" ht="15" thickBot="1" x14ac:dyDescent="0.4">
      <c r="B1" s="321" t="s">
        <v>198</v>
      </c>
      <c r="C1" s="322"/>
      <c r="F1" s="89"/>
      <c r="G1" s="89"/>
    </row>
    <row r="2" spans="2:7" ht="15" thickBot="1" x14ac:dyDescent="0.4">
      <c r="B2" s="319"/>
      <c r="C2" s="320"/>
      <c r="F2" s="90"/>
      <c r="G2" s="90"/>
    </row>
    <row r="3" spans="2:7" x14ac:dyDescent="0.35">
      <c r="B3" s="75"/>
      <c r="C3" s="75"/>
      <c r="F3" s="75"/>
      <c r="G3" s="75"/>
    </row>
    <row r="4" spans="2:7" ht="15.5" x14ac:dyDescent="0.35">
      <c r="B4" s="70" t="s">
        <v>0</v>
      </c>
      <c r="C4" s="70" t="s">
        <v>1</v>
      </c>
      <c r="F4" s="91"/>
      <c r="G4" s="91"/>
    </row>
    <row r="5" spans="2:7" x14ac:dyDescent="0.35">
      <c r="B5" s="71" t="s">
        <v>2</v>
      </c>
      <c r="C5" s="72">
        <f>J23</f>
        <v>4239.75</v>
      </c>
      <c r="F5" s="92"/>
      <c r="G5" s="92"/>
    </row>
    <row r="6" spans="2:7" x14ac:dyDescent="0.35">
      <c r="B6" s="71" t="s">
        <v>7</v>
      </c>
      <c r="C6" s="72">
        <f>J4</f>
        <v>0</v>
      </c>
      <c r="F6" s="92"/>
      <c r="G6" s="92"/>
    </row>
    <row r="7" spans="2:7" x14ac:dyDescent="0.35">
      <c r="B7" s="71" t="s">
        <v>13</v>
      </c>
      <c r="C7" s="72">
        <f>J50</f>
        <v>139.1</v>
      </c>
      <c r="F7" s="92"/>
      <c r="G7" s="92"/>
    </row>
    <row r="8" spans="2:7" x14ac:dyDescent="0.35">
      <c r="B8" s="71" t="s">
        <v>3</v>
      </c>
      <c r="C8" s="72">
        <f>J78</f>
        <v>0</v>
      </c>
      <c r="F8" s="92"/>
      <c r="G8" s="92"/>
    </row>
    <row r="9" spans="2:7" x14ac:dyDescent="0.35">
      <c r="B9" s="71" t="s">
        <v>4</v>
      </c>
      <c r="C9" s="72">
        <f>J122</f>
        <v>668.68</v>
      </c>
      <c r="F9" s="92"/>
      <c r="G9" s="92"/>
    </row>
    <row r="10" spans="2:7" x14ac:dyDescent="0.35">
      <c r="B10" s="71" t="s">
        <v>199</v>
      </c>
      <c r="C10" s="72">
        <f>J176</f>
        <v>0</v>
      </c>
      <c r="F10" s="92"/>
      <c r="G10" s="92"/>
    </row>
    <row r="11" spans="2:7" x14ac:dyDescent="0.35">
      <c r="B11" s="71" t="s">
        <v>200</v>
      </c>
      <c r="C11" s="72">
        <f>J187</f>
        <v>0</v>
      </c>
      <c r="F11" s="92"/>
      <c r="G11" s="92"/>
    </row>
    <row r="12" spans="2:7" x14ac:dyDescent="0.35">
      <c r="B12" s="71" t="s">
        <v>201</v>
      </c>
      <c r="C12" s="72">
        <f>J193</f>
        <v>0</v>
      </c>
      <c r="F12" s="92"/>
      <c r="G12" s="92"/>
    </row>
    <row r="13" spans="2:7" x14ac:dyDescent="0.35">
      <c r="B13" s="71" t="s">
        <v>202</v>
      </c>
      <c r="C13" s="72">
        <f>J195</f>
        <v>0</v>
      </c>
      <c r="F13" s="92"/>
      <c r="G13" s="92"/>
    </row>
    <row r="14" spans="2:7" x14ac:dyDescent="0.35">
      <c r="B14" s="71" t="s">
        <v>203</v>
      </c>
      <c r="C14" s="72">
        <f>J208</f>
        <v>0</v>
      </c>
      <c r="F14" s="92"/>
      <c r="G14" s="92"/>
    </row>
    <row r="15" spans="2:7" x14ac:dyDescent="0.35">
      <c r="B15" s="71" t="s">
        <v>12</v>
      </c>
      <c r="C15" s="72">
        <f>J214</f>
        <v>0</v>
      </c>
      <c r="F15" s="92"/>
      <c r="G15" s="92"/>
    </row>
    <row r="16" spans="2:7" x14ac:dyDescent="0.35">
      <c r="B16" s="71" t="s">
        <v>204</v>
      </c>
      <c r="C16" s="72">
        <f>J222</f>
        <v>0</v>
      </c>
      <c r="F16" s="92"/>
      <c r="G16" s="92"/>
    </row>
    <row r="17" spans="1:11" x14ac:dyDescent="0.35">
      <c r="B17" s="71" t="s">
        <v>9</v>
      </c>
      <c r="C17" s="72">
        <f>J224</f>
        <v>0</v>
      </c>
      <c r="F17" s="92"/>
      <c r="G17" s="92"/>
    </row>
    <row r="18" spans="1:11" x14ac:dyDescent="0.35">
      <c r="B18" s="71" t="s">
        <v>205</v>
      </c>
      <c r="C18" s="72">
        <f>J245</f>
        <v>7.1999999999999993</v>
      </c>
      <c r="F18" s="92"/>
      <c r="G18" s="92"/>
    </row>
    <row r="19" spans="1:11" x14ac:dyDescent="0.35">
      <c r="B19" s="71" t="s">
        <v>56</v>
      </c>
      <c r="C19" s="72">
        <f>J257</f>
        <v>0</v>
      </c>
      <c r="F19" s="92"/>
      <c r="G19" s="92"/>
    </row>
    <row r="20" spans="1:11" x14ac:dyDescent="0.35">
      <c r="B20" s="73" t="s">
        <v>14</v>
      </c>
      <c r="C20" s="74">
        <f>C5+C6+C7+C8+C9+C10+C11+C12+C13+C14+C15+C16+C17+C18+C19</f>
        <v>5054.7300000000005</v>
      </c>
      <c r="F20" s="93"/>
      <c r="G20" s="93"/>
    </row>
    <row r="21" spans="1:11" ht="18.75" customHeight="1" x14ac:dyDescent="0.45">
      <c r="A21" s="76" t="s">
        <v>207</v>
      </c>
      <c r="B21" s="76"/>
      <c r="C21" s="76"/>
      <c r="D21" s="76"/>
      <c r="E21" s="167"/>
      <c r="F21" s="76"/>
      <c r="G21" s="76"/>
      <c r="H21" s="76"/>
      <c r="I21" s="262"/>
      <c r="J21" s="76"/>
    </row>
    <row r="22" spans="1:11" ht="14.25" customHeight="1" x14ac:dyDescent="0.35">
      <c r="A22" s="129"/>
      <c r="B22" s="129" t="s">
        <v>15</v>
      </c>
      <c r="C22" s="129" t="s">
        <v>16</v>
      </c>
      <c r="D22" s="130" t="s">
        <v>398</v>
      </c>
      <c r="E22" s="168" t="s">
        <v>401</v>
      </c>
      <c r="F22" s="130" t="s">
        <v>399</v>
      </c>
      <c r="G22" s="164" t="s">
        <v>400</v>
      </c>
      <c r="H22" s="132" t="s">
        <v>406</v>
      </c>
      <c r="I22" s="341" t="s">
        <v>45</v>
      </c>
      <c r="J22" s="132" t="s">
        <v>402</v>
      </c>
    </row>
    <row r="23" spans="1:11" s="6" customFormat="1" ht="15.5" x14ac:dyDescent="0.35">
      <c r="A23" s="108" t="s">
        <v>208</v>
      </c>
      <c r="B23" s="108"/>
      <c r="C23" s="108"/>
      <c r="D23" s="108"/>
      <c r="E23" s="169" t="s">
        <v>421</v>
      </c>
      <c r="F23" s="108"/>
      <c r="G23" s="108"/>
      <c r="H23" s="108"/>
      <c r="I23" s="110" t="s">
        <v>18</v>
      </c>
      <c r="J23" s="107">
        <f>SUM(J24:J40)</f>
        <v>4239.75</v>
      </c>
    </row>
    <row r="24" spans="1:11" x14ac:dyDescent="0.35">
      <c r="A24" s="103"/>
      <c r="B24" s="7" t="s">
        <v>2</v>
      </c>
      <c r="C24" s="14" t="s">
        <v>19</v>
      </c>
      <c r="D24" s="152">
        <v>2</v>
      </c>
      <c r="E24" s="170">
        <v>5</v>
      </c>
      <c r="F24" s="95"/>
      <c r="G24" s="153" t="str">
        <f>IF(E24="","",IF(D24-E24&gt;0,D24-E24,""))</f>
        <v/>
      </c>
      <c r="H24" s="10" t="s">
        <v>20</v>
      </c>
      <c r="I24" s="331">
        <v>55.95</v>
      </c>
      <c r="J24" s="12">
        <f t="shared" ref="J24:J40" si="0">E24*I24</f>
        <v>279.75</v>
      </c>
      <c r="K24" s="13"/>
    </row>
    <row r="25" spans="1:11" hidden="1" x14ac:dyDescent="0.35">
      <c r="A25" s="103"/>
      <c r="B25" s="7" t="s">
        <v>2</v>
      </c>
      <c r="C25" s="14" t="s">
        <v>209</v>
      </c>
      <c r="D25" s="152"/>
      <c r="E25" s="170"/>
      <c r="F25" s="95"/>
      <c r="G25" s="153" t="str">
        <f t="shared" ref="G25:G88" si="1">IF(E25="","",IF(D25-E25&gt;0,D25-E25,""))</f>
        <v/>
      </c>
      <c r="H25" s="10" t="s">
        <v>20</v>
      </c>
      <c r="I25" s="331">
        <v>173.1</v>
      </c>
      <c r="J25" s="12">
        <f t="shared" si="0"/>
        <v>0</v>
      </c>
      <c r="K25" s="13"/>
    </row>
    <row r="26" spans="1:11" x14ac:dyDescent="0.35">
      <c r="A26" s="103"/>
      <c r="B26" s="12" t="s">
        <v>2</v>
      </c>
      <c r="C26" s="10" t="s">
        <v>21</v>
      </c>
      <c r="D26" s="152">
        <v>15</v>
      </c>
      <c r="E26" s="170">
        <v>30</v>
      </c>
      <c r="F26" s="95"/>
      <c r="G26" s="153" t="str">
        <f t="shared" si="1"/>
        <v/>
      </c>
      <c r="H26" s="10" t="s">
        <v>20</v>
      </c>
      <c r="I26" s="331">
        <v>75.400000000000006</v>
      </c>
      <c r="J26" s="12">
        <f t="shared" si="0"/>
        <v>2262</v>
      </c>
      <c r="K26" s="13"/>
    </row>
    <row r="27" spans="1:11" ht="14.5" customHeight="1" x14ac:dyDescent="0.35">
      <c r="A27" s="103"/>
      <c r="B27" s="12" t="s">
        <v>2</v>
      </c>
      <c r="C27" s="10" t="s">
        <v>210</v>
      </c>
      <c r="D27" s="152">
        <v>15</v>
      </c>
      <c r="E27" s="170">
        <v>20</v>
      </c>
      <c r="F27" s="95"/>
      <c r="G27" s="153" t="str">
        <f t="shared" si="1"/>
        <v/>
      </c>
      <c r="H27" s="10" t="s">
        <v>20</v>
      </c>
      <c r="I27" s="331">
        <v>84.9</v>
      </c>
      <c r="J27" s="12">
        <f t="shared" si="0"/>
        <v>1698</v>
      </c>
      <c r="K27" s="13"/>
    </row>
    <row r="28" spans="1:11" ht="14.5" hidden="1" customHeight="1" x14ac:dyDescent="0.35">
      <c r="A28" s="103"/>
      <c r="B28" s="12" t="s">
        <v>2</v>
      </c>
      <c r="C28" s="10" t="s">
        <v>211</v>
      </c>
      <c r="D28" s="152"/>
      <c r="E28" s="170"/>
      <c r="F28" s="95"/>
      <c r="G28" s="153" t="str">
        <f t="shared" si="1"/>
        <v/>
      </c>
      <c r="H28" s="10" t="s">
        <v>20</v>
      </c>
      <c r="I28" s="331">
        <v>2.96</v>
      </c>
      <c r="J28" s="12">
        <f t="shared" si="0"/>
        <v>0</v>
      </c>
      <c r="K28" s="13"/>
    </row>
    <row r="29" spans="1:11" ht="14.5" hidden="1" customHeight="1" x14ac:dyDescent="0.35">
      <c r="A29" s="103"/>
      <c r="B29" s="12" t="s">
        <v>2</v>
      </c>
      <c r="C29" s="10" t="s">
        <v>212</v>
      </c>
      <c r="D29" s="152"/>
      <c r="E29" s="170"/>
      <c r="F29" s="95"/>
      <c r="G29" s="153" t="str">
        <f t="shared" si="1"/>
        <v/>
      </c>
      <c r="H29" s="10" t="s">
        <v>20</v>
      </c>
      <c r="I29" s="331">
        <v>2.96</v>
      </c>
      <c r="J29" s="12">
        <f t="shared" si="0"/>
        <v>0</v>
      </c>
      <c r="K29" s="13"/>
    </row>
    <row r="30" spans="1:11" hidden="1" x14ac:dyDescent="0.35">
      <c r="A30" s="103"/>
      <c r="B30" s="12" t="s">
        <v>2</v>
      </c>
      <c r="C30" s="10" t="s">
        <v>213</v>
      </c>
      <c r="D30" s="152"/>
      <c r="E30" s="170"/>
      <c r="F30" s="95"/>
      <c r="G30" s="153" t="str">
        <f t="shared" si="1"/>
        <v/>
      </c>
      <c r="H30" s="10" t="s">
        <v>20</v>
      </c>
      <c r="I30" s="331">
        <v>2.96</v>
      </c>
      <c r="J30" s="12">
        <f t="shared" si="0"/>
        <v>0</v>
      </c>
      <c r="K30" s="13"/>
    </row>
    <row r="31" spans="1:11" hidden="1" x14ac:dyDescent="0.35">
      <c r="A31" s="103"/>
      <c r="B31" s="7" t="s">
        <v>2</v>
      </c>
      <c r="C31" s="14" t="s">
        <v>22</v>
      </c>
      <c r="D31" s="152"/>
      <c r="E31" s="170"/>
      <c r="F31" s="95"/>
      <c r="G31" s="153" t="str">
        <f t="shared" si="1"/>
        <v/>
      </c>
      <c r="H31" s="10" t="s">
        <v>20</v>
      </c>
      <c r="I31" s="331">
        <v>107.2</v>
      </c>
      <c r="J31" s="12">
        <f t="shared" si="0"/>
        <v>0</v>
      </c>
      <c r="K31" s="13"/>
    </row>
    <row r="32" spans="1:11" ht="14.5" hidden="1" customHeight="1" x14ac:dyDescent="0.35">
      <c r="A32" s="103"/>
      <c r="B32" s="7" t="s">
        <v>2</v>
      </c>
      <c r="C32" s="14" t="s">
        <v>214</v>
      </c>
      <c r="D32" s="152"/>
      <c r="E32" s="170"/>
      <c r="F32" s="95"/>
      <c r="G32" s="153" t="str">
        <f t="shared" si="1"/>
        <v/>
      </c>
      <c r="H32" s="10" t="s">
        <v>20</v>
      </c>
      <c r="I32" s="331">
        <v>170.7</v>
      </c>
      <c r="J32" s="12">
        <f t="shared" si="0"/>
        <v>0</v>
      </c>
      <c r="K32" s="13"/>
    </row>
    <row r="33" spans="1:11" ht="14.5" hidden="1" customHeight="1" x14ac:dyDescent="0.35">
      <c r="A33" s="103"/>
      <c r="B33" s="12" t="s">
        <v>2</v>
      </c>
      <c r="C33" s="10" t="s">
        <v>215</v>
      </c>
      <c r="D33" s="152"/>
      <c r="E33" s="170"/>
      <c r="F33" s="95"/>
      <c r="G33" s="153" t="str">
        <f t="shared" si="1"/>
        <v/>
      </c>
      <c r="H33" s="10" t="s">
        <v>216</v>
      </c>
      <c r="I33" s="331">
        <v>3.77</v>
      </c>
      <c r="J33" s="12">
        <f t="shared" si="0"/>
        <v>0</v>
      </c>
      <c r="K33" s="13"/>
    </row>
    <row r="34" spans="1:11" s="6" customFormat="1" ht="15.65" hidden="1" customHeight="1" x14ac:dyDescent="0.35">
      <c r="A34" s="103"/>
      <c r="B34" s="12" t="s">
        <v>2</v>
      </c>
      <c r="C34" s="10" t="s">
        <v>217</v>
      </c>
      <c r="D34" s="152"/>
      <c r="E34" s="170"/>
      <c r="F34" s="95"/>
      <c r="G34" s="153" t="str">
        <f t="shared" si="1"/>
        <v/>
      </c>
      <c r="H34" s="10" t="s">
        <v>20</v>
      </c>
      <c r="I34" s="331">
        <v>2.56</v>
      </c>
      <c r="J34" s="12">
        <f t="shared" si="0"/>
        <v>0</v>
      </c>
    </row>
    <row r="35" spans="1:11" ht="14.5" hidden="1" customHeight="1" x14ac:dyDescent="0.35">
      <c r="A35" s="103"/>
      <c r="B35" s="12" t="s">
        <v>2</v>
      </c>
      <c r="C35" s="10" t="s">
        <v>218</v>
      </c>
      <c r="D35" s="152"/>
      <c r="E35" s="170"/>
      <c r="F35" s="95"/>
      <c r="G35" s="153" t="str">
        <f t="shared" si="1"/>
        <v/>
      </c>
      <c r="H35" s="10" t="s">
        <v>20</v>
      </c>
      <c r="I35" s="331">
        <v>3.08</v>
      </c>
      <c r="J35" s="12">
        <f t="shared" si="0"/>
        <v>0</v>
      </c>
      <c r="K35" s="13"/>
    </row>
    <row r="36" spans="1:11" ht="14.5" hidden="1" customHeight="1" x14ac:dyDescent="0.35">
      <c r="A36" s="103"/>
      <c r="B36" s="12" t="s">
        <v>2</v>
      </c>
      <c r="C36" s="10" t="s">
        <v>219</v>
      </c>
      <c r="D36" s="152"/>
      <c r="E36" s="170"/>
      <c r="F36" s="95"/>
      <c r="G36" s="153" t="str">
        <f t="shared" si="1"/>
        <v/>
      </c>
      <c r="H36" s="10" t="s">
        <v>20</v>
      </c>
      <c r="I36" s="331">
        <v>2.56</v>
      </c>
      <c r="J36" s="12">
        <f t="shared" si="0"/>
        <v>0</v>
      </c>
      <c r="K36" s="13"/>
    </row>
    <row r="37" spans="1:11" hidden="1" x14ac:dyDescent="0.35">
      <c r="A37" s="103"/>
      <c r="B37" s="12" t="s">
        <v>2</v>
      </c>
      <c r="C37" s="10" t="s">
        <v>220</v>
      </c>
      <c r="D37" s="152"/>
      <c r="E37" s="170"/>
      <c r="F37" s="95"/>
      <c r="G37" s="153" t="str">
        <f t="shared" si="1"/>
        <v/>
      </c>
      <c r="H37" s="10" t="s">
        <v>20</v>
      </c>
      <c r="I37" s="331">
        <v>1.41</v>
      </c>
      <c r="J37" s="12">
        <f t="shared" si="0"/>
        <v>0</v>
      </c>
      <c r="K37" s="13"/>
    </row>
    <row r="38" spans="1:11" hidden="1" x14ac:dyDescent="0.35">
      <c r="A38" s="103"/>
      <c r="B38" s="12" t="s">
        <v>2</v>
      </c>
      <c r="C38" s="10" t="s">
        <v>221</v>
      </c>
      <c r="D38" s="152"/>
      <c r="E38" s="170"/>
      <c r="F38" s="95"/>
      <c r="G38" s="153" t="str">
        <f t="shared" si="1"/>
        <v/>
      </c>
      <c r="H38" s="10" t="s">
        <v>20</v>
      </c>
      <c r="I38" s="331">
        <v>1.73</v>
      </c>
      <c r="J38" s="12">
        <f t="shared" si="0"/>
        <v>0</v>
      </c>
      <c r="K38" s="13"/>
    </row>
    <row r="39" spans="1:11" hidden="1" x14ac:dyDescent="0.35">
      <c r="A39" s="103"/>
      <c r="B39" s="12" t="s">
        <v>2</v>
      </c>
      <c r="C39" s="10" t="s">
        <v>222</v>
      </c>
      <c r="D39" s="152"/>
      <c r="E39" s="170"/>
      <c r="F39" s="95"/>
      <c r="G39" s="153" t="str">
        <f t="shared" si="1"/>
        <v/>
      </c>
      <c r="H39" s="10" t="s">
        <v>20</v>
      </c>
      <c r="I39" s="331">
        <v>1.46</v>
      </c>
      <c r="J39" s="12">
        <f t="shared" si="0"/>
        <v>0</v>
      </c>
      <c r="K39" s="13"/>
    </row>
    <row r="40" spans="1:11" ht="14.5" hidden="1" customHeight="1" x14ac:dyDescent="0.35">
      <c r="A40" s="103"/>
      <c r="B40" s="12" t="s">
        <v>2</v>
      </c>
      <c r="C40" s="10" t="s">
        <v>223</v>
      </c>
      <c r="D40" s="222"/>
      <c r="E40" s="170"/>
      <c r="F40" s="141"/>
      <c r="G40" s="153" t="str">
        <f t="shared" si="1"/>
        <v/>
      </c>
      <c r="H40" s="10" t="s">
        <v>20</v>
      </c>
      <c r="I40" s="332">
        <v>3.45</v>
      </c>
      <c r="J40" s="12">
        <f t="shared" si="0"/>
        <v>0</v>
      </c>
      <c r="K40" s="13"/>
    </row>
    <row r="41" spans="1:11" s="6" customFormat="1" ht="15.65" customHeight="1" x14ac:dyDescent="0.35">
      <c r="A41" s="108" t="s">
        <v>119</v>
      </c>
      <c r="B41" s="108"/>
      <c r="C41" s="108"/>
      <c r="D41" s="223"/>
      <c r="E41" s="169"/>
      <c r="F41" s="109"/>
      <c r="G41" s="165" t="str">
        <f t="shared" si="1"/>
        <v/>
      </c>
      <c r="H41" s="108"/>
      <c r="I41" s="106" t="s">
        <v>18</v>
      </c>
      <c r="J41" s="107">
        <f>SUM(J42:J49)</f>
        <v>3020</v>
      </c>
    </row>
    <row r="42" spans="1:11" ht="14.5" customHeight="1" x14ac:dyDescent="0.35">
      <c r="A42" s="103"/>
      <c r="B42" s="12" t="s">
        <v>7</v>
      </c>
      <c r="C42" s="10" t="s">
        <v>224</v>
      </c>
      <c r="D42" s="152"/>
      <c r="E42" s="166">
        <f>E24</f>
        <v>5</v>
      </c>
      <c r="F42" s="95"/>
      <c r="G42" s="153" t="str">
        <f t="shared" si="1"/>
        <v/>
      </c>
      <c r="H42" s="10" t="s">
        <v>20</v>
      </c>
      <c r="I42" s="331">
        <v>100</v>
      </c>
      <c r="J42" s="12">
        <f t="shared" ref="J42:J49" si="2">E42*I42</f>
        <v>500</v>
      </c>
      <c r="K42" s="13"/>
    </row>
    <row r="43" spans="1:11" hidden="1" x14ac:dyDescent="0.35">
      <c r="A43" s="103"/>
      <c r="B43" s="12" t="s">
        <v>7</v>
      </c>
      <c r="C43" s="10" t="s">
        <v>225</v>
      </c>
      <c r="D43" s="152"/>
      <c r="E43" s="170"/>
      <c r="F43" s="95"/>
      <c r="G43" s="153" t="str">
        <f t="shared" si="1"/>
        <v/>
      </c>
      <c r="H43" s="10" t="s">
        <v>20</v>
      </c>
      <c r="I43" s="331">
        <v>12.2</v>
      </c>
      <c r="J43" s="12">
        <f t="shared" si="2"/>
        <v>0</v>
      </c>
      <c r="K43" s="13"/>
    </row>
    <row r="44" spans="1:11" ht="14.5" hidden="1" customHeight="1" x14ac:dyDescent="0.35">
      <c r="A44" s="103"/>
      <c r="B44" s="12" t="s">
        <v>7</v>
      </c>
      <c r="C44" s="10" t="s">
        <v>226</v>
      </c>
      <c r="D44" s="152"/>
      <c r="E44" s="170"/>
      <c r="F44" s="95"/>
      <c r="G44" s="153" t="str">
        <f t="shared" si="1"/>
        <v/>
      </c>
      <c r="H44" s="10" t="s">
        <v>20</v>
      </c>
      <c r="I44" s="331">
        <v>11</v>
      </c>
      <c r="J44" s="12">
        <f t="shared" si="2"/>
        <v>0</v>
      </c>
      <c r="K44" s="88"/>
    </row>
    <row r="45" spans="1:11" hidden="1" x14ac:dyDescent="0.35">
      <c r="A45" s="103"/>
      <c r="B45" s="12" t="s">
        <v>7</v>
      </c>
      <c r="C45" s="10" t="s">
        <v>227</v>
      </c>
      <c r="D45" s="152"/>
      <c r="E45" s="170"/>
      <c r="F45" s="95"/>
      <c r="G45" s="153" t="str">
        <f t="shared" si="1"/>
        <v/>
      </c>
      <c r="H45" s="10" t="s">
        <v>20</v>
      </c>
      <c r="I45" s="331">
        <v>5</v>
      </c>
      <c r="J45" s="12">
        <f t="shared" si="2"/>
        <v>0</v>
      </c>
      <c r="K45" s="13" t="s">
        <v>47</v>
      </c>
    </row>
    <row r="46" spans="1:11" x14ac:dyDescent="0.35">
      <c r="A46" s="103"/>
      <c r="B46" s="12" t="s">
        <v>7</v>
      </c>
      <c r="C46" s="10" t="s">
        <v>46</v>
      </c>
      <c r="D46" s="152"/>
      <c r="E46" s="170">
        <v>4</v>
      </c>
      <c r="F46" s="95"/>
      <c r="G46" s="153" t="str">
        <f t="shared" si="1"/>
        <v/>
      </c>
      <c r="H46" s="10" t="s">
        <v>20</v>
      </c>
      <c r="I46" s="331">
        <v>5</v>
      </c>
      <c r="J46" s="12">
        <f t="shared" si="2"/>
        <v>20</v>
      </c>
      <c r="K46" s="13"/>
    </row>
    <row r="47" spans="1:11" ht="14.5" hidden="1" customHeight="1" x14ac:dyDescent="0.35">
      <c r="A47" s="103"/>
      <c r="B47" s="12" t="s">
        <v>7</v>
      </c>
      <c r="C47" s="10" t="s">
        <v>228</v>
      </c>
      <c r="D47" s="152"/>
      <c r="E47" s="170"/>
      <c r="F47" s="95"/>
      <c r="G47" s="153" t="str">
        <f t="shared" si="1"/>
        <v/>
      </c>
      <c r="H47" s="10" t="s">
        <v>20</v>
      </c>
      <c r="I47" s="331">
        <v>11</v>
      </c>
      <c r="J47" s="12">
        <f t="shared" si="2"/>
        <v>0</v>
      </c>
      <c r="K47" s="13"/>
    </row>
    <row r="48" spans="1:11" ht="16.399999999999999" customHeight="1" x14ac:dyDescent="0.35">
      <c r="A48" s="103"/>
      <c r="B48" s="12" t="s">
        <v>7</v>
      </c>
      <c r="C48" s="10" t="s">
        <v>229</v>
      </c>
      <c r="D48" s="152"/>
      <c r="E48" s="166">
        <f>E26+E27</f>
        <v>50</v>
      </c>
      <c r="F48" s="95"/>
      <c r="G48" s="153" t="str">
        <f t="shared" si="1"/>
        <v/>
      </c>
      <c r="H48" s="10" t="s">
        <v>20</v>
      </c>
      <c r="I48" s="331">
        <v>50</v>
      </c>
      <c r="J48" s="12">
        <f t="shared" si="2"/>
        <v>2500</v>
      </c>
      <c r="K48" s="13"/>
    </row>
    <row r="49" spans="1:11" hidden="1" x14ac:dyDescent="0.35">
      <c r="A49" s="103"/>
      <c r="B49" s="12" t="s">
        <v>7</v>
      </c>
      <c r="C49" s="78" t="s">
        <v>206</v>
      </c>
      <c r="D49" s="224"/>
      <c r="E49" s="170"/>
      <c r="F49" s="142"/>
      <c r="G49" s="153" t="str">
        <f t="shared" si="1"/>
        <v/>
      </c>
      <c r="H49" s="10" t="s">
        <v>20</v>
      </c>
      <c r="I49" s="333">
        <v>5</v>
      </c>
      <c r="J49" s="12">
        <f t="shared" si="2"/>
        <v>0</v>
      </c>
      <c r="K49" s="13"/>
    </row>
    <row r="50" spans="1:11" ht="14.5" customHeight="1" x14ac:dyDescent="0.35">
      <c r="A50" s="103"/>
      <c r="B50" s="104" t="s">
        <v>230</v>
      </c>
      <c r="C50" s="105"/>
      <c r="D50" s="225"/>
      <c r="E50" s="171"/>
      <c r="F50" s="143"/>
      <c r="G50" s="165" t="str">
        <f t="shared" si="1"/>
        <v/>
      </c>
      <c r="H50" s="105"/>
      <c r="I50" s="106" t="s">
        <v>18</v>
      </c>
      <c r="J50" s="107">
        <f>SUM(J52:J77)</f>
        <v>139.1</v>
      </c>
      <c r="K50" s="13"/>
    </row>
    <row r="51" spans="1:11" ht="14.5" customHeight="1" x14ac:dyDescent="0.35">
      <c r="A51" s="111"/>
      <c r="B51" s="126" t="s">
        <v>231</v>
      </c>
      <c r="C51" s="127"/>
      <c r="D51" s="226"/>
      <c r="E51" s="172"/>
      <c r="F51" s="144"/>
      <c r="G51" s="165" t="str">
        <f t="shared" si="1"/>
        <v/>
      </c>
      <c r="H51" s="127"/>
      <c r="I51" s="239"/>
      <c r="J51" s="128"/>
      <c r="K51" s="13"/>
    </row>
    <row r="52" spans="1:11" ht="14.5" hidden="1" customHeight="1" x14ac:dyDescent="0.35">
      <c r="A52" s="103"/>
      <c r="B52" s="12" t="s">
        <v>13</v>
      </c>
      <c r="C52" s="10" t="s">
        <v>78</v>
      </c>
      <c r="D52" s="152"/>
      <c r="E52" s="170"/>
      <c r="F52" s="95"/>
      <c r="G52" s="153" t="str">
        <f t="shared" si="1"/>
        <v/>
      </c>
      <c r="H52" s="10" t="s">
        <v>20</v>
      </c>
      <c r="I52" s="331">
        <v>13</v>
      </c>
      <c r="J52" s="12">
        <f t="shared" ref="J52:J58" si="3">E52*I52</f>
        <v>0</v>
      </c>
      <c r="K52" s="13"/>
    </row>
    <row r="53" spans="1:11" ht="15.75" hidden="1" customHeight="1" x14ac:dyDescent="0.35">
      <c r="A53" s="103"/>
      <c r="B53" s="12" t="s">
        <v>13</v>
      </c>
      <c r="C53" s="10" t="s">
        <v>232</v>
      </c>
      <c r="D53" s="152"/>
      <c r="E53" s="170"/>
      <c r="F53" s="95"/>
      <c r="G53" s="153" t="str">
        <f t="shared" si="1"/>
        <v/>
      </c>
      <c r="H53" s="10" t="s">
        <v>20</v>
      </c>
      <c r="I53" s="331">
        <v>13</v>
      </c>
      <c r="J53" s="12">
        <f t="shared" si="3"/>
        <v>0</v>
      </c>
      <c r="K53" s="134"/>
    </row>
    <row r="54" spans="1:11" hidden="1" x14ac:dyDescent="0.35">
      <c r="A54" s="103"/>
      <c r="B54" s="12" t="s">
        <v>13</v>
      </c>
      <c r="C54" s="10" t="s">
        <v>233</v>
      </c>
      <c r="D54" s="152"/>
      <c r="E54" s="170"/>
      <c r="F54" s="95"/>
      <c r="G54" s="153" t="str">
        <f t="shared" si="1"/>
        <v/>
      </c>
      <c r="H54" s="10" t="s">
        <v>20</v>
      </c>
      <c r="I54" s="331">
        <v>8.9</v>
      </c>
      <c r="J54" s="12">
        <f t="shared" si="3"/>
        <v>0</v>
      </c>
      <c r="K54" s="13"/>
    </row>
    <row r="55" spans="1:11" x14ac:dyDescent="0.35">
      <c r="A55" s="103"/>
      <c r="B55" s="12" t="s">
        <v>13</v>
      </c>
      <c r="C55" s="10" t="s">
        <v>32</v>
      </c>
      <c r="D55" s="152">
        <v>6</v>
      </c>
      <c r="E55" s="170">
        <v>6</v>
      </c>
      <c r="F55" s="95"/>
      <c r="G55" s="153" t="str">
        <f t="shared" si="1"/>
        <v/>
      </c>
      <c r="H55" s="10" t="s">
        <v>20</v>
      </c>
      <c r="I55" s="331">
        <v>8.35</v>
      </c>
      <c r="J55" s="12">
        <f t="shared" si="3"/>
        <v>50.099999999999994</v>
      </c>
      <c r="K55" s="13"/>
    </row>
    <row r="56" spans="1:11" s="6" customFormat="1" ht="15.65" customHeight="1" x14ac:dyDescent="0.35">
      <c r="A56" s="103"/>
      <c r="B56" s="12" t="s">
        <v>13</v>
      </c>
      <c r="C56" s="10" t="s">
        <v>33</v>
      </c>
      <c r="D56" s="152">
        <v>6</v>
      </c>
      <c r="E56" s="170">
        <v>10</v>
      </c>
      <c r="F56" s="95"/>
      <c r="G56" s="153" t="str">
        <f t="shared" si="1"/>
        <v/>
      </c>
      <c r="H56" s="10" t="s">
        <v>20</v>
      </c>
      <c r="I56" s="331">
        <v>8.9</v>
      </c>
      <c r="J56" s="12">
        <f t="shared" si="3"/>
        <v>89</v>
      </c>
    </row>
    <row r="57" spans="1:11" s="6" customFormat="1" ht="15.65" customHeight="1" x14ac:dyDescent="0.35">
      <c r="A57" s="103"/>
      <c r="B57" s="12" t="s">
        <v>13</v>
      </c>
      <c r="C57" s="10" t="s">
        <v>59</v>
      </c>
      <c r="D57" s="152">
        <v>6</v>
      </c>
      <c r="E57" s="170"/>
      <c r="F57" s="95"/>
      <c r="G57" s="153" t="str">
        <f t="shared" si="1"/>
        <v/>
      </c>
      <c r="H57" s="10" t="s">
        <v>20</v>
      </c>
      <c r="I57" s="331">
        <v>8.6999999999999993</v>
      </c>
      <c r="J57" s="12">
        <f t="shared" si="3"/>
        <v>0</v>
      </c>
    </row>
    <row r="58" spans="1:11" ht="14.5" customHeight="1" x14ac:dyDescent="0.35">
      <c r="A58" s="103"/>
      <c r="B58" s="12" t="s">
        <v>13</v>
      </c>
      <c r="C58" s="10" t="s">
        <v>234</v>
      </c>
      <c r="D58" s="152"/>
      <c r="E58" s="170"/>
      <c r="F58" s="95"/>
      <c r="G58" s="153" t="str">
        <f t="shared" si="1"/>
        <v/>
      </c>
      <c r="H58" s="10" t="s">
        <v>20</v>
      </c>
      <c r="I58" s="331">
        <v>12.15</v>
      </c>
      <c r="J58" s="12">
        <f t="shared" si="3"/>
        <v>0</v>
      </c>
      <c r="K58" s="13"/>
    </row>
    <row r="59" spans="1:11" ht="14.5" hidden="1" customHeight="1" x14ac:dyDescent="0.35">
      <c r="A59" s="103"/>
      <c r="B59" s="12" t="s">
        <v>13</v>
      </c>
      <c r="C59" s="10" t="s">
        <v>235</v>
      </c>
      <c r="D59" s="152"/>
      <c r="E59" s="170"/>
      <c r="F59" s="95"/>
      <c r="G59" s="153" t="str">
        <f t="shared" si="1"/>
        <v/>
      </c>
      <c r="H59" s="10" t="s">
        <v>20</v>
      </c>
      <c r="I59" s="331">
        <v>11.35</v>
      </c>
      <c r="J59" s="12">
        <f t="shared" ref="J59:J64" si="4">E59*I59</f>
        <v>0</v>
      </c>
      <c r="K59" s="13"/>
    </row>
    <row r="60" spans="1:11" s="6" customFormat="1" ht="15.65" hidden="1" customHeight="1" x14ac:dyDescent="0.35">
      <c r="A60" s="103"/>
      <c r="B60" s="12" t="s">
        <v>13</v>
      </c>
      <c r="C60" s="10" t="s">
        <v>236</v>
      </c>
      <c r="D60" s="152"/>
      <c r="E60" s="170"/>
      <c r="F60" s="95"/>
      <c r="G60" s="153" t="str">
        <f t="shared" si="1"/>
        <v/>
      </c>
      <c r="H60" s="10" t="s">
        <v>20</v>
      </c>
      <c r="I60" s="331">
        <v>14.65</v>
      </c>
      <c r="J60" s="12">
        <f t="shared" si="4"/>
        <v>0</v>
      </c>
    </row>
    <row r="61" spans="1:11" ht="14.5" hidden="1" customHeight="1" x14ac:dyDescent="0.35">
      <c r="A61" s="103"/>
      <c r="B61" s="12" t="s">
        <v>13</v>
      </c>
      <c r="C61" s="10" t="s">
        <v>237</v>
      </c>
      <c r="D61" s="152"/>
      <c r="E61" s="170"/>
      <c r="F61" s="95"/>
      <c r="G61" s="153" t="str">
        <f t="shared" si="1"/>
        <v/>
      </c>
      <c r="H61" s="10" t="s">
        <v>20</v>
      </c>
      <c r="I61" s="331">
        <v>16.25</v>
      </c>
      <c r="J61" s="12">
        <f t="shared" si="4"/>
        <v>0</v>
      </c>
      <c r="K61" s="13"/>
    </row>
    <row r="62" spans="1:11" s="6" customFormat="1" ht="15.5" hidden="1" x14ac:dyDescent="0.35">
      <c r="A62" s="103"/>
      <c r="B62" s="12" t="s">
        <v>13</v>
      </c>
      <c r="C62" s="10" t="s">
        <v>238</v>
      </c>
      <c r="D62" s="152"/>
      <c r="E62" s="170"/>
      <c r="F62" s="95"/>
      <c r="G62" s="153" t="str">
        <f t="shared" si="1"/>
        <v/>
      </c>
      <c r="H62" s="10" t="s">
        <v>20</v>
      </c>
      <c r="I62" s="331">
        <v>17.899999999999999</v>
      </c>
      <c r="J62" s="12">
        <f t="shared" si="4"/>
        <v>0</v>
      </c>
    </row>
    <row r="63" spans="1:11" hidden="1" x14ac:dyDescent="0.35">
      <c r="A63" s="103"/>
      <c r="B63" s="12" t="s">
        <v>13</v>
      </c>
      <c r="C63" s="10" t="s">
        <v>239</v>
      </c>
      <c r="D63" s="152"/>
      <c r="E63" s="170"/>
      <c r="F63" s="95"/>
      <c r="G63" s="153" t="str">
        <f t="shared" si="1"/>
        <v/>
      </c>
      <c r="H63" s="10" t="s">
        <v>20</v>
      </c>
      <c r="I63" s="331">
        <v>15.95</v>
      </c>
      <c r="J63" s="12">
        <f t="shared" si="4"/>
        <v>0</v>
      </c>
      <c r="K63" s="13"/>
    </row>
    <row r="64" spans="1:11" ht="14.5" hidden="1" customHeight="1" x14ac:dyDescent="0.35">
      <c r="A64" s="103"/>
      <c r="B64" s="12" t="s">
        <v>13</v>
      </c>
      <c r="C64" s="10" t="s">
        <v>240</v>
      </c>
      <c r="D64" s="152"/>
      <c r="E64" s="170"/>
      <c r="F64" s="95"/>
      <c r="G64" s="153" t="str">
        <f t="shared" si="1"/>
        <v/>
      </c>
      <c r="H64" s="10" t="s">
        <v>20</v>
      </c>
      <c r="I64" s="331">
        <v>15.45</v>
      </c>
      <c r="J64" s="12">
        <f t="shared" si="4"/>
        <v>0</v>
      </c>
      <c r="K64" s="13"/>
    </row>
    <row r="65" spans="1:11" s="6" customFormat="1" ht="15.65" hidden="1" customHeight="1" x14ac:dyDescent="0.35">
      <c r="A65" s="111"/>
      <c r="B65" s="126" t="s">
        <v>241</v>
      </c>
      <c r="C65" s="127"/>
      <c r="D65" s="226"/>
      <c r="E65" s="172"/>
      <c r="F65" s="144"/>
      <c r="G65" s="153" t="str">
        <f t="shared" si="1"/>
        <v/>
      </c>
      <c r="H65" s="127"/>
      <c r="I65" s="239"/>
      <c r="J65" s="128"/>
    </row>
    <row r="66" spans="1:11" ht="14.5" hidden="1" customHeight="1" x14ac:dyDescent="0.35">
      <c r="A66" s="103"/>
      <c r="B66" s="12" t="s">
        <v>13</v>
      </c>
      <c r="C66" s="10" t="s">
        <v>242</v>
      </c>
      <c r="D66" s="152"/>
      <c r="E66" s="170"/>
      <c r="F66" s="95"/>
      <c r="G66" s="153" t="str">
        <f t="shared" si="1"/>
        <v/>
      </c>
      <c r="H66" s="10" t="s">
        <v>20</v>
      </c>
      <c r="I66" s="331">
        <v>31.05</v>
      </c>
      <c r="J66" s="12">
        <f t="shared" ref="J66:J72" si="5">E66*I66</f>
        <v>0</v>
      </c>
      <c r="K66" s="13"/>
    </row>
    <row r="67" spans="1:11" ht="14.5" hidden="1" customHeight="1" x14ac:dyDescent="0.35">
      <c r="A67" s="103"/>
      <c r="B67" s="12" t="s">
        <v>13</v>
      </c>
      <c r="C67" s="10" t="s">
        <v>243</v>
      </c>
      <c r="D67" s="152"/>
      <c r="E67" s="170"/>
      <c r="F67" s="95"/>
      <c r="G67" s="153" t="str">
        <f t="shared" si="1"/>
        <v/>
      </c>
      <c r="H67" s="10" t="s">
        <v>20</v>
      </c>
      <c r="I67" s="331">
        <v>60.79</v>
      </c>
      <c r="J67" s="12">
        <f t="shared" si="5"/>
        <v>0</v>
      </c>
      <c r="K67" s="13"/>
    </row>
    <row r="68" spans="1:11" hidden="1" x14ac:dyDescent="0.35">
      <c r="A68" s="103"/>
      <c r="B68" s="12" t="s">
        <v>13</v>
      </c>
      <c r="C68" s="10" t="s">
        <v>244</v>
      </c>
      <c r="D68" s="152"/>
      <c r="E68" s="170"/>
      <c r="F68" s="95"/>
      <c r="G68" s="153" t="str">
        <f t="shared" si="1"/>
        <v/>
      </c>
      <c r="H68" s="10" t="s">
        <v>20</v>
      </c>
      <c r="I68" s="331">
        <v>56.55</v>
      </c>
      <c r="J68" s="12">
        <f t="shared" si="5"/>
        <v>0</v>
      </c>
      <c r="K68" s="13"/>
    </row>
    <row r="69" spans="1:11" hidden="1" x14ac:dyDescent="0.35">
      <c r="A69" s="103"/>
      <c r="B69" s="12" t="s">
        <v>13</v>
      </c>
      <c r="C69" s="10" t="s">
        <v>245</v>
      </c>
      <c r="D69" s="152"/>
      <c r="E69" s="170"/>
      <c r="F69" s="95"/>
      <c r="G69" s="153" t="str">
        <f t="shared" si="1"/>
        <v/>
      </c>
      <c r="H69" s="10" t="s">
        <v>20</v>
      </c>
      <c r="I69" s="331">
        <v>107.44</v>
      </c>
      <c r="J69" s="12">
        <f t="shared" si="5"/>
        <v>0</v>
      </c>
      <c r="K69" s="13"/>
    </row>
    <row r="70" spans="1:11" ht="14.5" hidden="1" customHeight="1" x14ac:dyDescent="0.35">
      <c r="A70" s="103"/>
      <c r="B70" s="12" t="s">
        <v>13</v>
      </c>
      <c r="C70" s="10" t="s">
        <v>246</v>
      </c>
      <c r="D70" s="152"/>
      <c r="E70" s="170"/>
      <c r="F70" s="95"/>
      <c r="G70" s="153" t="str">
        <f t="shared" si="1"/>
        <v/>
      </c>
      <c r="H70" s="10" t="s">
        <v>20</v>
      </c>
      <c r="I70" s="331">
        <v>47.4</v>
      </c>
      <c r="J70" s="12">
        <f t="shared" si="5"/>
        <v>0</v>
      </c>
      <c r="K70" s="13"/>
    </row>
    <row r="71" spans="1:11" ht="15.65" hidden="1" customHeight="1" x14ac:dyDescent="0.35">
      <c r="A71" s="103"/>
      <c r="B71" s="12" t="s">
        <v>13</v>
      </c>
      <c r="C71" s="10" t="s">
        <v>247</v>
      </c>
      <c r="D71" s="152"/>
      <c r="E71" s="170"/>
      <c r="F71" s="95"/>
      <c r="G71" s="153" t="str">
        <f t="shared" si="1"/>
        <v/>
      </c>
      <c r="H71" s="10" t="s">
        <v>20</v>
      </c>
      <c r="I71" s="331">
        <v>87.63</v>
      </c>
      <c r="J71" s="12">
        <f t="shared" si="5"/>
        <v>0</v>
      </c>
      <c r="K71" s="13"/>
    </row>
    <row r="72" spans="1:11" ht="15.65" hidden="1" customHeight="1" x14ac:dyDescent="0.35">
      <c r="A72" s="103"/>
      <c r="B72" s="12" t="s">
        <v>13</v>
      </c>
      <c r="C72" s="10" t="s">
        <v>248</v>
      </c>
      <c r="D72" s="152"/>
      <c r="E72" s="170"/>
      <c r="F72" s="95"/>
      <c r="G72" s="153" t="str">
        <f t="shared" si="1"/>
        <v/>
      </c>
      <c r="H72" s="10" t="s">
        <v>20</v>
      </c>
      <c r="I72" s="331">
        <v>52.31</v>
      </c>
      <c r="J72" s="12">
        <f t="shared" si="5"/>
        <v>0</v>
      </c>
      <c r="K72" s="13"/>
    </row>
    <row r="73" spans="1:11" ht="16.399999999999999" hidden="1" customHeight="1" x14ac:dyDescent="0.35">
      <c r="A73" s="111"/>
      <c r="B73" s="126" t="s">
        <v>249</v>
      </c>
      <c r="C73" s="127"/>
      <c r="D73" s="226"/>
      <c r="E73" s="172"/>
      <c r="F73" s="144"/>
      <c r="G73" s="153" t="str">
        <f t="shared" si="1"/>
        <v/>
      </c>
      <c r="H73" s="127"/>
      <c r="I73" s="239"/>
      <c r="J73" s="128"/>
      <c r="K73" s="13"/>
    </row>
    <row r="74" spans="1:11" ht="14.5" hidden="1" customHeight="1" x14ac:dyDescent="0.35">
      <c r="A74" s="103"/>
      <c r="B74" s="12" t="s">
        <v>13</v>
      </c>
      <c r="C74" s="10" t="s">
        <v>250</v>
      </c>
      <c r="D74" s="152"/>
      <c r="E74" s="170"/>
      <c r="F74" s="95"/>
      <c r="G74" s="153" t="str">
        <f t="shared" si="1"/>
        <v/>
      </c>
      <c r="H74" s="10" t="s">
        <v>20</v>
      </c>
      <c r="I74" s="331">
        <v>10.8</v>
      </c>
      <c r="J74" s="12">
        <f>E74*I74</f>
        <v>0</v>
      </c>
      <c r="K74" s="13"/>
    </row>
    <row r="75" spans="1:11" ht="14.5" hidden="1" customHeight="1" x14ac:dyDescent="0.35">
      <c r="A75" s="103"/>
      <c r="B75" s="12" t="s">
        <v>13</v>
      </c>
      <c r="C75" s="10" t="s">
        <v>251</v>
      </c>
      <c r="D75" s="152"/>
      <c r="E75" s="170"/>
      <c r="F75" s="95"/>
      <c r="G75" s="153" t="str">
        <f t="shared" si="1"/>
        <v/>
      </c>
      <c r="H75" s="10" t="s">
        <v>20</v>
      </c>
      <c r="I75" s="331">
        <v>11.2</v>
      </c>
      <c r="J75" s="12">
        <f>E75*I75</f>
        <v>0</v>
      </c>
      <c r="K75" s="13"/>
    </row>
    <row r="76" spans="1:11" s="24" customFormat="1" ht="15.65" customHeight="1" x14ac:dyDescent="0.35">
      <c r="A76" s="103"/>
      <c r="B76" s="12" t="s">
        <v>13</v>
      </c>
      <c r="C76" s="10" t="s">
        <v>252</v>
      </c>
      <c r="D76" s="152"/>
      <c r="E76" s="170"/>
      <c r="F76" s="95"/>
      <c r="G76" s="153" t="str">
        <f t="shared" si="1"/>
        <v/>
      </c>
      <c r="H76" s="10" t="s">
        <v>23</v>
      </c>
      <c r="I76" s="331">
        <v>4.5599999999999996</v>
      </c>
      <c r="J76" s="12">
        <f>E76*I76</f>
        <v>0</v>
      </c>
    </row>
    <row r="77" spans="1:11" s="6" customFormat="1" ht="15.65" customHeight="1" x14ac:dyDescent="0.35">
      <c r="A77" s="103"/>
      <c r="B77" s="12" t="s">
        <v>13</v>
      </c>
      <c r="C77" s="10" t="s">
        <v>253</v>
      </c>
      <c r="D77" s="152"/>
      <c r="E77" s="170"/>
      <c r="F77" s="95"/>
      <c r="G77" s="153" t="str">
        <f t="shared" si="1"/>
        <v/>
      </c>
      <c r="H77" s="10" t="s">
        <v>23</v>
      </c>
      <c r="I77" s="331">
        <v>37.700000000000003</v>
      </c>
      <c r="J77" s="12">
        <f>E77*I77</f>
        <v>0</v>
      </c>
    </row>
    <row r="78" spans="1:11" ht="14.5" hidden="1" customHeight="1" x14ac:dyDescent="0.35">
      <c r="A78" s="108" t="s">
        <v>254</v>
      </c>
      <c r="B78" s="108"/>
      <c r="C78" s="108"/>
      <c r="D78" s="223"/>
      <c r="E78" s="169"/>
      <c r="F78" s="109"/>
      <c r="G78" s="153" t="str">
        <f t="shared" si="1"/>
        <v/>
      </c>
      <c r="H78" s="108"/>
      <c r="I78" s="110" t="s">
        <v>18</v>
      </c>
      <c r="J78" s="115">
        <f>SUM(J80:J121)</f>
        <v>0</v>
      </c>
    </row>
    <row r="79" spans="1:11" ht="14.5" hidden="1" customHeight="1" x14ac:dyDescent="0.35">
      <c r="A79" s="111"/>
      <c r="B79" s="126" t="s">
        <v>255</v>
      </c>
      <c r="C79" s="127"/>
      <c r="D79" s="226"/>
      <c r="E79" s="172"/>
      <c r="F79" s="144"/>
      <c r="G79" s="153" t="str">
        <f t="shared" si="1"/>
        <v/>
      </c>
      <c r="H79" s="127"/>
      <c r="I79" s="239"/>
      <c r="J79" s="128"/>
      <c r="K79" s="13"/>
    </row>
    <row r="80" spans="1:11" ht="14.5" hidden="1" customHeight="1" x14ac:dyDescent="0.35">
      <c r="A80" s="103"/>
      <c r="B80" s="12" t="s">
        <v>3</v>
      </c>
      <c r="C80" s="10" t="s">
        <v>256</v>
      </c>
      <c r="D80" s="152"/>
      <c r="E80" s="170"/>
      <c r="F80" s="95"/>
      <c r="G80" s="153" t="str">
        <f t="shared" si="1"/>
        <v/>
      </c>
      <c r="H80" s="10" t="s">
        <v>20</v>
      </c>
      <c r="I80" s="331">
        <v>32.950000000000003</v>
      </c>
      <c r="J80" s="12">
        <f t="shared" ref="J80:J86" si="6">E80*I80</f>
        <v>0</v>
      </c>
      <c r="K80" s="13"/>
    </row>
    <row r="81" spans="1:13" ht="14.5" hidden="1" customHeight="1" x14ac:dyDescent="0.35">
      <c r="A81" s="103"/>
      <c r="B81" s="12" t="s">
        <v>3</v>
      </c>
      <c r="C81" s="10" t="s">
        <v>257</v>
      </c>
      <c r="D81" s="152"/>
      <c r="E81" s="170"/>
      <c r="F81" s="95"/>
      <c r="G81" s="153" t="str">
        <f t="shared" si="1"/>
        <v/>
      </c>
      <c r="H81" s="10" t="s">
        <v>20</v>
      </c>
      <c r="I81" s="331">
        <v>56.95</v>
      </c>
      <c r="J81" s="12">
        <f t="shared" si="6"/>
        <v>0</v>
      </c>
      <c r="K81" s="13" t="s">
        <v>47</v>
      </c>
    </row>
    <row r="82" spans="1:13" ht="14.5" hidden="1" customHeight="1" x14ac:dyDescent="0.35">
      <c r="A82" s="103"/>
      <c r="B82" s="12" t="s">
        <v>3</v>
      </c>
      <c r="C82" s="10" t="s">
        <v>258</v>
      </c>
      <c r="D82" s="152"/>
      <c r="E82" s="170"/>
      <c r="F82" s="95"/>
      <c r="G82" s="153" t="str">
        <f t="shared" si="1"/>
        <v/>
      </c>
      <c r="H82" s="10" t="s">
        <v>20</v>
      </c>
      <c r="I82" s="331">
        <v>15.95</v>
      </c>
      <c r="J82" s="12">
        <f t="shared" si="6"/>
        <v>0</v>
      </c>
    </row>
    <row r="83" spans="1:13" ht="14.5" hidden="1" customHeight="1" x14ac:dyDescent="0.35">
      <c r="A83" s="103"/>
      <c r="B83" s="12" t="s">
        <v>3</v>
      </c>
      <c r="C83" s="10" t="s">
        <v>259</v>
      </c>
      <c r="D83" s="152"/>
      <c r="E83" s="170"/>
      <c r="F83" s="95"/>
      <c r="G83" s="153" t="str">
        <f t="shared" si="1"/>
        <v/>
      </c>
      <c r="H83" s="10" t="s">
        <v>20</v>
      </c>
      <c r="I83" s="331">
        <v>19.95</v>
      </c>
      <c r="J83" s="12">
        <f t="shared" si="6"/>
        <v>0</v>
      </c>
      <c r="K83" s="28"/>
    </row>
    <row r="84" spans="1:13" s="6" customFormat="1" ht="15.65" hidden="1" customHeight="1" x14ac:dyDescent="0.35">
      <c r="A84" s="103"/>
      <c r="B84" s="12" t="s">
        <v>3</v>
      </c>
      <c r="C84" s="10" t="s">
        <v>260</v>
      </c>
      <c r="D84" s="152"/>
      <c r="E84" s="170"/>
      <c r="F84" s="95"/>
      <c r="G84" s="153" t="str">
        <f t="shared" si="1"/>
        <v/>
      </c>
      <c r="H84" s="10" t="s">
        <v>20</v>
      </c>
      <c r="I84" s="331">
        <v>46.95</v>
      </c>
      <c r="J84" s="12">
        <f t="shared" si="6"/>
        <v>0</v>
      </c>
      <c r="K84" s="30"/>
    </row>
    <row r="85" spans="1:13" ht="14.5" hidden="1" customHeight="1" x14ac:dyDescent="0.35">
      <c r="A85" s="103"/>
      <c r="B85" s="12" t="s">
        <v>3</v>
      </c>
      <c r="C85" s="10" t="s">
        <v>261</v>
      </c>
      <c r="D85" s="152"/>
      <c r="E85" s="170"/>
      <c r="F85" s="95"/>
      <c r="G85" s="153" t="str">
        <f t="shared" si="1"/>
        <v/>
      </c>
      <c r="H85" s="10" t="s">
        <v>20</v>
      </c>
      <c r="I85" s="331">
        <v>34.950000000000003</v>
      </c>
      <c r="J85" s="12">
        <f t="shared" si="6"/>
        <v>0</v>
      </c>
      <c r="K85" s="28"/>
    </row>
    <row r="86" spans="1:13" s="6" customFormat="1" ht="15.65" hidden="1" customHeight="1" x14ac:dyDescent="0.35">
      <c r="A86" s="103"/>
      <c r="B86" s="12" t="s">
        <v>3</v>
      </c>
      <c r="C86" s="10" t="s">
        <v>262</v>
      </c>
      <c r="D86" s="152"/>
      <c r="E86" s="170"/>
      <c r="F86" s="95"/>
      <c r="G86" s="153" t="str">
        <f t="shared" si="1"/>
        <v/>
      </c>
      <c r="H86" s="10" t="s">
        <v>20</v>
      </c>
      <c r="I86" s="331">
        <v>24.95</v>
      </c>
      <c r="J86" s="12">
        <f t="shared" si="6"/>
        <v>0</v>
      </c>
    </row>
    <row r="87" spans="1:13" ht="15.5" hidden="1" x14ac:dyDescent="0.35">
      <c r="A87" s="111"/>
      <c r="B87" s="126" t="s">
        <v>263</v>
      </c>
      <c r="C87" s="127"/>
      <c r="D87" s="226"/>
      <c r="E87" s="172"/>
      <c r="F87" s="144"/>
      <c r="G87" s="153" t="str">
        <f t="shared" si="1"/>
        <v/>
      </c>
      <c r="H87" s="127"/>
      <c r="I87" s="239"/>
      <c r="J87" s="128"/>
      <c r="K87" s="28"/>
      <c r="M87" t="s">
        <v>47</v>
      </c>
    </row>
    <row r="88" spans="1:13" hidden="1" x14ac:dyDescent="0.35">
      <c r="A88" s="103"/>
      <c r="B88" s="12" t="s">
        <v>3</v>
      </c>
      <c r="C88" s="10" t="s">
        <v>264</v>
      </c>
      <c r="D88" s="152"/>
      <c r="E88" s="170"/>
      <c r="F88" s="95"/>
      <c r="G88" s="153" t="str">
        <f t="shared" si="1"/>
        <v/>
      </c>
      <c r="H88" s="10" t="s">
        <v>20</v>
      </c>
      <c r="I88" s="331">
        <v>19.5</v>
      </c>
      <c r="J88" s="12">
        <f t="shared" ref="J88:J94" si="7">E88*I88</f>
        <v>0</v>
      </c>
      <c r="K88" s="28"/>
    </row>
    <row r="89" spans="1:13" hidden="1" x14ac:dyDescent="0.35">
      <c r="A89" s="103"/>
      <c r="B89" s="12" t="s">
        <v>3</v>
      </c>
      <c r="C89" s="10" t="s">
        <v>265</v>
      </c>
      <c r="D89" s="152"/>
      <c r="E89" s="170"/>
      <c r="F89" s="95"/>
      <c r="G89" s="153" t="str">
        <f t="shared" ref="G89:G152" si="8">IF(E89="","",IF(D89-E89&gt;0,D89-E89,""))</f>
        <v/>
      </c>
      <c r="H89" s="10" t="s">
        <v>20</v>
      </c>
      <c r="I89" s="331">
        <v>16.95</v>
      </c>
      <c r="J89" s="12">
        <f t="shared" si="7"/>
        <v>0</v>
      </c>
      <c r="K89" s="28"/>
    </row>
    <row r="90" spans="1:13" hidden="1" x14ac:dyDescent="0.35">
      <c r="A90" s="103"/>
      <c r="B90" s="12" t="s">
        <v>3</v>
      </c>
      <c r="C90" s="10" t="s">
        <v>266</v>
      </c>
      <c r="D90" s="152"/>
      <c r="E90" s="170"/>
      <c r="F90" s="95"/>
      <c r="G90" s="153" t="str">
        <f t="shared" si="8"/>
        <v/>
      </c>
      <c r="H90" s="10" t="s">
        <v>20</v>
      </c>
      <c r="I90" s="331">
        <v>17.95</v>
      </c>
      <c r="J90" s="12">
        <f t="shared" si="7"/>
        <v>0</v>
      </c>
      <c r="K90" s="28"/>
    </row>
    <row r="91" spans="1:13" hidden="1" x14ac:dyDescent="0.35">
      <c r="A91" s="103"/>
      <c r="B91" s="12" t="s">
        <v>3</v>
      </c>
      <c r="C91" s="10" t="s">
        <v>267</v>
      </c>
      <c r="D91" s="152"/>
      <c r="E91" s="170"/>
      <c r="F91" s="95"/>
      <c r="G91" s="153" t="str">
        <f t="shared" si="8"/>
        <v/>
      </c>
      <c r="H91" s="10" t="s">
        <v>20</v>
      </c>
      <c r="I91" s="331">
        <v>15.95</v>
      </c>
      <c r="J91" s="12">
        <f t="shared" si="7"/>
        <v>0</v>
      </c>
      <c r="K91" s="28"/>
    </row>
    <row r="92" spans="1:13" s="6" customFormat="1" ht="15.5" hidden="1" x14ac:dyDescent="0.35">
      <c r="A92" s="103"/>
      <c r="B92" s="12" t="s">
        <v>3</v>
      </c>
      <c r="C92" s="10" t="s">
        <v>268</v>
      </c>
      <c r="D92" s="152"/>
      <c r="E92" s="170"/>
      <c r="F92" s="95"/>
      <c r="G92" s="153" t="str">
        <f t="shared" si="8"/>
        <v/>
      </c>
      <c r="H92" s="10" t="s">
        <v>20</v>
      </c>
      <c r="I92" s="331">
        <v>20.95</v>
      </c>
      <c r="J92" s="12">
        <f t="shared" si="7"/>
        <v>0</v>
      </c>
      <c r="K92" s="30"/>
    </row>
    <row r="93" spans="1:13" hidden="1" x14ac:dyDescent="0.35">
      <c r="A93" s="103"/>
      <c r="B93" s="12" t="s">
        <v>3</v>
      </c>
      <c r="C93" s="10" t="s">
        <v>269</v>
      </c>
      <c r="D93" s="152"/>
      <c r="E93" s="170"/>
      <c r="F93" s="95"/>
      <c r="G93" s="153" t="str">
        <f t="shared" si="8"/>
        <v/>
      </c>
      <c r="H93" s="10" t="s">
        <v>20</v>
      </c>
      <c r="I93" s="331">
        <v>26.95</v>
      </c>
      <c r="J93" s="12">
        <f t="shared" si="7"/>
        <v>0</v>
      </c>
      <c r="K93" s="31"/>
    </row>
    <row r="94" spans="1:13" hidden="1" x14ac:dyDescent="0.35">
      <c r="A94" s="103"/>
      <c r="B94" s="12" t="s">
        <v>3</v>
      </c>
      <c r="C94" s="10" t="s">
        <v>270</v>
      </c>
      <c r="D94" s="152"/>
      <c r="E94" s="170"/>
      <c r="F94" s="95"/>
      <c r="G94" s="153" t="str">
        <f t="shared" si="8"/>
        <v/>
      </c>
      <c r="H94" s="10" t="s">
        <v>20</v>
      </c>
      <c r="I94" s="331">
        <v>26.95</v>
      </c>
      <c r="J94" s="12">
        <f t="shared" si="7"/>
        <v>0</v>
      </c>
      <c r="K94" s="31"/>
    </row>
    <row r="95" spans="1:13" s="6" customFormat="1" ht="15.5" hidden="1" x14ac:dyDescent="0.35">
      <c r="A95" s="111"/>
      <c r="B95" s="126" t="s">
        <v>271</v>
      </c>
      <c r="C95" s="127"/>
      <c r="D95" s="226"/>
      <c r="E95" s="172"/>
      <c r="F95" s="144"/>
      <c r="G95" s="153" t="str">
        <f t="shared" si="8"/>
        <v/>
      </c>
      <c r="H95" s="127"/>
      <c r="I95" s="239"/>
      <c r="J95" s="128"/>
      <c r="K95" s="30"/>
    </row>
    <row r="96" spans="1:13" ht="14.15" hidden="1" customHeight="1" x14ac:dyDescent="0.35">
      <c r="A96" s="103"/>
      <c r="B96" s="12" t="s">
        <v>3</v>
      </c>
      <c r="C96" s="10" t="s">
        <v>272</v>
      </c>
      <c r="D96" s="152"/>
      <c r="E96" s="170"/>
      <c r="F96" s="95"/>
      <c r="G96" s="153" t="str">
        <f t="shared" si="8"/>
        <v/>
      </c>
      <c r="H96" s="10" t="s">
        <v>20</v>
      </c>
      <c r="I96" s="331">
        <v>20.95</v>
      </c>
      <c r="J96" s="12">
        <f>E96*I96</f>
        <v>0</v>
      </c>
      <c r="K96" s="28"/>
    </row>
    <row r="97" spans="1:11" hidden="1" x14ac:dyDescent="0.35">
      <c r="A97" s="103"/>
      <c r="B97" s="12" t="s">
        <v>3</v>
      </c>
      <c r="C97" s="10" t="s">
        <v>273</v>
      </c>
      <c r="D97" s="152"/>
      <c r="E97" s="170"/>
      <c r="F97" s="95"/>
      <c r="G97" s="153" t="str">
        <f t="shared" si="8"/>
        <v/>
      </c>
      <c r="H97" s="10" t="s">
        <v>20</v>
      </c>
      <c r="I97" s="331">
        <v>23.95</v>
      </c>
      <c r="J97" s="12">
        <f>E97*I97</f>
        <v>0</v>
      </c>
      <c r="K97" s="28"/>
    </row>
    <row r="98" spans="1:11" s="6" customFormat="1" ht="15.65" hidden="1" customHeight="1" x14ac:dyDescent="0.35">
      <c r="A98" s="103"/>
      <c r="B98" s="12" t="s">
        <v>3</v>
      </c>
      <c r="C98" s="10" t="s">
        <v>274</v>
      </c>
      <c r="D98" s="152"/>
      <c r="E98" s="170"/>
      <c r="F98" s="95"/>
      <c r="G98" s="153" t="str">
        <f t="shared" si="8"/>
        <v/>
      </c>
      <c r="H98" s="10" t="s">
        <v>20</v>
      </c>
      <c r="I98" s="331">
        <v>22.5</v>
      </c>
      <c r="J98" s="12">
        <f>E98*I98</f>
        <v>0</v>
      </c>
      <c r="K98" s="30"/>
    </row>
    <row r="99" spans="1:11" ht="14.5" hidden="1" customHeight="1" x14ac:dyDescent="0.35">
      <c r="A99" s="103"/>
      <c r="B99" s="12" t="s">
        <v>3</v>
      </c>
      <c r="C99" s="10" t="s">
        <v>275</v>
      </c>
      <c r="D99" s="152"/>
      <c r="E99" s="170"/>
      <c r="F99" s="95"/>
      <c r="G99" s="153" t="str">
        <f t="shared" si="8"/>
        <v/>
      </c>
      <c r="H99" s="10" t="s">
        <v>20</v>
      </c>
      <c r="I99" s="331">
        <v>29.95</v>
      </c>
      <c r="J99" s="12">
        <f>E99*I99</f>
        <v>0</v>
      </c>
      <c r="K99" s="31"/>
    </row>
    <row r="100" spans="1:11" s="6" customFormat="1" ht="15.65" hidden="1" customHeight="1" x14ac:dyDescent="0.35">
      <c r="A100" s="111"/>
      <c r="B100" s="126" t="s">
        <v>276</v>
      </c>
      <c r="C100" s="127"/>
      <c r="D100" s="226"/>
      <c r="E100" s="172"/>
      <c r="F100" s="144"/>
      <c r="G100" s="153" t="str">
        <f t="shared" si="8"/>
        <v/>
      </c>
      <c r="H100" s="127"/>
      <c r="I100" s="239"/>
      <c r="J100" s="128"/>
    </row>
    <row r="101" spans="1:11" hidden="1" x14ac:dyDescent="0.35">
      <c r="A101" s="103"/>
      <c r="B101" s="12" t="s">
        <v>3</v>
      </c>
      <c r="C101" s="10" t="s">
        <v>277</v>
      </c>
      <c r="D101" s="152"/>
      <c r="E101" s="170"/>
      <c r="F101" s="95"/>
      <c r="G101" s="153" t="str">
        <f t="shared" si="8"/>
        <v/>
      </c>
      <c r="H101" s="10" t="s">
        <v>20</v>
      </c>
      <c r="I101" s="331">
        <v>17.95</v>
      </c>
      <c r="J101" s="12">
        <f>E101*I101</f>
        <v>0</v>
      </c>
      <c r="K101" s="28"/>
    </row>
    <row r="102" spans="1:11" s="6" customFormat="1" ht="15.5" hidden="1" x14ac:dyDescent="0.35">
      <c r="A102" s="103"/>
      <c r="B102" s="12" t="s">
        <v>3</v>
      </c>
      <c r="C102" s="10" t="s">
        <v>278</v>
      </c>
      <c r="D102" s="152"/>
      <c r="E102" s="170"/>
      <c r="F102" s="95"/>
      <c r="G102" s="153" t="str">
        <f t="shared" si="8"/>
        <v/>
      </c>
      <c r="H102" s="10" t="s">
        <v>20</v>
      </c>
      <c r="I102" s="331">
        <v>20.95</v>
      </c>
      <c r="J102" s="12">
        <f>E102*I102</f>
        <v>0</v>
      </c>
    </row>
    <row r="103" spans="1:11" hidden="1" x14ac:dyDescent="0.35">
      <c r="A103" s="103"/>
      <c r="B103" s="12" t="s">
        <v>3</v>
      </c>
      <c r="C103" s="10" t="s">
        <v>279</v>
      </c>
      <c r="D103" s="152"/>
      <c r="E103" s="170"/>
      <c r="F103" s="95"/>
      <c r="G103" s="153" t="str">
        <f t="shared" si="8"/>
        <v/>
      </c>
      <c r="H103" s="10" t="s">
        <v>20</v>
      </c>
      <c r="I103" s="331">
        <v>19.95</v>
      </c>
      <c r="J103" s="12">
        <f>E103*I103</f>
        <v>0</v>
      </c>
      <c r="K103" s="13"/>
    </row>
    <row r="104" spans="1:11" hidden="1" x14ac:dyDescent="0.35">
      <c r="A104" s="103"/>
      <c r="B104" s="40" t="s">
        <v>3</v>
      </c>
      <c r="C104" s="41" t="s">
        <v>280</v>
      </c>
      <c r="D104" s="227"/>
      <c r="E104" s="170"/>
      <c r="F104" s="145"/>
      <c r="G104" s="153" t="str">
        <f t="shared" si="8"/>
        <v/>
      </c>
      <c r="H104" s="41" t="s">
        <v>20</v>
      </c>
      <c r="I104" s="334">
        <v>59.95</v>
      </c>
      <c r="J104" s="40">
        <f>E104*I104</f>
        <v>0</v>
      </c>
      <c r="K104" s="13"/>
    </row>
    <row r="105" spans="1:11" ht="15.65" hidden="1" customHeight="1" x14ac:dyDescent="0.35">
      <c r="A105" s="111"/>
      <c r="B105" s="126" t="s">
        <v>281</v>
      </c>
      <c r="C105" s="127"/>
      <c r="D105" s="226"/>
      <c r="E105" s="172"/>
      <c r="F105" s="144"/>
      <c r="G105" s="153" t="str">
        <f t="shared" si="8"/>
        <v/>
      </c>
      <c r="H105" s="127"/>
      <c r="I105" s="239"/>
      <c r="J105" s="128"/>
      <c r="K105" s="13"/>
    </row>
    <row r="106" spans="1:11" ht="14.5" hidden="1" customHeight="1" x14ac:dyDescent="0.35">
      <c r="A106" s="103"/>
      <c r="B106" s="12" t="s">
        <v>3</v>
      </c>
      <c r="C106" s="10" t="s">
        <v>282</v>
      </c>
      <c r="D106" s="152"/>
      <c r="E106" s="170"/>
      <c r="F106" s="95"/>
      <c r="G106" s="153" t="str">
        <f t="shared" si="8"/>
        <v/>
      </c>
      <c r="H106" s="10" t="s">
        <v>20</v>
      </c>
      <c r="I106" s="331">
        <v>54.95</v>
      </c>
      <c r="J106" s="12">
        <f>E106*I106</f>
        <v>0</v>
      </c>
      <c r="K106" s="13"/>
    </row>
    <row r="107" spans="1:11" ht="14.5" hidden="1" customHeight="1" x14ac:dyDescent="0.35">
      <c r="A107" s="103"/>
      <c r="B107" s="12" t="s">
        <v>3</v>
      </c>
      <c r="C107" s="10" t="s">
        <v>283</v>
      </c>
      <c r="D107" s="152"/>
      <c r="E107" s="170"/>
      <c r="F107" s="95"/>
      <c r="G107" s="153" t="str">
        <f t="shared" si="8"/>
        <v/>
      </c>
      <c r="H107" s="10" t="s">
        <v>20</v>
      </c>
      <c r="I107" s="331">
        <v>49.95</v>
      </c>
      <c r="J107" s="12">
        <f>E107*I107</f>
        <v>0</v>
      </c>
      <c r="K107" s="13"/>
    </row>
    <row r="108" spans="1:11" ht="14.5" hidden="1" customHeight="1" x14ac:dyDescent="0.35">
      <c r="A108" s="111"/>
      <c r="B108" s="126" t="s">
        <v>284</v>
      </c>
      <c r="C108" s="127"/>
      <c r="D108" s="226"/>
      <c r="E108" s="172"/>
      <c r="F108" s="144"/>
      <c r="G108" s="153" t="str">
        <f t="shared" si="8"/>
        <v/>
      </c>
      <c r="H108" s="127"/>
      <c r="I108" s="239"/>
      <c r="J108" s="128"/>
      <c r="K108" s="13"/>
    </row>
    <row r="109" spans="1:11" ht="14.5" hidden="1" customHeight="1" x14ac:dyDescent="0.35">
      <c r="A109" s="103"/>
      <c r="B109" s="12" t="s">
        <v>3</v>
      </c>
      <c r="C109" s="10" t="s">
        <v>285</v>
      </c>
      <c r="D109" s="152"/>
      <c r="E109" s="170"/>
      <c r="F109" s="95"/>
      <c r="G109" s="153" t="str">
        <f t="shared" si="8"/>
        <v/>
      </c>
      <c r="H109" s="10" t="s">
        <v>20</v>
      </c>
      <c r="I109" s="331">
        <v>41.5</v>
      </c>
      <c r="J109" s="12">
        <f t="shared" ref="J109:J114" si="9">E109*I109</f>
        <v>0</v>
      </c>
      <c r="K109" s="13"/>
    </row>
    <row r="110" spans="1:11" ht="15.65" hidden="1" customHeight="1" x14ac:dyDescent="0.35">
      <c r="A110" s="103"/>
      <c r="B110" s="12" t="s">
        <v>3</v>
      </c>
      <c r="C110" s="10" t="s">
        <v>286</v>
      </c>
      <c r="D110" s="152"/>
      <c r="E110" s="170"/>
      <c r="F110" s="95"/>
      <c r="G110" s="153" t="str">
        <f t="shared" si="8"/>
        <v/>
      </c>
      <c r="H110" s="10" t="s">
        <v>20</v>
      </c>
      <c r="I110" s="331">
        <v>36.200000000000003</v>
      </c>
      <c r="J110" s="12">
        <f t="shared" si="9"/>
        <v>0</v>
      </c>
      <c r="K110" s="13"/>
    </row>
    <row r="111" spans="1:11" hidden="1" x14ac:dyDescent="0.35">
      <c r="A111" s="103"/>
      <c r="B111" s="12" t="s">
        <v>3</v>
      </c>
      <c r="C111" s="10" t="s">
        <v>287</v>
      </c>
      <c r="D111" s="152"/>
      <c r="E111" s="170"/>
      <c r="F111" s="95"/>
      <c r="G111" s="153" t="str">
        <f t="shared" si="8"/>
        <v/>
      </c>
      <c r="H111" s="10" t="s">
        <v>20</v>
      </c>
      <c r="I111" s="331">
        <v>25.95</v>
      </c>
      <c r="J111" s="12">
        <f t="shared" si="9"/>
        <v>0</v>
      </c>
      <c r="K111" s="13"/>
    </row>
    <row r="112" spans="1:11" hidden="1" x14ac:dyDescent="0.35">
      <c r="A112" s="103"/>
      <c r="B112" s="12" t="s">
        <v>3</v>
      </c>
      <c r="C112" s="10" t="s">
        <v>288</v>
      </c>
      <c r="D112" s="152"/>
      <c r="E112" s="170"/>
      <c r="F112" s="95"/>
      <c r="G112" s="153" t="str">
        <f t="shared" si="8"/>
        <v/>
      </c>
      <c r="H112" s="10" t="s">
        <v>20</v>
      </c>
      <c r="I112" s="331">
        <v>32.799999999999997</v>
      </c>
      <c r="J112" s="12">
        <f t="shared" si="9"/>
        <v>0</v>
      </c>
      <c r="K112" s="13"/>
    </row>
    <row r="113" spans="1:11" s="6" customFormat="1" ht="15.5" hidden="1" x14ac:dyDescent="0.35">
      <c r="A113" s="103"/>
      <c r="B113" s="12" t="s">
        <v>3</v>
      </c>
      <c r="C113" s="10" t="s">
        <v>289</v>
      </c>
      <c r="D113" s="152"/>
      <c r="E113" s="170"/>
      <c r="F113" s="95"/>
      <c r="G113" s="153" t="str">
        <f t="shared" si="8"/>
        <v/>
      </c>
      <c r="H113" s="10" t="s">
        <v>20</v>
      </c>
      <c r="I113" s="331">
        <v>29.2</v>
      </c>
      <c r="J113" s="12">
        <f t="shared" si="9"/>
        <v>0</v>
      </c>
    </row>
    <row r="114" spans="1:11" hidden="1" x14ac:dyDescent="0.35">
      <c r="A114" s="103"/>
      <c r="B114" s="12" t="s">
        <v>3</v>
      </c>
      <c r="C114" s="10" t="s">
        <v>290</v>
      </c>
      <c r="D114" s="152"/>
      <c r="E114" s="170"/>
      <c r="F114" s="95"/>
      <c r="G114" s="153" t="str">
        <f t="shared" si="8"/>
        <v/>
      </c>
      <c r="H114" s="10" t="s">
        <v>20</v>
      </c>
      <c r="I114" s="331">
        <v>22.95</v>
      </c>
      <c r="J114" s="12">
        <f t="shared" si="9"/>
        <v>0</v>
      </c>
      <c r="K114" s="13"/>
    </row>
    <row r="115" spans="1:11" ht="15.5" hidden="1" x14ac:dyDescent="0.35">
      <c r="A115" s="111"/>
      <c r="B115" s="126" t="s">
        <v>291</v>
      </c>
      <c r="C115" s="127"/>
      <c r="D115" s="226"/>
      <c r="E115" s="172"/>
      <c r="F115" s="144"/>
      <c r="G115" s="153" t="str">
        <f t="shared" si="8"/>
        <v/>
      </c>
      <c r="H115" s="127"/>
      <c r="I115" s="239"/>
      <c r="J115" s="128"/>
      <c r="K115" s="13"/>
    </row>
    <row r="116" spans="1:11" ht="14.5" hidden="1" customHeight="1" x14ac:dyDescent="0.35">
      <c r="A116" s="103"/>
      <c r="B116" s="12" t="s">
        <v>3</v>
      </c>
      <c r="C116" s="10" t="s">
        <v>292</v>
      </c>
      <c r="D116" s="152"/>
      <c r="E116" s="170"/>
      <c r="F116" s="95"/>
      <c r="G116" s="153" t="str">
        <f t="shared" si="8"/>
        <v/>
      </c>
      <c r="H116" s="10" t="s">
        <v>20</v>
      </c>
      <c r="I116" s="331">
        <v>17.95</v>
      </c>
      <c r="J116" s="12">
        <f t="shared" ref="J116:J121" si="10">E116*I116</f>
        <v>0</v>
      </c>
      <c r="K116" s="13"/>
    </row>
    <row r="117" spans="1:11" ht="14.5" hidden="1" customHeight="1" x14ac:dyDescent="0.35">
      <c r="A117" s="103"/>
      <c r="B117" s="12" t="s">
        <v>3</v>
      </c>
      <c r="C117" s="10" t="s">
        <v>293</v>
      </c>
      <c r="D117" s="152"/>
      <c r="E117" s="170"/>
      <c r="F117" s="95"/>
      <c r="G117" s="153" t="str">
        <f t="shared" si="8"/>
        <v/>
      </c>
      <c r="H117" s="10" t="s">
        <v>20</v>
      </c>
      <c r="I117" s="331">
        <v>12.95</v>
      </c>
      <c r="J117" s="12">
        <f t="shared" si="10"/>
        <v>0</v>
      </c>
      <c r="K117" s="13"/>
    </row>
    <row r="118" spans="1:11" ht="14.5" hidden="1" customHeight="1" x14ac:dyDescent="0.35">
      <c r="A118" s="103"/>
      <c r="B118" s="12" t="s">
        <v>3</v>
      </c>
      <c r="C118" s="10" t="s">
        <v>294</v>
      </c>
      <c r="D118" s="152"/>
      <c r="E118" s="170"/>
      <c r="F118" s="95"/>
      <c r="G118" s="153" t="str">
        <f t="shared" si="8"/>
        <v/>
      </c>
      <c r="H118" s="10" t="s">
        <v>20</v>
      </c>
      <c r="I118" s="331">
        <v>21.95</v>
      </c>
      <c r="J118" s="12">
        <f t="shared" si="10"/>
        <v>0</v>
      </c>
      <c r="K118" s="13"/>
    </row>
    <row r="119" spans="1:11" ht="14.5" hidden="1" customHeight="1" x14ac:dyDescent="0.35">
      <c r="A119" s="103"/>
      <c r="B119" s="12" t="s">
        <v>3</v>
      </c>
      <c r="C119" s="10" t="s">
        <v>295</v>
      </c>
      <c r="D119" s="152"/>
      <c r="E119" s="170"/>
      <c r="F119" s="95"/>
      <c r="G119" s="153" t="str">
        <f t="shared" si="8"/>
        <v/>
      </c>
      <c r="H119" s="10" t="s">
        <v>20</v>
      </c>
      <c r="I119" s="331"/>
      <c r="J119" s="12">
        <f t="shared" si="10"/>
        <v>0</v>
      </c>
      <c r="K119" s="13"/>
    </row>
    <row r="120" spans="1:11" ht="15.65" hidden="1" customHeight="1" x14ac:dyDescent="0.35">
      <c r="A120" s="103"/>
      <c r="B120" s="12" t="s">
        <v>3</v>
      </c>
      <c r="C120" s="10" t="s">
        <v>296</v>
      </c>
      <c r="D120" s="152"/>
      <c r="E120" s="170"/>
      <c r="F120" s="95"/>
      <c r="G120" s="153" t="str">
        <f t="shared" si="8"/>
        <v/>
      </c>
      <c r="H120" s="10" t="s">
        <v>20</v>
      </c>
      <c r="I120" s="331"/>
      <c r="J120" s="12">
        <f t="shared" si="10"/>
        <v>0</v>
      </c>
      <c r="K120" s="13"/>
    </row>
    <row r="121" spans="1:11" ht="15.65" hidden="1" customHeight="1" x14ac:dyDescent="0.35">
      <c r="A121" s="103"/>
      <c r="B121" s="12" t="s">
        <v>3</v>
      </c>
      <c r="C121" s="10" t="s">
        <v>297</v>
      </c>
      <c r="D121" s="152"/>
      <c r="E121" s="170"/>
      <c r="F121" s="95"/>
      <c r="G121" s="153" t="str">
        <f t="shared" si="8"/>
        <v/>
      </c>
      <c r="H121" s="10" t="s">
        <v>20</v>
      </c>
      <c r="I121" s="331">
        <v>22.95</v>
      </c>
      <c r="J121" s="12">
        <f t="shared" si="10"/>
        <v>0</v>
      </c>
      <c r="K121" s="13"/>
    </row>
    <row r="122" spans="1:11" ht="14.5" hidden="1" customHeight="1" x14ac:dyDescent="0.35">
      <c r="A122" s="112" t="s">
        <v>298</v>
      </c>
      <c r="B122" s="116"/>
      <c r="C122" s="116"/>
      <c r="D122" s="228"/>
      <c r="E122" s="173"/>
      <c r="F122" s="146"/>
      <c r="G122" s="153" t="str">
        <f t="shared" si="8"/>
        <v/>
      </c>
      <c r="H122" s="117"/>
      <c r="I122" s="106" t="s">
        <v>18</v>
      </c>
      <c r="J122" s="115">
        <f>SUM(J123:J175)</f>
        <v>668.68</v>
      </c>
      <c r="K122" s="13"/>
    </row>
    <row r="123" spans="1:11" ht="14.5" hidden="1" customHeight="1" x14ac:dyDescent="0.35">
      <c r="A123" s="103"/>
      <c r="B123" s="20" t="s">
        <v>4</v>
      </c>
      <c r="C123" s="18" t="s">
        <v>62</v>
      </c>
      <c r="D123" s="229"/>
      <c r="E123" s="170"/>
      <c r="F123" s="147"/>
      <c r="G123" s="153" t="str">
        <f t="shared" si="8"/>
        <v/>
      </c>
      <c r="H123" s="18" t="s">
        <v>20</v>
      </c>
      <c r="I123" s="335">
        <v>7.35</v>
      </c>
      <c r="J123" s="20">
        <f>E123*I123</f>
        <v>0</v>
      </c>
      <c r="K123" s="13"/>
    </row>
    <row r="124" spans="1:11" ht="14.5" hidden="1" customHeight="1" x14ac:dyDescent="0.35">
      <c r="A124" s="103"/>
      <c r="B124" s="20" t="s">
        <v>4</v>
      </c>
      <c r="C124" s="18" t="s">
        <v>60</v>
      </c>
      <c r="D124" s="229"/>
      <c r="E124" s="170"/>
      <c r="F124" s="147"/>
      <c r="G124" s="153" t="str">
        <f t="shared" si="8"/>
        <v/>
      </c>
      <c r="H124" s="18" t="s">
        <v>20</v>
      </c>
      <c r="I124" s="335">
        <v>10.65</v>
      </c>
      <c r="J124" s="20">
        <f>E124*I124</f>
        <v>0</v>
      </c>
      <c r="K124" s="13"/>
    </row>
    <row r="125" spans="1:11" ht="15.65" hidden="1" customHeight="1" x14ac:dyDescent="0.35">
      <c r="A125" s="113" t="s">
        <v>40</v>
      </c>
      <c r="B125" s="124"/>
      <c r="C125" s="124"/>
      <c r="D125" s="230"/>
      <c r="E125" s="174"/>
      <c r="F125" s="148"/>
      <c r="G125" s="153" t="str">
        <f t="shared" si="8"/>
        <v/>
      </c>
      <c r="H125" s="124"/>
      <c r="I125" s="241"/>
      <c r="J125" s="125"/>
      <c r="K125" s="13"/>
    </row>
    <row r="126" spans="1:11" ht="15.65" hidden="1" customHeight="1" x14ac:dyDescent="0.35">
      <c r="A126" s="103"/>
      <c r="B126" s="20" t="s">
        <v>4</v>
      </c>
      <c r="C126" s="18" t="s">
        <v>299</v>
      </c>
      <c r="D126" s="229"/>
      <c r="E126" s="170"/>
      <c r="F126" s="147"/>
      <c r="G126" s="153" t="str">
        <f t="shared" si="8"/>
        <v/>
      </c>
      <c r="H126" s="18" t="s">
        <v>20</v>
      </c>
      <c r="I126" s="335">
        <v>1.31</v>
      </c>
      <c r="J126" s="12">
        <f t="shared" ref="J126:J137" si="11">E126*I126</f>
        <v>0</v>
      </c>
      <c r="K126" s="13"/>
    </row>
    <row r="127" spans="1:11" ht="14.5" hidden="1" customHeight="1" x14ac:dyDescent="0.35">
      <c r="A127" s="103"/>
      <c r="B127" s="12" t="s">
        <v>4</v>
      </c>
      <c r="C127" s="10" t="s">
        <v>300</v>
      </c>
      <c r="D127" s="152"/>
      <c r="E127" s="170"/>
      <c r="F127" s="95"/>
      <c r="G127" s="153" t="str">
        <f t="shared" si="8"/>
        <v/>
      </c>
      <c r="H127" s="10" t="s">
        <v>20</v>
      </c>
      <c r="I127" s="331">
        <v>1.31</v>
      </c>
      <c r="J127" s="12">
        <f t="shared" si="11"/>
        <v>0</v>
      </c>
    </row>
    <row r="128" spans="1:11" ht="14.5" hidden="1" customHeight="1" x14ac:dyDescent="0.35">
      <c r="A128" s="103"/>
      <c r="B128" s="20" t="s">
        <v>4</v>
      </c>
      <c r="C128" s="18" t="s">
        <v>301</v>
      </c>
      <c r="D128" s="229"/>
      <c r="E128" s="170"/>
      <c r="F128" s="147"/>
      <c r="G128" s="153" t="str">
        <f t="shared" si="8"/>
        <v/>
      </c>
      <c r="H128" s="18" t="s">
        <v>20</v>
      </c>
      <c r="I128" s="335">
        <v>1.4039999999999999</v>
      </c>
      <c r="J128" s="12">
        <f t="shared" si="11"/>
        <v>0</v>
      </c>
    </row>
    <row r="129" spans="1:11" ht="14.5" hidden="1" customHeight="1" x14ac:dyDescent="0.35">
      <c r="A129" s="103"/>
      <c r="B129" s="12" t="s">
        <v>4</v>
      </c>
      <c r="C129" s="10" t="s">
        <v>302</v>
      </c>
      <c r="D129" s="152"/>
      <c r="E129" s="170"/>
      <c r="F129" s="95"/>
      <c r="G129" s="153" t="str">
        <f t="shared" si="8"/>
        <v/>
      </c>
      <c r="H129" s="10" t="s">
        <v>20</v>
      </c>
      <c r="I129" s="331">
        <v>1.4039999999999999</v>
      </c>
      <c r="J129" s="12">
        <f t="shared" si="11"/>
        <v>0</v>
      </c>
    </row>
    <row r="130" spans="1:11" ht="14.5" hidden="1" customHeight="1" x14ac:dyDescent="0.35">
      <c r="A130" s="103"/>
      <c r="B130" s="12" t="s">
        <v>4</v>
      </c>
      <c r="C130" s="10" t="s">
        <v>303</v>
      </c>
      <c r="D130" s="152"/>
      <c r="E130" s="170"/>
      <c r="F130" s="95"/>
      <c r="G130" s="153" t="str">
        <f t="shared" si="8"/>
        <v/>
      </c>
      <c r="H130" s="10" t="s">
        <v>20</v>
      </c>
      <c r="I130" s="331">
        <v>1.53</v>
      </c>
      <c r="J130" s="12">
        <f t="shared" si="11"/>
        <v>0</v>
      </c>
    </row>
    <row r="131" spans="1:11" ht="14.5" hidden="1" customHeight="1" x14ac:dyDescent="0.35">
      <c r="A131" s="103"/>
      <c r="B131" s="12" t="s">
        <v>4</v>
      </c>
      <c r="C131" s="10" t="s">
        <v>304</v>
      </c>
      <c r="D131" s="152"/>
      <c r="E131" s="170"/>
      <c r="F131" s="95"/>
      <c r="G131" s="153" t="str">
        <f t="shared" si="8"/>
        <v/>
      </c>
      <c r="H131" s="10" t="s">
        <v>20</v>
      </c>
      <c r="I131" s="331">
        <v>1.65</v>
      </c>
      <c r="J131" s="12">
        <f t="shared" si="11"/>
        <v>0</v>
      </c>
    </row>
    <row r="132" spans="1:11" ht="14.5" hidden="1" customHeight="1" x14ac:dyDescent="0.35">
      <c r="A132" s="103"/>
      <c r="B132" s="12" t="s">
        <v>4</v>
      </c>
      <c r="C132" s="10" t="s">
        <v>83</v>
      </c>
      <c r="D132" s="152"/>
      <c r="E132" s="170"/>
      <c r="F132" s="95"/>
      <c r="G132" s="153" t="str">
        <f t="shared" si="8"/>
        <v/>
      </c>
      <c r="H132" s="10" t="s">
        <v>20</v>
      </c>
      <c r="I132" s="331">
        <v>1.04</v>
      </c>
      <c r="J132" s="12">
        <f t="shared" si="11"/>
        <v>0</v>
      </c>
    </row>
    <row r="133" spans="1:11" ht="14.5" hidden="1" customHeight="1" x14ac:dyDescent="0.35">
      <c r="A133" s="103"/>
      <c r="B133" s="12" t="s">
        <v>4</v>
      </c>
      <c r="C133" s="10" t="s">
        <v>305</v>
      </c>
      <c r="D133" s="152"/>
      <c r="E133" s="170"/>
      <c r="F133" s="95"/>
      <c r="G133" s="153" t="str">
        <f t="shared" si="8"/>
        <v/>
      </c>
      <c r="H133" s="10" t="s">
        <v>20</v>
      </c>
      <c r="I133" s="331">
        <v>1.04</v>
      </c>
      <c r="J133" s="12">
        <f t="shared" si="11"/>
        <v>0</v>
      </c>
    </row>
    <row r="134" spans="1:11" ht="14.5" hidden="1" customHeight="1" x14ac:dyDescent="0.35">
      <c r="A134" s="103"/>
      <c r="B134" s="12" t="s">
        <v>4</v>
      </c>
      <c r="C134" s="10" t="s">
        <v>306</v>
      </c>
      <c r="D134" s="152"/>
      <c r="E134" s="170"/>
      <c r="F134" s="95"/>
      <c r="G134" s="153" t="str">
        <f t="shared" si="8"/>
        <v/>
      </c>
      <c r="H134" s="10" t="s">
        <v>20</v>
      </c>
      <c r="I134" s="331">
        <v>1.06</v>
      </c>
      <c r="J134" s="12">
        <f t="shared" si="11"/>
        <v>0</v>
      </c>
    </row>
    <row r="135" spans="1:11" ht="14.5" hidden="1" customHeight="1" x14ac:dyDescent="0.35">
      <c r="A135" s="103"/>
      <c r="B135" s="12" t="s">
        <v>4</v>
      </c>
      <c r="C135" s="10" t="s">
        <v>307</v>
      </c>
      <c r="D135" s="152"/>
      <c r="E135" s="170"/>
      <c r="F135" s="95"/>
      <c r="G135" s="153" t="str">
        <f t="shared" si="8"/>
        <v/>
      </c>
      <c r="H135" s="10" t="s">
        <v>20</v>
      </c>
      <c r="I135" s="331">
        <v>1.06</v>
      </c>
      <c r="J135" s="12">
        <f t="shared" si="11"/>
        <v>0</v>
      </c>
    </row>
    <row r="136" spans="1:11" ht="14.5" hidden="1" customHeight="1" x14ac:dyDescent="0.35">
      <c r="A136" s="103"/>
      <c r="B136" s="12" t="s">
        <v>4</v>
      </c>
      <c r="C136" s="10" t="s">
        <v>308</v>
      </c>
      <c r="D136" s="152"/>
      <c r="E136" s="170"/>
      <c r="F136" s="95"/>
      <c r="G136" s="153" t="str">
        <f t="shared" si="8"/>
        <v/>
      </c>
      <c r="H136" s="10" t="s">
        <v>20</v>
      </c>
      <c r="I136" s="331">
        <v>1.2869999999999999</v>
      </c>
      <c r="J136" s="12">
        <f t="shared" si="11"/>
        <v>0</v>
      </c>
    </row>
    <row r="137" spans="1:11" ht="15.65" hidden="1" customHeight="1" x14ac:dyDescent="0.35">
      <c r="A137" s="103"/>
      <c r="B137" s="12" t="s">
        <v>4</v>
      </c>
      <c r="C137" s="10" t="s">
        <v>309</v>
      </c>
      <c r="D137" s="152"/>
      <c r="E137" s="170"/>
      <c r="F137" s="95"/>
      <c r="G137" s="153" t="str">
        <f t="shared" si="8"/>
        <v/>
      </c>
      <c r="H137" s="10" t="s">
        <v>20</v>
      </c>
      <c r="I137" s="331">
        <v>1.59</v>
      </c>
      <c r="J137" s="12">
        <f t="shared" si="11"/>
        <v>0</v>
      </c>
      <c r="K137" s="13"/>
    </row>
    <row r="138" spans="1:11" ht="15.65" hidden="1" customHeight="1" x14ac:dyDescent="0.35">
      <c r="A138" s="113" t="s">
        <v>310</v>
      </c>
      <c r="B138" s="124"/>
      <c r="C138" s="124"/>
      <c r="D138" s="230"/>
      <c r="E138" s="174"/>
      <c r="F138" s="148"/>
      <c r="G138" s="153" t="str">
        <f t="shared" si="8"/>
        <v/>
      </c>
      <c r="H138" s="124"/>
      <c r="I138" s="241"/>
      <c r="J138" s="125"/>
    </row>
    <row r="139" spans="1:11" ht="14.5" hidden="1" customHeight="1" x14ac:dyDescent="0.35">
      <c r="A139" s="103"/>
      <c r="B139" s="12" t="s">
        <v>4</v>
      </c>
      <c r="C139" s="10" t="s">
        <v>311</v>
      </c>
      <c r="D139" s="152"/>
      <c r="E139" s="170"/>
      <c r="F139" s="95"/>
      <c r="G139" s="153" t="str">
        <f t="shared" si="8"/>
        <v/>
      </c>
      <c r="H139" s="10" t="s">
        <v>20</v>
      </c>
      <c r="I139" s="331">
        <v>1.1000000000000001</v>
      </c>
      <c r="J139" s="12">
        <f t="shared" ref="J139:J149" si="12">E139*I139</f>
        <v>0</v>
      </c>
    </row>
    <row r="140" spans="1:11" ht="14.5" hidden="1" customHeight="1" x14ac:dyDescent="0.35">
      <c r="A140" s="103"/>
      <c r="B140" s="12" t="s">
        <v>4</v>
      </c>
      <c r="C140" s="10" t="s">
        <v>312</v>
      </c>
      <c r="D140" s="152"/>
      <c r="E140" s="170"/>
      <c r="F140" s="95"/>
      <c r="G140" s="153" t="str">
        <f t="shared" si="8"/>
        <v/>
      </c>
      <c r="H140" s="10" t="s">
        <v>20</v>
      </c>
      <c r="I140" s="331">
        <v>1.1000000000000001</v>
      </c>
      <c r="J140" s="12">
        <f t="shared" si="12"/>
        <v>0</v>
      </c>
    </row>
    <row r="141" spans="1:11" ht="14.5" hidden="1" customHeight="1" x14ac:dyDescent="0.35">
      <c r="A141" s="103"/>
      <c r="B141" s="12" t="s">
        <v>4</v>
      </c>
      <c r="C141" s="10" t="s">
        <v>313</v>
      </c>
      <c r="D141" s="152"/>
      <c r="E141" s="170"/>
      <c r="F141" s="95"/>
      <c r="G141" s="153" t="str">
        <f t="shared" si="8"/>
        <v/>
      </c>
      <c r="H141" s="10" t="s">
        <v>20</v>
      </c>
      <c r="I141" s="331">
        <v>1.3</v>
      </c>
      <c r="J141" s="12">
        <f t="shared" si="12"/>
        <v>0</v>
      </c>
    </row>
    <row r="142" spans="1:11" ht="14.5" hidden="1" customHeight="1" x14ac:dyDescent="0.35">
      <c r="A142" s="103"/>
      <c r="B142" s="12" t="s">
        <v>4</v>
      </c>
      <c r="C142" s="10" t="s">
        <v>314</v>
      </c>
      <c r="D142" s="152"/>
      <c r="E142" s="170"/>
      <c r="F142" s="95"/>
      <c r="G142" s="153" t="str">
        <f t="shared" si="8"/>
        <v/>
      </c>
      <c r="H142" s="10" t="s">
        <v>20</v>
      </c>
      <c r="I142" s="331">
        <v>1.36</v>
      </c>
      <c r="J142" s="12">
        <f t="shared" si="12"/>
        <v>0</v>
      </c>
    </row>
    <row r="143" spans="1:11" ht="14.5" hidden="1" customHeight="1" x14ac:dyDescent="0.35">
      <c r="A143" s="103"/>
      <c r="B143" s="12" t="s">
        <v>4</v>
      </c>
      <c r="C143" s="10" t="s">
        <v>315</v>
      </c>
      <c r="D143" s="152"/>
      <c r="E143" s="170"/>
      <c r="F143" s="95"/>
      <c r="G143" s="153" t="str">
        <f t="shared" si="8"/>
        <v/>
      </c>
      <c r="H143" s="10" t="s">
        <v>20</v>
      </c>
      <c r="I143" s="331">
        <v>1.3</v>
      </c>
      <c r="J143" s="12">
        <f t="shared" si="12"/>
        <v>0</v>
      </c>
    </row>
    <row r="144" spans="1:11" ht="15.65" hidden="1" customHeight="1" x14ac:dyDescent="0.35">
      <c r="A144" s="103"/>
      <c r="B144" s="12" t="s">
        <v>4</v>
      </c>
      <c r="C144" s="10" t="s">
        <v>316</v>
      </c>
      <c r="D144" s="152"/>
      <c r="E144" s="170"/>
      <c r="F144" s="95"/>
      <c r="G144" s="153" t="str">
        <f t="shared" si="8"/>
        <v/>
      </c>
      <c r="H144" s="10" t="s">
        <v>20</v>
      </c>
      <c r="I144" s="331">
        <v>1.35</v>
      </c>
      <c r="J144" s="12">
        <f t="shared" si="12"/>
        <v>0</v>
      </c>
      <c r="K144" s="13"/>
    </row>
    <row r="145" spans="1:11" ht="15.65" hidden="1" customHeight="1" x14ac:dyDescent="0.35">
      <c r="A145" s="103"/>
      <c r="B145" s="12" t="s">
        <v>4</v>
      </c>
      <c r="C145" s="10" t="s">
        <v>317</v>
      </c>
      <c r="D145" s="152"/>
      <c r="E145" s="170"/>
      <c r="F145" s="95"/>
      <c r="G145" s="153" t="str">
        <f t="shared" si="8"/>
        <v/>
      </c>
      <c r="H145" s="10" t="s">
        <v>20</v>
      </c>
      <c r="I145" s="331">
        <v>1.28</v>
      </c>
      <c r="J145" s="12">
        <f t="shared" si="12"/>
        <v>0</v>
      </c>
    </row>
    <row r="146" spans="1:11" ht="14.5" hidden="1" customHeight="1" x14ac:dyDescent="0.35">
      <c r="A146" s="103"/>
      <c r="B146" s="12" t="s">
        <v>4</v>
      </c>
      <c r="C146" s="10" t="s">
        <v>318</v>
      </c>
      <c r="D146" s="152"/>
      <c r="E146" s="170"/>
      <c r="F146" s="95"/>
      <c r="G146" s="153" t="str">
        <f t="shared" si="8"/>
        <v/>
      </c>
      <c r="H146" s="10" t="s">
        <v>20</v>
      </c>
      <c r="I146" s="331">
        <v>1.1000000000000001</v>
      </c>
      <c r="J146" s="12">
        <f t="shared" si="12"/>
        <v>0</v>
      </c>
    </row>
    <row r="147" spans="1:11" ht="14.5" hidden="1" customHeight="1" x14ac:dyDescent="0.35">
      <c r="A147" s="103"/>
      <c r="B147" s="12" t="s">
        <v>4</v>
      </c>
      <c r="C147" s="10" t="s">
        <v>319</v>
      </c>
      <c r="D147" s="152"/>
      <c r="E147" s="170"/>
      <c r="F147" s="95"/>
      <c r="G147" s="153" t="str">
        <f t="shared" si="8"/>
        <v/>
      </c>
      <c r="H147" s="10" t="s">
        <v>20</v>
      </c>
      <c r="I147" s="331">
        <v>1.1000000000000001</v>
      </c>
      <c r="J147" s="12">
        <f t="shared" si="12"/>
        <v>0</v>
      </c>
    </row>
    <row r="148" spans="1:11" ht="14.5" hidden="1" customHeight="1" x14ac:dyDescent="0.35">
      <c r="A148" s="103"/>
      <c r="B148" s="12" t="s">
        <v>4</v>
      </c>
      <c r="C148" s="10" t="s">
        <v>320</v>
      </c>
      <c r="D148" s="152"/>
      <c r="E148" s="170"/>
      <c r="F148" s="95"/>
      <c r="G148" s="153" t="str">
        <f t="shared" si="8"/>
        <v/>
      </c>
      <c r="H148" s="10" t="s">
        <v>20</v>
      </c>
      <c r="I148" s="331">
        <v>1.1000000000000001</v>
      </c>
      <c r="J148" s="12">
        <f t="shared" si="12"/>
        <v>0</v>
      </c>
    </row>
    <row r="149" spans="1:11" ht="14.5" hidden="1" customHeight="1" x14ac:dyDescent="0.35">
      <c r="A149" s="103"/>
      <c r="B149" s="12" t="s">
        <v>4</v>
      </c>
      <c r="C149" s="10" t="s">
        <v>321</v>
      </c>
      <c r="D149" s="152"/>
      <c r="E149" s="170"/>
      <c r="F149" s="95"/>
      <c r="G149" s="153" t="str">
        <f t="shared" si="8"/>
        <v/>
      </c>
      <c r="H149" s="10" t="s">
        <v>20</v>
      </c>
      <c r="I149" s="331">
        <v>1.1000000000000001</v>
      </c>
      <c r="J149" s="12">
        <f t="shared" si="12"/>
        <v>0</v>
      </c>
    </row>
    <row r="150" spans="1:11" ht="14.5" customHeight="1" x14ac:dyDescent="0.35">
      <c r="A150" s="113" t="s">
        <v>41</v>
      </c>
      <c r="B150" s="124"/>
      <c r="C150" s="124"/>
      <c r="D150" s="230"/>
      <c r="E150" s="174"/>
      <c r="F150" s="148"/>
      <c r="G150" s="165" t="str">
        <f t="shared" si="8"/>
        <v/>
      </c>
      <c r="H150" s="124"/>
      <c r="I150" s="241"/>
      <c r="J150" s="125"/>
    </row>
    <row r="151" spans="1:11" ht="14.5" customHeight="1" x14ac:dyDescent="0.35">
      <c r="A151" s="103"/>
      <c r="B151" s="12" t="s">
        <v>4</v>
      </c>
      <c r="C151" s="10" t="s">
        <v>24</v>
      </c>
      <c r="D151" s="152">
        <v>20</v>
      </c>
      <c r="E151" s="170">
        <v>40</v>
      </c>
      <c r="F151" s="95"/>
      <c r="G151" s="153" t="str">
        <f t="shared" si="8"/>
        <v/>
      </c>
      <c r="H151" s="10" t="s">
        <v>20</v>
      </c>
      <c r="I151" s="331">
        <v>3.04</v>
      </c>
      <c r="J151" s="12">
        <f t="shared" ref="J151:J164" si="13">E151*I151</f>
        <v>121.6</v>
      </c>
      <c r="K151" s="13"/>
    </row>
    <row r="152" spans="1:11" ht="15.65" customHeight="1" x14ac:dyDescent="0.35">
      <c r="A152" s="103"/>
      <c r="B152" s="12" t="s">
        <v>4</v>
      </c>
      <c r="C152" s="10" t="s">
        <v>80</v>
      </c>
      <c r="D152" s="152">
        <v>40</v>
      </c>
      <c r="E152" s="170">
        <v>80</v>
      </c>
      <c r="F152" s="95"/>
      <c r="G152" s="153" t="str">
        <f t="shared" si="8"/>
        <v/>
      </c>
      <c r="H152" s="10" t="s">
        <v>20</v>
      </c>
      <c r="I152" s="331">
        <v>2.31</v>
      </c>
      <c r="J152" s="12">
        <f t="shared" si="13"/>
        <v>184.8</v>
      </c>
    </row>
    <row r="153" spans="1:11" ht="15.65" customHeight="1" x14ac:dyDescent="0.35">
      <c r="A153" s="103"/>
      <c r="B153" s="12" t="s">
        <v>4</v>
      </c>
      <c r="C153" s="10" t="s">
        <v>84</v>
      </c>
      <c r="D153" s="152">
        <v>20</v>
      </c>
      <c r="E153" s="170">
        <v>40</v>
      </c>
      <c r="F153" s="95"/>
      <c r="G153" s="153" t="str">
        <f t="shared" ref="G153:G223" si="14">IF(E153="","",IF(D153-E153&gt;0,D153-E153,""))</f>
        <v/>
      </c>
      <c r="H153" s="10" t="s">
        <v>20</v>
      </c>
      <c r="I153" s="331">
        <v>2.31</v>
      </c>
      <c r="J153" s="12">
        <f t="shared" si="13"/>
        <v>92.4</v>
      </c>
    </row>
    <row r="154" spans="1:11" ht="14.5" hidden="1" customHeight="1" x14ac:dyDescent="0.35">
      <c r="A154" s="103"/>
      <c r="B154" s="12" t="s">
        <v>4</v>
      </c>
      <c r="C154" s="10" t="s">
        <v>394</v>
      </c>
      <c r="D154" s="152"/>
      <c r="E154" s="170"/>
      <c r="F154" s="95"/>
      <c r="G154" s="153" t="str">
        <f t="shared" si="14"/>
        <v/>
      </c>
      <c r="H154" s="10" t="s">
        <v>20</v>
      </c>
      <c r="I154" s="331">
        <v>2.54</v>
      </c>
      <c r="J154" s="12">
        <f t="shared" si="13"/>
        <v>0</v>
      </c>
    </row>
    <row r="155" spans="1:11" ht="14.5" hidden="1" customHeight="1" x14ac:dyDescent="0.35">
      <c r="A155" s="103"/>
      <c r="B155" s="12" t="s">
        <v>4</v>
      </c>
      <c r="C155" s="10" t="s">
        <v>394</v>
      </c>
      <c r="D155" s="152"/>
      <c r="E155" s="170"/>
      <c r="F155" s="95"/>
      <c r="G155" s="153" t="str">
        <f t="shared" si="14"/>
        <v/>
      </c>
      <c r="H155" s="10" t="s">
        <v>20</v>
      </c>
      <c r="I155" s="331">
        <v>2.54</v>
      </c>
      <c r="J155" s="12">
        <f t="shared" si="13"/>
        <v>0</v>
      </c>
    </row>
    <row r="156" spans="1:11" ht="14.5" customHeight="1" x14ac:dyDescent="0.35">
      <c r="A156" s="103"/>
      <c r="B156" s="12" t="s">
        <v>4</v>
      </c>
      <c r="C156" s="10" t="s">
        <v>25</v>
      </c>
      <c r="D156" s="152">
        <v>20</v>
      </c>
      <c r="E156" s="170">
        <v>30</v>
      </c>
      <c r="F156" s="95"/>
      <c r="G156" s="153" t="str">
        <f t="shared" si="14"/>
        <v/>
      </c>
      <c r="H156" s="10" t="s">
        <v>20</v>
      </c>
      <c r="I156" s="331">
        <v>1.79</v>
      </c>
      <c r="J156" s="12">
        <f t="shared" si="13"/>
        <v>53.7</v>
      </c>
      <c r="K156" s="13"/>
    </row>
    <row r="157" spans="1:11" ht="15.65" hidden="1" customHeight="1" x14ac:dyDescent="0.35">
      <c r="A157" s="103"/>
      <c r="B157" s="12" t="s">
        <v>4</v>
      </c>
      <c r="C157" s="10" t="s">
        <v>322</v>
      </c>
      <c r="D157" s="152"/>
      <c r="E157" s="170"/>
      <c r="F157" s="95"/>
      <c r="G157" s="153" t="str">
        <f t="shared" si="14"/>
        <v/>
      </c>
      <c r="H157" s="10" t="s">
        <v>20</v>
      </c>
      <c r="I157" s="331">
        <v>2.46</v>
      </c>
      <c r="J157" s="12">
        <f t="shared" si="13"/>
        <v>0</v>
      </c>
    </row>
    <row r="158" spans="1:11" ht="15.65" customHeight="1" x14ac:dyDescent="0.35">
      <c r="A158" s="103"/>
      <c r="B158" s="12" t="s">
        <v>4</v>
      </c>
      <c r="C158" s="10" t="s">
        <v>393</v>
      </c>
      <c r="D158" s="152">
        <v>40</v>
      </c>
      <c r="E158" s="170">
        <v>40</v>
      </c>
      <c r="F158" s="95"/>
      <c r="G158" s="153" t="str">
        <f t="shared" si="14"/>
        <v/>
      </c>
      <c r="H158" s="10" t="s">
        <v>20</v>
      </c>
      <c r="I158" s="331">
        <v>2.46</v>
      </c>
      <c r="J158" s="12">
        <f t="shared" si="13"/>
        <v>98.4</v>
      </c>
    </row>
    <row r="159" spans="1:11" ht="14.5" hidden="1" customHeight="1" x14ac:dyDescent="0.35">
      <c r="A159" s="103"/>
      <c r="B159" s="12" t="s">
        <v>4</v>
      </c>
      <c r="C159" s="10" t="s">
        <v>43</v>
      </c>
      <c r="D159" s="152"/>
      <c r="E159" s="170"/>
      <c r="F159" s="95"/>
      <c r="G159" s="153" t="str">
        <f t="shared" si="14"/>
        <v/>
      </c>
      <c r="H159" s="10" t="s">
        <v>20</v>
      </c>
      <c r="I159" s="331">
        <v>2.5499999999999998</v>
      </c>
      <c r="J159" s="12">
        <f t="shared" si="13"/>
        <v>0</v>
      </c>
    </row>
    <row r="160" spans="1:11" ht="14.5" customHeight="1" x14ac:dyDescent="0.35">
      <c r="A160" s="103"/>
      <c r="B160" s="12" t="s">
        <v>4</v>
      </c>
      <c r="C160" s="10" t="s">
        <v>81</v>
      </c>
      <c r="D160" s="152">
        <v>40</v>
      </c>
      <c r="E160" s="170">
        <v>40</v>
      </c>
      <c r="F160" s="95"/>
      <c r="G160" s="153" t="str">
        <f t="shared" si="14"/>
        <v/>
      </c>
      <c r="H160" s="10" t="s">
        <v>20</v>
      </c>
      <c r="I160" s="331">
        <v>1.51</v>
      </c>
      <c r="J160" s="12">
        <f t="shared" si="13"/>
        <v>60.4</v>
      </c>
      <c r="K160" s="13"/>
    </row>
    <row r="161" spans="1:11" ht="15.65" customHeight="1" x14ac:dyDescent="0.35">
      <c r="A161" s="103"/>
      <c r="B161" s="12" t="s">
        <v>4</v>
      </c>
      <c r="C161" s="10" t="s">
        <v>82</v>
      </c>
      <c r="D161" s="152">
        <v>40</v>
      </c>
      <c r="E161" s="170">
        <v>38</v>
      </c>
      <c r="F161" s="95"/>
      <c r="G161" s="153">
        <f t="shared" si="14"/>
        <v>2</v>
      </c>
      <c r="H161" s="10" t="s">
        <v>20</v>
      </c>
      <c r="I161" s="331">
        <v>1.51</v>
      </c>
      <c r="J161" s="12">
        <f t="shared" si="13"/>
        <v>57.38</v>
      </c>
    </row>
    <row r="162" spans="1:11" ht="15.65" hidden="1" customHeight="1" x14ac:dyDescent="0.35">
      <c r="A162" s="103"/>
      <c r="B162" s="12" t="s">
        <v>4</v>
      </c>
      <c r="C162" s="10" t="s">
        <v>323</v>
      </c>
      <c r="D162" s="152"/>
      <c r="E162" s="170"/>
      <c r="F162" s="95"/>
      <c r="G162" s="153" t="str">
        <f t="shared" si="14"/>
        <v/>
      </c>
      <c r="H162" s="10" t="s">
        <v>20</v>
      </c>
      <c r="I162" s="331">
        <v>1.54</v>
      </c>
      <c r="J162" s="12">
        <f t="shared" si="13"/>
        <v>0</v>
      </c>
    </row>
    <row r="163" spans="1:11" ht="14.5" hidden="1" customHeight="1" x14ac:dyDescent="0.35">
      <c r="A163" s="103"/>
      <c r="B163" s="12" t="s">
        <v>4</v>
      </c>
      <c r="C163" s="10" t="s">
        <v>324</v>
      </c>
      <c r="D163" s="152"/>
      <c r="E163" s="170"/>
      <c r="F163" s="95"/>
      <c r="G163" s="153" t="str">
        <f t="shared" si="14"/>
        <v/>
      </c>
      <c r="H163" s="10" t="s">
        <v>20</v>
      </c>
      <c r="I163" s="331">
        <v>1.6</v>
      </c>
      <c r="J163" s="12">
        <f t="shared" si="13"/>
        <v>0</v>
      </c>
    </row>
    <row r="164" spans="1:11" ht="14.5" hidden="1" customHeight="1" x14ac:dyDescent="0.35">
      <c r="A164" s="103"/>
      <c r="B164" s="12" t="s">
        <v>4</v>
      </c>
      <c r="C164" s="78" t="s">
        <v>325</v>
      </c>
      <c r="D164" s="224"/>
      <c r="E164" s="170"/>
      <c r="F164" s="142"/>
      <c r="G164" s="153" t="str">
        <f t="shared" si="14"/>
        <v/>
      </c>
      <c r="H164" s="10" t="s">
        <v>20</v>
      </c>
      <c r="I164" s="333">
        <v>49.95</v>
      </c>
      <c r="J164" s="12">
        <f t="shared" si="13"/>
        <v>0</v>
      </c>
    </row>
    <row r="165" spans="1:11" ht="14.5" customHeight="1" x14ac:dyDescent="0.35">
      <c r="A165" s="113" t="s">
        <v>44</v>
      </c>
      <c r="B165" s="124"/>
      <c r="C165" s="124"/>
      <c r="D165" s="230"/>
      <c r="E165" s="174"/>
      <c r="F165" s="148"/>
      <c r="G165" s="165" t="str">
        <f t="shared" si="14"/>
        <v/>
      </c>
      <c r="H165" s="124"/>
      <c r="I165" s="241"/>
      <c r="J165" s="125"/>
    </row>
    <row r="166" spans="1:11" ht="14.5" customHeight="1" x14ac:dyDescent="0.35">
      <c r="A166" s="103"/>
      <c r="B166" s="12" t="s">
        <v>4</v>
      </c>
      <c r="C166" s="10" t="s">
        <v>48</v>
      </c>
      <c r="D166" s="152"/>
      <c r="E166" s="170"/>
      <c r="F166" s="95"/>
      <c r="G166" s="153" t="str">
        <f t="shared" si="14"/>
        <v/>
      </c>
      <c r="H166" s="10" t="s">
        <v>20</v>
      </c>
      <c r="I166" s="331">
        <v>1.94</v>
      </c>
      <c r="J166" s="12">
        <f t="shared" ref="J166:J175" si="15">E166*I166</f>
        <v>0</v>
      </c>
    </row>
    <row r="167" spans="1:11" ht="14.5" customHeight="1" x14ac:dyDescent="0.35">
      <c r="A167" s="103"/>
      <c r="B167" s="12" t="s">
        <v>4</v>
      </c>
      <c r="C167" s="10" t="s">
        <v>49</v>
      </c>
      <c r="D167" s="152"/>
      <c r="E167" s="170"/>
      <c r="F167" s="95"/>
      <c r="G167" s="153" t="str">
        <f t="shared" si="14"/>
        <v/>
      </c>
      <c r="H167" s="10" t="s">
        <v>20</v>
      </c>
      <c r="I167" s="331">
        <v>1.94</v>
      </c>
      <c r="J167" s="12">
        <f t="shared" si="15"/>
        <v>0</v>
      </c>
    </row>
    <row r="168" spans="1:11" ht="14.5" customHeight="1" x14ac:dyDescent="0.35">
      <c r="A168" s="103"/>
      <c r="B168" s="12" t="s">
        <v>4</v>
      </c>
      <c r="C168" s="10" t="s">
        <v>50</v>
      </c>
      <c r="D168" s="152"/>
      <c r="E168" s="170"/>
      <c r="F168" s="95"/>
      <c r="G168" s="153" t="str">
        <f t="shared" si="14"/>
        <v/>
      </c>
      <c r="H168" s="10" t="s">
        <v>20</v>
      </c>
      <c r="I168" s="331">
        <v>1.94</v>
      </c>
      <c r="J168" s="12">
        <f t="shared" si="15"/>
        <v>0</v>
      </c>
    </row>
    <row r="169" spans="1:11" ht="14.5" hidden="1" customHeight="1" x14ac:dyDescent="0.35">
      <c r="A169" s="103"/>
      <c r="B169" s="12" t="s">
        <v>4</v>
      </c>
      <c r="C169" s="10" t="s">
        <v>415</v>
      </c>
      <c r="D169" s="152"/>
      <c r="E169" s="170"/>
      <c r="F169" s="95"/>
      <c r="G169" s="153" t="str">
        <f t="shared" si="14"/>
        <v/>
      </c>
      <c r="H169" s="10" t="s">
        <v>20</v>
      </c>
      <c r="I169" s="331">
        <v>1.98</v>
      </c>
      <c r="J169" s="12">
        <f t="shared" si="15"/>
        <v>0</v>
      </c>
    </row>
    <row r="170" spans="1:11" ht="14.5" hidden="1" customHeight="1" x14ac:dyDescent="0.35">
      <c r="A170" s="103"/>
      <c r="B170" s="12" t="s">
        <v>4</v>
      </c>
      <c r="C170" s="10" t="s">
        <v>414</v>
      </c>
      <c r="D170" s="152"/>
      <c r="E170" s="170"/>
      <c r="F170" s="95"/>
      <c r="G170" s="153" t="str">
        <f t="shared" si="14"/>
        <v/>
      </c>
      <c r="H170" s="10" t="s">
        <v>20</v>
      </c>
      <c r="I170" s="331">
        <v>1.98</v>
      </c>
      <c r="J170" s="12">
        <f t="shared" si="15"/>
        <v>0</v>
      </c>
    </row>
    <row r="171" spans="1:11" ht="14.5" hidden="1" customHeight="1" x14ac:dyDescent="0.35">
      <c r="A171" s="103"/>
      <c r="B171" s="12" t="s">
        <v>4</v>
      </c>
      <c r="C171" s="10" t="s">
        <v>328</v>
      </c>
      <c r="D171" s="152"/>
      <c r="E171" s="170"/>
      <c r="F171" s="95"/>
      <c r="G171" s="153" t="str">
        <f t="shared" si="14"/>
        <v/>
      </c>
      <c r="H171" s="10" t="s">
        <v>20</v>
      </c>
      <c r="I171" s="331">
        <v>1.98</v>
      </c>
      <c r="J171" s="12">
        <f t="shared" si="15"/>
        <v>0</v>
      </c>
    </row>
    <row r="172" spans="1:11" ht="14.5" hidden="1" customHeight="1" x14ac:dyDescent="0.35">
      <c r="A172" s="103"/>
      <c r="B172" s="12" t="s">
        <v>4</v>
      </c>
      <c r="C172" s="10" t="s">
        <v>329</v>
      </c>
      <c r="D172" s="152"/>
      <c r="E172" s="170"/>
      <c r="F172" s="95"/>
      <c r="G172" s="153" t="str">
        <f t="shared" si="14"/>
        <v/>
      </c>
      <c r="H172" s="10" t="s">
        <v>20</v>
      </c>
      <c r="I172" s="331">
        <v>1.98</v>
      </c>
      <c r="J172" s="12">
        <f t="shared" si="15"/>
        <v>0</v>
      </c>
    </row>
    <row r="173" spans="1:11" ht="14.5" hidden="1" customHeight="1" x14ac:dyDescent="0.35">
      <c r="A173" s="103"/>
      <c r="B173" s="40" t="s">
        <v>4</v>
      </c>
      <c r="C173" s="41" t="s">
        <v>330</v>
      </c>
      <c r="D173" s="227"/>
      <c r="E173" s="170"/>
      <c r="F173" s="145"/>
      <c r="G173" s="153" t="str">
        <f t="shared" si="14"/>
        <v/>
      </c>
      <c r="H173" s="10" t="s">
        <v>20</v>
      </c>
      <c r="I173" s="331">
        <v>1.98</v>
      </c>
      <c r="J173" s="12">
        <f t="shared" si="15"/>
        <v>0</v>
      </c>
    </row>
    <row r="174" spans="1:11" ht="14.5" hidden="1" customHeight="1" x14ac:dyDescent="0.35">
      <c r="A174" s="103"/>
      <c r="B174" s="40" t="s">
        <v>4</v>
      </c>
      <c r="C174" s="41" t="s">
        <v>331</v>
      </c>
      <c r="D174" s="227"/>
      <c r="E174" s="170"/>
      <c r="F174" s="145"/>
      <c r="G174" s="153" t="str">
        <f t="shared" si="14"/>
        <v/>
      </c>
      <c r="H174" s="10" t="s">
        <v>20</v>
      </c>
      <c r="I174" s="331">
        <v>1.98</v>
      </c>
      <c r="J174" s="12">
        <f t="shared" si="15"/>
        <v>0</v>
      </c>
    </row>
    <row r="175" spans="1:11" ht="14.5" hidden="1" customHeight="1" x14ac:dyDescent="0.35">
      <c r="A175" s="103"/>
      <c r="B175" s="40" t="s">
        <v>4</v>
      </c>
      <c r="C175" s="41" t="s">
        <v>413</v>
      </c>
      <c r="D175" s="227"/>
      <c r="E175" s="170"/>
      <c r="F175" s="145"/>
      <c r="G175" s="153" t="str">
        <f t="shared" si="14"/>
        <v/>
      </c>
      <c r="H175" s="41" t="s">
        <v>20</v>
      </c>
      <c r="I175" s="334">
        <v>1.98</v>
      </c>
      <c r="J175" s="12">
        <f t="shared" si="15"/>
        <v>0</v>
      </c>
    </row>
    <row r="176" spans="1:11" ht="14.5" hidden="1" customHeight="1" x14ac:dyDescent="0.35">
      <c r="A176" s="114" t="s">
        <v>333</v>
      </c>
      <c r="B176" s="120"/>
      <c r="C176" s="120"/>
      <c r="D176" s="228"/>
      <c r="E176" s="175"/>
      <c r="F176" s="149"/>
      <c r="G176" s="153" t="str">
        <f t="shared" si="14"/>
        <v/>
      </c>
      <c r="H176" s="121"/>
      <c r="I176" s="122" t="s">
        <v>18</v>
      </c>
      <c r="J176" s="123">
        <f>SUM(J177:J186)</f>
        <v>0</v>
      </c>
      <c r="K176" s="13"/>
    </row>
    <row r="177" spans="1:14" ht="15.65" hidden="1" customHeight="1" x14ac:dyDescent="0.35">
      <c r="A177" s="103"/>
      <c r="B177" s="12" t="s">
        <v>26</v>
      </c>
      <c r="C177" s="10" t="s">
        <v>334</v>
      </c>
      <c r="D177" s="152"/>
      <c r="E177" s="170"/>
      <c r="F177" s="95"/>
      <c r="G177" s="153" t="str">
        <f t="shared" si="14"/>
        <v/>
      </c>
      <c r="H177" s="10" t="s">
        <v>335</v>
      </c>
      <c r="I177" s="331">
        <v>20</v>
      </c>
      <c r="J177" s="12">
        <f t="shared" ref="J177:J186" si="16">E177*I177</f>
        <v>0</v>
      </c>
    </row>
    <row r="178" spans="1:14" hidden="1" x14ac:dyDescent="0.35">
      <c r="A178" s="103"/>
      <c r="B178" s="20" t="s">
        <v>26</v>
      </c>
      <c r="C178" s="18" t="s">
        <v>53</v>
      </c>
      <c r="D178" s="229"/>
      <c r="E178" s="170"/>
      <c r="F178" s="147"/>
      <c r="G178" s="153" t="str">
        <f t="shared" si="14"/>
        <v/>
      </c>
      <c r="H178" s="18" t="s">
        <v>20</v>
      </c>
      <c r="I178" s="335">
        <v>0.43</v>
      </c>
      <c r="J178" s="20">
        <f t="shared" si="16"/>
        <v>0</v>
      </c>
      <c r="N178" t="s">
        <v>47</v>
      </c>
    </row>
    <row r="179" spans="1:14" hidden="1" x14ac:dyDescent="0.35">
      <c r="A179" s="103"/>
      <c r="B179" s="20" t="s">
        <v>26</v>
      </c>
      <c r="C179" s="18" t="s">
        <v>336</v>
      </c>
      <c r="D179" s="229"/>
      <c r="E179" s="170"/>
      <c r="F179" s="147"/>
      <c r="G179" s="153" t="str">
        <f t="shared" si="14"/>
        <v/>
      </c>
      <c r="H179" s="18" t="s">
        <v>20</v>
      </c>
      <c r="I179" s="335">
        <v>0.43</v>
      </c>
      <c r="J179" s="20">
        <f t="shared" si="16"/>
        <v>0</v>
      </c>
    </row>
    <row r="180" spans="1:14" ht="16.399999999999999" hidden="1" customHeight="1" x14ac:dyDescent="0.35">
      <c r="A180" s="103"/>
      <c r="B180" s="12" t="s">
        <v>26</v>
      </c>
      <c r="C180" s="10" t="s">
        <v>337</v>
      </c>
      <c r="D180" s="152"/>
      <c r="E180" s="170"/>
      <c r="F180" s="95"/>
      <c r="G180" s="153" t="str">
        <f t="shared" si="14"/>
        <v/>
      </c>
      <c r="H180" s="10" t="s">
        <v>20</v>
      </c>
      <c r="I180" s="331">
        <v>0.43</v>
      </c>
      <c r="J180" s="12">
        <f t="shared" si="16"/>
        <v>0</v>
      </c>
    </row>
    <row r="181" spans="1:14" hidden="1" x14ac:dyDescent="0.35">
      <c r="A181" s="103"/>
      <c r="B181" s="12" t="s">
        <v>26</v>
      </c>
      <c r="C181" s="10" t="s">
        <v>51</v>
      </c>
      <c r="D181" s="152"/>
      <c r="E181" s="170"/>
      <c r="F181" s="95"/>
      <c r="G181" s="153" t="str">
        <f t="shared" si="14"/>
        <v/>
      </c>
      <c r="H181" s="10" t="s">
        <v>61</v>
      </c>
      <c r="I181" s="331">
        <v>14</v>
      </c>
      <c r="J181" s="12">
        <f t="shared" si="16"/>
        <v>0</v>
      </c>
    </row>
    <row r="182" spans="1:14" hidden="1" x14ac:dyDescent="0.35">
      <c r="A182" s="103"/>
      <c r="B182" s="12" t="s">
        <v>26</v>
      </c>
      <c r="C182" s="10" t="s">
        <v>338</v>
      </c>
      <c r="D182" s="152"/>
      <c r="E182" s="170"/>
      <c r="F182" s="95"/>
      <c r="G182" s="153" t="str">
        <f t="shared" si="14"/>
        <v/>
      </c>
      <c r="H182" s="10" t="s">
        <v>61</v>
      </c>
      <c r="I182" s="331">
        <v>14.78</v>
      </c>
      <c r="J182" s="12">
        <f t="shared" si="16"/>
        <v>0</v>
      </c>
    </row>
    <row r="183" spans="1:14" hidden="1" x14ac:dyDescent="0.35">
      <c r="A183" s="103"/>
      <c r="B183" s="12" t="s">
        <v>26</v>
      </c>
      <c r="C183" s="10" t="s">
        <v>339</v>
      </c>
      <c r="D183" s="152"/>
      <c r="E183" s="170"/>
      <c r="F183" s="95"/>
      <c r="G183" s="153" t="str">
        <f t="shared" si="14"/>
        <v/>
      </c>
      <c r="H183" s="10" t="s">
        <v>61</v>
      </c>
      <c r="I183" s="331">
        <v>14.78</v>
      </c>
      <c r="J183" s="12">
        <f t="shared" si="16"/>
        <v>0</v>
      </c>
    </row>
    <row r="184" spans="1:14" ht="14.5" hidden="1" customHeight="1" x14ac:dyDescent="0.35">
      <c r="A184" s="103"/>
      <c r="B184" s="12" t="s">
        <v>26</v>
      </c>
      <c r="C184" s="10" t="s">
        <v>340</v>
      </c>
      <c r="D184" s="152"/>
      <c r="E184" s="170"/>
      <c r="F184" s="95"/>
      <c r="G184" s="153" t="str">
        <f t="shared" si="14"/>
        <v/>
      </c>
      <c r="H184" s="10" t="s">
        <v>61</v>
      </c>
      <c r="I184" s="331">
        <v>14.78</v>
      </c>
      <c r="J184" s="12">
        <f t="shared" si="16"/>
        <v>0</v>
      </c>
    </row>
    <row r="185" spans="1:14" hidden="1" x14ac:dyDescent="0.35">
      <c r="A185" s="103"/>
      <c r="B185" s="12" t="s">
        <v>26</v>
      </c>
      <c r="C185" s="10" t="s">
        <v>341</v>
      </c>
      <c r="D185" s="152"/>
      <c r="E185" s="170"/>
      <c r="F185" s="95"/>
      <c r="G185" s="153" t="str">
        <f t="shared" si="14"/>
        <v/>
      </c>
      <c r="H185" s="10" t="s">
        <v>61</v>
      </c>
      <c r="I185" s="331">
        <v>14.78</v>
      </c>
      <c r="J185" s="12">
        <f t="shared" si="16"/>
        <v>0</v>
      </c>
    </row>
    <row r="186" spans="1:14" ht="14.5" hidden="1" customHeight="1" x14ac:dyDescent="0.35">
      <c r="A186" s="103"/>
      <c r="B186" s="12" t="s">
        <v>26</v>
      </c>
      <c r="C186" s="10" t="s">
        <v>342</v>
      </c>
      <c r="D186" s="152"/>
      <c r="E186" s="170"/>
      <c r="F186" s="95"/>
      <c r="G186" s="153" t="str">
        <f t="shared" si="14"/>
        <v/>
      </c>
      <c r="H186" s="10" t="s">
        <v>61</v>
      </c>
      <c r="I186" s="331">
        <v>14.78</v>
      </c>
      <c r="J186" s="10">
        <f t="shared" si="16"/>
        <v>0</v>
      </c>
    </row>
    <row r="187" spans="1:14" ht="15.5" x14ac:dyDescent="0.35">
      <c r="A187" s="108" t="s">
        <v>343</v>
      </c>
      <c r="B187" s="108"/>
      <c r="C187" s="108"/>
      <c r="D187" s="223"/>
      <c r="E187" s="169"/>
      <c r="F187" s="109"/>
      <c r="G187" s="165" t="str">
        <f t="shared" si="14"/>
        <v/>
      </c>
      <c r="H187" s="108"/>
      <c r="I187" s="106" t="s">
        <v>18</v>
      </c>
      <c r="J187" s="107">
        <f>SUM(J188:J192)</f>
        <v>0</v>
      </c>
    </row>
    <row r="188" spans="1:14" ht="14.5" hidden="1" customHeight="1" x14ac:dyDescent="0.35">
      <c r="A188" s="103"/>
      <c r="B188" s="7" t="s">
        <v>6</v>
      </c>
      <c r="C188" s="14" t="s">
        <v>344</v>
      </c>
      <c r="D188" s="152"/>
      <c r="E188" s="170"/>
      <c r="F188" s="95"/>
      <c r="G188" s="153" t="str">
        <f t="shared" si="14"/>
        <v/>
      </c>
      <c r="H188" s="14" t="s">
        <v>20</v>
      </c>
      <c r="I188" s="336">
        <v>0.79</v>
      </c>
      <c r="J188" s="7">
        <f>E188*I188</f>
        <v>0</v>
      </c>
    </row>
    <row r="189" spans="1:14" ht="15.65" customHeight="1" x14ac:dyDescent="0.35">
      <c r="A189" s="103"/>
      <c r="B189" s="7" t="s">
        <v>6</v>
      </c>
      <c r="C189" s="14" t="s">
        <v>345</v>
      </c>
      <c r="D189" s="152">
        <v>10</v>
      </c>
      <c r="E189" s="170"/>
      <c r="F189" s="95"/>
      <c r="G189" s="153" t="str">
        <f t="shared" si="14"/>
        <v/>
      </c>
      <c r="H189" s="14" t="s">
        <v>20</v>
      </c>
      <c r="I189" s="336">
        <v>2.76</v>
      </c>
      <c r="J189" s="7">
        <f>E189*I189</f>
        <v>0</v>
      </c>
    </row>
    <row r="190" spans="1:14" ht="14.5" customHeight="1" x14ac:dyDescent="0.35">
      <c r="A190" s="103"/>
      <c r="B190" s="7" t="s">
        <v>6</v>
      </c>
      <c r="C190" s="14" t="s">
        <v>346</v>
      </c>
      <c r="D190" s="152"/>
      <c r="E190" s="170"/>
      <c r="F190" s="95"/>
      <c r="G190" s="153" t="str">
        <f t="shared" si="14"/>
        <v/>
      </c>
      <c r="H190" s="14" t="s">
        <v>20</v>
      </c>
      <c r="I190" s="336">
        <v>1</v>
      </c>
      <c r="J190" s="7">
        <f>E190*I190</f>
        <v>0</v>
      </c>
    </row>
    <row r="191" spans="1:14" x14ac:dyDescent="0.35">
      <c r="A191" s="103"/>
      <c r="B191" s="7" t="s">
        <v>6</v>
      </c>
      <c r="C191" s="14" t="s">
        <v>34</v>
      </c>
      <c r="D191" s="152">
        <v>10</v>
      </c>
      <c r="E191" s="170"/>
      <c r="F191" s="95"/>
      <c r="G191" s="153" t="str">
        <f t="shared" si="14"/>
        <v/>
      </c>
      <c r="H191" s="14" t="s">
        <v>20</v>
      </c>
      <c r="I191" s="336">
        <v>1.8</v>
      </c>
      <c r="J191" s="7">
        <f>E191*I191</f>
        <v>0</v>
      </c>
    </row>
    <row r="192" spans="1:14" x14ac:dyDescent="0.35">
      <c r="A192" s="103"/>
      <c r="B192" s="7" t="s">
        <v>6</v>
      </c>
      <c r="C192" s="14" t="s">
        <v>35</v>
      </c>
      <c r="D192" s="152">
        <v>10</v>
      </c>
      <c r="E192" s="170"/>
      <c r="F192" s="95"/>
      <c r="G192" s="153" t="str">
        <f t="shared" si="14"/>
        <v/>
      </c>
      <c r="H192" s="14" t="s">
        <v>20</v>
      </c>
      <c r="I192" s="336">
        <v>1.8</v>
      </c>
      <c r="J192" s="7">
        <f>E192*I192</f>
        <v>0</v>
      </c>
    </row>
    <row r="193" spans="1:10" ht="15.5" hidden="1" x14ac:dyDescent="0.35">
      <c r="A193" s="112" t="s">
        <v>347</v>
      </c>
      <c r="B193" s="116"/>
      <c r="C193" s="116"/>
      <c r="D193" s="228"/>
      <c r="E193" s="173"/>
      <c r="F193" s="146"/>
      <c r="G193" s="165" t="str">
        <f t="shared" si="14"/>
        <v/>
      </c>
      <c r="H193" s="117"/>
      <c r="I193" s="118" t="s">
        <v>18</v>
      </c>
      <c r="J193" s="119">
        <f>SUM(J194)</f>
        <v>0</v>
      </c>
    </row>
    <row r="194" spans="1:10" hidden="1" x14ac:dyDescent="0.35">
      <c r="A194" s="103"/>
      <c r="B194" s="12" t="s">
        <v>5</v>
      </c>
      <c r="C194" s="10" t="s">
        <v>55</v>
      </c>
      <c r="D194" s="152"/>
      <c r="E194" s="170"/>
      <c r="F194" s="95"/>
      <c r="G194" s="153" t="str">
        <f t="shared" si="14"/>
        <v/>
      </c>
      <c r="H194" s="10" t="s">
        <v>20</v>
      </c>
      <c r="I194" s="331">
        <v>1.01</v>
      </c>
      <c r="J194" s="12">
        <f>E194*I194</f>
        <v>0</v>
      </c>
    </row>
    <row r="195" spans="1:10" ht="15.5" hidden="1" x14ac:dyDescent="0.35">
      <c r="A195" s="112" t="s">
        <v>348</v>
      </c>
      <c r="B195" s="116"/>
      <c r="C195" s="116"/>
      <c r="D195" s="228"/>
      <c r="E195" s="173"/>
      <c r="F195" s="146"/>
      <c r="G195" s="165" t="str">
        <f t="shared" si="14"/>
        <v/>
      </c>
      <c r="H195" s="117"/>
      <c r="I195" s="118" t="s">
        <v>18</v>
      </c>
      <c r="J195" s="119">
        <f>SUM(J196:J207)</f>
        <v>0</v>
      </c>
    </row>
    <row r="196" spans="1:10" hidden="1" x14ac:dyDescent="0.35">
      <c r="A196" s="103"/>
      <c r="B196" s="20" t="s">
        <v>8</v>
      </c>
      <c r="C196" s="18" t="s">
        <v>349</v>
      </c>
      <c r="D196" s="229"/>
      <c r="E196" s="170"/>
      <c r="F196" s="147"/>
      <c r="G196" s="153" t="str">
        <f t="shared" si="14"/>
        <v/>
      </c>
      <c r="H196" s="18" t="s">
        <v>27</v>
      </c>
      <c r="I196" s="337">
        <v>28.62</v>
      </c>
      <c r="J196" s="12">
        <f t="shared" ref="J196:J207" si="17">E196*I196</f>
        <v>0</v>
      </c>
    </row>
    <row r="197" spans="1:10" hidden="1" x14ac:dyDescent="0.35">
      <c r="A197" s="103"/>
      <c r="B197" s="12" t="s">
        <v>8</v>
      </c>
      <c r="C197" s="10" t="s">
        <v>350</v>
      </c>
      <c r="D197" s="152"/>
      <c r="E197" s="170"/>
      <c r="F197" s="95"/>
      <c r="G197" s="153" t="str">
        <f t="shared" si="14"/>
        <v/>
      </c>
      <c r="H197" s="10" t="s">
        <v>335</v>
      </c>
      <c r="I197" s="338">
        <v>30</v>
      </c>
      <c r="J197" s="12">
        <f t="shared" si="17"/>
        <v>0</v>
      </c>
    </row>
    <row r="198" spans="1:10" hidden="1" x14ac:dyDescent="0.35">
      <c r="A198" s="103"/>
      <c r="B198" s="12" t="s">
        <v>8</v>
      </c>
      <c r="C198" s="10" t="s">
        <v>351</v>
      </c>
      <c r="D198" s="152"/>
      <c r="E198" s="170"/>
      <c r="F198" s="95"/>
      <c r="G198" s="153" t="str">
        <f t="shared" si="14"/>
        <v/>
      </c>
      <c r="H198" s="10" t="s">
        <v>335</v>
      </c>
      <c r="I198" s="331">
        <v>1.1499999999999999</v>
      </c>
      <c r="J198" s="12">
        <f t="shared" si="17"/>
        <v>0</v>
      </c>
    </row>
    <row r="199" spans="1:10" hidden="1" x14ac:dyDescent="0.35">
      <c r="A199" s="103"/>
      <c r="B199" s="12" t="s">
        <v>8</v>
      </c>
      <c r="C199" s="10" t="s">
        <v>352</v>
      </c>
      <c r="D199" s="152"/>
      <c r="E199" s="170"/>
      <c r="F199" s="95"/>
      <c r="G199" s="153" t="str">
        <f t="shared" si="14"/>
        <v/>
      </c>
      <c r="H199" s="10" t="s">
        <v>27</v>
      </c>
      <c r="I199" s="331">
        <v>23.83</v>
      </c>
      <c r="J199" s="12">
        <f t="shared" si="17"/>
        <v>0</v>
      </c>
    </row>
    <row r="200" spans="1:10" hidden="1" x14ac:dyDescent="0.35">
      <c r="A200" s="103"/>
      <c r="B200" s="12" t="s">
        <v>8</v>
      </c>
      <c r="C200" s="10" t="s">
        <v>353</v>
      </c>
      <c r="D200" s="152"/>
      <c r="E200" s="170"/>
      <c r="F200" s="95"/>
      <c r="G200" s="153" t="str">
        <f t="shared" si="14"/>
        <v/>
      </c>
      <c r="H200" s="10" t="s">
        <v>27</v>
      </c>
      <c r="I200" s="331">
        <v>28.89</v>
      </c>
      <c r="J200" s="12">
        <f t="shared" si="17"/>
        <v>0</v>
      </c>
    </row>
    <row r="201" spans="1:10" hidden="1" x14ac:dyDescent="0.35">
      <c r="A201" s="103"/>
      <c r="B201" s="12" t="s">
        <v>8</v>
      </c>
      <c r="C201" s="10" t="s">
        <v>354</v>
      </c>
      <c r="D201" s="152"/>
      <c r="E201" s="170"/>
      <c r="F201" s="95"/>
      <c r="G201" s="153" t="str">
        <f>IF(E201="","",IF(D201-E201&gt;0,D201-E201,""))</f>
        <v/>
      </c>
      <c r="H201" s="10" t="s">
        <v>27</v>
      </c>
      <c r="I201" s="331">
        <v>19.37</v>
      </c>
      <c r="J201" s="12">
        <f>E201*I201</f>
        <v>0</v>
      </c>
    </row>
    <row r="202" spans="1:10" hidden="1" x14ac:dyDescent="0.35">
      <c r="A202" s="103"/>
      <c r="B202" s="12" t="s">
        <v>8</v>
      </c>
      <c r="C202" s="10" t="s">
        <v>429</v>
      </c>
      <c r="D202" s="152"/>
      <c r="E202" s="170"/>
      <c r="F202" s="95"/>
      <c r="G202" s="153"/>
      <c r="H202" s="10" t="s">
        <v>27</v>
      </c>
      <c r="I202" s="331">
        <v>14.07</v>
      </c>
      <c r="J202" s="12"/>
    </row>
    <row r="203" spans="1:10" hidden="1" x14ac:dyDescent="0.35">
      <c r="A203" s="103"/>
      <c r="B203" s="12" t="s">
        <v>8</v>
      </c>
      <c r="C203" s="10" t="s">
        <v>430</v>
      </c>
      <c r="D203" s="152"/>
      <c r="E203" s="170"/>
      <c r="F203" s="95"/>
      <c r="G203" s="153"/>
      <c r="H203" s="10" t="s">
        <v>27</v>
      </c>
      <c r="I203" s="331">
        <v>16.07</v>
      </c>
      <c r="J203" s="12"/>
    </row>
    <row r="204" spans="1:10" hidden="1" x14ac:dyDescent="0.35">
      <c r="A204" s="103"/>
      <c r="B204" s="12" t="s">
        <v>8</v>
      </c>
      <c r="C204" s="10" t="s">
        <v>431</v>
      </c>
      <c r="D204" s="152"/>
      <c r="G204" s="153"/>
      <c r="H204" s="10" t="s">
        <v>27</v>
      </c>
      <c r="I204" s="339">
        <v>14.62</v>
      </c>
      <c r="J204" s="12"/>
    </row>
    <row r="205" spans="1:10" hidden="1" x14ac:dyDescent="0.35">
      <c r="A205" s="103"/>
      <c r="B205" s="12" t="s">
        <v>8</v>
      </c>
      <c r="C205" s="10" t="s">
        <v>355</v>
      </c>
      <c r="D205" s="152"/>
      <c r="E205" s="170"/>
      <c r="F205" s="95"/>
      <c r="G205" s="153" t="str">
        <f t="shared" si="14"/>
        <v/>
      </c>
      <c r="H205" s="10" t="s">
        <v>61</v>
      </c>
      <c r="I205" s="331">
        <v>17.11</v>
      </c>
      <c r="J205" s="12">
        <f t="shared" si="17"/>
        <v>0</v>
      </c>
    </row>
    <row r="206" spans="1:10" hidden="1" x14ac:dyDescent="0.35">
      <c r="A206" s="103"/>
      <c r="B206" s="12" t="s">
        <v>8</v>
      </c>
      <c r="C206" s="10" t="s">
        <v>356</v>
      </c>
      <c r="D206" s="152"/>
      <c r="E206" s="170"/>
      <c r="F206" s="95"/>
      <c r="G206" s="153" t="str">
        <f t="shared" si="14"/>
        <v/>
      </c>
      <c r="H206" s="10" t="s">
        <v>61</v>
      </c>
      <c r="I206" s="331">
        <v>22.13</v>
      </c>
      <c r="J206" s="12">
        <f t="shared" si="17"/>
        <v>0</v>
      </c>
    </row>
    <row r="207" spans="1:10" hidden="1" x14ac:dyDescent="0.35">
      <c r="A207" s="103"/>
      <c r="B207" s="40" t="s">
        <v>8</v>
      </c>
      <c r="C207" s="41" t="s">
        <v>357</v>
      </c>
      <c r="D207" s="227"/>
      <c r="E207" s="170"/>
      <c r="F207" s="145"/>
      <c r="G207" s="153" t="str">
        <f t="shared" si="14"/>
        <v/>
      </c>
      <c r="H207" s="41" t="s">
        <v>61</v>
      </c>
      <c r="I207" s="334">
        <v>18.8</v>
      </c>
      <c r="J207" s="40">
        <f t="shared" si="17"/>
        <v>0</v>
      </c>
    </row>
    <row r="208" spans="1:10" ht="15.5" hidden="1" x14ac:dyDescent="0.35">
      <c r="A208" s="112" t="s">
        <v>358</v>
      </c>
      <c r="B208" s="116"/>
      <c r="C208" s="116"/>
      <c r="D208" s="228"/>
      <c r="E208" s="173"/>
      <c r="F208" s="146"/>
      <c r="G208" s="165" t="str">
        <f t="shared" si="14"/>
        <v/>
      </c>
      <c r="H208" s="117"/>
      <c r="I208" s="118" t="s">
        <v>18</v>
      </c>
      <c r="J208" s="119">
        <f>J209+J210+J211+J212+J213</f>
        <v>0</v>
      </c>
    </row>
    <row r="209" spans="1:10" hidden="1" x14ac:dyDescent="0.35">
      <c r="A209" s="103"/>
      <c r="B209" s="13" t="s">
        <v>11</v>
      </c>
      <c r="C209" s="298" t="s">
        <v>359</v>
      </c>
      <c r="D209" s="299"/>
      <c r="E209" s="300"/>
      <c r="F209" s="301"/>
      <c r="G209" s="302" t="str">
        <f t="shared" si="14"/>
        <v/>
      </c>
      <c r="H209" s="41" t="s">
        <v>52</v>
      </c>
      <c r="I209" s="334">
        <v>11.63</v>
      </c>
      <c r="J209" s="40">
        <f>E209*I209</f>
        <v>0</v>
      </c>
    </row>
    <row r="210" spans="1:10" hidden="1" x14ac:dyDescent="0.35">
      <c r="A210" s="103"/>
      <c r="B210" s="12" t="s">
        <v>11</v>
      </c>
      <c r="C210" s="10" t="s">
        <v>436</v>
      </c>
      <c r="D210" s="152"/>
      <c r="E210" s="170"/>
      <c r="F210" s="95"/>
      <c r="G210" s="153"/>
      <c r="H210" s="10" t="s">
        <v>52</v>
      </c>
      <c r="I210" s="331">
        <v>16.8</v>
      </c>
      <c r="J210" s="40">
        <f t="shared" ref="J210:J213" si="18">E210*I210</f>
        <v>0</v>
      </c>
    </row>
    <row r="211" spans="1:10" hidden="1" x14ac:dyDescent="0.35">
      <c r="A211" s="103"/>
      <c r="B211" s="12" t="s">
        <v>11</v>
      </c>
      <c r="C211" s="10" t="s">
        <v>437</v>
      </c>
      <c r="D211" s="152"/>
      <c r="E211" s="170"/>
      <c r="F211" s="95"/>
      <c r="G211" s="153"/>
      <c r="H211" s="10" t="s">
        <v>440</v>
      </c>
      <c r="I211" s="331">
        <v>9.35</v>
      </c>
      <c r="J211" s="40">
        <f>E211*I211</f>
        <v>0</v>
      </c>
    </row>
    <row r="212" spans="1:10" hidden="1" x14ac:dyDescent="0.35">
      <c r="A212" s="103"/>
      <c r="B212" s="12" t="s">
        <v>11</v>
      </c>
      <c r="C212" s="10" t="s">
        <v>438</v>
      </c>
      <c r="D212" s="152"/>
      <c r="E212" s="170"/>
      <c r="F212" s="95"/>
      <c r="G212" s="153"/>
      <c r="H212" s="10" t="s">
        <v>52</v>
      </c>
      <c r="I212" s="331">
        <v>87</v>
      </c>
      <c r="J212" s="40">
        <f t="shared" si="18"/>
        <v>0</v>
      </c>
    </row>
    <row r="213" spans="1:10" hidden="1" x14ac:dyDescent="0.35">
      <c r="A213" s="103"/>
      <c r="B213" s="12" t="s">
        <v>11</v>
      </c>
      <c r="C213" s="10" t="s">
        <v>439</v>
      </c>
      <c r="D213" s="152"/>
      <c r="E213" s="170"/>
      <c r="F213" s="95"/>
      <c r="G213" s="153"/>
      <c r="H213" s="10" t="s">
        <v>52</v>
      </c>
      <c r="I213" s="331">
        <v>55</v>
      </c>
      <c r="J213" s="40">
        <f t="shared" si="18"/>
        <v>0</v>
      </c>
    </row>
    <row r="214" spans="1:10" ht="15.5" hidden="1" x14ac:dyDescent="0.35">
      <c r="A214" s="108" t="s">
        <v>360</v>
      </c>
      <c r="B214" s="108"/>
      <c r="C214" s="108"/>
      <c r="D214" s="223"/>
      <c r="E214" s="169"/>
      <c r="F214" s="109"/>
      <c r="G214" s="310" t="str">
        <f t="shared" si="14"/>
        <v/>
      </c>
      <c r="H214" s="108"/>
      <c r="I214" s="106" t="s">
        <v>18</v>
      </c>
      <c r="J214" s="107">
        <f>SUM(J215:J216)</f>
        <v>0</v>
      </c>
    </row>
    <row r="215" spans="1:10" hidden="1" x14ac:dyDescent="0.35">
      <c r="A215" s="103"/>
      <c r="B215" s="12" t="s">
        <v>12</v>
      </c>
      <c r="C215" s="10" t="s">
        <v>70</v>
      </c>
      <c r="D215" s="152"/>
      <c r="E215" s="170"/>
      <c r="F215" s="95"/>
      <c r="G215" s="153" t="str">
        <f t="shared" si="14"/>
        <v/>
      </c>
      <c r="H215" s="10" t="s">
        <v>27</v>
      </c>
      <c r="I215" s="331">
        <v>20.7</v>
      </c>
      <c r="J215" s="12">
        <f>+E215*I215</f>
        <v>0</v>
      </c>
    </row>
    <row r="216" spans="1:10" hidden="1" x14ac:dyDescent="0.35">
      <c r="A216" s="103"/>
      <c r="B216" s="12" t="s">
        <v>12</v>
      </c>
      <c r="C216" s="10" t="s">
        <v>71</v>
      </c>
      <c r="D216" s="152"/>
      <c r="E216" s="170"/>
      <c r="F216" s="95"/>
      <c r="G216" s="153" t="str">
        <f t="shared" si="14"/>
        <v/>
      </c>
      <c r="H216" s="10" t="s">
        <v>27</v>
      </c>
      <c r="I216" s="331">
        <v>13.7</v>
      </c>
      <c r="J216" s="12">
        <f>+E216*I216</f>
        <v>0</v>
      </c>
    </row>
    <row r="217" spans="1:10" ht="15.5" hidden="1" x14ac:dyDescent="0.35">
      <c r="A217" s="108" t="s">
        <v>361</v>
      </c>
      <c r="B217" s="108"/>
      <c r="C217" s="108"/>
      <c r="D217" s="223"/>
      <c r="E217" s="169"/>
      <c r="F217" s="109"/>
      <c r="G217" s="153" t="str">
        <f t="shared" si="14"/>
        <v/>
      </c>
      <c r="H217" s="108"/>
      <c r="I217" s="106" t="s">
        <v>18</v>
      </c>
      <c r="J217" s="107">
        <f>SUM(J218:J221)</f>
        <v>0</v>
      </c>
    </row>
    <row r="218" spans="1:10" hidden="1" x14ac:dyDescent="0.35">
      <c r="A218" s="103"/>
      <c r="B218" s="12" t="s">
        <v>10</v>
      </c>
      <c r="C218" s="10" t="s">
        <v>362</v>
      </c>
      <c r="D218" s="152"/>
      <c r="E218" s="170"/>
      <c r="F218" s="95"/>
      <c r="G218" s="153" t="str">
        <f t="shared" si="14"/>
        <v/>
      </c>
      <c r="H218" s="10" t="s">
        <v>20</v>
      </c>
      <c r="I218" s="331">
        <v>11.08</v>
      </c>
      <c r="J218" s="12">
        <f>E218*I218</f>
        <v>0</v>
      </c>
    </row>
    <row r="219" spans="1:10" hidden="1" x14ac:dyDescent="0.35">
      <c r="A219" s="103"/>
      <c r="B219" s="12" t="s">
        <v>10</v>
      </c>
      <c r="C219" s="10" t="s">
        <v>363</v>
      </c>
      <c r="D219" s="152"/>
      <c r="E219" s="170"/>
      <c r="F219" s="95"/>
      <c r="G219" s="153" t="str">
        <f t="shared" si="14"/>
        <v/>
      </c>
      <c r="H219" s="10" t="s">
        <v>27</v>
      </c>
      <c r="I219" s="331">
        <v>16.21</v>
      </c>
      <c r="J219" s="12">
        <f>E219*I219</f>
        <v>0</v>
      </c>
    </row>
    <row r="220" spans="1:10" hidden="1" x14ac:dyDescent="0.35">
      <c r="A220" s="103"/>
      <c r="B220" s="12" t="s">
        <v>10</v>
      </c>
      <c r="C220" s="10" t="s">
        <v>364</v>
      </c>
      <c r="D220" s="152"/>
      <c r="E220" s="170"/>
      <c r="F220" s="95"/>
      <c r="G220" s="153" t="str">
        <f t="shared" si="14"/>
        <v/>
      </c>
      <c r="H220" s="10" t="s">
        <v>27</v>
      </c>
      <c r="I220" s="331">
        <v>19.350000000000001</v>
      </c>
      <c r="J220" s="12">
        <f>E220*I220</f>
        <v>0</v>
      </c>
    </row>
    <row r="221" spans="1:10" hidden="1" x14ac:dyDescent="0.35">
      <c r="A221" s="103"/>
      <c r="B221" s="12" t="s">
        <v>10</v>
      </c>
      <c r="C221" s="10" t="s">
        <v>365</v>
      </c>
      <c r="D221" s="152"/>
      <c r="E221" s="170"/>
      <c r="F221" s="95"/>
      <c r="G221" s="153" t="str">
        <f t="shared" si="14"/>
        <v/>
      </c>
      <c r="H221" s="10" t="s">
        <v>27</v>
      </c>
      <c r="I221" s="331">
        <v>19.809999999999999</v>
      </c>
      <c r="J221" s="12">
        <f>E221*I221</f>
        <v>0</v>
      </c>
    </row>
    <row r="222" spans="1:10" ht="15.5" hidden="1" x14ac:dyDescent="0.35">
      <c r="A222" s="108" t="s">
        <v>366</v>
      </c>
      <c r="B222" s="108"/>
      <c r="C222" s="108"/>
      <c r="D222" s="223"/>
      <c r="E222" s="169"/>
      <c r="F222" s="109"/>
      <c r="G222" s="165" t="str">
        <f t="shared" si="14"/>
        <v/>
      </c>
      <c r="H222" s="108"/>
      <c r="I222" s="106" t="s">
        <v>18</v>
      </c>
      <c r="J222" s="107">
        <f>J223</f>
        <v>0</v>
      </c>
    </row>
    <row r="223" spans="1:10" hidden="1" x14ac:dyDescent="0.35">
      <c r="A223" s="103"/>
      <c r="B223" s="12" t="s">
        <v>28</v>
      </c>
      <c r="C223" s="10" t="s">
        <v>29</v>
      </c>
      <c r="D223" s="152"/>
      <c r="E223" s="170"/>
      <c r="F223" s="150"/>
      <c r="G223" s="153" t="str">
        <f t="shared" si="14"/>
        <v/>
      </c>
      <c r="H223" s="10" t="s">
        <v>54</v>
      </c>
      <c r="I223" s="331">
        <v>104</v>
      </c>
      <c r="J223" s="12">
        <f>I223*E223</f>
        <v>0</v>
      </c>
    </row>
    <row r="224" spans="1:10" ht="15.5" x14ac:dyDescent="0.35">
      <c r="A224" s="108" t="s">
        <v>367</v>
      </c>
      <c r="B224" s="108"/>
      <c r="C224" s="108"/>
      <c r="D224" s="223"/>
      <c r="E224" s="169"/>
      <c r="F224" s="109"/>
      <c r="G224" s="165" t="str">
        <f t="shared" ref="G224:G257" si="19">IF(E224="","",IF(D224-E224&gt;0,D224-E224,""))</f>
        <v/>
      </c>
      <c r="H224" s="108"/>
      <c r="I224" s="106" t="s">
        <v>18</v>
      </c>
      <c r="J224" s="115">
        <f>SUM(J225:J244)</f>
        <v>0</v>
      </c>
    </row>
    <row r="225" spans="1:10" x14ac:dyDescent="0.35">
      <c r="A225" s="103"/>
      <c r="B225" s="12" t="s">
        <v>9</v>
      </c>
      <c r="C225" s="10" t="s">
        <v>423</v>
      </c>
      <c r="D225" s="152"/>
      <c r="E225" s="170"/>
      <c r="F225" s="95"/>
      <c r="G225" s="153" t="str">
        <f t="shared" si="19"/>
        <v/>
      </c>
      <c r="H225" s="10" t="s">
        <v>20</v>
      </c>
      <c r="I225" s="331">
        <v>78</v>
      </c>
      <c r="J225" s="50">
        <f t="shared" ref="J225:J244" si="20">E225*I225</f>
        <v>0</v>
      </c>
    </row>
    <row r="226" spans="1:10" x14ac:dyDescent="0.35">
      <c r="A226" s="103"/>
      <c r="B226" s="12" t="s">
        <v>9</v>
      </c>
      <c r="C226" s="10" t="s">
        <v>424</v>
      </c>
      <c r="D226" s="152"/>
      <c r="E226" s="170"/>
      <c r="F226" s="95"/>
      <c r="G226" s="153" t="str">
        <f t="shared" si="19"/>
        <v/>
      </c>
      <c r="H226" s="10" t="s">
        <v>61</v>
      </c>
      <c r="I226" s="340">
        <v>107.12</v>
      </c>
      <c r="J226" s="50">
        <f t="shared" si="20"/>
        <v>0</v>
      </c>
    </row>
    <row r="227" spans="1:10" x14ac:dyDescent="0.35">
      <c r="A227" s="103"/>
      <c r="B227" s="12" t="s">
        <v>9</v>
      </c>
      <c r="C227" s="10" t="s">
        <v>369</v>
      </c>
      <c r="D227" s="152"/>
      <c r="E227" s="170"/>
      <c r="F227" s="95"/>
      <c r="G227" s="153" t="str">
        <f t="shared" si="19"/>
        <v/>
      </c>
      <c r="H227" s="10" t="s">
        <v>20</v>
      </c>
      <c r="I227" s="331">
        <v>0.04</v>
      </c>
      <c r="J227" s="50">
        <f t="shared" si="20"/>
        <v>0</v>
      </c>
    </row>
    <row r="228" spans="1:10" x14ac:dyDescent="0.35">
      <c r="A228" s="103"/>
      <c r="B228" s="12" t="s">
        <v>9</v>
      </c>
      <c r="C228" s="10" t="s">
        <v>370</v>
      </c>
      <c r="D228" s="152"/>
      <c r="E228" s="170"/>
      <c r="F228" s="95"/>
      <c r="G228" s="153" t="str">
        <f t="shared" si="19"/>
        <v/>
      </c>
      <c r="H228" s="10" t="s">
        <v>20</v>
      </c>
      <c r="I228" s="331">
        <v>7.0999999999999994E-2</v>
      </c>
      <c r="J228" s="50">
        <f t="shared" si="20"/>
        <v>0</v>
      </c>
    </row>
    <row r="229" spans="1:10" hidden="1" x14ac:dyDescent="0.35">
      <c r="A229" s="103"/>
      <c r="B229" s="12" t="s">
        <v>9</v>
      </c>
      <c r="C229" s="10" t="s">
        <v>411</v>
      </c>
      <c r="D229" s="152"/>
      <c r="E229" s="170"/>
      <c r="F229" s="95"/>
      <c r="G229" s="153"/>
      <c r="H229" s="10" t="s">
        <v>20</v>
      </c>
      <c r="I229" s="331">
        <v>1.97</v>
      </c>
      <c r="J229" s="50"/>
    </row>
    <row r="230" spans="1:10" hidden="1" x14ac:dyDescent="0.35">
      <c r="A230" s="103"/>
      <c r="B230" s="12" t="s">
        <v>9</v>
      </c>
      <c r="C230" s="10" t="s">
        <v>371</v>
      </c>
      <c r="D230" s="152"/>
      <c r="E230" s="170"/>
      <c r="F230" s="95"/>
      <c r="G230" s="153" t="str">
        <f t="shared" si="19"/>
        <v/>
      </c>
      <c r="H230" s="10" t="s">
        <v>61</v>
      </c>
      <c r="I230" s="331">
        <v>163.80000000000001</v>
      </c>
      <c r="J230" s="50">
        <f t="shared" si="20"/>
        <v>0</v>
      </c>
    </row>
    <row r="231" spans="1:10" hidden="1" x14ac:dyDescent="0.35">
      <c r="A231" s="103"/>
      <c r="B231" s="12" t="s">
        <v>9</v>
      </c>
      <c r="C231" s="10" t="s">
        <v>410</v>
      </c>
      <c r="D231" s="152"/>
      <c r="E231" s="170"/>
      <c r="F231" s="151"/>
      <c r="G231" s="153" t="str">
        <f t="shared" si="19"/>
        <v/>
      </c>
      <c r="H231" s="10" t="s">
        <v>61</v>
      </c>
      <c r="I231" s="331">
        <v>49.33</v>
      </c>
      <c r="J231" s="50">
        <f t="shared" si="20"/>
        <v>0</v>
      </c>
    </row>
    <row r="232" spans="1:10" hidden="1" x14ac:dyDescent="0.35">
      <c r="A232" s="103"/>
      <c r="B232" s="12" t="s">
        <v>9</v>
      </c>
      <c r="C232" s="10" t="s">
        <v>373</v>
      </c>
      <c r="D232" s="152"/>
      <c r="E232" s="170"/>
      <c r="F232" s="151"/>
      <c r="G232" s="153" t="str">
        <f t="shared" si="19"/>
        <v/>
      </c>
      <c r="H232" s="10" t="s">
        <v>61</v>
      </c>
      <c r="I232" s="331">
        <v>105.6</v>
      </c>
      <c r="J232" s="50">
        <f t="shared" si="20"/>
        <v>0</v>
      </c>
    </row>
    <row r="233" spans="1:10" hidden="1" x14ac:dyDescent="0.35">
      <c r="A233" s="103"/>
      <c r="B233" s="12" t="s">
        <v>9</v>
      </c>
      <c r="C233" s="10" t="s">
        <v>374</v>
      </c>
      <c r="D233" s="152"/>
      <c r="E233" s="170"/>
      <c r="F233" s="151"/>
      <c r="G233" s="153" t="str">
        <f t="shared" si="19"/>
        <v/>
      </c>
      <c r="H233" s="10" t="s">
        <v>61</v>
      </c>
      <c r="I233" s="331">
        <v>114.75</v>
      </c>
      <c r="J233" s="50">
        <f t="shared" si="20"/>
        <v>0</v>
      </c>
    </row>
    <row r="234" spans="1:10" hidden="1" x14ac:dyDescent="0.35">
      <c r="A234" s="103"/>
      <c r="B234" s="12" t="s">
        <v>9</v>
      </c>
      <c r="C234" s="10" t="s">
        <v>375</v>
      </c>
      <c r="D234" s="152"/>
      <c r="E234" s="170"/>
      <c r="F234" s="95"/>
      <c r="G234" s="153" t="str">
        <f t="shared" si="19"/>
        <v/>
      </c>
      <c r="H234" s="10" t="s">
        <v>61</v>
      </c>
      <c r="I234" s="331">
        <v>105.55</v>
      </c>
      <c r="J234" s="50">
        <f t="shared" si="20"/>
        <v>0</v>
      </c>
    </row>
    <row r="235" spans="1:10" hidden="1" x14ac:dyDescent="0.35">
      <c r="A235" s="103"/>
      <c r="B235" s="12" t="s">
        <v>9</v>
      </c>
      <c r="C235" s="10" t="s">
        <v>376</v>
      </c>
      <c r="D235" s="152"/>
      <c r="E235" s="170"/>
      <c r="F235" s="95"/>
      <c r="G235" s="153" t="str">
        <f t="shared" si="19"/>
        <v/>
      </c>
      <c r="H235" s="10" t="s">
        <v>61</v>
      </c>
      <c r="I235" s="331">
        <v>33.25</v>
      </c>
      <c r="J235" s="50">
        <f t="shared" si="20"/>
        <v>0</v>
      </c>
    </row>
    <row r="236" spans="1:10" hidden="1" x14ac:dyDescent="0.35">
      <c r="A236" s="103"/>
      <c r="B236" s="12" t="s">
        <v>9</v>
      </c>
      <c r="C236" s="10" t="s">
        <v>377</v>
      </c>
      <c r="D236" s="152"/>
      <c r="E236" s="170"/>
      <c r="F236" s="95"/>
      <c r="G236" s="153" t="str">
        <f t="shared" si="19"/>
        <v/>
      </c>
      <c r="H236" s="10" t="s">
        <v>20</v>
      </c>
      <c r="I236" s="331">
        <v>0.28999999999999998</v>
      </c>
      <c r="J236" s="50">
        <f t="shared" si="20"/>
        <v>0</v>
      </c>
    </row>
    <row r="237" spans="1:10" hidden="1" x14ac:dyDescent="0.35">
      <c r="A237" s="103"/>
      <c r="B237" s="12" t="s">
        <v>9</v>
      </c>
      <c r="C237" s="10" t="s">
        <v>378</v>
      </c>
      <c r="D237" s="152"/>
      <c r="E237" s="170"/>
      <c r="F237" s="95"/>
      <c r="G237" s="153" t="str">
        <f t="shared" si="19"/>
        <v/>
      </c>
      <c r="H237" s="10" t="s">
        <v>61</v>
      </c>
      <c r="I237" s="336">
        <v>37.85</v>
      </c>
      <c r="J237" s="50">
        <f t="shared" si="20"/>
        <v>0</v>
      </c>
    </row>
    <row r="238" spans="1:10" x14ac:dyDescent="0.35">
      <c r="A238" s="103"/>
      <c r="B238" s="12" t="s">
        <v>9</v>
      </c>
      <c r="C238" s="10" t="s">
        <v>425</v>
      </c>
      <c r="D238" s="152">
        <v>1</v>
      </c>
      <c r="E238" s="170"/>
      <c r="F238" s="95"/>
      <c r="G238" s="153" t="str">
        <f t="shared" si="19"/>
        <v/>
      </c>
      <c r="H238" s="10" t="s">
        <v>61</v>
      </c>
      <c r="I238" s="336">
        <v>111.47</v>
      </c>
      <c r="J238" s="50">
        <f t="shared" si="20"/>
        <v>0</v>
      </c>
    </row>
    <row r="239" spans="1:10" hidden="1" x14ac:dyDescent="0.35">
      <c r="A239" s="103"/>
      <c r="B239" s="12" t="s">
        <v>9</v>
      </c>
      <c r="C239" s="10" t="s">
        <v>379</v>
      </c>
      <c r="D239" s="152"/>
      <c r="E239" s="170"/>
      <c r="F239" s="95"/>
      <c r="G239" s="153" t="str">
        <f t="shared" si="19"/>
        <v/>
      </c>
      <c r="H239" s="10" t="s">
        <v>61</v>
      </c>
      <c r="I239" s="336">
        <v>174.97</v>
      </c>
      <c r="J239" s="50">
        <f t="shared" si="20"/>
        <v>0</v>
      </c>
    </row>
    <row r="240" spans="1:10" hidden="1" x14ac:dyDescent="0.35">
      <c r="A240" s="103"/>
      <c r="B240" s="12" t="s">
        <v>9</v>
      </c>
      <c r="C240" s="10" t="s">
        <v>380</v>
      </c>
      <c r="D240" s="152"/>
      <c r="E240" s="170"/>
      <c r="F240" s="95"/>
      <c r="G240" s="153" t="str">
        <f t="shared" si="19"/>
        <v/>
      </c>
      <c r="H240" s="10" t="s">
        <v>61</v>
      </c>
      <c r="I240" s="336">
        <v>44.93</v>
      </c>
      <c r="J240" s="50">
        <f t="shared" si="20"/>
        <v>0</v>
      </c>
    </row>
    <row r="241" spans="1:10" hidden="1" x14ac:dyDescent="0.35">
      <c r="A241" s="103"/>
      <c r="B241" s="12" t="s">
        <v>9</v>
      </c>
      <c r="C241" s="10" t="s">
        <v>426</v>
      </c>
      <c r="D241" s="152"/>
      <c r="E241" s="170"/>
      <c r="F241" s="95"/>
      <c r="G241" s="153" t="str">
        <f t="shared" si="19"/>
        <v/>
      </c>
      <c r="H241" s="10" t="s">
        <v>20</v>
      </c>
      <c r="I241" s="336">
        <v>29.2</v>
      </c>
      <c r="J241" s="50">
        <f t="shared" si="20"/>
        <v>0</v>
      </c>
    </row>
    <row r="242" spans="1:10" hidden="1" x14ac:dyDescent="0.35">
      <c r="A242" s="103"/>
      <c r="B242" s="12" t="s">
        <v>9</v>
      </c>
      <c r="C242" s="10" t="s">
        <v>427</v>
      </c>
      <c r="D242" s="152"/>
      <c r="E242" s="170"/>
      <c r="F242" s="95"/>
      <c r="G242" s="153" t="str">
        <f t="shared" si="19"/>
        <v/>
      </c>
      <c r="H242" s="10" t="s">
        <v>20</v>
      </c>
      <c r="I242" s="336">
        <v>19.03</v>
      </c>
      <c r="J242" s="50">
        <f t="shared" si="20"/>
        <v>0</v>
      </c>
    </row>
    <row r="243" spans="1:10" hidden="1" x14ac:dyDescent="0.35">
      <c r="A243" s="103"/>
      <c r="B243" s="12" t="s">
        <v>9</v>
      </c>
      <c r="C243" s="10" t="s">
        <v>428</v>
      </c>
      <c r="D243" s="152"/>
      <c r="E243" s="170"/>
      <c r="F243" s="95"/>
      <c r="G243" s="153" t="str">
        <f t="shared" si="19"/>
        <v/>
      </c>
      <c r="H243" s="10" t="s">
        <v>20</v>
      </c>
      <c r="I243" s="336">
        <v>8.4600000000000009</v>
      </c>
      <c r="J243" s="50">
        <f t="shared" si="20"/>
        <v>0</v>
      </c>
    </row>
    <row r="244" spans="1:10" hidden="1" x14ac:dyDescent="0.35">
      <c r="A244" s="103"/>
      <c r="B244" s="12" t="s">
        <v>9</v>
      </c>
      <c r="C244" s="10" t="s">
        <v>381</v>
      </c>
      <c r="D244" s="152"/>
      <c r="E244" s="170"/>
      <c r="F244" s="95"/>
      <c r="G244" s="153" t="str">
        <f t="shared" si="19"/>
        <v/>
      </c>
      <c r="H244" s="10" t="s">
        <v>20</v>
      </c>
      <c r="I244" s="336">
        <v>0.02</v>
      </c>
      <c r="J244" s="50">
        <f t="shared" si="20"/>
        <v>0</v>
      </c>
    </row>
    <row r="245" spans="1:10" ht="15.5" x14ac:dyDescent="0.35">
      <c r="A245" s="108" t="s">
        <v>382</v>
      </c>
      <c r="B245" s="108"/>
      <c r="C245" s="108"/>
      <c r="D245" s="223"/>
      <c r="E245" s="169"/>
      <c r="F245" s="109"/>
      <c r="G245" s="165" t="str">
        <f t="shared" si="19"/>
        <v/>
      </c>
      <c r="H245" s="108"/>
      <c r="I245" s="106" t="s">
        <v>18</v>
      </c>
      <c r="J245" s="107">
        <f>SUM(J246:J256)</f>
        <v>7.1999999999999993</v>
      </c>
    </row>
    <row r="246" spans="1:10" x14ac:dyDescent="0.35">
      <c r="A246" s="103"/>
      <c r="B246" s="12" t="s">
        <v>31</v>
      </c>
      <c r="C246" s="10" t="s">
        <v>383</v>
      </c>
      <c r="D246" s="152"/>
      <c r="E246" s="170"/>
      <c r="F246" s="95"/>
      <c r="G246" s="153" t="str">
        <f t="shared" si="19"/>
        <v/>
      </c>
      <c r="H246" s="10" t="s">
        <v>20</v>
      </c>
      <c r="I246" s="331">
        <v>5.5</v>
      </c>
      <c r="J246" s="12">
        <f t="shared" ref="J246:J256" si="21">E246*I246</f>
        <v>0</v>
      </c>
    </row>
    <row r="247" spans="1:10" x14ac:dyDescent="0.35">
      <c r="A247" s="103"/>
      <c r="B247" s="12" t="s">
        <v>31</v>
      </c>
      <c r="C247" s="10" t="s">
        <v>39</v>
      </c>
      <c r="D247" s="152">
        <v>1</v>
      </c>
      <c r="E247" s="170">
        <v>1</v>
      </c>
      <c r="F247" s="95"/>
      <c r="G247" s="153" t="str">
        <f t="shared" si="19"/>
        <v/>
      </c>
      <c r="H247" s="10" t="s">
        <v>20</v>
      </c>
      <c r="I247" s="331">
        <v>4.55</v>
      </c>
      <c r="J247" s="12">
        <f t="shared" si="21"/>
        <v>4.55</v>
      </c>
    </row>
    <row r="248" spans="1:10" x14ac:dyDescent="0.35">
      <c r="A248" s="103"/>
      <c r="B248" s="12" t="s">
        <v>31</v>
      </c>
      <c r="C248" s="10" t="s">
        <v>422</v>
      </c>
      <c r="D248" s="152">
        <v>1</v>
      </c>
      <c r="E248" s="170"/>
      <c r="F248" s="95"/>
      <c r="G248" s="153" t="str">
        <f t="shared" si="19"/>
        <v/>
      </c>
      <c r="H248" s="10" t="s">
        <v>20</v>
      </c>
      <c r="I248" s="331">
        <v>3.7</v>
      </c>
      <c r="J248" s="12">
        <f t="shared" si="21"/>
        <v>0</v>
      </c>
    </row>
    <row r="249" spans="1:10" x14ac:dyDescent="0.35">
      <c r="A249" s="103"/>
      <c r="B249" s="12" t="s">
        <v>31</v>
      </c>
      <c r="C249" s="10" t="s">
        <v>67</v>
      </c>
      <c r="D249" s="152"/>
      <c r="E249" s="170"/>
      <c r="F249" s="95"/>
      <c r="G249" s="153" t="str">
        <f t="shared" si="19"/>
        <v/>
      </c>
      <c r="H249" s="10" t="s">
        <v>20</v>
      </c>
      <c r="I249" s="331">
        <v>15.56</v>
      </c>
      <c r="J249" s="12">
        <f t="shared" si="21"/>
        <v>0</v>
      </c>
    </row>
    <row r="250" spans="1:10" hidden="1" x14ac:dyDescent="0.35">
      <c r="A250" s="103"/>
      <c r="B250" s="12" t="s">
        <v>31</v>
      </c>
      <c r="C250" s="10" t="s">
        <v>384</v>
      </c>
      <c r="D250" s="152"/>
      <c r="E250" s="170"/>
      <c r="F250" s="95"/>
      <c r="G250" s="153" t="str">
        <f t="shared" si="19"/>
        <v/>
      </c>
      <c r="H250" s="10" t="s">
        <v>20</v>
      </c>
      <c r="I250" s="331">
        <v>0.8</v>
      </c>
      <c r="J250" s="12">
        <f t="shared" si="21"/>
        <v>0</v>
      </c>
    </row>
    <row r="251" spans="1:10" hidden="1" x14ac:dyDescent="0.35">
      <c r="A251" s="103"/>
      <c r="B251" s="12" t="s">
        <v>31</v>
      </c>
      <c r="C251" s="10" t="s">
        <v>385</v>
      </c>
      <c r="D251" s="152"/>
      <c r="E251" s="170"/>
      <c r="F251" s="95"/>
      <c r="G251" s="153" t="str">
        <f t="shared" si="19"/>
        <v/>
      </c>
      <c r="H251" s="10" t="s">
        <v>20</v>
      </c>
      <c r="I251" s="331">
        <v>1.83</v>
      </c>
      <c r="J251" s="12">
        <f t="shared" si="21"/>
        <v>0</v>
      </c>
    </row>
    <row r="252" spans="1:10" x14ac:dyDescent="0.35">
      <c r="A252" s="103"/>
      <c r="B252" s="12" t="s">
        <v>31</v>
      </c>
      <c r="C252" s="10" t="s">
        <v>386</v>
      </c>
      <c r="D252" s="152">
        <v>1</v>
      </c>
      <c r="E252" s="170">
        <v>1</v>
      </c>
      <c r="F252" s="95"/>
      <c r="G252" s="153" t="str">
        <f t="shared" si="19"/>
        <v/>
      </c>
      <c r="H252" s="10" t="s">
        <v>20</v>
      </c>
      <c r="I252" s="331">
        <v>2.65</v>
      </c>
      <c r="J252" s="12">
        <f t="shared" si="21"/>
        <v>2.65</v>
      </c>
    </row>
    <row r="253" spans="1:10" x14ac:dyDescent="0.35">
      <c r="A253" s="103"/>
      <c r="B253" s="12" t="s">
        <v>31</v>
      </c>
      <c r="C253" s="10" t="s">
        <v>65</v>
      </c>
      <c r="D253" s="152">
        <v>1</v>
      </c>
      <c r="E253" s="170"/>
      <c r="F253" s="95"/>
      <c r="G253" s="153" t="str">
        <f t="shared" si="19"/>
        <v/>
      </c>
      <c r="H253" s="10" t="s">
        <v>20</v>
      </c>
      <c r="I253" s="331">
        <v>13.43</v>
      </c>
      <c r="J253" s="12">
        <f t="shared" si="21"/>
        <v>0</v>
      </c>
    </row>
    <row r="254" spans="1:10" hidden="1" x14ac:dyDescent="0.35">
      <c r="A254" s="103"/>
      <c r="B254" s="12" t="s">
        <v>31</v>
      </c>
      <c r="C254" s="10" t="s">
        <v>66</v>
      </c>
      <c r="D254" s="152"/>
      <c r="E254" s="170"/>
      <c r="F254" s="95"/>
      <c r="G254" s="153" t="str">
        <f t="shared" si="19"/>
        <v/>
      </c>
      <c r="H254" s="10" t="s">
        <v>20</v>
      </c>
      <c r="I254" s="331">
        <v>75.38</v>
      </c>
      <c r="J254" s="12">
        <f t="shared" si="21"/>
        <v>0</v>
      </c>
    </row>
    <row r="255" spans="1:10" x14ac:dyDescent="0.35">
      <c r="A255" s="103"/>
      <c r="B255" s="12" t="s">
        <v>31</v>
      </c>
      <c r="C255" s="10" t="s">
        <v>412</v>
      </c>
      <c r="D255" s="152"/>
      <c r="E255" s="170"/>
      <c r="F255" s="95"/>
      <c r="G255" s="153" t="str">
        <f t="shared" si="19"/>
        <v/>
      </c>
      <c r="H255" s="10" t="s">
        <v>20</v>
      </c>
      <c r="I255" s="331">
        <v>8.43</v>
      </c>
      <c r="J255" s="12">
        <f t="shared" si="21"/>
        <v>0</v>
      </c>
    </row>
    <row r="256" spans="1:10" x14ac:dyDescent="0.35">
      <c r="A256" s="103"/>
      <c r="B256" s="12" t="s">
        <v>31</v>
      </c>
      <c r="C256" s="10" t="s">
        <v>69</v>
      </c>
      <c r="D256" s="152">
        <v>1</v>
      </c>
      <c r="E256" s="170"/>
      <c r="F256" s="95"/>
      <c r="G256" s="153" t="str">
        <f t="shared" si="19"/>
        <v/>
      </c>
      <c r="H256" s="10" t="s">
        <v>63</v>
      </c>
      <c r="I256" s="331">
        <v>3.5</v>
      </c>
      <c r="J256" s="12">
        <f t="shared" si="21"/>
        <v>0</v>
      </c>
    </row>
    <row r="257" spans="1:10" ht="15.5" hidden="1" x14ac:dyDescent="0.35">
      <c r="A257" s="108" t="s">
        <v>57</v>
      </c>
      <c r="B257" s="108"/>
      <c r="C257" s="108"/>
      <c r="D257" s="108"/>
      <c r="E257" s="162"/>
      <c r="F257" s="108"/>
      <c r="G257" s="165" t="str">
        <f t="shared" si="19"/>
        <v/>
      </c>
      <c r="H257" s="108"/>
      <c r="I257" s="106" t="s">
        <v>18</v>
      </c>
      <c r="J257" s="107">
        <f>SUM(J258:J259)</f>
        <v>0</v>
      </c>
    </row>
    <row r="258" spans="1:10" hidden="1" x14ac:dyDescent="0.35">
      <c r="A258" s="103"/>
      <c r="B258" s="12" t="s">
        <v>56</v>
      </c>
      <c r="C258" s="10" t="s">
        <v>58</v>
      </c>
      <c r="D258" s="94"/>
      <c r="E258" s="170"/>
      <c r="F258" s="94"/>
      <c r="G258" s="94" t="str">
        <f t="shared" ref="G258:G259" si="22">IF(D258-E258&gt;0,D258-E258,"")</f>
        <v/>
      </c>
      <c r="H258" s="10" t="s">
        <v>20</v>
      </c>
      <c r="I258" s="331">
        <v>54.05</v>
      </c>
      <c r="J258" s="12">
        <f>E258*I258</f>
        <v>0</v>
      </c>
    </row>
    <row r="259" spans="1:10" hidden="1" x14ac:dyDescent="0.35">
      <c r="A259" s="103"/>
      <c r="B259" s="12" t="s">
        <v>56</v>
      </c>
      <c r="C259" s="10" t="s">
        <v>388</v>
      </c>
      <c r="D259" s="94"/>
      <c r="E259" s="170"/>
      <c r="F259" s="94"/>
      <c r="G259" s="94" t="str">
        <f t="shared" si="22"/>
        <v/>
      </c>
      <c r="H259" s="10" t="s">
        <v>20</v>
      </c>
      <c r="I259" s="331">
        <v>0</v>
      </c>
      <c r="J259" s="12">
        <f>E259*I259</f>
        <v>0</v>
      </c>
    </row>
  </sheetData>
  <mergeCells count="2">
    <mergeCell ref="B1:C1"/>
    <mergeCell ref="B2:C2"/>
  </mergeCells>
  <pageMargins left="0.7" right="0.7" top="0.75" bottom="0.75" header="0.3" footer="0.3"/>
  <pageSetup paperSize="9" scale="73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BEA8B-CB44-F04C-97EF-F039FBADDC64}">
  <sheetPr codeName="Feuil10">
    <tabColor theme="8" tint="0.39997558519241921"/>
    <pageSetUpPr fitToPage="1"/>
  </sheetPr>
  <dimension ref="A1:N259"/>
  <sheetViews>
    <sheetView topLeftCell="A187" zoomScaleNormal="100" workbookViewId="0">
      <selection activeCell="J209" sqref="J209"/>
    </sheetView>
  </sheetViews>
  <sheetFormatPr baseColWidth="10" defaultColWidth="8.453125" defaultRowHeight="14.5" x14ac:dyDescent="0.35"/>
  <cols>
    <col min="1" max="1" width="2.54296875" customWidth="1"/>
    <col min="2" max="2" width="32.26953125" customWidth="1"/>
    <col min="3" max="3" width="44.54296875" bestFit="1" customWidth="1"/>
    <col min="4" max="4" width="19.7265625" bestFit="1" customWidth="1"/>
    <col min="5" max="5" width="18.81640625" style="34" bestFit="1" customWidth="1"/>
    <col min="6" max="6" width="18.26953125" hidden="1" customWidth="1"/>
    <col min="7" max="7" width="14" bestFit="1" customWidth="1"/>
    <col min="8" max="8" width="6.81640625" bestFit="1" customWidth="1"/>
    <col min="9" max="9" width="8.453125" style="86" bestFit="1" customWidth="1"/>
    <col min="10" max="10" width="7.1796875" customWidth="1"/>
  </cols>
  <sheetData>
    <row r="1" spans="2:7" ht="15" thickBot="1" x14ac:dyDescent="0.4">
      <c r="B1" s="321" t="s">
        <v>198</v>
      </c>
      <c r="C1" s="322"/>
      <c r="F1" s="89"/>
      <c r="G1" s="89"/>
    </row>
    <row r="2" spans="2:7" ht="15" thickBot="1" x14ac:dyDescent="0.4">
      <c r="B2" s="319"/>
      <c r="C2" s="320"/>
      <c r="F2" s="90"/>
      <c r="G2" s="90"/>
    </row>
    <row r="3" spans="2:7" x14ac:dyDescent="0.35">
      <c r="B3" s="75"/>
      <c r="C3" s="75"/>
      <c r="F3" s="75"/>
      <c r="G3" s="75"/>
    </row>
    <row r="4" spans="2:7" ht="15.5" x14ac:dyDescent="0.35">
      <c r="B4" s="70" t="s">
        <v>0</v>
      </c>
      <c r="C4" s="70" t="s">
        <v>1</v>
      </c>
      <c r="F4" s="91"/>
      <c r="G4" s="91"/>
    </row>
    <row r="5" spans="2:7" x14ac:dyDescent="0.35">
      <c r="B5" s="71" t="s">
        <v>2</v>
      </c>
      <c r="C5" s="72">
        <f>J23</f>
        <v>5351.4</v>
      </c>
      <c r="F5" s="92"/>
      <c r="G5" s="92"/>
    </row>
    <row r="6" spans="2:7" x14ac:dyDescent="0.35">
      <c r="B6" s="71" t="s">
        <v>7</v>
      </c>
      <c r="C6" s="72">
        <f>J4</f>
        <v>0</v>
      </c>
      <c r="F6" s="92"/>
      <c r="G6" s="92"/>
    </row>
    <row r="7" spans="2:7" x14ac:dyDescent="0.35">
      <c r="B7" s="71" t="s">
        <v>13</v>
      </c>
      <c r="C7" s="72">
        <f>J50</f>
        <v>43.400000000000006</v>
      </c>
      <c r="F7" s="92"/>
      <c r="G7" s="92"/>
    </row>
    <row r="8" spans="2:7" x14ac:dyDescent="0.35">
      <c r="B8" s="71" t="s">
        <v>3</v>
      </c>
      <c r="C8" s="72">
        <f>J78</f>
        <v>0</v>
      </c>
      <c r="F8" s="92"/>
      <c r="G8" s="92"/>
    </row>
    <row r="9" spans="2:7" x14ac:dyDescent="0.35">
      <c r="B9" s="71" t="s">
        <v>4</v>
      </c>
      <c r="C9" s="72">
        <f>J122</f>
        <v>289.64</v>
      </c>
      <c r="F9" s="92"/>
      <c r="G9" s="92"/>
    </row>
    <row r="10" spans="2:7" x14ac:dyDescent="0.35">
      <c r="B10" s="71" t="s">
        <v>199</v>
      </c>
      <c r="C10" s="72">
        <f>J176</f>
        <v>0</v>
      </c>
      <c r="F10" s="92"/>
      <c r="G10" s="92"/>
    </row>
    <row r="11" spans="2:7" x14ac:dyDescent="0.35">
      <c r="B11" s="71" t="s">
        <v>200</v>
      </c>
      <c r="C11" s="72">
        <f>J187</f>
        <v>0</v>
      </c>
      <c r="F11" s="92"/>
      <c r="G11" s="92"/>
    </row>
    <row r="12" spans="2:7" x14ac:dyDescent="0.35">
      <c r="B12" s="71" t="s">
        <v>201</v>
      </c>
      <c r="C12" s="72">
        <f>J193</f>
        <v>0</v>
      </c>
      <c r="F12" s="92"/>
      <c r="G12" s="92"/>
    </row>
    <row r="13" spans="2:7" x14ac:dyDescent="0.35">
      <c r="B13" s="71" t="s">
        <v>202</v>
      </c>
      <c r="C13" s="72">
        <f>J195</f>
        <v>0</v>
      </c>
      <c r="F13" s="92"/>
      <c r="G13" s="92"/>
    </row>
    <row r="14" spans="2:7" x14ac:dyDescent="0.35">
      <c r="B14" s="71" t="s">
        <v>203</v>
      </c>
      <c r="C14" s="72">
        <f>J208</f>
        <v>0</v>
      </c>
      <c r="F14" s="92"/>
      <c r="G14" s="92"/>
    </row>
    <row r="15" spans="2:7" x14ac:dyDescent="0.35">
      <c r="B15" s="71" t="s">
        <v>12</v>
      </c>
      <c r="C15" s="72">
        <f>J214</f>
        <v>0</v>
      </c>
      <c r="F15" s="92"/>
      <c r="G15" s="92"/>
    </row>
    <row r="16" spans="2:7" x14ac:dyDescent="0.35">
      <c r="B16" s="71" t="s">
        <v>204</v>
      </c>
      <c r="C16" s="72">
        <f>J222</f>
        <v>0</v>
      </c>
      <c r="F16" s="92"/>
      <c r="G16" s="92"/>
    </row>
    <row r="17" spans="1:11" x14ac:dyDescent="0.35">
      <c r="B17" s="71" t="s">
        <v>9</v>
      </c>
      <c r="C17" s="72">
        <f>J224</f>
        <v>0</v>
      </c>
      <c r="F17" s="92"/>
      <c r="G17" s="92"/>
    </row>
    <row r="18" spans="1:11" x14ac:dyDescent="0.35">
      <c r="B18" s="71" t="s">
        <v>205</v>
      </c>
      <c r="C18" s="72">
        <f>J245</f>
        <v>30.699999999999996</v>
      </c>
      <c r="F18" s="92"/>
      <c r="G18" s="92"/>
    </row>
    <row r="19" spans="1:11" x14ac:dyDescent="0.35">
      <c r="B19" s="71" t="s">
        <v>56</v>
      </c>
      <c r="C19" s="72">
        <f>J257</f>
        <v>0</v>
      </c>
      <c r="F19" s="92"/>
      <c r="G19" s="92"/>
    </row>
    <row r="20" spans="1:11" x14ac:dyDescent="0.35">
      <c r="B20" s="73" t="s">
        <v>14</v>
      </c>
      <c r="C20" s="74">
        <f>C5+C6+C7+C8+C9+C10+C11+C12+C13+C14+C15+C16+C17+C18+C19</f>
        <v>5715.1399999999994</v>
      </c>
      <c r="F20" s="93"/>
      <c r="G20" s="93"/>
    </row>
    <row r="21" spans="1:11" ht="18.75" customHeight="1" x14ac:dyDescent="0.45">
      <c r="A21" s="76" t="s">
        <v>207</v>
      </c>
      <c r="B21" s="76"/>
      <c r="C21" s="76"/>
      <c r="D21" s="76"/>
      <c r="E21" s="167"/>
      <c r="F21" s="76"/>
      <c r="G21" s="76"/>
      <c r="H21" s="76"/>
      <c r="I21" s="262"/>
      <c r="J21" s="76"/>
    </row>
    <row r="22" spans="1:11" ht="14.25" customHeight="1" x14ac:dyDescent="0.35">
      <c r="A22" s="129"/>
      <c r="B22" s="129" t="s">
        <v>15</v>
      </c>
      <c r="C22" s="129" t="s">
        <v>16</v>
      </c>
      <c r="D22" s="130" t="s">
        <v>398</v>
      </c>
      <c r="E22" s="168" t="s">
        <v>401</v>
      </c>
      <c r="F22" s="130" t="s">
        <v>399</v>
      </c>
      <c r="G22" s="164" t="s">
        <v>400</v>
      </c>
      <c r="H22" s="132" t="s">
        <v>406</v>
      </c>
      <c r="I22" s="341" t="s">
        <v>45</v>
      </c>
      <c r="J22" s="132" t="s">
        <v>402</v>
      </c>
    </row>
    <row r="23" spans="1:11" s="6" customFormat="1" ht="15.5" x14ac:dyDescent="0.35">
      <c r="A23" s="108" t="s">
        <v>208</v>
      </c>
      <c r="B23" s="108"/>
      <c r="C23" s="108"/>
      <c r="D23" s="108"/>
      <c r="E23" s="169" t="s">
        <v>421</v>
      </c>
      <c r="F23" s="108"/>
      <c r="G23" s="108"/>
      <c r="H23" s="108"/>
      <c r="I23" s="110" t="s">
        <v>18</v>
      </c>
      <c r="J23" s="107">
        <f>SUM(J24:J40)</f>
        <v>5351.4</v>
      </c>
    </row>
    <row r="24" spans="1:11" x14ac:dyDescent="0.35">
      <c r="A24" s="103"/>
      <c r="B24" s="7" t="s">
        <v>2</v>
      </c>
      <c r="C24" s="14" t="s">
        <v>19</v>
      </c>
      <c r="D24" s="94"/>
      <c r="E24" s="170">
        <v>4</v>
      </c>
      <c r="F24" s="94"/>
      <c r="G24" s="94" t="str">
        <f>IF(E24="","",IF(D24-E24&gt;0,D24-E24,""))</f>
        <v/>
      </c>
      <c r="H24" s="10" t="s">
        <v>20</v>
      </c>
      <c r="I24" s="331">
        <v>55.95</v>
      </c>
      <c r="J24" s="12">
        <f t="shared" ref="J24:J40" si="0">E24*I24</f>
        <v>223.8</v>
      </c>
      <c r="K24" s="13"/>
    </row>
    <row r="25" spans="1:11" x14ac:dyDescent="0.35">
      <c r="A25" s="103"/>
      <c r="B25" s="7" t="s">
        <v>2</v>
      </c>
      <c r="C25" s="14" t="s">
        <v>209</v>
      </c>
      <c r="D25" s="94"/>
      <c r="E25" s="170"/>
      <c r="F25" s="94"/>
      <c r="G25" s="94" t="str">
        <f t="shared" ref="G25:G88" si="1">IF(E25="","",IF(D25-E25&gt;0,D25-E25,""))</f>
        <v/>
      </c>
      <c r="H25" s="10" t="s">
        <v>20</v>
      </c>
      <c r="I25" s="331">
        <v>173.1</v>
      </c>
      <c r="J25" s="12">
        <f t="shared" si="0"/>
        <v>0</v>
      </c>
      <c r="K25" s="13"/>
    </row>
    <row r="26" spans="1:11" x14ac:dyDescent="0.35">
      <c r="A26" s="103"/>
      <c r="B26" s="12" t="s">
        <v>2</v>
      </c>
      <c r="C26" s="10" t="s">
        <v>21</v>
      </c>
      <c r="D26" s="94"/>
      <c r="E26" s="170">
        <v>3</v>
      </c>
      <c r="F26" s="94"/>
      <c r="G26" s="94" t="str">
        <f t="shared" si="1"/>
        <v/>
      </c>
      <c r="H26" s="10" t="s">
        <v>20</v>
      </c>
      <c r="I26" s="331">
        <v>75.400000000000006</v>
      </c>
      <c r="J26" s="12">
        <f t="shared" si="0"/>
        <v>226.20000000000002</v>
      </c>
      <c r="K26" s="13"/>
    </row>
    <row r="27" spans="1:11" x14ac:dyDescent="0.35">
      <c r="A27" s="103"/>
      <c r="B27" s="12" t="s">
        <v>2</v>
      </c>
      <c r="C27" s="10" t="s">
        <v>210</v>
      </c>
      <c r="D27" s="94"/>
      <c r="E27" s="170">
        <v>4</v>
      </c>
      <c r="F27" s="94"/>
      <c r="G27" s="94" t="str">
        <f t="shared" si="1"/>
        <v/>
      </c>
      <c r="H27" s="10" t="s">
        <v>20</v>
      </c>
      <c r="I27" s="331">
        <v>84.9</v>
      </c>
      <c r="J27" s="12">
        <f t="shared" si="0"/>
        <v>339.6</v>
      </c>
      <c r="K27" s="13"/>
    </row>
    <row r="28" spans="1:11" hidden="1" x14ac:dyDescent="0.35">
      <c r="A28" s="103"/>
      <c r="B28" s="12" t="s">
        <v>2</v>
      </c>
      <c r="C28" s="10" t="s">
        <v>211</v>
      </c>
      <c r="D28" s="94"/>
      <c r="E28" s="170"/>
      <c r="F28" s="94"/>
      <c r="G28" s="94" t="str">
        <f t="shared" si="1"/>
        <v/>
      </c>
      <c r="H28" s="10" t="s">
        <v>20</v>
      </c>
      <c r="I28" s="331">
        <v>2.96</v>
      </c>
      <c r="J28" s="12">
        <f t="shared" si="0"/>
        <v>0</v>
      </c>
      <c r="K28" s="13"/>
    </row>
    <row r="29" spans="1:11" hidden="1" x14ac:dyDescent="0.35">
      <c r="A29" s="103"/>
      <c r="B29" s="12" t="s">
        <v>2</v>
      </c>
      <c r="C29" s="10" t="s">
        <v>212</v>
      </c>
      <c r="D29" s="94"/>
      <c r="E29" s="170"/>
      <c r="F29" s="94"/>
      <c r="G29" s="94" t="str">
        <f t="shared" si="1"/>
        <v/>
      </c>
      <c r="H29" s="10" t="s">
        <v>20</v>
      </c>
      <c r="I29" s="331">
        <v>2.96</v>
      </c>
      <c r="J29" s="12">
        <f t="shared" si="0"/>
        <v>0</v>
      </c>
      <c r="K29" s="13"/>
    </row>
    <row r="30" spans="1:11" hidden="1" x14ac:dyDescent="0.35">
      <c r="A30" s="103"/>
      <c r="B30" s="12" t="s">
        <v>2</v>
      </c>
      <c r="C30" s="10" t="s">
        <v>213</v>
      </c>
      <c r="D30" s="94"/>
      <c r="E30" s="170"/>
      <c r="F30" s="94"/>
      <c r="G30" s="94" t="str">
        <f t="shared" si="1"/>
        <v/>
      </c>
      <c r="H30" s="10" t="s">
        <v>20</v>
      </c>
      <c r="I30" s="331">
        <v>2.96</v>
      </c>
      <c r="J30" s="12">
        <f t="shared" si="0"/>
        <v>0</v>
      </c>
      <c r="K30" s="13"/>
    </row>
    <row r="31" spans="1:11" x14ac:dyDescent="0.35">
      <c r="A31" s="103"/>
      <c r="B31" s="7" t="s">
        <v>2</v>
      </c>
      <c r="C31" s="14" t="s">
        <v>22</v>
      </c>
      <c r="D31" s="94"/>
      <c r="E31" s="170">
        <v>33</v>
      </c>
      <c r="F31" s="94"/>
      <c r="G31" s="94" t="str">
        <f t="shared" si="1"/>
        <v/>
      </c>
      <c r="H31" s="10" t="s">
        <v>20</v>
      </c>
      <c r="I31" s="331">
        <v>107.2</v>
      </c>
      <c r="J31" s="12">
        <f t="shared" si="0"/>
        <v>3537.6</v>
      </c>
      <c r="K31" s="13"/>
    </row>
    <row r="32" spans="1:11" ht="14.5" customHeight="1" x14ac:dyDescent="0.35">
      <c r="A32" s="103"/>
      <c r="B32" s="7" t="s">
        <v>2</v>
      </c>
      <c r="C32" s="14" t="s">
        <v>214</v>
      </c>
      <c r="D32" s="94"/>
      <c r="E32" s="170">
        <v>6</v>
      </c>
      <c r="F32" s="94"/>
      <c r="G32" s="94" t="str">
        <f t="shared" si="1"/>
        <v/>
      </c>
      <c r="H32" s="10" t="s">
        <v>20</v>
      </c>
      <c r="I32" s="331">
        <v>170.7</v>
      </c>
      <c r="J32" s="12">
        <f t="shared" si="0"/>
        <v>1024.1999999999998</v>
      </c>
      <c r="K32" s="13"/>
    </row>
    <row r="33" spans="1:11" ht="14.5" hidden="1" customHeight="1" x14ac:dyDescent="0.35">
      <c r="A33" s="103"/>
      <c r="B33" s="12" t="s">
        <v>2</v>
      </c>
      <c r="C33" s="10" t="s">
        <v>215</v>
      </c>
      <c r="D33" s="94"/>
      <c r="E33" s="170"/>
      <c r="F33" s="94"/>
      <c r="G33" s="94" t="str">
        <f t="shared" si="1"/>
        <v/>
      </c>
      <c r="H33" s="10" t="s">
        <v>216</v>
      </c>
      <c r="I33" s="331">
        <v>3.77</v>
      </c>
      <c r="J33" s="12">
        <f t="shared" si="0"/>
        <v>0</v>
      </c>
      <c r="K33" s="13"/>
    </row>
    <row r="34" spans="1:11" s="6" customFormat="1" ht="15.65" hidden="1" customHeight="1" x14ac:dyDescent="0.35">
      <c r="A34" s="103"/>
      <c r="B34" s="12" t="s">
        <v>2</v>
      </c>
      <c r="C34" s="10" t="s">
        <v>217</v>
      </c>
      <c r="D34" s="94"/>
      <c r="E34" s="170"/>
      <c r="F34" s="94"/>
      <c r="G34" s="94" t="str">
        <f t="shared" si="1"/>
        <v/>
      </c>
      <c r="H34" s="10" t="s">
        <v>20</v>
      </c>
      <c r="I34" s="331">
        <v>2.56</v>
      </c>
      <c r="J34" s="12">
        <f t="shared" si="0"/>
        <v>0</v>
      </c>
    </row>
    <row r="35" spans="1:11" ht="14.5" hidden="1" customHeight="1" x14ac:dyDescent="0.35">
      <c r="A35" s="103"/>
      <c r="B35" s="12" t="s">
        <v>2</v>
      </c>
      <c r="C35" s="10" t="s">
        <v>218</v>
      </c>
      <c r="D35" s="94"/>
      <c r="E35" s="170"/>
      <c r="F35" s="94"/>
      <c r="G35" s="94" t="str">
        <f t="shared" si="1"/>
        <v/>
      </c>
      <c r="H35" s="10" t="s">
        <v>20</v>
      </c>
      <c r="I35" s="331">
        <v>3.08</v>
      </c>
      <c r="J35" s="12">
        <f t="shared" si="0"/>
        <v>0</v>
      </c>
      <c r="K35" s="13"/>
    </row>
    <row r="36" spans="1:11" ht="14.5" hidden="1" customHeight="1" x14ac:dyDescent="0.35">
      <c r="A36" s="103"/>
      <c r="B36" s="12" t="s">
        <v>2</v>
      </c>
      <c r="C36" s="10" t="s">
        <v>219</v>
      </c>
      <c r="D36" s="94"/>
      <c r="E36" s="170"/>
      <c r="F36" s="94"/>
      <c r="G36" s="94" t="str">
        <f t="shared" si="1"/>
        <v/>
      </c>
      <c r="H36" s="10" t="s">
        <v>20</v>
      </c>
      <c r="I36" s="331">
        <v>2.56</v>
      </c>
      <c r="J36" s="12">
        <f t="shared" si="0"/>
        <v>0</v>
      </c>
      <c r="K36" s="13"/>
    </row>
    <row r="37" spans="1:11" hidden="1" x14ac:dyDescent="0.35">
      <c r="A37" s="103"/>
      <c r="B37" s="12" t="s">
        <v>2</v>
      </c>
      <c r="C37" s="10" t="s">
        <v>220</v>
      </c>
      <c r="D37" s="94"/>
      <c r="E37" s="170"/>
      <c r="F37" s="94"/>
      <c r="G37" s="94" t="str">
        <f t="shared" si="1"/>
        <v/>
      </c>
      <c r="H37" s="10" t="s">
        <v>20</v>
      </c>
      <c r="I37" s="331">
        <v>1.41</v>
      </c>
      <c r="J37" s="12">
        <f t="shared" si="0"/>
        <v>0</v>
      </c>
      <c r="K37" s="13"/>
    </row>
    <row r="38" spans="1:11" hidden="1" x14ac:dyDescent="0.35">
      <c r="A38" s="103"/>
      <c r="B38" s="12" t="s">
        <v>2</v>
      </c>
      <c r="C38" s="10" t="s">
        <v>221</v>
      </c>
      <c r="D38" s="94"/>
      <c r="E38" s="170"/>
      <c r="F38" s="94"/>
      <c r="G38" s="94" t="str">
        <f t="shared" si="1"/>
        <v/>
      </c>
      <c r="H38" s="10" t="s">
        <v>20</v>
      </c>
      <c r="I38" s="331">
        <v>1.73</v>
      </c>
      <c r="J38" s="12">
        <f t="shared" si="0"/>
        <v>0</v>
      </c>
      <c r="K38" s="13"/>
    </row>
    <row r="39" spans="1:11" hidden="1" x14ac:dyDescent="0.35">
      <c r="A39" s="103"/>
      <c r="B39" s="12" t="s">
        <v>2</v>
      </c>
      <c r="C39" s="10" t="s">
        <v>222</v>
      </c>
      <c r="D39" s="94"/>
      <c r="E39" s="170"/>
      <c r="F39" s="94"/>
      <c r="G39" s="94" t="str">
        <f t="shared" si="1"/>
        <v/>
      </c>
      <c r="H39" s="10" t="s">
        <v>20</v>
      </c>
      <c r="I39" s="331">
        <v>1.46</v>
      </c>
      <c r="J39" s="12">
        <f t="shared" si="0"/>
        <v>0</v>
      </c>
      <c r="K39" s="13"/>
    </row>
    <row r="40" spans="1:11" ht="14.5" hidden="1" customHeight="1" x14ac:dyDescent="0.35">
      <c r="A40" s="103"/>
      <c r="B40" s="12" t="s">
        <v>2</v>
      </c>
      <c r="C40" s="10" t="s">
        <v>223</v>
      </c>
      <c r="D40" s="96"/>
      <c r="E40" s="170"/>
      <c r="F40" s="96"/>
      <c r="G40" s="94" t="str">
        <f t="shared" si="1"/>
        <v/>
      </c>
      <c r="H40" s="10" t="s">
        <v>20</v>
      </c>
      <c r="I40" s="332">
        <v>3.45</v>
      </c>
      <c r="J40" s="12">
        <f t="shared" si="0"/>
        <v>0</v>
      </c>
      <c r="K40" s="13"/>
    </row>
    <row r="41" spans="1:11" s="6" customFormat="1" ht="15.65" customHeight="1" x14ac:dyDescent="0.35">
      <c r="A41" s="108" t="s">
        <v>119</v>
      </c>
      <c r="B41" s="108"/>
      <c r="C41" s="108"/>
      <c r="D41" s="108"/>
      <c r="E41" s="162"/>
      <c r="F41" s="108"/>
      <c r="G41" s="221" t="str">
        <f t="shared" si="1"/>
        <v/>
      </c>
      <c r="H41" s="108"/>
      <c r="I41" s="106" t="s">
        <v>18</v>
      </c>
      <c r="J41" s="107">
        <f>SUM(J42:J49)</f>
        <v>2480</v>
      </c>
    </row>
    <row r="42" spans="1:11" ht="14.5" customHeight="1" x14ac:dyDescent="0.35">
      <c r="A42" s="103"/>
      <c r="B42" s="12" t="s">
        <v>7</v>
      </c>
      <c r="C42" s="10" t="s">
        <v>224</v>
      </c>
      <c r="D42" s="94"/>
      <c r="E42" s="166"/>
      <c r="F42" s="94"/>
      <c r="G42" s="94" t="str">
        <f t="shared" si="1"/>
        <v/>
      </c>
      <c r="H42" s="10" t="s">
        <v>20</v>
      </c>
      <c r="I42" s="331">
        <v>100</v>
      </c>
      <c r="J42" s="12">
        <f t="shared" ref="J42:J49" si="2">E42*I42</f>
        <v>0</v>
      </c>
      <c r="K42" s="13"/>
    </row>
    <row r="43" spans="1:11" hidden="1" x14ac:dyDescent="0.35">
      <c r="A43" s="103"/>
      <c r="B43" s="12" t="s">
        <v>7</v>
      </c>
      <c r="C43" s="10" t="s">
        <v>225</v>
      </c>
      <c r="D43" s="94"/>
      <c r="E43" s="170"/>
      <c r="F43" s="94"/>
      <c r="G43" s="94" t="str">
        <f t="shared" si="1"/>
        <v/>
      </c>
      <c r="H43" s="10" t="s">
        <v>20</v>
      </c>
      <c r="I43" s="331">
        <v>12.2</v>
      </c>
      <c r="J43" s="12">
        <f t="shared" si="2"/>
        <v>0</v>
      </c>
      <c r="K43" s="13"/>
    </row>
    <row r="44" spans="1:11" ht="14.5" hidden="1" customHeight="1" x14ac:dyDescent="0.35">
      <c r="A44" s="103"/>
      <c r="B44" s="12" t="s">
        <v>7</v>
      </c>
      <c r="C44" s="10" t="s">
        <v>226</v>
      </c>
      <c r="D44" s="94"/>
      <c r="E44" s="170"/>
      <c r="F44" s="94"/>
      <c r="G44" s="94" t="str">
        <f t="shared" si="1"/>
        <v/>
      </c>
      <c r="H44" s="10" t="s">
        <v>20</v>
      </c>
      <c r="I44" s="331">
        <v>11</v>
      </c>
      <c r="J44" s="12">
        <f t="shared" si="2"/>
        <v>0</v>
      </c>
      <c r="K44" s="88"/>
    </row>
    <row r="45" spans="1:11" hidden="1" x14ac:dyDescent="0.35">
      <c r="A45" s="103"/>
      <c r="B45" s="12" t="s">
        <v>7</v>
      </c>
      <c r="C45" s="10" t="s">
        <v>227</v>
      </c>
      <c r="D45" s="94"/>
      <c r="E45" s="170"/>
      <c r="F45" s="94"/>
      <c r="G45" s="94" t="str">
        <f t="shared" si="1"/>
        <v/>
      </c>
      <c r="H45" s="10" t="s">
        <v>20</v>
      </c>
      <c r="I45" s="331">
        <v>5</v>
      </c>
      <c r="J45" s="12">
        <f t="shared" si="2"/>
        <v>0</v>
      </c>
      <c r="K45" s="13" t="s">
        <v>47</v>
      </c>
    </row>
    <row r="46" spans="1:11" x14ac:dyDescent="0.35">
      <c r="A46" s="103"/>
      <c r="B46" s="12" t="s">
        <v>7</v>
      </c>
      <c r="C46" s="10" t="s">
        <v>46</v>
      </c>
      <c r="D46" s="94"/>
      <c r="E46" s="170">
        <v>36</v>
      </c>
      <c r="F46" s="94"/>
      <c r="G46" s="94" t="str">
        <f t="shared" si="1"/>
        <v/>
      </c>
      <c r="H46" s="10" t="s">
        <v>20</v>
      </c>
      <c r="I46" s="331">
        <v>5</v>
      </c>
      <c r="J46" s="12">
        <f t="shared" si="2"/>
        <v>180</v>
      </c>
      <c r="K46" s="13"/>
    </row>
    <row r="47" spans="1:11" ht="14.5" hidden="1" customHeight="1" x14ac:dyDescent="0.35">
      <c r="A47" s="103"/>
      <c r="B47" s="12" t="s">
        <v>7</v>
      </c>
      <c r="C47" s="10" t="s">
        <v>228</v>
      </c>
      <c r="D47" s="94"/>
      <c r="E47" s="170"/>
      <c r="F47" s="94"/>
      <c r="G47" s="94" t="str">
        <f t="shared" si="1"/>
        <v/>
      </c>
      <c r="H47" s="10" t="s">
        <v>20</v>
      </c>
      <c r="I47" s="331">
        <v>11</v>
      </c>
      <c r="J47" s="12">
        <f t="shared" si="2"/>
        <v>0</v>
      </c>
      <c r="K47" s="13"/>
    </row>
    <row r="48" spans="1:11" ht="16.399999999999999" customHeight="1" x14ac:dyDescent="0.35">
      <c r="A48" s="103"/>
      <c r="B48" s="12" t="s">
        <v>7</v>
      </c>
      <c r="C48" s="10" t="s">
        <v>229</v>
      </c>
      <c r="D48" s="94"/>
      <c r="E48" s="166">
        <f>SUM(E25:E32)</f>
        <v>46</v>
      </c>
      <c r="F48" s="94"/>
      <c r="G48" s="94" t="str">
        <f t="shared" si="1"/>
        <v/>
      </c>
      <c r="H48" s="10" t="s">
        <v>20</v>
      </c>
      <c r="I48" s="331">
        <v>50</v>
      </c>
      <c r="J48" s="12">
        <f t="shared" si="2"/>
        <v>2300</v>
      </c>
      <c r="K48" s="13"/>
    </row>
    <row r="49" spans="1:11" hidden="1" x14ac:dyDescent="0.35">
      <c r="A49" s="103"/>
      <c r="B49" s="12" t="s">
        <v>7</v>
      </c>
      <c r="C49" s="78" t="s">
        <v>206</v>
      </c>
      <c r="D49" s="97"/>
      <c r="E49" s="170"/>
      <c r="F49" s="97"/>
      <c r="G49" s="94" t="str">
        <f t="shared" si="1"/>
        <v/>
      </c>
      <c r="H49" s="10" t="s">
        <v>20</v>
      </c>
      <c r="I49" s="333">
        <v>5</v>
      </c>
      <c r="J49" s="12">
        <f t="shared" si="2"/>
        <v>0</v>
      </c>
      <c r="K49" s="13"/>
    </row>
    <row r="50" spans="1:11" ht="14.5" customHeight="1" x14ac:dyDescent="0.35">
      <c r="A50" s="103"/>
      <c r="B50" s="104" t="s">
        <v>230</v>
      </c>
      <c r="C50" s="105"/>
      <c r="D50" s="105"/>
      <c r="E50" s="176"/>
      <c r="F50" s="105"/>
      <c r="G50" s="221" t="str">
        <f t="shared" si="1"/>
        <v/>
      </c>
      <c r="H50" s="105"/>
      <c r="I50" s="106" t="s">
        <v>18</v>
      </c>
      <c r="J50" s="107">
        <f>SUM(J52:J77)</f>
        <v>43.400000000000006</v>
      </c>
      <c r="K50" s="13"/>
    </row>
    <row r="51" spans="1:11" ht="14.5" customHeight="1" x14ac:dyDescent="0.35">
      <c r="A51" s="111"/>
      <c r="B51" s="126" t="s">
        <v>231</v>
      </c>
      <c r="C51" s="127"/>
      <c r="D51" s="127"/>
      <c r="E51" s="177"/>
      <c r="F51" s="127"/>
      <c r="G51" s="221" t="str">
        <f t="shared" si="1"/>
        <v/>
      </c>
      <c r="H51" s="127"/>
      <c r="I51" s="239"/>
      <c r="J51" s="128"/>
      <c r="K51" s="13"/>
    </row>
    <row r="52" spans="1:11" ht="14.5" hidden="1" customHeight="1" x14ac:dyDescent="0.35">
      <c r="A52" s="103"/>
      <c r="B52" s="12" t="s">
        <v>13</v>
      </c>
      <c r="C52" s="10" t="s">
        <v>78</v>
      </c>
      <c r="D52" s="94"/>
      <c r="E52" s="170"/>
      <c r="F52" s="94"/>
      <c r="G52" s="94" t="str">
        <f t="shared" si="1"/>
        <v/>
      </c>
      <c r="H52" s="10" t="s">
        <v>20</v>
      </c>
      <c r="I52" s="331">
        <v>13</v>
      </c>
      <c r="J52" s="12">
        <f t="shared" ref="J52:J58" si="3">E52*I52</f>
        <v>0</v>
      </c>
      <c r="K52" s="13"/>
    </row>
    <row r="53" spans="1:11" hidden="1" x14ac:dyDescent="0.35">
      <c r="A53" s="103"/>
      <c r="B53" s="12" t="s">
        <v>13</v>
      </c>
      <c r="C53" s="10" t="s">
        <v>232</v>
      </c>
      <c r="D53" s="94"/>
      <c r="E53" s="170"/>
      <c r="F53" s="94"/>
      <c r="G53" s="94" t="str">
        <f t="shared" si="1"/>
        <v/>
      </c>
      <c r="H53" s="10" t="s">
        <v>20</v>
      </c>
      <c r="I53" s="331">
        <v>13</v>
      </c>
      <c r="J53" s="12">
        <f t="shared" si="3"/>
        <v>0</v>
      </c>
      <c r="K53" s="134"/>
    </row>
    <row r="54" spans="1:11" hidden="1" x14ac:dyDescent="0.35">
      <c r="A54" s="103"/>
      <c r="B54" s="12" t="s">
        <v>13</v>
      </c>
      <c r="C54" s="10" t="s">
        <v>233</v>
      </c>
      <c r="D54" s="94"/>
      <c r="E54" s="170"/>
      <c r="F54" s="94"/>
      <c r="G54" s="94" t="str">
        <f t="shared" si="1"/>
        <v/>
      </c>
      <c r="H54" s="10" t="s">
        <v>20</v>
      </c>
      <c r="I54" s="331">
        <v>8.9</v>
      </c>
      <c r="J54" s="12">
        <f t="shared" si="3"/>
        <v>0</v>
      </c>
      <c r="K54" s="13"/>
    </row>
    <row r="55" spans="1:11" x14ac:dyDescent="0.35">
      <c r="A55" s="103"/>
      <c r="B55" s="12" t="s">
        <v>13</v>
      </c>
      <c r="C55" s="10" t="s">
        <v>32</v>
      </c>
      <c r="D55" s="94"/>
      <c r="E55" s="170">
        <v>2</v>
      </c>
      <c r="F55" s="94"/>
      <c r="G55" s="94" t="str">
        <f t="shared" si="1"/>
        <v/>
      </c>
      <c r="H55" s="10" t="s">
        <v>20</v>
      </c>
      <c r="I55" s="331">
        <v>8.35</v>
      </c>
      <c r="J55" s="12">
        <f t="shared" si="3"/>
        <v>16.7</v>
      </c>
      <c r="K55" s="13"/>
    </row>
    <row r="56" spans="1:11" s="6" customFormat="1" ht="15.65" customHeight="1" x14ac:dyDescent="0.35">
      <c r="A56" s="103"/>
      <c r="B56" s="12" t="s">
        <v>13</v>
      </c>
      <c r="C56" s="10" t="s">
        <v>33</v>
      </c>
      <c r="D56" s="94"/>
      <c r="E56" s="170">
        <v>3</v>
      </c>
      <c r="F56" s="94"/>
      <c r="G56" s="94" t="str">
        <f t="shared" si="1"/>
        <v/>
      </c>
      <c r="H56" s="10" t="s">
        <v>20</v>
      </c>
      <c r="I56" s="331">
        <v>8.9</v>
      </c>
      <c r="J56" s="12">
        <f t="shared" si="3"/>
        <v>26.700000000000003</v>
      </c>
    </row>
    <row r="57" spans="1:11" s="6" customFormat="1" ht="15.65" customHeight="1" x14ac:dyDescent="0.35">
      <c r="A57" s="103"/>
      <c r="B57" s="12" t="s">
        <v>13</v>
      </c>
      <c r="C57" s="10" t="s">
        <v>59</v>
      </c>
      <c r="D57" s="94"/>
      <c r="E57" s="170"/>
      <c r="F57" s="94"/>
      <c r="G57" s="94" t="str">
        <f t="shared" si="1"/>
        <v/>
      </c>
      <c r="H57" s="10" t="s">
        <v>20</v>
      </c>
      <c r="I57" s="331">
        <v>8.6999999999999993</v>
      </c>
      <c r="J57" s="12">
        <f t="shared" si="3"/>
        <v>0</v>
      </c>
    </row>
    <row r="58" spans="1:11" ht="14.5" hidden="1" customHeight="1" x14ac:dyDescent="0.35">
      <c r="A58" s="103"/>
      <c r="B58" s="12" t="s">
        <v>13</v>
      </c>
      <c r="C58" s="10" t="s">
        <v>234</v>
      </c>
      <c r="D58" s="94"/>
      <c r="E58" s="170"/>
      <c r="F58" s="94"/>
      <c r="G58" s="94" t="str">
        <f t="shared" si="1"/>
        <v/>
      </c>
      <c r="H58" s="10" t="s">
        <v>20</v>
      </c>
      <c r="I58" s="331">
        <v>12.15</v>
      </c>
      <c r="J58" s="12">
        <f t="shared" si="3"/>
        <v>0</v>
      </c>
      <c r="K58" s="13"/>
    </row>
    <row r="59" spans="1:11" ht="14.5" hidden="1" customHeight="1" x14ac:dyDescent="0.35">
      <c r="A59" s="103"/>
      <c r="B59" s="12" t="s">
        <v>13</v>
      </c>
      <c r="C59" s="10" t="s">
        <v>235</v>
      </c>
      <c r="D59" s="94"/>
      <c r="E59" s="170"/>
      <c r="F59" s="94"/>
      <c r="G59" s="94" t="str">
        <f t="shared" si="1"/>
        <v/>
      </c>
      <c r="H59" s="10" t="s">
        <v>20</v>
      </c>
      <c r="I59" s="331">
        <v>11.35</v>
      </c>
      <c r="J59" s="12">
        <f t="shared" ref="J59:J64" si="4">E59*I59</f>
        <v>0</v>
      </c>
      <c r="K59" s="13"/>
    </row>
    <row r="60" spans="1:11" s="6" customFormat="1" ht="15.65" hidden="1" customHeight="1" x14ac:dyDescent="0.35">
      <c r="A60" s="103"/>
      <c r="B60" s="12" t="s">
        <v>13</v>
      </c>
      <c r="C60" s="10" t="s">
        <v>236</v>
      </c>
      <c r="D60" s="94"/>
      <c r="E60" s="170"/>
      <c r="F60" s="94"/>
      <c r="G60" s="94" t="str">
        <f t="shared" si="1"/>
        <v/>
      </c>
      <c r="H60" s="10" t="s">
        <v>20</v>
      </c>
      <c r="I60" s="331">
        <v>14.65</v>
      </c>
      <c r="J60" s="12">
        <f t="shared" si="4"/>
        <v>0</v>
      </c>
    </row>
    <row r="61" spans="1:11" ht="14.5" hidden="1" customHeight="1" x14ac:dyDescent="0.35">
      <c r="A61" s="103"/>
      <c r="B61" s="12" t="s">
        <v>13</v>
      </c>
      <c r="C61" s="10" t="s">
        <v>237</v>
      </c>
      <c r="D61" s="94"/>
      <c r="E61" s="170"/>
      <c r="F61" s="94"/>
      <c r="G61" s="94" t="str">
        <f t="shared" si="1"/>
        <v/>
      </c>
      <c r="H61" s="10" t="s">
        <v>20</v>
      </c>
      <c r="I61" s="331">
        <v>16.25</v>
      </c>
      <c r="J61" s="12">
        <f t="shared" si="4"/>
        <v>0</v>
      </c>
      <c r="K61" s="13"/>
    </row>
    <row r="62" spans="1:11" s="6" customFormat="1" ht="15.5" hidden="1" x14ac:dyDescent="0.35">
      <c r="A62" s="103"/>
      <c r="B62" s="12" t="s">
        <v>13</v>
      </c>
      <c r="C62" s="10" t="s">
        <v>238</v>
      </c>
      <c r="D62" s="94"/>
      <c r="E62" s="170"/>
      <c r="F62" s="94"/>
      <c r="G62" s="94" t="str">
        <f t="shared" si="1"/>
        <v/>
      </c>
      <c r="H62" s="10" t="s">
        <v>20</v>
      </c>
      <c r="I62" s="331">
        <v>17.899999999999999</v>
      </c>
      <c r="J62" s="12">
        <f t="shared" si="4"/>
        <v>0</v>
      </c>
    </row>
    <row r="63" spans="1:11" hidden="1" x14ac:dyDescent="0.35">
      <c r="A63" s="103"/>
      <c r="B63" s="12" t="s">
        <v>13</v>
      </c>
      <c r="C63" s="10" t="s">
        <v>239</v>
      </c>
      <c r="D63" s="94"/>
      <c r="E63" s="170"/>
      <c r="F63" s="94"/>
      <c r="G63" s="94" t="str">
        <f t="shared" si="1"/>
        <v/>
      </c>
      <c r="H63" s="10" t="s">
        <v>20</v>
      </c>
      <c r="I63" s="331">
        <v>15.95</v>
      </c>
      <c r="J63" s="12">
        <f t="shared" si="4"/>
        <v>0</v>
      </c>
      <c r="K63" s="13"/>
    </row>
    <row r="64" spans="1:11" ht="14.5" hidden="1" customHeight="1" x14ac:dyDescent="0.35">
      <c r="A64" s="103"/>
      <c r="B64" s="12" t="s">
        <v>13</v>
      </c>
      <c r="C64" s="10" t="s">
        <v>240</v>
      </c>
      <c r="D64" s="94"/>
      <c r="E64" s="170"/>
      <c r="F64" s="94"/>
      <c r="G64" s="94" t="str">
        <f t="shared" si="1"/>
        <v/>
      </c>
      <c r="H64" s="10" t="s">
        <v>20</v>
      </c>
      <c r="I64" s="331">
        <v>15.45</v>
      </c>
      <c r="J64" s="12">
        <f t="shared" si="4"/>
        <v>0</v>
      </c>
      <c r="K64" s="13"/>
    </row>
    <row r="65" spans="1:11" s="6" customFormat="1" ht="15.65" hidden="1" customHeight="1" x14ac:dyDescent="0.35">
      <c r="A65" s="111"/>
      <c r="B65" s="126" t="s">
        <v>241</v>
      </c>
      <c r="C65" s="127"/>
      <c r="D65" s="127"/>
      <c r="E65" s="177"/>
      <c r="F65" s="127"/>
      <c r="G65" s="94" t="str">
        <f t="shared" si="1"/>
        <v/>
      </c>
      <c r="H65" s="127"/>
      <c r="I65" s="239"/>
      <c r="J65" s="128"/>
    </row>
    <row r="66" spans="1:11" ht="14.5" hidden="1" customHeight="1" x14ac:dyDescent="0.35">
      <c r="A66" s="103"/>
      <c r="B66" s="12" t="s">
        <v>13</v>
      </c>
      <c r="C66" s="10" t="s">
        <v>242</v>
      </c>
      <c r="D66" s="94"/>
      <c r="E66" s="170"/>
      <c r="F66" s="94"/>
      <c r="G66" s="94" t="str">
        <f t="shared" si="1"/>
        <v/>
      </c>
      <c r="H66" s="10" t="s">
        <v>20</v>
      </c>
      <c r="I66" s="331">
        <v>31.05</v>
      </c>
      <c r="J66" s="12">
        <f t="shared" ref="J66:J72" si="5">E66*I66</f>
        <v>0</v>
      </c>
      <c r="K66" s="13"/>
    </row>
    <row r="67" spans="1:11" ht="14.5" hidden="1" customHeight="1" x14ac:dyDescent="0.35">
      <c r="A67" s="103"/>
      <c r="B67" s="12" t="s">
        <v>13</v>
      </c>
      <c r="C67" s="10" t="s">
        <v>243</v>
      </c>
      <c r="D67" s="94"/>
      <c r="E67" s="170"/>
      <c r="F67" s="94"/>
      <c r="G67" s="94" t="str">
        <f t="shared" si="1"/>
        <v/>
      </c>
      <c r="H67" s="10" t="s">
        <v>20</v>
      </c>
      <c r="I67" s="331">
        <v>60.79</v>
      </c>
      <c r="J67" s="12">
        <f t="shared" si="5"/>
        <v>0</v>
      </c>
      <c r="K67" s="13"/>
    </row>
    <row r="68" spans="1:11" hidden="1" x14ac:dyDescent="0.35">
      <c r="A68" s="103"/>
      <c r="B68" s="12" t="s">
        <v>13</v>
      </c>
      <c r="C68" s="10" t="s">
        <v>244</v>
      </c>
      <c r="D68" s="94"/>
      <c r="E68" s="170"/>
      <c r="F68" s="94"/>
      <c r="G68" s="94" t="str">
        <f t="shared" si="1"/>
        <v/>
      </c>
      <c r="H68" s="10" t="s">
        <v>20</v>
      </c>
      <c r="I68" s="331">
        <v>56.55</v>
      </c>
      <c r="J68" s="12">
        <f t="shared" si="5"/>
        <v>0</v>
      </c>
      <c r="K68" s="13"/>
    </row>
    <row r="69" spans="1:11" hidden="1" x14ac:dyDescent="0.35">
      <c r="A69" s="103"/>
      <c r="B69" s="12" t="s">
        <v>13</v>
      </c>
      <c r="C69" s="10" t="s">
        <v>245</v>
      </c>
      <c r="D69" s="94"/>
      <c r="E69" s="170"/>
      <c r="F69" s="94"/>
      <c r="G69" s="94" t="str">
        <f t="shared" si="1"/>
        <v/>
      </c>
      <c r="H69" s="10" t="s">
        <v>20</v>
      </c>
      <c r="I69" s="331">
        <v>107.44</v>
      </c>
      <c r="J69" s="12">
        <f t="shared" si="5"/>
        <v>0</v>
      </c>
      <c r="K69" s="13"/>
    </row>
    <row r="70" spans="1:11" ht="14.5" hidden="1" customHeight="1" x14ac:dyDescent="0.35">
      <c r="A70" s="103"/>
      <c r="B70" s="12" t="s">
        <v>13</v>
      </c>
      <c r="C70" s="10" t="s">
        <v>246</v>
      </c>
      <c r="D70" s="94"/>
      <c r="E70" s="170"/>
      <c r="F70" s="94"/>
      <c r="G70" s="94" t="str">
        <f t="shared" si="1"/>
        <v/>
      </c>
      <c r="H70" s="10" t="s">
        <v>20</v>
      </c>
      <c r="I70" s="331">
        <v>47.4</v>
      </c>
      <c r="J70" s="12">
        <f t="shared" si="5"/>
        <v>0</v>
      </c>
      <c r="K70" s="13"/>
    </row>
    <row r="71" spans="1:11" ht="15.65" hidden="1" customHeight="1" x14ac:dyDescent="0.35">
      <c r="A71" s="103"/>
      <c r="B71" s="12" t="s">
        <v>13</v>
      </c>
      <c r="C71" s="10" t="s">
        <v>247</v>
      </c>
      <c r="D71" s="94"/>
      <c r="E71" s="170"/>
      <c r="F71" s="94"/>
      <c r="G71" s="94" t="str">
        <f t="shared" si="1"/>
        <v/>
      </c>
      <c r="H71" s="10" t="s">
        <v>20</v>
      </c>
      <c r="I71" s="331">
        <v>87.63</v>
      </c>
      <c r="J71" s="12">
        <f t="shared" si="5"/>
        <v>0</v>
      </c>
      <c r="K71" s="13"/>
    </row>
    <row r="72" spans="1:11" ht="15.65" hidden="1" customHeight="1" x14ac:dyDescent="0.35">
      <c r="A72" s="103"/>
      <c r="B72" s="12" t="s">
        <v>13</v>
      </c>
      <c r="C72" s="10" t="s">
        <v>248</v>
      </c>
      <c r="D72" s="94"/>
      <c r="E72" s="170"/>
      <c r="F72" s="94"/>
      <c r="G72" s="94" t="str">
        <f t="shared" si="1"/>
        <v/>
      </c>
      <c r="H72" s="10" t="s">
        <v>20</v>
      </c>
      <c r="I72" s="331">
        <v>52.31</v>
      </c>
      <c r="J72" s="12">
        <f t="shared" si="5"/>
        <v>0</v>
      </c>
      <c r="K72" s="13"/>
    </row>
    <row r="73" spans="1:11" ht="16.399999999999999" hidden="1" customHeight="1" x14ac:dyDescent="0.35">
      <c r="A73" s="111"/>
      <c r="B73" s="126" t="s">
        <v>249</v>
      </c>
      <c r="C73" s="127"/>
      <c r="D73" s="127"/>
      <c r="E73" s="177"/>
      <c r="F73" s="127"/>
      <c r="G73" s="94" t="str">
        <f t="shared" si="1"/>
        <v/>
      </c>
      <c r="H73" s="127"/>
      <c r="I73" s="239"/>
      <c r="J73" s="128"/>
      <c r="K73" s="13"/>
    </row>
    <row r="74" spans="1:11" ht="14.5" hidden="1" customHeight="1" x14ac:dyDescent="0.35">
      <c r="A74" s="103"/>
      <c r="B74" s="12" t="s">
        <v>13</v>
      </c>
      <c r="C74" s="10" t="s">
        <v>250</v>
      </c>
      <c r="D74" s="94"/>
      <c r="E74" s="170"/>
      <c r="F74" s="94"/>
      <c r="G74" s="94" t="str">
        <f t="shared" si="1"/>
        <v/>
      </c>
      <c r="H74" s="10" t="s">
        <v>20</v>
      </c>
      <c r="I74" s="331">
        <v>10.8</v>
      </c>
      <c r="J74" s="12">
        <f>E74*I74</f>
        <v>0</v>
      </c>
      <c r="K74" s="13"/>
    </row>
    <row r="75" spans="1:11" ht="14.5" hidden="1" customHeight="1" x14ac:dyDescent="0.35">
      <c r="A75" s="103"/>
      <c r="B75" s="12" t="s">
        <v>13</v>
      </c>
      <c r="C75" s="10" t="s">
        <v>251</v>
      </c>
      <c r="D75" s="94"/>
      <c r="E75" s="170"/>
      <c r="F75" s="94"/>
      <c r="G75" s="94" t="str">
        <f t="shared" si="1"/>
        <v/>
      </c>
      <c r="H75" s="10" t="s">
        <v>20</v>
      </c>
      <c r="I75" s="331">
        <v>11.2</v>
      </c>
      <c r="J75" s="12">
        <f>E75*I75</f>
        <v>0</v>
      </c>
      <c r="K75" s="13"/>
    </row>
    <row r="76" spans="1:11" s="24" customFormat="1" ht="15.65" customHeight="1" x14ac:dyDescent="0.35">
      <c r="A76" s="103"/>
      <c r="B76" s="12" t="s">
        <v>13</v>
      </c>
      <c r="C76" s="10" t="s">
        <v>252</v>
      </c>
      <c r="D76" s="94"/>
      <c r="E76" s="170"/>
      <c r="F76" s="94"/>
      <c r="G76" s="94" t="str">
        <f t="shared" si="1"/>
        <v/>
      </c>
      <c r="H76" s="10" t="s">
        <v>23</v>
      </c>
      <c r="I76" s="331">
        <v>4.5599999999999996</v>
      </c>
      <c r="J76" s="12">
        <f>E76*I76</f>
        <v>0</v>
      </c>
    </row>
    <row r="77" spans="1:11" s="6" customFormat="1" ht="15.65" customHeight="1" x14ac:dyDescent="0.35">
      <c r="A77" s="103"/>
      <c r="B77" s="12" t="s">
        <v>13</v>
      </c>
      <c r="C77" s="10" t="s">
        <v>253</v>
      </c>
      <c r="D77" s="94"/>
      <c r="E77" s="170"/>
      <c r="F77" s="94"/>
      <c r="G77" s="94" t="str">
        <f t="shared" si="1"/>
        <v/>
      </c>
      <c r="H77" s="10" t="s">
        <v>23</v>
      </c>
      <c r="I77" s="331">
        <v>37.700000000000003</v>
      </c>
      <c r="J77" s="12">
        <f>E77*I77</f>
        <v>0</v>
      </c>
    </row>
    <row r="78" spans="1:11" ht="14.5" customHeight="1" x14ac:dyDescent="0.35">
      <c r="A78" s="108" t="s">
        <v>254</v>
      </c>
      <c r="B78" s="108"/>
      <c r="C78" s="108"/>
      <c r="D78" s="108"/>
      <c r="E78" s="162"/>
      <c r="F78" s="108"/>
      <c r="G78" s="94" t="str">
        <f t="shared" si="1"/>
        <v/>
      </c>
      <c r="H78" s="108"/>
      <c r="I78" s="110" t="s">
        <v>18</v>
      </c>
      <c r="J78" s="115">
        <f>SUM(J80:J121)</f>
        <v>0</v>
      </c>
    </row>
    <row r="79" spans="1:11" ht="14.5" customHeight="1" x14ac:dyDescent="0.35">
      <c r="A79" s="111"/>
      <c r="B79" s="126" t="s">
        <v>255</v>
      </c>
      <c r="C79" s="127"/>
      <c r="D79" s="127"/>
      <c r="E79" s="177"/>
      <c r="F79" s="127"/>
      <c r="G79" s="94" t="str">
        <f t="shared" si="1"/>
        <v/>
      </c>
      <c r="H79" s="127"/>
      <c r="I79" s="239"/>
      <c r="J79" s="128"/>
      <c r="K79" s="13"/>
    </row>
    <row r="80" spans="1:11" ht="14.5" customHeight="1" x14ac:dyDescent="0.35">
      <c r="A80" s="103"/>
      <c r="B80" s="12" t="s">
        <v>3</v>
      </c>
      <c r="C80" s="10" t="s">
        <v>256</v>
      </c>
      <c r="D80" s="94"/>
      <c r="E80" s="170"/>
      <c r="F80" s="94"/>
      <c r="G80" s="94" t="str">
        <f t="shared" si="1"/>
        <v/>
      </c>
      <c r="H80" s="10" t="s">
        <v>20</v>
      </c>
      <c r="I80" s="331">
        <v>32.950000000000003</v>
      </c>
      <c r="J80" s="12">
        <f t="shared" ref="J80:J86" si="6">E80*I80</f>
        <v>0</v>
      </c>
      <c r="K80" s="13"/>
    </row>
    <row r="81" spans="1:13" ht="14.5" hidden="1" customHeight="1" x14ac:dyDescent="0.35">
      <c r="A81" s="103"/>
      <c r="B81" s="12" t="s">
        <v>3</v>
      </c>
      <c r="C81" s="10" t="s">
        <v>257</v>
      </c>
      <c r="D81" s="94"/>
      <c r="E81" s="170"/>
      <c r="F81" s="94"/>
      <c r="G81" s="94" t="str">
        <f t="shared" si="1"/>
        <v/>
      </c>
      <c r="H81" s="10" t="s">
        <v>20</v>
      </c>
      <c r="I81" s="331">
        <v>56.95</v>
      </c>
      <c r="J81" s="12">
        <f t="shared" si="6"/>
        <v>0</v>
      </c>
      <c r="K81" s="13" t="s">
        <v>47</v>
      </c>
    </row>
    <row r="82" spans="1:13" ht="14.5" hidden="1" customHeight="1" x14ac:dyDescent="0.35">
      <c r="A82" s="103"/>
      <c r="B82" s="12" t="s">
        <v>3</v>
      </c>
      <c r="C82" s="10" t="s">
        <v>258</v>
      </c>
      <c r="D82" s="94"/>
      <c r="E82" s="170"/>
      <c r="F82" s="94"/>
      <c r="G82" s="94" t="str">
        <f t="shared" si="1"/>
        <v/>
      </c>
      <c r="H82" s="10" t="s">
        <v>20</v>
      </c>
      <c r="I82" s="331">
        <v>15.95</v>
      </c>
      <c r="J82" s="12">
        <f t="shared" si="6"/>
        <v>0</v>
      </c>
    </row>
    <row r="83" spans="1:13" ht="14.5" customHeight="1" x14ac:dyDescent="0.35">
      <c r="A83" s="103"/>
      <c r="B83" s="12" t="s">
        <v>3</v>
      </c>
      <c r="C83" s="10" t="s">
        <v>259</v>
      </c>
      <c r="D83" s="94"/>
      <c r="E83" s="170"/>
      <c r="F83" s="94"/>
      <c r="G83" s="94" t="str">
        <f t="shared" si="1"/>
        <v/>
      </c>
      <c r="H83" s="10" t="s">
        <v>20</v>
      </c>
      <c r="I83" s="331">
        <v>19.95</v>
      </c>
      <c r="J83" s="12">
        <f t="shared" si="6"/>
        <v>0</v>
      </c>
      <c r="K83" s="28"/>
    </row>
    <row r="84" spans="1:13" s="6" customFormat="1" ht="15.65" hidden="1" customHeight="1" x14ac:dyDescent="0.35">
      <c r="A84" s="103"/>
      <c r="B84" s="12" t="s">
        <v>3</v>
      </c>
      <c r="C84" s="10" t="s">
        <v>260</v>
      </c>
      <c r="D84" s="94"/>
      <c r="E84" s="170"/>
      <c r="F84" s="94"/>
      <c r="G84" s="94" t="str">
        <f t="shared" si="1"/>
        <v/>
      </c>
      <c r="H84" s="10" t="s">
        <v>20</v>
      </c>
      <c r="I84" s="331">
        <v>46.95</v>
      </c>
      <c r="J84" s="12">
        <f t="shared" si="6"/>
        <v>0</v>
      </c>
      <c r="K84" s="30"/>
    </row>
    <row r="85" spans="1:13" ht="14.5" hidden="1" customHeight="1" x14ac:dyDescent="0.35">
      <c r="A85" s="103"/>
      <c r="B85" s="12" t="s">
        <v>3</v>
      </c>
      <c r="C85" s="10" t="s">
        <v>261</v>
      </c>
      <c r="D85" s="94"/>
      <c r="E85" s="170"/>
      <c r="F85" s="94"/>
      <c r="G85" s="94" t="str">
        <f t="shared" si="1"/>
        <v/>
      </c>
      <c r="H85" s="10" t="s">
        <v>20</v>
      </c>
      <c r="I85" s="331">
        <v>34.950000000000003</v>
      </c>
      <c r="J85" s="12">
        <f t="shared" si="6"/>
        <v>0</v>
      </c>
      <c r="K85" s="28"/>
    </row>
    <row r="86" spans="1:13" s="6" customFormat="1" ht="15.65" hidden="1" customHeight="1" x14ac:dyDescent="0.35">
      <c r="A86" s="103"/>
      <c r="B86" s="12" t="s">
        <v>3</v>
      </c>
      <c r="C86" s="10" t="s">
        <v>262</v>
      </c>
      <c r="D86" s="94"/>
      <c r="E86" s="170"/>
      <c r="F86" s="94"/>
      <c r="G86" s="94" t="str">
        <f t="shared" si="1"/>
        <v/>
      </c>
      <c r="H86" s="10" t="s">
        <v>20</v>
      </c>
      <c r="I86" s="331">
        <v>24.95</v>
      </c>
      <c r="J86" s="12">
        <f t="shared" si="6"/>
        <v>0</v>
      </c>
    </row>
    <row r="87" spans="1:13" ht="15.5" x14ac:dyDescent="0.35">
      <c r="A87" s="111"/>
      <c r="B87" s="126" t="s">
        <v>263</v>
      </c>
      <c r="C87" s="127"/>
      <c r="D87" s="127"/>
      <c r="E87" s="177"/>
      <c r="F87" s="127"/>
      <c r="G87" s="94" t="str">
        <f t="shared" si="1"/>
        <v/>
      </c>
      <c r="H87" s="127"/>
      <c r="I87" s="239"/>
      <c r="J87" s="128"/>
      <c r="K87" s="28"/>
      <c r="M87" t="s">
        <v>47</v>
      </c>
    </row>
    <row r="88" spans="1:13" x14ac:dyDescent="0.35">
      <c r="A88" s="103"/>
      <c r="B88" s="12" t="s">
        <v>3</v>
      </c>
      <c r="C88" s="10" t="s">
        <v>264</v>
      </c>
      <c r="D88" s="94"/>
      <c r="E88" s="170"/>
      <c r="F88" s="94"/>
      <c r="G88" s="94" t="str">
        <f t="shared" si="1"/>
        <v/>
      </c>
      <c r="H88" s="10" t="s">
        <v>20</v>
      </c>
      <c r="I88" s="331">
        <v>19.5</v>
      </c>
      <c r="J88" s="12">
        <f t="shared" ref="J88:J94" si="7">E88*I88</f>
        <v>0</v>
      </c>
      <c r="K88" s="28"/>
    </row>
    <row r="89" spans="1:13" hidden="1" x14ac:dyDescent="0.35">
      <c r="A89" s="103"/>
      <c r="B89" s="12" t="s">
        <v>3</v>
      </c>
      <c r="C89" s="10" t="s">
        <v>265</v>
      </c>
      <c r="D89" s="94"/>
      <c r="E89" s="170"/>
      <c r="F89" s="94"/>
      <c r="G89" s="94" t="str">
        <f t="shared" ref="G89:G152" si="8">IF(E89="","",IF(D89-E89&gt;0,D89-E89,""))</f>
        <v/>
      </c>
      <c r="H89" s="10" t="s">
        <v>20</v>
      </c>
      <c r="I89" s="331">
        <v>16.95</v>
      </c>
      <c r="J89" s="12">
        <f t="shared" si="7"/>
        <v>0</v>
      </c>
      <c r="K89" s="28"/>
    </row>
    <row r="90" spans="1:13" x14ac:dyDescent="0.35">
      <c r="A90" s="103"/>
      <c r="B90" s="12" t="s">
        <v>3</v>
      </c>
      <c r="C90" s="10" t="s">
        <v>266</v>
      </c>
      <c r="D90" s="94"/>
      <c r="E90" s="170"/>
      <c r="F90" s="94"/>
      <c r="G90" s="94" t="str">
        <f t="shared" si="8"/>
        <v/>
      </c>
      <c r="H90" s="10" t="s">
        <v>20</v>
      </c>
      <c r="I90" s="331">
        <v>17.95</v>
      </c>
      <c r="J90" s="12">
        <f t="shared" si="7"/>
        <v>0</v>
      </c>
      <c r="K90" s="28"/>
    </row>
    <row r="91" spans="1:13" x14ac:dyDescent="0.35">
      <c r="A91" s="103"/>
      <c r="B91" s="12" t="s">
        <v>3</v>
      </c>
      <c r="C91" s="10" t="s">
        <v>267</v>
      </c>
      <c r="D91" s="94"/>
      <c r="E91" s="170"/>
      <c r="F91" s="94"/>
      <c r="G91" s="94" t="str">
        <f t="shared" si="8"/>
        <v/>
      </c>
      <c r="H91" s="10" t="s">
        <v>20</v>
      </c>
      <c r="I91" s="331">
        <v>15.95</v>
      </c>
      <c r="J91" s="12">
        <f t="shared" si="7"/>
        <v>0</v>
      </c>
      <c r="K91" s="28"/>
    </row>
    <row r="92" spans="1:13" s="6" customFormat="1" ht="15.5" hidden="1" x14ac:dyDescent="0.35">
      <c r="A92" s="103"/>
      <c r="B92" s="12" t="s">
        <v>3</v>
      </c>
      <c r="C92" s="10" t="s">
        <v>268</v>
      </c>
      <c r="D92" s="94"/>
      <c r="E92" s="170"/>
      <c r="F92" s="94"/>
      <c r="G92" s="94" t="str">
        <f t="shared" si="8"/>
        <v/>
      </c>
      <c r="H92" s="10" t="s">
        <v>20</v>
      </c>
      <c r="I92" s="331">
        <v>20.95</v>
      </c>
      <c r="J92" s="12">
        <f t="shared" si="7"/>
        <v>0</v>
      </c>
      <c r="K92" s="30"/>
    </row>
    <row r="93" spans="1:13" hidden="1" x14ac:dyDescent="0.35">
      <c r="A93" s="103"/>
      <c r="B93" s="12" t="s">
        <v>3</v>
      </c>
      <c r="C93" s="10" t="s">
        <v>269</v>
      </c>
      <c r="D93" s="94"/>
      <c r="E93" s="170"/>
      <c r="F93" s="94"/>
      <c r="G93" s="94" t="str">
        <f t="shared" si="8"/>
        <v/>
      </c>
      <c r="H93" s="10" t="s">
        <v>20</v>
      </c>
      <c r="I93" s="331">
        <v>26.95</v>
      </c>
      <c r="J93" s="12">
        <f t="shared" si="7"/>
        <v>0</v>
      </c>
      <c r="K93" s="31"/>
    </row>
    <row r="94" spans="1:13" hidden="1" x14ac:dyDescent="0.35">
      <c r="A94" s="103"/>
      <c r="B94" s="12" t="s">
        <v>3</v>
      </c>
      <c r="C94" s="10" t="s">
        <v>270</v>
      </c>
      <c r="D94" s="94"/>
      <c r="E94" s="170"/>
      <c r="F94" s="94"/>
      <c r="G94" s="94" t="str">
        <f t="shared" si="8"/>
        <v/>
      </c>
      <c r="H94" s="10" t="s">
        <v>20</v>
      </c>
      <c r="I94" s="331">
        <v>26.95</v>
      </c>
      <c r="J94" s="12">
        <f t="shared" si="7"/>
        <v>0</v>
      </c>
      <c r="K94" s="31"/>
    </row>
    <row r="95" spans="1:13" s="6" customFormat="1" ht="15.5" x14ac:dyDescent="0.35">
      <c r="A95" s="111"/>
      <c r="B95" s="126" t="s">
        <v>271</v>
      </c>
      <c r="C95" s="127"/>
      <c r="D95" s="127"/>
      <c r="E95" s="177"/>
      <c r="F95" s="127"/>
      <c r="G95" s="94" t="str">
        <f t="shared" si="8"/>
        <v/>
      </c>
      <c r="H95" s="127"/>
      <c r="I95" s="239"/>
      <c r="J95" s="128"/>
      <c r="K95" s="30"/>
    </row>
    <row r="96" spans="1:13" ht="14.15" hidden="1" customHeight="1" x14ac:dyDescent="0.35">
      <c r="A96" s="103"/>
      <c r="B96" s="12" t="s">
        <v>3</v>
      </c>
      <c r="C96" s="10" t="s">
        <v>272</v>
      </c>
      <c r="D96" s="94"/>
      <c r="E96" s="170"/>
      <c r="F96" s="94"/>
      <c r="G96" s="94" t="str">
        <f t="shared" si="8"/>
        <v/>
      </c>
      <c r="H96" s="10" t="s">
        <v>20</v>
      </c>
      <c r="I96" s="331">
        <v>20.95</v>
      </c>
      <c r="J96" s="12">
        <f>E96*I96</f>
        <v>0</v>
      </c>
      <c r="K96" s="28"/>
    </row>
    <row r="97" spans="1:11" x14ac:dyDescent="0.35">
      <c r="A97" s="103"/>
      <c r="B97" s="12" t="s">
        <v>3</v>
      </c>
      <c r="C97" s="10" t="s">
        <v>273</v>
      </c>
      <c r="D97" s="94"/>
      <c r="E97" s="170"/>
      <c r="F97" s="94"/>
      <c r="G97" s="94" t="str">
        <f t="shared" si="8"/>
        <v/>
      </c>
      <c r="H97" s="10" t="s">
        <v>20</v>
      </c>
      <c r="I97" s="331">
        <v>23.95</v>
      </c>
      <c r="J97" s="12">
        <f>E97*I97</f>
        <v>0</v>
      </c>
      <c r="K97" s="28"/>
    </row>
    <row r="98" spans="1:11" s="6" customFormat="1" ht="15.65" hidden="1" customHeight="1" x14ac:dyDescent="0.35">
      <c r="A98" s="103"/>
      <c r="B98" s="12" t="s">
        <v>3</v>
      </c>
      <c r="C98" s="10" t="s">
        <v>274</v>
      </c>
      <c r="D98" s="94"/>
      <c r="E98" s="170"/>
      <c r="F98" s="94"/>
      <c r="G98" s="94" t="str">
        <f t="shared" si="8"/>
        <v/>
      </c>
      <c r="H98" s="10" t="s">
        <v>20</v>
      </c>
      <c r="I98" s="331">
        <v>22.5</v>
      </c>
      <c r="J98" s="12">
        <f>E98*I98</f>
        <v>0</v>
      </c>
      <c r="K98" s="30"/>
    </row>
    <row r="99" spans="1:11" ht="14.5" hidden="1" customHeight="1" x14ac:dyDescent="0.35">
      <c r="A99" s="103"/>
      <c r="B99" s="12" t="s">
        <v>3</v>
      </c>
      <c r="C99" s="10" t="s">
        <v>275</v>
      </c>
      <c r="D99" s="94"/>
      <c r="E99" s="170"/>
      <c r="F99" s="94"/>
      <c r="G99" s="94" t="str">
        <f t="shared" si="8"/>
        <v/>
      </c>
      <c r="H99" s="10" t="s">
        <v>20</v>
      </c>
      <c r="I99" s="331">
        <v>29.95</v>
      </c>
      <c r="J99" s="12">
        <f>E99*I99</f>
        <v>0</v>
      </c>
      <c r="K99" s="31"/>
    </row>
    <row r="100" spans="1:11" s="6" customFormat="1" ht="15.65" customHeight="1" x14ac:dyDescent="0.35">
      <c r="A100" s="111"/>
      <c r="B100" s="126" t="s">
        <v>276</v>
      </c>
      <c r="C100" s="127"/>
      <c r="D100" s="127"/>
      <c r="E100" s="177"/>
      <c r="F100" s="127"/>
      <c r="G100" s="94" t="str">
        <f t="shared" si="8"/>
        <v/>
      </c>
      <c r="H100" s="127"/>
      <c r="I100" s="239"/>
      <c r="J100" s="128"/>
    </row>
    <row r="101" spans="1:11" x14ac:dyDescent="0.35">
      <c r="A101" s="103"/>
      <c r="B101" s="12" t="s">
        <v>3</v>
      </c>
      <c r="C101" s="10" t="s">
        <v>277</v>
      </c>
      <c r="D101" s="94"/>
      <c r="E101" s="170"/>
      <c r="F101" s="94"/>
      <c r="G101" s="94" t="str">
        <f t="shared" si="8"/>
        <v/>
      </c>
      <c r="H101" s="10" t="s">
        <v>20</v>
      </c>
      <c r="I101" s="331">
        <v>17.95</v>
      </c>
      <c r="J101" s="12">
        <f>E101*I101</f>
        <v>0</v>
      </c>
      <c r="K101" s="28"/>
    </row>
    <row r="102" spans="1:11" s="6" customFormat="1" ht="15.5" x14ac:dyDescent="0.35">
      <c r="A102" s="103"/>
      <c r="B102" s="12" t="s">
        <v>3</v>
      </c>
      <c r="C102" s="10" t="s">
        <v>278</v>
      </c>
      <c r="D102" s="94"/>
      <c r="E102" s="170"/>
      <c r="F102" s="94"/>
      <c r="G102" s="94" t="str">
        <f t="shared" si="8"/>
        <v/>
      </c>
      <c r="H102" s="10" t="s">
        <v>20</v>
      </c>
      <c r="I102" s="331">
        <v>20.95</v>
      </c>
      <c r="J102" s="12">
        <f>E102*I102</f>
        <v>0</v>
      </c>
    </row>
    <row r="103" spans="1:11" hidden="1" x14ac:dyDescent="0.35">
      <c r="A103" s="103"/>
      <c r="B103" s="12" t="s">
        <v>3</v>
      </c>
      <c r="C103" s="10" t="s">
        <v>279</v>
      </c>
      <c r="D103" s="94"/>
      <c r="E103" s="170"/>
      <c r="F103" s="94"/>
      <c r="G103" s="94" t="str">
        <f t="shared" si="8"/>
        <v/>
      </c>
      <c r="H103" s="10" t="s">
        <v>20</v>
      </c>
      <c r="I103" s="331">
        <v>19.95</v>
      </c>
      <c r="J103" s="12">
        <f>E103*I103</f>
        <v>0</v>
      </c>
      <c r="K103" s="13"/>
    </row>
    <row r="104" spans="1:11" hidden="1" x14ac:dyDescent="0.35">
      <c r="A104" s="103"/>
      <c r="B104" s="40" t="s">
        <v>3</v>
      </c>
      <c r="C104" s="41" t="s">
        <v>280</v>
      </c>
      <c r="D104" s="98"/>
      <c r="E104" s="170"/>
      <c r="F104" s="98"/>
      <c r="G104" s="94" t="str">
        <f t="shared" si="8"/>
        <v/>
      </c>
      <c r="H104" s="41" t="s">
        <v>20</v>
      </c>
      <c r="I104" s="334">
        <v>59.95</v>
      </c>
      <c r="J104" s="40">
        <f>E104*I104</f>
        <v>0</v>
      </c>
      <c r="K104" s="13"/>
    </row>
    <row r="105" spans="1:11" ht="15.65" hidden="1" customHeight="1" x14ac:dyDescent="0.35">
      <c r="A105" s="111"/>
      <c r="B105" s="126" t="s">
        <v>281</v>
      </c>
      <c r="C105" s="127"/>
      <c r="D105" s="127"/>
      <c r="E105" s="177"/>
      <c r="F105" s="127"/>
      <c r="G105" s="94" t="str">
        <f t="shared" si="8"/>
        <v/>
      </c>
      <c r="H105" s="127"/>
      <c r="I105" s="239"/>
      <c r="J105" s="128"/>
      <c r="K105" s="13"/>
    </row>
    <row r="106" spans="1:11" ht="14.5" hidden="1" customHeight="1" x14ac:dyDescent="0.35">
      <c r="A106" s="103"/>
      <c r="B106" s="12" t="s">
        <v>3</v>
      </c>
      <c r="C106" s="10" t="s">
        <v>282</v>
      </c>
      <c r="D106" s="94"/>
      <c r="E106" s="170"/>
      <c r="F106" s="94"/>
      <c r="G106" s="94" t="str">
        <f t="shared" si="8"/>
        <v/>
      </c>
      <c r="H106" s="10" t="s">
        <v>20</v>
      </c>
      <c r="I106" s="331">
        <v>54.95</v>
      </c>
      <c r="J106" s="12">
        <f>E106*I106</f>
        <v>0</v>
      </c>
      <c r="K106" s="13"/>
    </row>
    <row r="107" spans="1:11" ht="14.5" hidden="1" customHeight="1" x14ac:dyDescent="0.35">
      <c r="A107" s="103"/>
      <c r="B107" s="12" t="s">
        <v>3</v>
      </c>
      <c r="C107" s="10" t="s">
        <v>283</v>
      </c>
      <c r="D107" s="94"/>
      <c r="E107" s="170"/>
      <c r="F107" s="94"/>
      <c r="G107" s="94" t="str">
        <f t="shared" si="8"/>
        <v/>
      </c>
      <c r="H107" s="10" t="s">
        <v>20</v>
      </c>
      <c r="I107" s="331">
        <v>49.95</v>
      </c>
      <c r="J107" s="12">
        <f>E107*I107</f>
        <v>0</v>
      </c>
      <c r="K107" s="13"/>
    </row>
    <row r="108" spans="1:11" ht="14.5" customHeight="1" x14ac:dyDescent="0.35">
      <c r="A108" s="111"/>
      <c r="B108" s="126" t="s">
        <v>284</v>
      </c>
      <c r="C108" s="127"/>
      <c r="D108" s="127"/>
      <c r="E108" s="177"/>
      <c r="F108" s="127"/>
      <c r="G108" s="94" t="str">
        <f t="shared" si="8"/>
        <v/>
      </c>
      <c r="H108" s="127"/>
      <c r="I108" s="239"/>
      <c r="J108" s="128"/>
      <c r="K108" s="13"/>
    </row>
    <row r="109" spans="1:11" ht="14.5" customHeight="1" x14ac:dyDescent="0.35">
      <c r="A109" s="103"/>
      <c r="B109" s="12" t="s">
        <v>3</v>
      </c>
      <c r="C109" s="10" t="s">
        <v>285</v>
      </c>
      <c r="D109" s="94"/>
      <c r="E109" s="170"/>
      <c r="F109" s="94"/>
      <c r="G109" s="94" t="str">
        <f t="shared" si="8"/>
        <v/>
      </c>
      <c r="H109" s="10" t="s">
        <v>20</v>
      </c>
      <c r="I109" s="331">
        <v>41.5</v>
      </c>
      <c r="J109" s="12">
        <f t="shared" ref="J109:J114" si="9">E109*I109</f>
        <v>0</v>
      </c>
      <c r="K109" s="13"/>
    </row>
    <row r="110" spans="1:11" ht="15.65" hidden="1" customHeight="1" x14ac:dyDescent="0.35">
      <c r="A110" s="103"/>
      <c r="B110" s="12" t="s">
        <v>3</v>
      </c>
      <c r="C110" s="10" t="s">
        <v>286</v>
      </c>
      <c r="D110" s="94"/>
      <c r="E110" s="170"/>
      <c r="F110" s="94"/>
      <c r="G110" s="94" t="str">
        <f t="shared" si="8"/>
        <v/>
      </c>
      <c r="H110" s="10" t="s">
        <v>20</v>
      </c>
      <c r="I110" s="331">
        <v>36.200000000000003</v>
      </c>
      <c r="J110" s="12">
        <f t="shared" si="9"/>
        <v>0</v>
      </c>
      <c r="K110" s="13"/>
    </row>
    <row r="111" spans="1:11" x14ac:dyDescent="0.35">
      <c r="A111" s="103"/>
      <c r="B111" s="12" t="s">
        <v>3</v>
      </c>
      <c r="C111" s="10" t="s">
        <v>287</v>
      </c>
      <c r="D111" s="94"/>
      <c r="E111" s="170"/>
      <c r="F111" s="94"/>
      <c r="G111" s="94" t="str">
        <f t="shared" si="8"/>
        <v/>
      </c>
      <c r="H111" s="10" t="s">
        <v>20</v>
      </c>
      <c r="I111" s="331">
        <v>25.95</v>
      </c>
      <c r="J111" s="12">
        <f t="shared" si="9"/>
        <v>0</v>
      </c>
      <c r="K111" s="13"/>
    </row>
    <row r="112" spans="1:11" hidden="1" x14ac:dyDescent="0.35">
      <c r="A112" s="103"/>
      <c r="B112" s="12" t="s">
        <v>3</v>
      </c>
      <c r="C112" s="10" t="s">
        <v>288</v>
      </c>
      <c r="D112" s="94"/>
      <c r="E112" s="170"/>
      <c r="F112" s="94"/>
      <c r="G112" s="94" t="str">
        <f t="shared" si="8"/>
        <v/>
      </c>
      <c r="H112" s="10" t="s">
        <v>20</v>
      </c>
      <c r="I112" s="331">
        <v>32.799999999999997</v>
      </c>
      <c r="J112" s="12">
        <f t="shared" si="9"/>
        <v>0</v>
      </c>
      <c r="K112" s="13"/>
    </row>
    <row r="113" spans="1:11" s="6" customFormat="1" ht="15.5" hidden="1" x14ac:dyDescent="0.35">
      <c r="A113" s="103"/>
      <c r="B113" s="12" t="s">
        <v>3</v>
      </c>
      <c r="C113" s="10" t="s">
        <v>289</v>
      </c>
      <c r="D113" s="94"/>
      <c r="E113" s="170"/>
      <c r="F113" s="94"/>
      <c r="G113" s="94" t="str">
        <f t="shared" si="8"/>
        <v/>
      </c>
      <c r="H113" s="10" t="s">
        <v>20</v>
      </c>
      <c r="I113" s="331">
        <v>29.2</v>
      </c>
      <c r="J113" s="12">
        <f t="shared" si="9"/>
        <v>0</v>
      </c>
    </row>
    <row r="114" spans="1:11" hidden="1" x14ac:dyDescent="0.35">
      <c r="A114" s="103"/>
      <c r="B114" s="12" t="s">
        <v>3</v>
      </c>
      <c r="C114" s="10" t="s">
        <v>290</v>
      </c>
      <c r="D114" s="94"/>
      <c r="E114" s="170"/>
      <c r="F114" s="94"/>
      <c r="G114" s="94" t="str">
        <f t="shared" si="8"/>
        <v/>
      </c>
      <c r="H114" s="10" t="s">
        <v>20</v>
      </c>
      <c r="I114" s="331">
        <v>22.95</v>
      </c>
      <c r="J114" s="12">
        <f t="shared" si="9"/>
        <v>0</v>
      </c>
      <c r="K114" s="13"/>
    </row>
    <row r="115" spans="1:11" ht="15.5" x14ac:dyDescent="0.35">
      <c r="A115" s="111"/>
      <c r="B115" s="126" t="s">
        <v>291</v>
      </c>
      <c r="C115" s="127"/>
      <c r="D115" s="127"/>
      <c r="E115" s="177"/>
      <c r="F115" s="127"/>
      <c r="G115" s="94" t="str">
        <f t="shared" si="8"/>
        <v/>
      </c>
      <c r="H115" s="127"/>
      <c r="I115" s="239"/>
      <c r="J115" s="128"/>
      <c r="K115" s="13"/>
    </row>
    <row r="116" spans="1:11" ht="14.5" customHeight="1" x14ac:dyDescent="0.35">
      <c r="A116" s="103"/>
      <c r="B116" s="12" t="s">
        <v>3</v>
      </c>
      <c r="C116" s="10" t="s">
        <v>292</v>
      </c>
      <c r="D116" s="94"/>
      <c r="E116" s="170"/>
      <c r="F116" s="94"/>
      <c r="G116" s="94" t="str">
        <f t="shared" si="8"/>
        <v/>
      </c>
      <c r="H116" s="10" t="s">
        <v>20</v>
      </c>
      <c r="I116" s="331">
        <v>17.95</v>
      </c>
      <c r="J116" s="12">
        <f t="shared" ref="J116:J121" si="10">E116*I116</f>
        <v>0</v>
      </c>
      <c r="K116" s="13"/>
    </row>
    <row r="117" spans="1:11" ht="14.5" customHeight="1" x14ac:dyDescent="0.35">
      <c r="A117" s="103"/>
      <c r="B117" s="12" t="s">
        <v>3</v>
      </c>
      <c r="C117" s="10" t="s">
        <v>293</v>
      </c>
      <c r="D117" s="94"/>
      <c r="E117" s="170"/>
      <c r="F117" s="94"/>
      <c r="G117" s="94" t="str">
        <f t="shared" si="8"/>
        <v/>
      </c>
      <c r="H117" s="10" t="s">
        <v>20</v>
      </c>
      <c r="I117" s="331">
        <v>12.95</v>
      </c>
      <c r="J117" s="12">
        <f t="shared" si="10"/>
        <v>0</v>
      </c>
      <c r="K117" s="13"/>
    </row>
    <row r="118" spans="1:11" ht="14.5" customHeight="1" x14ac:dyDescent="0.35">
      <c r="A118" s="103"/>
      <c r="B118" s="12" t="s">
        <v>3</v>
      </c>
      <c r="C118" s="10" t="s">
        <v>294</v>
      </c>
      <c r="D118" s="94"/>
      <c r="E118" s="170"/>
      <c r="F118" s="94"/>
      <c r="G118" s="94" t="str">
        <f t="shared" si="8"/>
        <v/>
      </c>
      <c r="H118" s="10" t="s">
        <v>20</v>
      </c>
      <c r="I118" s="331">
        <v>21.95</v>
      </c>
      <c r="J118" s="12">
        <f t="shared" si="10"/>
        <v>0</v>
      </c>
      <c r="K118" s="13"/>
    </row>
    <row r="119" spans="1:11" ht="14.5" customHeight="1" x14ac:dyDescent="0.35">
      <c r="A119" s="103"/>
      <c r="B119" s="12" t="s">
        <v>3</v>
      </c>
      <c r="C119" s="10" t="s">
        <v>295</v>
      </c>
      <c r="D119" s="94"/>
      <c r="E119" s="170"/>
      <c r="F119" s="94"/>
      <c r="G119" s="94" t="str">
        <f t="shared" si="8"/>
        <v/>
      </c>
      <c r="H119" s="10" t="s">
        <v>20</v>
      </c>
      <c r="I119" s="331"/>
      <c r="J119" s="12">
        <f t="shared" si="10"/>
        <v>0</v>
      </c>
      <c r="K119" s="13"/>
    </row>
    <row r="120" spans="1:11" ht="15.65" customHeight="1" x14ac:dyDescent="0.35">
      <c r="A120" s="103"/>
      <c r="B120" s="12" t="s">
        <v>3</v>
      </c>
      <c r="C120" s="10" t="s">
        <v>296</v>
      </c>
      <c r="D120" s="94"/>
      <c r="E120" s="170"/>
      <c r="F120" s="94"/>
      <c r="G120" s="94" t="str">
        <f t="shared" si="8"/>
        <v/>
      </c>
      <c r="H120" s="10" t="s">
        <v>20</v>
      </c>
      <c r="I120" s="331"/>
      <c r="J120" s="12">
        <f t="shared" si="10"/>
        <v>0</v>
      </c>
      <c r="K120" s="13"/>
    </row>
    <row r="121" spans="1:11" ht="15.65" hidden="1" customHeight="1" x14ac:dyDescent="0.35">
      <c r="A121" s="103"/>
      <c r="B121" s="12" t="s">
        <v>3</v>
      </c>
      <c r="C121" s="10" t="s">
        <v>297</v>
      </c>
      <c r="D121" s="94"/>
      <c r="E121" s="170"/>
      <c r="F121" s="94"/>
      <c r="G121" s="94" t="str">
        <f t="shared" si="8"/>
        <v/>
      </c>
      <c r="H121" s="10" t="s">
        <v>20</v>
      </c>
      <c r="I121" s="331">
        <v>22.95</v>
      </c>
      <c r="J121" s="12">
        <f t="shared" si="10"/>
        <v>0</v>
      </c>
      <c r="K121" s="13"/>
    </row>
    <row r="122" spans="1:11" ht="14.5" customHeight="1" x14ac:dyDescent="0.35">
      <c r="A122" s="112" t="s">
        <v>298</v>
      </c>
      <c r="B122" s="116"/>
      <c r="C122" s="116"/>
      <c r="D122" s="116"/>
      <c r="E122" s="178"/>
      <c r="F122" s="116"/>
      <c r="G122" s="94" t="str">
        <f t="shared" si="8"/>
        <v/>
      </c>
      <c r="H122" s="117"/>
      <c r="I122" s="106" t="s">
        <v>18</v>
      </c>
      <c r="J122" s="115">
        <f>SUM(J123:J175)</f>
        <v>289.64</v>
      </c>
      <c r="K122" s="13"/>
    </row>
    <row r="123" spans="1:11" ht="14.5" customHeight="1" x14ac:dyDescent="0.35">
      <c r="A123" s="103"/>
      <c r="B123" s="20" t="s">
        <v>4</v>
      </c>
      <c r="C123" s="18" t="s">
        <v>62</v>
      </c>
      <c r="D123" s="99"/>
      <c r="E123" s="170"/>
      <c r="F123" s="99"/>
      <c r="G123" s="94" t="str">
        <f t="shared" si="8"/>
        <v/>
      </c>
      <c r="H123" s="18" t="s">
        <v>20</v>
      </c>
      <c r="I123" s="335">
        <v>7.35</v>
      </c>
      <c r="J123" s="20">
        <f>E123*I123</f>
        <v>0</v>
      </c>
      <c r="K123" s="13"/>
    </row>
    <row r="124" spans="1:11" ht="14.5" customHeight="1" x14ac:dyDescent="0.35">
      <c r="A124" s="103"/>
      <c r="B124" s="20" t="s">
        <v>4</v>
      </c>
      <c r="C124" s="18" t="s">
        <v>60</v>
      </c>
      <c r="D124" s="99"/>
      <c r="E124" s="170"/>
      <c r="F124" s="99"/>
      <c r="G124" s="94" t="str">
        <f t="shared" si="8"/>
        <v/>
      </c>
      <c r="H124" s="18" t="s">
        <v>20</v>
      </c>
      <c r="I124" s="335">
        <v>10.65</v>
      </c>
      <c r="J124" s="20">
        <f>E124*I124</f>
        <v>0</v>
      </c>
      <c r="K124" s="13"/>
    </row>
    <row r="125" spans="1:11" ht="15.65" hidden="1" customHeight="1" x14ac:dyDescent="0.35">
      <c r="A125" s="113" t="s">
        <v>40</v>
      </c>
      <c r="B125" s="124"/>
      <c r="C125" s="124"/>
      <c r="D125" s="124"/>
      <c r="E125" s="179"/>
      <c r="F125" s="124"/>
      <c r="G125" s="94" t="str">
        <f t="shared" si="8"/>
        <v/>
      </c>
      <c r="H125" s="124"/>
      <c r="I125" s="241"/>
      <c r="J125" s="125"/>
      <c r="K125" s="13"/>
    </row>
    <row r="126" spans="1:11" ht="15.65" hidden="1" customHeight="1" x14ac:dyDescent="0.35">
      <c r="A126" s="103"/>
      <c r="B126" s="20" t="s">
        <v>4</v>
      </c>
      <c r="C126" s="18" t="s">
        <v>299</v>
      </c>
      <c r="D126" s="99"/>
      <c r="E126" s="170"/>
      <c r="F126" s="99"/>
      <c r="G126" s="94" t="str">
        <f t="shared" si="8"/>
        <v/>
      </c>
      <c r="H126" s="18" t="s">
        <v>20</v>
      </c>
      <c r="I126" s="335">
        <v>1.31</v>
      </c>
      <c r="J126" s="12">
        <f t="shared" ref="J126:J137" si="11">E126*I126</f>
        <v>0</v>
      </c>
      <c r="K126" s="13"/>
    </row>
    <row r="127" spans="1:11" ht="14.5" hidden="1" customHeight="1" x14ac:dyDescent="0.35">
      <c r="A127" s="103"/>
      <c r="B127" s="12" t="s">
        <v>4</v>
      </c>
      <c r="C127" s="10" t="s">
        <v>300</v>
      </c>
      <c r="D127" s="94"/>
      <c r="E127" s="170"/>
      <c r="F127" s="94"/>
      <c r="G127" s="94" t="str">
        <f t="shared" si="8"/>
        <v/>
      </c>
      <c r="H127" s="10" t="s">
        <v>20</v>
      </c>
      <c r="I127" s="331">
        <v>1.31</v>
      </c>
      <c r="J127" s="12">
        <f t="shared" si="11"/>
        <v>0</v>
      </c>
    </row>
    <row r="128" spans="1:11" ht="14.5" hidden="1" customHeight="1" x14ac:dyDescent="0.35">
      <c r="A128" s="103"/>
      <c r="B128" s="20" t="s">
        <v>4</v>
      </c>
      <c r="C128" s="18" t="s">
        <v>301</v>
      </c>
      <c r="D128" s="99"/>
      <c r="E128" s="170"/>
      <c r="F128" s="99"/>
      <c r="G128" s="94" t="str">
        <f t="shared" si="8"/>
        <v/>
      </c>
      <c r="H128" s="18" t="s">
        <v>20</v>
      </c>
      <c r="I128" s="335">
        <v>1.4039999999999999</v>
      </c>
      <c r="J128" s="12">
        <f t="shared" si="11"/>
        <v>0</v>
      </c>
    </row>
    <row r="129" spans="1:11" ht="14.5" hidden="1" customHeight="1" x14ac:dyDescent="0.35">
      <c r="A129" s="103"/>
      <c r="B129" s="12" t="s">
        <v>4</v>
      </c>
      <c r="C129" s="10" t="s">
        <v>302</v>
      </c>
      <c r="D129" s="94"/>
      <c r="E129" s="170"/>
      <c r="F129" s="94"/>
      <c r="G129" s="94" t="str">
        <f t="shared" si="8"/>
        <v/>
      </c>
      <c r="H129" s="10" t="s">
        <v>20</v>
      </c>
      <c r="I129" s="331">
        <v>1.4039999999999999</v>
      </c>
      <c r="J129" s="12">
        <f t="shared" si="11"/>
        <v>0</v>
      </c>
    </row>
    <row r="130" spans="1:11" ht="14.5" hidden="1" customHeight="1" x14ac:dyDescent="0.35">
      <c r="A130" s="103"/>
      <c r="B130" s="12" t="s">
        <v>4</v>
      </c>
      <c r="C130" s="10" t="s">
        <v>303</v>
      </c>
      <c r="D130" s="94"/>
      <c r="E130" s="170"/>
      <c r="F130" s="94"/>
      <c r="G130" s="94" t="str">
        <f t="shared" si="8"/>
        <v/>
      </c>
      <c r="H130" s="10" t="s">
        <v>20</v>
      </c>
      <c r="I130" s="331">
        <v>1.53</v>
      </c>
      <c r="J130" s="12">
        <f t="shared" si="11"/>
        <v>0</v>
      </c>
    </row>
    <row r="131" spans="1:11" ht="14.5" hidden="1" customHeight="1" x14ac:dyDescent="0.35">
      <c r="A131" s="103"/>
      <c r="B131" s="12" t="s">
        <v>4</v>
      </c>
      <c r="C131" s="10" t="s">
        <v>304</v>
      </c>
      <c r="D131" s="94"/>
      <c r="E131" s="170"/>
      <c r="F131" s="94"/>
      <c r="G131" s="94" t="str">
        <f t="shared" si="8"/>
        <v/>
      </c>
      <c r="H131" s="10" t="s">
        <v>20</v>
      </c>
      <c r="I131" s="331">
        <v>1.65</v>
      </c>
      <c r="J131" s="12">
        <f t="shared" si="11"/>
        <v>0</v>
      </c>
    </row>
    <row r="132" spans="1:11" ht="14.5" hidden="1" customHeight="1" x14ac:dyDescent="0.35">
      <c r="A132" s="103"/>
      <c r="B132" s="12" t="s">
        <v>4</v>
      </c>
      <c r="C132" s="10" t="s">
        <v>83</v>
      </c>
      <c r="D132" s="94"/>
      <c r="E132" s="170"/>
      <c r="F132" s="94"/>
      <c r="G132" s="94" t="str">
        <f t="shared" si="8"/>
        <v/>
      </c>
      <c r="H132" s="10" t="s">
        <v>20</v>
      </c>
      <c r="I132" s="331">
        <v>1.04</v>
      </c>
      <c r="J132" s="12">
        <f t="shared" si="11"/>
        <v>0</v>
      </c>
    </row>
    <row r="133" spans="1:11" ht="14.5" hidden="1" customHeight="1" x14ac:dyDescent="0.35">
      <c r="A133" s="103"/>
      <c r="B133" s="12" t="s">
        <v>4</v>
      </c>
      <c r="C133" s="10" t="s">
        <v>305</v>
      </c>
      <c r="D133" s="94"/>
      <c r="E133" s="170"/>
      <c r="F133" s="94"/>
      <c r="G133" s="94" t="str">
        <f t="shared" si="8"/>
        <v/>
      </c>
      <c r="H133" s="10" t="s">
        <v>20</v>
      </c>
      <c r="I133" s="331">
        <v>1.04</v>
      </c>
      <c r="J133" s="12">
        <f t="shared" si="11"/>
        <v>0</v>
      </c>
    </row>
    <row r="134" spans="1:11" ht="14.5" hidden="1" customHeight="1" x14ac:dyDescent="0.35">
      <c r="A134" s="103"/>
      <c r="B134" s="12" t="s">
        <v>4</v>
      </c>
      <c r="C134" s="10" t="s">
        <v>306</v>
      </c>
      <c r="D134" s="94"/>
      <c r="E134" s="170"/>
      <c r="F134" s="94"/>
      <c r="G134" s="94" t="str">
        <f t="shared" si="8"/>
        <v/>
      </c>
      <c r="H134" s="10" t="s">
        <v>20</v>
      </c>
      <c r="I134" s="331">
        <v>1.06</v>
      </c>
      <c r="J134" s="12">
        <f t="shared" si="11"/>
        <v>0</v>
      </c>
    </row>
    <row r="135" spans="1:11" ht="14.5" hidden="1" customHeight="1" x14ac:dyDescent="0.35">
      <c r="A135" s="103"/>
      <c r="B135" s="12" t="s">
        <v>4</v>
      </c>
      <c r="C135" s="10" t="s">
        <v>307</v>
      </c>
      <c r="D135" s="94"/>
      <c r="E135" s="170"/>
      <c r="F135" s="94"/>
      <c r="G135" s="94" t="str">
        <f t="shared" si="8"/>
        <v/>
      </c>
      <c r="H135" s="10" t="s">
        <v>20</v>
      </c>
      <c r="I135" s="331">
        <v>1.06</v>
      </c>
      <c r="J135" s="12">
        <f t="shared" si="11"/>
        <v>0</v>
      </c>
    </row>
    <row r="136" spans="1:11" ht="14.5" hidden="1" customHeight="1" x14ac:dyDescent="0.35">
      <c r="A136" s="103"/>
      <c r="B136" s="12" t="s">
        <v>4</v>
      </c>
      <c r="C136" s="10" t="s">
        <v>308</v>
      </c>
      <c r="D136" s="94"/>
      <c r="E136" s="170"/>
      <c r="F136" s="94"/>
      <c r="G136" s="94" t="str">
        <f t="shared" si="8"/>
        <v/>
      </c>
      <c r="H136" s="10" t="s">
        <v>20</v>
      </c>
      <c r="I136" s="331">
        <v>1.2869999999999999</v>
      </c>
      <c r="J136" s="12">
        <f t="shared" si="11"/>
        <v>0</v>
      </c>
    </row>
    <row r="137" spans="1:11" ht="15.65" hidden="1" customHeight="1" x14ac:dyDescent="0.35">
      <c r="A137" s="103"/>
      <c r="B137" s="12" t="s">
        <v>4</v>
      </c>
      <c r="C137" s="10" t="s">
        <v>309</v>
      </c>
      <c r="D137" s="94"/>
      <c r="E137" s="170"/>
      <c r="F137" s="94"/>
      <c r="G137" s="94" t="str">
        <f t="shared" si="8"/>
        <v/>
      </c>
      <c r="H137" s="10" t="s">
        <v>20</v>
      </c>
      <c r="I137" s="331">
        <v>1.59</v>
      </c>
      <c r="J137" s="12">
        <f t="shared" si="11"/>
        <v>0</v>
      </c>
      <c r="K137" s="13"/>
    </row>
    <row r="138" spans="1:11" ht="15.65" hidden="1" customHeight="1" x14ac:dyDescent="0.35">
      <c r="A138" s="113" t="s">
        <v>310</v>
      </c>
      <c r="B138" s="124"/>
      <c r="C138" s="124"/>
      <c r="D138" s="124"/>
      <c r="E138" s="179"/>
      <c r="F138" s="124"/>
      <c r="G138" s="94" t="str">
        <f t="shared" si="8"/>
        <v/>
      </c>
      <c r="H138" s="124"/>
      <c r="I138" s="241"/>
      <c r="J138" s="125"/>
    </row>
    <row r="139" spans="1:11" ht="14.5" hidden="1" customHeight="1" x14ac:dyDescent="0.35">
      <c r="A139" s="103"/>
      <c r="B139" s="12" t="s">
        <v>4</v>
      </c>
      <c r="C139" s="10" t="s">
        <v>311</v>
      </c>
      <c r="D139" s="94"/>
      <c r="E139" s="170"/>
      <c r="F139" s="94"/>
      <c r="G139" s="94" t="str">
        <f t="shared" si="8"/>
        <v/>
      </c>
      <c r="H139" s="10" t="s">
        <v>20</v>
      </c>
      <c r="I139" s="331">
        <v>1.1000000000000001</v>
      </c>
      <c r="J139" s="12">
        <f t="shared" ref="J139:J149" si="12">E139*I139</f>
        <v>0</v>
      </c>
    </row>
    <row r="140" spans="1:11" hidden="1" x14ac:dyDescent="0.35">
      <c r="A140" s="103"/>
      <c r="B140" s="12" t="s">
        <v>4</v>
      </c>
      <c r="C140" s="10" t="s">
        <v>312</v>
      </c>
      <c r="D140" s="94"/>
      <c r="E140" s="170"/>
      <c r="F140" s="94"/>
      <c r="G140" s="94" t="str">
        <f t="shared" si="8"/>
        <v/>
      </c>
      <c r="H140" s="10" t="s">
        <v>20</v>
      </c>
      <c r="I140" s="331">
        <v>1.1000000000000001</v>
      </c>
      <c r="J140" s="12">
        <f t="shared" si="12"/>
        <v>0</v>
      </c>
    </row>
    <row r="141" spans="1:11" hidden="1" x14ac:dyDescent="0.35">
      <c r="A141" s="103"/>
      <c r="B141" s="12" t="s">
        <v>4</v>
      </c>
      <c r="C141" s="10" t="s">
        <v>313</v>
      </c>
      <c r="D141" s="94"/>
      <c r="E141" s="170"/>
      <c r="F141" s="94"/>
      <c r="G141" s="94" t="str">
        <f t="shared" si="8"/>
        <v/>
      </c>
      <c r="H141" s="10" t="s">
        <v>20</v>
      </c>
      <c r="I141" s="331">
        <v>1.3</v>
      </c>
      <c r="J141" s="12">
        <f t="shared" si="12"/>
        <v>0</v>
      </c>
    </row>
    <row r="142" spans="1:11" ht="14.5" hidden="1" customHeight="1" x14ac:dyDescent="0.35">
      <c r="A142" s="103"/>
      <c r="B142" s="12" t="s">
        <v>4</v>
      </c>
      <c r="C142" s="10" t="s">
        <v>314</v>
      </c>
      <c r="D142" s="94"/>
      <c r="E142" s="170"/>
      <c r="F142" s="94"/>
      <c r="G142" s="94" t="str">
        <f t="shared" si="8"/>
        <v/>
      </c>
      <c r="H142" s="10" t="s">
        <v>20</v>
      </c>
      <c r="I142" s="331">
        <v>1.36</v>
      </c>
      <c r="J142" s="12">
        <f t="shared" si="12"/>
        <v>0</v>
      </c>
    </row>
    <row r="143" spans="1:11" ht="14.5" hidden="1" customHeight="1" x14ac:dyDescent="0.35">
      <c r="A143" s="103"/>
      <c r="B143" s="12" t="s">
        <v>4</v>
      </c>
      <c r="C143" s="10" t="s">
        <v>315</v>
      </c>
      <c r="D143" s="94"/>
      <c r="E143" s="170"/>
      <c r="F143" s="94"/>
      <c r="G143" s="94" t="str">
        <f t="shared" si="8"/>
        <v/>
      </c>
      <c r="H143" s="10" t="s">
        <v>20</v>
      </c>
      <c r="I143" s="331">
        <v>1.3</v>
      </c>
      <c r="J143" s="12">
        <f t="shared" si="12"/>
        <v>0</v>
      </c>
    </row>
    <row r="144" spans="1:11" ht="15.65" hidden="1" customHeight="1" x14ac:dyDescent="0.35">
      <c r="A144" s="103"/>
      <c r="B144" s="12" t="s">
        <v>4</v>
      </c>
      <c r="C144" s="10" t="s">
        <v>316</v>
      </c>
      <c r="D144" s="94"/>
      <c r="E144" s="170"/>
      <c r="F144" s="94"/>
      <c r="G144" s="94" t="str">
        <f t="shared" si="8"/>
        <v/>
      </c>
      <c r="H144" s="10" t="s">
        <v>20</v>
      </c>
      <c r="I144" s="331">
        <v>1.35</v>
      </c>
      <c r="J144" s="12">
        <f t="shared" si="12"/>
        <v>0</v>
      </c>
      <c r="K144" s="13"/>
    </row>
    <row r="145" spans="1:11" ht="15" hidden="1" customHeight="1" x14ac:dyDescent="0.35">
      <c r="A145" s="103"/>
      <c r="B145" s="12" t="s">
        <v>4</v>
      </c>
      <c r="C145" s="10" t="s">
        <v>317</v>
      </c>
      <c r="D145" s="94"/>
      <c r="E145" s="170"/>
      <c r="F145" s="94"/>
      <c r="G145" s="94" t="str">
        <f t="shared" si="8"/>
        <v/>
      </c>
      <c r="H145" s="10" t="s">
        <v>20</v>
      </c>
      <c r="I145" s="331">
        <v>1.28</v>
      </c>
      <c r="J145" s="12">
        <f t="shared" si="12"/>
        <v>0</v>
      </c>
    </row>
    <row r="146" spans="1:11" ht="14.5" hidden="1" customHeight="1" x14ac:dyDescent="0.35">
      <c r="A146" s="103"/>
      <c r="B146" s="12" t="s">
        <v>4</v>
      </c>
      <c r="C146" s="10" t="s">
        <v>318</v>
      </c>
      <c r="D146" s="94"/>
      <c r="E146" s="170"/>
      <c r="F146" s="94"/>
      <c r="G146" s="94" t="str">
        <f t="shared" si="8"/>
        <v/>
      </c>
      <c r="H146" s="10" t="s">
        <v>20</v>
      </c>
      <c r="I146" s="331">
        <v>1.1000000000000001</v>
      </c>
      <c r="J146" s="12">
        <f t="shared" si="12"/>
        <v>0</v>
      </c>
    </row>
    <row r="147" spans="1:11" ht="14.5" hidden="1" customHeight="1" x14ac:dyDescent="0.35">
      <c r="A147" s="103"/>
      <c r="B147" s="12" t="s">
        <v>4</v>
      </c>
      <c r="C147" s="10" t="s">
        <v>319</v>
      </c>
      <c r="D147" s="94"/>
      <c r="E147" s="170"/>
      <c r="F147" s="94"/>
      <c r="G147" s="94" t="str">
        <f t="shared" si="8"/>
        <v/>
      </c>
      <c r="H147" s="10" t="s">
        <v>20</v>
      </c>
      <c r="I147" s="331">
        <v>1.1000000000000001</v>
      </c>
      <c r="J147" s="12">
        <f t="shared" si="12"/>
        <v>0</v>
      </c>
    </row>
    <row r="148" spans="1:11" ht="14.5" hidden="1" customHeight="1" x14ac:dyDescent="0.35">
      <c r="A148" s="103"/>
      <c r="B148" s="12" t="s">
        <v>4</v>
      </c>
      <c r="C148" s="10" t="s">
        <v>320</v>
      </c>
      <c r="D148" s="94"/>
      <c r="E148" s="170"/>
      <c r="F148" s="94"/>
      <c r="G148" s="94" t="str">
        <f t="shared" si="8"/>
        <v/>
      </c>
      <c r="H148" s="10" t="s">
        <v>20</v>
      </c>
      <c r="I148" s="331">
        <v>1.1000000000000001</v>
      </c>
      <c r="J148" s="12">
        <f t="shared" si="12"/>
        <v>0</v>
      </c>
    </row>
    <row r="149" spans="1:11" ht="14.5" hidden="1" customHeight="1" x14ac:dyDescent="0.35">
      <c r="A149" s="103"/>
      <c r="B149" s="12" t="s">
        <v>4</v>
      </c>
      <c r="C149" s="10" t="s">
        <v>321</v>
      </c>
      <c r="D149" s="94"/>
      <c r="E149" s="170"/>
      <c r="F149" s="94"/>
      <c r="G149" s="94" t="str">
        <f t="shared" si="8"/>
        <v/>
      </c>
      <c r="H149" s="10" t="s">
        <v>20</v>
      </c>
      <c r="I149" s="331">
        <v>1.1000000000000001</v>
      </c>
      <c r="J149" s="12">
        <f t="shared" si="12"/>
        <v>0</v>
      </c>
    </row>
    <row r="150" spans="1:11" x14ac:dyDescent="0.35">
      <c r="A150" s="113" t="s">
        <v>41</v>
      </c>
      <c r="B150" s="124"/>
      <c r="C150" s="124"/>
      <c r="D150" s="124"/>
      <c r="E150" s="179"/>
      <c r="F150" s="124"/>
      <c r="G150" s="221" t="str">
        <f t="shared" si="8"/>
        <v/>
      </c>
      <c r="H150" s="124"/>
      <c r="I150" s="241"/>
      <c r="J150" s="125"/>
    </row>
    <row r="151" spans="1:11" ht="14.5" customHeight="1" x14ac:dyDescent="0.35">
      <c r="A151" s="103"/>
      <c r="B151" s="12" t="s">
        <v>4</v>
      </c>
      <c r="C151" s="10" t="s">
        <v>24</v>
      </c>
      <c r="D151" s="94"/>
      <c r="E151" s="170">
        <v>6</v>
      </c>
      <c r="F151" s="94"/>
      <c r="G151" s="94" t="str">
        <f t="shared" si="8"/>
        <v/>
      </c>
      <c r="H151" s="10" t="s">
        <v>20</v>
      </c>
      <c r="I151" s="331">
        <v>3.04</v>
      </c>
      <c r="J151" s="12">
        <f t="shared" ref="J151:J164" si="13">E151*I151</f>
        <v>18.240000000000002</v>
      </c>
      <c r="K151" s="13"/>
    </row>
    <row r="152" spans="1:11" ht="15.65" customHeight="1" x14ac:dyDescent="0.35">
      <c r="A152" s="103"/>
      <c r="B152" s="12" t="s">
        <v>4</v>
      </c>
      <c r="C152" s="10" t="s">
        <v>80</v>
      </c>
      <c r="D152" s="94"/>
      <c r="E152" s="170">
        <v>33</v>
      </c>
      <c r="F152" s="94"/>
      <c r="G152" s="94" t="str">
        <f t="shared" si="8"/>
        <v/>
      </c>
      <c r="H152" s="10" t="s">
        <v>20</v>
      </c>
      <c r="I152" s="331">
        <v>2.31</v>
      </c>
      <c r="J152" s="12">
        <f t="shared" si="13"/>
        <v>76.23</v>
      </c>
    </row>
    <row r="153" spans="1:11" ht="15.65" customHeight="1" x14ac:dyDescent="0.35">
      <c r="A153" s="103"/>
      <c r="B153" s="12" t="s">
        <v>4</v>
      </c>
      <c r="C153" s="10" t="s">
        <v>84</v>
      </c>
      <c r="D153" s="94"/>
      <c r="E153" s="170">
        <v>36</v>
      </c>
      <c r="F153" s="94"/>
      <c r="G153" s="94" t="str">
        <f t="shared" ref="G153:G223" si="14">IF(E153="","",IF(D153-E153&gt;0,D153-E153,""))</f>
        <v/>
      </c>
      <c r="H153" s="10" t="s">
        <v>20</v>
      </c>
      <c r="I153" s="331">
        <v>2.31</v>
      </c>
      <c r="J153" s="12">
        <f t="shared" si="13"/>
        <v>83.16</v>
      </c>
    </row>
    <row r="154" spans="1:11" ht="14.5" hidden="1" customHeight="1" x14ac:dyDescent="0.35">
      <c r="A154" s="103"/>
      <c r="B154" s="12" t="s">
        <v>4</v>
      </c>
      <c r="C154" s="10" t="s">
        <v>394</v>
      </c>
      <c r="D154" s="94"/>
      <c r="E154" s="170"/>
      <c r="F154" s="94"/>
      <c r="G154" s="94" t="str">
        <f t="shared" si="14"/>
        <v/>
      </c>
      <c r="H154" s="10" t="s">
        <v>20</v>
      </c>
      <c r="I154" s="331">
        <v>2.54</v>
      </c>
      <c r="J154" s="12">
        <f t="shared" si="13"/>
        <v>0</v>
      </c>
    </row>
    <row r="155" spans="1:11" ht="14.5" hidden="1" customHeight="1" x14ac:dyDescent="0.35">
      <c r="A155" s="103"/>
      <c r="B155" s="12" t="s">
        <v>4</v>
      </c>
      <c r="C155" s="10" t="s">
        <v>394</v>
      </c>
      <c r="D155" s="94"/>
      <c r="E155" s="170"/>
      <c r="F155" s="94"/>
      <c r="G155" s="94" t="str">
        <f t="shared" si="14"/>
        <v/>
      </c>
      <c r="H155" s="10" t="s">
        <v>20</v>
      </c>
      <c r="I155" s="331">
        <v>2.54</v>
      </c>
      <c r="J155" s="12">
        <f t="shared" si="13"/>
        <v>0</v>
      </c>
    </row>
    <row r="156" spans="1:11" ht="14.5" customHeight="1" x14ac:dyDescent="0.35">
      <c r="A156" s="103"/>
      <c r="B156" s="12" t="s">
        <v>4</v>
      </c>
      <c r="C156" s="10" t="s">
        <v>25</v>
      </c>
      <c r="D156" s="94"/>
      <c r="E156" s="170">
        <v>11</v>
      </c>
      <c r="F156" s="94"/>
      <c r="G156" s="94" t="str">
        <f t="shared" si="14"/>
        <v/>
      </c>
      <c r="H156" s="10" t="s">
        <v>20</v>
      </c>
      <c r="I156" s="331">
        <v>1.79</v>
      </c>
      <c r="J156" s="12">
        <f t="shared" si="13"/>
        <v>19.690000000000001</v>
      </c>
      <c r="K156" s="13"/>
    </row>
    <row r="157" spans="1:11" ht="15.65" hidden="1" customHeight="1" x14ac:dyDescent="0.35">
      <c r="A157" s="103"/>
      <c r="B157" s="12" t="s">
        <v>4</v>
      </c>
      <c r="C157" s="10" t="s">
        <v>322</v>
      </c>
      <c r="D157" s="94"/>
      <c r="E157" s="170"/>
      <c r="F157" s="94"/>
      <c r="G157" s="94" t="str">
        <f t="shared" si="14"/>
        <v/>
      </c>
      <c r="H157" s="10" t="s">
        <v>20</v>
      </c>
      <c r="I157" s="331">
        <v>2.46</v>
      </c>
      <c r="J157" s="12">
        <f t="shared" si="13"/>
        <v>0</v>
      </c>
    </row>
    <row r="158" spans="1:11" ht="15.65" hidden="1" customHeight="1" x14ac:dyDescent="0.35">
      <c r="A158" s="103"/>
      <c r="B158" s="12" t="s">
        <v>4</v>
      </c>
      <c r="C158" s="10" t="s">
        <v>393</v>
      </c>
      <c r="D158" s="94"/>
      <c r="E158" s="170"/>
      <c r="F158" s="94"/>
      <c r="G158" s="94" t="str">
        <f t="shared" si="14"/>
        <v/>
      </c>
      <c r="H158" s="10" t="s">
        <v>20</v>
      </c>
      <c r="I158" s="331">
        <v>2.46</v>
      </c>
      <c r="J158" s="12">
        <f t="shared" si="13"/>
        <v>0</v>
      </c>
    </row>
    <row r="159" spans="1:11" ht="14.5" hidden="1" customHeight="1" x14ac:dyDescent="0.35">
      <c r="A159" s="103"/>
      <c r="B159" s="12" t="s">
        <v>4</v>
      </c>
      <c r="C159" s="10" t="s">
        <v>43</v>
      </c>
      <c r="D159" s="94"/>
      <c r="E159" s="170"/>
      <c r="F159" s="94"/>
      <c r="G159" s="94" t="str">
        <f t="shared" si="14"/>
        <v/>
      </c>
      <c r="H159" s="10" t="s">
        <v>20</v>
      </c>
      <c r="I159" s="331">
        <v>2.5499999999999998</v>
      </c>
      <c r="J159" s="12">
        <f t="shared" si="13"/>
        <v>0</v>
      </c>
    </row>
    <row r="160" spans="1:11" ht="14.5" customHeight="1" x14ac:dyDescent="0.35">
      <c r="A160" s="103"/>
      <c r="B160" s="12" t="s">
        <v>4</v>
      </c>
      <c r="C160" s="10" t="s">
        <v>81</v>
      </c>
      <c r="D160" s="94"/>
      <c r="E160" s="170">
        <v>30</v>
      </c>
      <c r="F160" s="94"/>
      <c r="G160" s="94" t="str">
        <f t="shared" si="14"/>
        <v/>
      </c>
      <c r="H160" s="10" t="s">
        <v>20</v>
      </c>
      <c r="I160" s="331">
        <v>1.51</v>
      </c>
      <c r="J160" s="12">
        <f t="shared" si="13"/>
        <v>45.3</v>
      </c>
      <c r="K160" s="13"/>
    </row>
    <row r="161" spans="1:11" ht="15.65" customHeight="1" x14ac:dyDescent="0.35">
      <c r="A161" s="103"/>
      <c r="B161" s="12" t="s">
        <v>4</v>
      </c>
      <c r="C161" s="10" t="s">
        <v>82</v>
      </c>
      <c r="D161" s="94"/>
      <c r="E161" s="170">
        <v>26</v>
      </c>
      <c r="F161" s="94"/>
      <c r="G161" s="94" t="str">
        <f t="shared" si="14"/>
        <v/>
      </c>
      <c r="H161" s="10" t="s">
        <v>20</v>
      </c>
      <c r="I161" s="331">
        <v>1.51</v>
      </c>
      <c r="J161" s="12">
        <f t="shared" si="13"/>
        <v>39.26</v>
      </c>
    </row>
    <row r="162" spans="1:11" ht="15.65" hidden="1" customHeight="1" x14ac:dyDescent="0.35">
      <c r="A162" s="103"/>
      <c r="B162" s="12" t="s">
        <v>4</v>
      </c>
      <c r="C162" s="10" t="s">
        <v>323</v>
      </c>
      <c r="D162" s="94"/>
      <c r="E162" s="170"/>
      <c r="F162" s="94"/>
      <c r="G162" s="94" t="str">
        <f t="shared" si="14"/>
        <v/>
      </c>
      <c r="H162" s="10" t="s">
        <v>20</v>
      </c>
      <c r="I162" s="331">
        <v>1.54</v>
      </c>
      <c r="J162" s="12">
        <f t="shared" si="13"/>
        <v>0</v>
      </c>
    </row>
    <row r="163" spans="1:11" ht="14.5" hidden="1" customHeight="1" x14ac:dyDescent="0.35">
      <c r="A163" s="103"/>
      <c r="B163" s="12" t="s">
        <v>4</v>
      </c>
      <c r="C163" s="10" t="s">
        <v>324</v>
      </c>
      <c r="D163" s="94"/>
      <c r="E163" s="170"/>
      <c r="F163" s="94"/>
      <c r="G163" s="94" t="str">
        <f t="shared" si="14"/>
        <v/>
      </c>
      <c r="H163" s="10" t="s">
        <v>20</v>
      </c>
      <c r="I163" s="331">
        <v>1.6</v>
      </c>
      <c r="J163" s="12">
        <f t="shared" si="13"/>
        <v>0</v>
      </c>
    </row>
    <row r="164" spans="1:11" ht="14.5" hidden="1" customHeight="1" x14ac:dyDescent="0.35">
      <c r="A164" s="103"/>
      <c r="B164" s="12" t="s">
        <v>4</v>
      </c>
      <c r="C164" s="78" t="s">
        <v>325</v>
      </c>
      <c r="D164" s="97"/>
      <c r="E164" s="170"/>
      <c r="F164" s="97"/>
      <c r="G164" s="94" t="str">
        <f t="shared" si="14"/>
        <v/>
      </c>
      <c r="H164" s="10" t="s">
        <v>20</v>
      </c>
      <c r="I164" s="333">
        <v>49.95</v>
      </c>
      <c r="J164" s="12">
        <f t="shared" si="13"/>
        <v>0</v>
      </c>
    </row>
    <row r="165" spans="1:11" ht="14.5" customHeight="1" x14ac:dyDescent="0.35">
      <c r="A165" s="113" t="s">
        <v>44</v>
      </c>
      <c r="B165" s="124"/>
      <c r="C165" s="124"/>
      <c r="D165" s="124"/>
      <c r="E165" s="179"/>
      <c r="F165" s="124"/>
      <c r="G165" s="221" t="str">
        <f t="shared" si="14"/>
        <v/>
      </c>
      <c r="H165" s="124"/>
      <c r="I165" s="241"/>
      <c r="J165" s="125"/>
    </row>
    <row r="166" spans="1:11" ht="14.5" customHeight="1" x14ac:dyDescent="0.35">
      <c r="A166" s="103"/>
      <c r="B166" s="12" t="s">
        <v>4</v>
      </c>
      <c r="C166" s="10" t="s">
        <v>48</v>
      </c>
      <c r="D166" s="94"/>
      <c r="E166" s="170"/>
      <c r="F166" s="94"/>
      <c r="G166" s="94" t="str">
        <f t="shared" si="14"/>
        <v/>
      </c>
      <c r="H166" s="10" t="s">
        <v>20</v>
      </c>
      <c r="I166" s="331">
        <v>1.94</v>
      </c>
      <c r="J166" s="12">
        <f t="shared" ref="J166:J175" si="15">E166*I166</f>
        <v>0</v>
      </c>
    </row>
    <row r="167" spans="1:11" ht="14.5" customHeight="1" x14ac:dyDescent="0.35">
      <c r="A167" s="103"/>
      <c r="B167" s="12" t="s">
        <v>4</v>
      </c>
      <c r="C167" s="10" t="s">
        <v>49</v>
      </c>
      <c r="D167" s="94"/>
      <c r="E167" s="170">
        <v>3</v>
      </c>
      <c r="F167" s="94"/>
      <c r="G167" s="94" t="str">
        <f t="shared" si="14"/>
        <v/>
      </c>
      <c r="H167" s="10" t="s">
        <v>20</v>
      </c>
      <c r="I167" s="331">
        <v>1.94</v>
      </c>
      <c r="J167" s="12">
        <f t="shared" si="15"/>
        <v>5.82</v>
      </c>
    </row>
    <row r="168" spans="1:11" ht="14.5" customHeight="1" x14ac:dyDescent="0.35">
      <c r="A168" s="103"/>
      <c r="B168" s="12" t="s">
        <v>4</v>
      </c>
      <c r="C168" s="10" t="s">
        <v>50</v>
      </c>
      <c r="D168" s="94"/>
      <c r="E168" s="170">
        <v>1</v>
      </c>
      <c r="F168" s="94"/>
      <c r="G168" s="94" t="str">
        <f t="shared" si="14"/>
        <v/>
      </c>
      <c r="H168" s="10" t="s">
        <v>20</v>
      </c>
      <c r="I168" s="331">
        <v>1.94</v>
      </c>
      <c r="J168" s="12">
        <f t="shared" si="15"/>
        <v>1.94</v>
      </c>
    </row>
    <row r="169" spans="1:11" ht="14.5" customHeight="1" x14ac:dyDescent="0.35">
      <c r="A169" s="103"/>
      <c r="B169" s="12" t="s">
        <v>4</v>
      </c>
      <c r="C169" s="10" t="s">
        <v>415</v>
      </c>
      <c r="D169" s="94"/>
      <c r="E169" s="170"/>
      <c r="F169" s="94"/>
      <c r="G169" s="94" t="str">
        <f t="shared" si="14"/>
        <v/>
      </c>
      <c r="H169" s="10" t="s">
        <v>20</v>
      </c>
      <c r="I169" s="331">
        <v>1.98</v>
      </c>
      <c r="J169" s="12">
        <f t="shared" si="15"/>
        <v>0</v>
      </c>
    </row>
    <row r="170" spans="1:11" ht="14.5" customHeight="1" x14ac:dyDescent="0.35">
      <c r="A170" s="103"/>
      <c r="B170" s="12" t="s">
        <v>4</v>
      </c>
      <c r="C170" s="10" t="s">
        <v>414</v>
      </c>
      <c r="D170" s="94"/>
      <c r="E170" s="170"/>
      <c r="F170" s="94"/>
      <c r="G170" s="94" t="str">
        <f t="shared" si="14"/>
        <v/>
      </c>
      <c r="H170" s="10" t="s">
        <v>20</v>
      </c>
      <c r="I170" s="331">
        <v>1.98</v>
      </c>
      <c r="J170" s="12">
        <f t="shared" si="15"/>
        <v>0</v>
      </c>
    </row>
    <row r="171" spans="1:11" ht="14.5" customHeight="1" x14ac:dyDescent="0.35">
      <c r="A171" s="103"/>
      <c r="B171" s="12" t="s">
        <v>4</v>
      </c>
      <c r="C171" s="10" t="s">
        <v>328</v>
      </c>
      <c r="D171" s="94"/>
      <c r="E171" s="170"/>
      <c r="F171" s="94"/>
      <c r="G171" s="94" t="str">
        <f t="shared" si="14"/>
        <v/>
      </c>
      <c r="H171" s="10" t="s">
        <v>20</v>
      </c>
      <c r="I171" s="331">
        <v>1.98</v>
      </c>
      <c r="J171" s="12">
        <f t="shared" si="15"/>
        <v>0</v>
      </c>
    </row>
    <row r="172" spans="1:11" ht="14.5" customHeight="1" x14ac:dyDescent="0.35">
      <c r="A172" s="103"/>
      <c r="B172" s="12" t="s">
        <v>4</v>
      </c>
      <c r="C172" s="10" t="s">
        <v>329</v>
      </c>
      <c r="D172" s="94"/>
      <c r="E172" s="170"/>
      <c r="F172" s="94"/>
      <c r="G172" s="94" t="str">
        <f t="shared" si="14"/>
        <v/>
      </c>
      <c r="H172" s="10" t="s">
        <v>20</v>
      </c>
      <c r="I172" s="331">
        <v>1.98</v>
      </c>
      <c r="J172" s="12">
        <f t="shared" si="15"/>
        <v>0</v>
      </c>
    </row>
    <row r="173" spans="1:11" ht="14.5" customHeight="1" x14ac:dyDescent="0.35">
      <c r="A173" s="103"/>
      <c r="B173" s="40" t="s">
        <v>4</v>
      </c>
      <c r="C173" s="41" t="s">
        <v>330</v>
      </c>
      <c r="D173" s="98"/>
      <c r="E173" s="170"/>
      <c r="F173" s="98"/>
      <c r="G173" s="94" t="str">
        <f t="shared" si="14"/>
        <v/>
      </c>
      <c r="H173" s="10" t="s">
        <v>20</v>
      </c>
      <c r="I173" s="331">
        <v>1.98</v>
      </c>
      <c r="J173" s="12">
        <f t="shared" si="15"/>
        <v>0</v>
      </c>
    </row>
    <row r="174" spans="1:11" ht="14.5" customHeight="1" x14ac:dyDescent="0.35">
      <c r="A174" s="103"/>
      <c r="B174" s="40" t="s">
        <v>4</v>
      </c>
      <c r="C174" s="41" t="s">
        <v>331</v>
      </c>
      <c r="D174" s="98"/>
      <c r="E174" s="170"/>
      <c r="F174" s="98"/>
      <c r="G174" s="94" t="str">
        <f t="shared" si="14"/>
        <v/>
      </c>
      <c r="H174" s="10" t="s">
        <v>20</v>
      </c>
      <c r="I174" s="331">
        <v>1.98</v>
      </c>
      <c r="J174" s="12">
        <f t="shared" si="15"/>
        <v>0</v>
      </c>
    </row>
    <row r="175" spans="1:11" ht="14.5" customHeight="1" x14ac:dyDescent="0.35">
      <c r="A175" s="103"/>
      <c r="B175" s="40" t="s">
        <v>4</v>
      </c>
      <c r="C175" s="41" t="s">
        <v>413</v>
      </c>
      <c r="D175" s="98"/>
      <c r="E175" s="170"/>
      <c r="F175" s="98"/>
      <c r="G175" s="94" t="str">
        <f t="shared" si="14"/>
        <v/>
      </c>
      <c r="H175" s="41" t="s">
        <v>20</v>
      </c>
      <c r="I175" s="334">
        <v>1.98</v>
      </c>
      <c r="J175" s="12">
        <f t="shared" si="15"/>
        <v>0</v>
      </c>
    </row>
    <row r="176" spans="1:11" ht="14.5" hidden="1" customHeight="1" x14ac:dyDescent="0.35">
      <c r="A176" s="114" t="s">
        <v>333</v>
      </c>
      <c r="B176" s="120"/>
      <c r="C176" s="120"/>
      <c r="D176" s="120"/>
      <c r="E176" s="180"/>
      <c r="F176" s="120"/>
      <c r="G176" s="94" t="str">
        <f t="shared" si="14"/>
        <v/>
      </c>
      <c r="H176" s="121"/>
      <c r="I176" s="122" t="s">
        <v>18</v>
      </c>
      <c r="J176" s="123">
        <f>SUM(J177:J186)</f>
        <v>0</v>
      </c>
      <c r="K176" s="13"/>
    </row>
    <row r="177" spans="1:14" ht="15.65" hidden="1" customHeight="1" x14ac:dyDescent="0.35">
      <c r="A177" s="103"/>
      <c r="B177" s="12" t="s">
        <v>26</v>
      </c>
      <c r="C177" s="10" t="s">
        <v>334</v>
      </c>
      <c r="D177" s="94"/>
      <c r="E177" s="170"/>
      <c r="F177" s="94"/>
      <c r="G177" s="94" t="str">
        <f t="shared" si="14"/>
        <v/>
      </c>
      <c r="H177" s="10" t="s">
        <v>335</v>
      </c>
      <c r="I177" s="331">
        <v>20</v>
      </c>
      <c r="J177" s="12">
        <f t="shared" ref="J177:J186" si="16">E177*I177</f>
        <v>0</v>
      </c>
    </row>
    <row r="178" spans="1:14" hidden="1" x14ac:dyDescent="0.35">
      <c r="A178" s="103"/>
      <c r="B178" s="20" t="s">
        <v>26</v>
      </c>
      <c r="C178" s="18" t="s">
        <v>53</v>
      </c>
      <c r="D178" s="99"/>
      <c r="E178" s="170"/>
      <c r="F178" s="99"/>
      <c r="G178" s="94" t="str">
        <f t="shared" si="14"/>
        <v/>
      </c>
      <c r="H178" s="18" t="s">
        <v>20</v>
      </c>
      <c r="I178" s="335">
        <v>0.43</v>
      </c>
      <c r="J178" s="20">
        <f t="shared" si="16"/>
        <v>0</v>
      </c>
      <c r="N178" t="s">
        <v>47</v>
      </c>
    </row>
    <row r="179" spans="1:14" hidden="1" x14ac:dyDescent="0.35">
      <c r="A179" s="103"/>
      <c r="B179" s="20" t="s">
        <v>26</v>
      </c>
      <c r="C179" s="18" t="s">
        <v>336</v>
      </c>
      <c r="D179" s="99"/>
      <c r="E179" s="170"/>
      <c r="F179" s="99"/>
      <c r="G179" s="94" t="str">
        <f t="shared" si="14"/>
        <v/>
      </c>
      <c r="H179" s="18" t="s">
        <v>20</v>
      </c>
      <c r="I179" s="335">
        <v>0.43</v>
      </c>
      <c r="J179" s="20">
        <f t="shared" si="16"/>
        <v>0</v>
      </c>
    </row>
    <row r="180" spans="1:14" ht="16.399999999999999" hidden="1" customHeight="1" x14ac:dyDescent="0.35">
      <c r="A180" s="103"/>
      <c r="B180" s="12" t="s">
        <v>26</v>
      </c>
      <c r="C180" s="10" t="s">
        <v>337</v>
      </c>
      <c r="D180" s="94"/>
      <c r="E180" s="170"/>
      <c r="F180" s="94"/>
      <c r="G180" s="94" t="str">
        <f t="shared" si="14"/>
        <v/>
      </c>
      <c r="H180" s="10" t="s">
        <v>20</v>
      </c>
      <c r="I180" s="331">
        <v>0.43</v>
      </c>
      <c r="J180" s="12">
        <f t="shared" si="16"/>
        <v>0</v>
      </c>
    </row>
    <row r="181" spans="1:14" hidden="1" x14ac:dyDescent="0.35">
      <c r="A181" s="103"/>
      <c r="B181" s="12" t="s">
        <v>26</v>
      </c>
      <c r="C181" s="10" t="s">
        <v>51</v>
      </c>
      <c r="D181" s="94"/>
      <c r="E181" s="170"/>
      <c r="F181" s="94"/>
      <c r="G181" s="94" t="str">
        <f t="shared" si="14"/>
        <v/>
      </c>
      <c r="H181" s="10" t="s">
        <v>61</v>
      </c>
      <c r="I181" s="331">
        <v>14</v>
      </c>
      <c r="J181" s="12">
        <f t="shared" si="16"/>
        <v>0</v>
      </c>
    </row>
    <row r="182" spans="1:14" hidden="1" x14ac:dyDescent="0.35">
      <c r="A182" s="103"/>
      <c r="B182" s="12" t="s">
        <v>26</v>
      </c>
      <c r="C182" s="10" t="s">
        <v>338</v>
      </c>
      <c r="D182" s="94"/>
      <c r="E182" s="170"/>
      <c r="F182" s="94"/>
      <c r="G182" s="94" t="str">
        <f t="shared" si="14"/>
        <v/>
      </c>
      <c r="H182" s="10" t="s">
        <v>61</v>
      </c>
      <c r="I182" s="331">
        <v>14.78</v>
      </c>
      <c r="J182" s="12">
        <f t="shared" si="16"/>
        <v>0</v>
      </c>
    </row>
    <row r="183" spans="1:14" hidden="1" x14ac:dyDescent="0.35">
      <c r="A183" s="103"/>
      <c r="B183" s="12" t="s">
        <v>26</v>
      </c>
      <c r="C183" s="10" t="s">
        <v>339</v>
      </c>
      <c r="D183" s="94"/>
      <c r="E183" s="170"/>
      <c r="F183" s="94"/>
      <c r="G183" s="94" t="str">
        <f t="shared" si="14"/>
        <v/>
      </c>
      <c r="H183" s="10" t="s">
        <v>61</v>
      </c>
      <c r="I183" s="331">
        <v>14.78</v>
      </c>
      <c r="J183" s="12">
        <f t="shared" si="16"/>
        <v>0</v>
      </c>
    </row>
    <row r="184" spans="1:14" ht="14.5" hidden="1" customHeight="1" x14ac:dyDescent="0.35">
      <c r="A184" s="103"/>
      <c r="B184" s="12" t="s">
        <v>26</v>
      </c>
      <c r="C184" s="10" t="s">
        <v>340</v>
      </c>
      <c r="D184" s="94"/>
      <c r="E184" s="170"/>
      <c r="F184" s="94"/>
      <c r="G184" s="94" t="str">
        <f t="shared" si="14"/>
        <v/>
      </c>
      <c r="H184" s="10" t="s">
        <v>61</v>
      </c>
      <c r="I184" s="331">
        <v>14.78</v>
      </c>
      <c r="J184" s="12">
        <f t="shared" si="16"/>
        <v>0</v>
      </c>
    </row>
    <row r="185" spans="1:14" hidden="1" x14ac:dyDescent="0.35">
      <c r="A185" s="103"/>
      <c r="B185" s="12" t="s">
        <v>26</v>
      </c>
      <c r="C185" s="10" t="s">
        <v>341</v>
      </c>
      <c r="D185" s="94"/>
      <c r="E185" s="170"/>
      <c r="F185" s="94"/>
      <c r="G185" s="94" t="str">
        <f t="shared" si="14"/>
        <v/>
      </c>
      <c r="H185" s="10" t="s">
        <v>61</v>
      </c>
      <c r="I185" s="331">
        <v>14.78</v>
      </c>
      <c r="J185" s="12">
        <f t="shared" si="16"/>
        <v>0</v>
      </c>
    </row>
    <row r="186" spans="1:14" ht="14.5" hidden="1" customHeight="1" x14ac:dyDescent="0.35">
      <c r="A186" s="103"/>
      <c r="B186" s="12" t="s">
        <v>26</v>
      </c>
      <c r="C186" s="10" t="s">
        <v>342</v>
      </c>
      <c r="D186" s="94"/>
      <c r="E186" s="170"/>
      <c r="F186" s="94"/>
      <c r="G186" s="94" t="str">
        <f t="shared" si="14"/>
        <v/>
      </c>
      <c r="H186" s="10" t="s">
        <v>61</v>
      </c>
      <c r="I186" s="331">
        <v>14.78</v>
      </c>
      <c r="J186" s="10">
        <f t="shared" si="16"/>
        <v>0</v>
      </c>
    </row>
    <row r="187" spans="1:14" ht="15.5" x14ac:dyDescent="0.35">
      <c r="A187" s="108" t="s">
        <v>343</v>
      </c>
      <c r="B187" s="108"/>
      <c r="C187" s="108"/>
      <c r="D187" s="108"/>
      <c r="E187" s="162"/>
      <c r="F187" s="108"/>
      <c r="G187" s="221" t="str">
        <f t="shared" si="14"/>
        <v/>
      </c>
      <c r="H187" s="108"/>
      <c r="I187" s="106" t="s">
        <v>18</v>
      </c>
      <c r="J187" s="107">
        <f>SUM(J188:J192)</f>
        <v>0</v>
      </c>
    </row>
    <row r="188" spans="1:14" ht="14.5" hidden="1" customHeight="1" x14ac:dyDescent="0.35">
      <c r="A188" s="103"/>
      <c r="B188" s="7" t="s">
        <v>6</v>
      </c>
      <c r="C188" s="14" t="s">
        <v>344</v>
      </c>
      <c r="D188" s="94"/>
      <c r="E188" s="170"/>
      <c r="F188" s="94"/>
      <c r="G188" s="94" t="str">
        <f t="shared" si="14"/>
        <v/>
      </c>
      <c r="H188" s="14" t="s">
        <v>20</v>
      </c>
      <c r="I188" s="336">
        <v>0.79</v>
      </c>
      <c r="J188" s="7">
        <f>E188*I188</f>
        <v>0</v>
      </c>
    </row>
    <row r="189" spans="1:14" ht="15.65" customHeight="1" x14ac:dyDescent="0.35">
      <c r="A189" s="103"/>
      <c r="B189" s="7" t="s">
        <v>6</v>
      </c>
      <c r="C189" s="14" t="s">
        <v>345</v>
      </c>
      <c r="D189" s="94"/>
      <c r="E189" s="170"/>
      <c r="F189" s="94"/>
      <c r="G189" s="94" t="str">
        <f t="shared" si="14"/>
        <v/>
      </c>
      <c r="H189" s="14" t="s">
        <v>20</v>
      </c>
      <c r="I189" s="336">
        <v>2.76</v>
      </c>
      <c r="J189" s="7">
        <f>E189*I189</f>
        <v>0</v>
      </c>
    </row>
    <row r="190" spans="1:14" ht="14.5" customHeight="1" x14ac:dyDescent="0.35">
      <c r="A190" s="103"/>
      <c r="B190" s="7" t="s">
        <v>6</v>
      </c>
      <c r="C190" s="14" t="s">
        <v>346</v>
      </c>
      <c r="D190" s="94"/>
      <c r="E190" s="170"/>
      <c r="F190" s="94"/>
      <c r="G190" s="94" t="str">
        <f t="shared" si="14"/>
        <v/>
      </c>
      <c r="H190" s="14" t="s">
        <v>20</v>
      </c>
      <c r="I190" s="336">
        <v>1</v>
      </c>
      <c r="J190" s="7">
        <f>E190*I190</f>
        <v>0</v>
      </c>
    </row>
    <row r="191" spans="1:14" x14ac:dyDescent="0.35">
      <c r="A191" s="103"/>
      <c r="B191" s="7" t="s">
        <v>6</v>
      </c>
      <c r="C191" s="14" t="s">
        <v>34</v>
      </c>
      <c r="D191" s="94"/>
      <c r="E191" s="170"/>
      <c r="F191" s="94"/>
      <c r="G191" s="94" t="str">
        <f t="shared" si="14"/>
        <v/>
      </c>
      <c r="H191" s="14" t="s">
        <v>20</v>
      </c>
      <c r="I191" s="336">
        <v>1.8</v>
      </c>
      <c r="J191" s="7">
        <f>E191*I191</f>
        <v>0</v>
      </c>
    </row>
    <row r="192" spans="1:14" x14ac:dyDescent="0.35">
      <c r="A192" s="103"/>
      <c r="B192" s="7" t="s">
        <v>6</v>
      </c>
      <c r="C192" s="14" t="s">
        <v>35</v>
      </c>
      <c r="D192" s="94"/>
      <c r="E192" s="170"/>
      <c r="F192" s="94"/>
      <c r="G192" s="94" t="str">
        <f t="shared" si="14"/>
        <v/>
      </c>
      <c r="H192" s="14" t="s">
        <v>20</v>
      </c>
      <c r="I192" s="336">
        <v>1.8</v>
      </c>
      <c r="J192" s="7">
        <f>E192*I192</f>
        <v>0</v>
      </c>
    </row>
    <row r="193" spans="1:10" ht="15.5" hidden="1" x14ac:dyDescent="0.35">
      <c r="A193" s="112" t="s">
        <v>347</v>
      </c>
      <c r="B193" s="116"/>
      <c r="C193" s="116"/>
      <c r="D193" s="116"/>
      <c r="E193" s="178"/>
      <c r="F193" s="116"/>
      <c r="G193" s="221" t="str">
        <f t="shared" si="14"/>
        <v/>
      </c>
      <c r="H193" s="117"/>
      <c r="I193" s="118" t="s">
        <v>18</v>
      </c>
      <c r="J193" s="119">
        <f>SUM(J194)</f>
        <v>0</v>
      </c>
    </row>
    <row r="194" spans="1:10" hidden="1" x14ac:dyDescent="0.35">
      <c r="A194" s="103"/>
      <c r="B194" s="12" t="s">
        <v>5</v>
      </c>
      <c r="C194" s="10" t="s">
        <v>55</v>
      </c>
      <c r="D194" s="94"/>
      <c r="E194" s="170"/>
      <c r="F194" s="94"/>
      <c r="G194" s="94" t="str">
        <f t="shared" si="14"/>
        <v/>
      </c>
      <c r="H194" s="10" t="s">
        <v>20</v>
      </c>
      <c r="I194" s="331">
        <v>1.01</v>
      </c>
      <c r="J194" s="12">
        <f>E194*I194</f>
        <v>0</v>
      </c>
    </row>
    <row r="195" spans="1:10" ht="15.5" hidden="1" x14ac:dyDescent="0.35">
      <c r="A195" s="112" t="s">
        <v>348</v>
      </c>
      <c r="B195" s="116"/>
      <c r="C195" s="116"/>
      <c r="D195" s="116"/>
      <c r="E195" s="178"/>
      <c r="F195" s="116"/>
      <c r="G195" s="221" t="str">
        <f t="shared" si="14"/>
        <v/>
      </c>
      <c r="H195" s="117"/>
      <c r="I195" s="118" t="s">
        <v>18</v>
      </c>
      <c r="J195" s="119">
        <f>SUM(J196:J207)</f>
        <v>0</v>
      </c>
    </row>
    <row r="196" spans="1:10" hidden="1" x14ac:dyDescent="0.35">
      <c r="A196" s="103"/>
      <c r="B196" s="20" t="s">
        <v>8</v>
      </c>
      <c r="C196" s="18" t="s">
        <v>349</v>
      </c>
      <c r="D196" s="99"/>
      <c r="E196" s="170"/>
      <c r="F196" s="99"/>
      <c r="G196" s="94" t="str">
        <f t="shared" si="14"/>
        <v/>
      </c>
      <c r="H196" s="18" t="s">
        <v>27</v>
      </c>
      <c r="I196" s="337">
        <v>28.62</v>
      </c>
      <c r="J196" s="12">
        <f t="shared" ref="J196:J207" si="17">E196*I196</f>
        <v>0</v>
      </c>
    </row>
    <row r="197" spans="1:10" hidden="1" x14ac:dyDescent="0.35">
      <c r="A197" s="103"/>
      <c r="B197" s="12" t="s">
        <v>8</v>
      </c>
      <c r="C197" s="10" t="s">
        <v>350</v>
      </c>
      <c r="D197" s="94"/>
      <c r="E197" s="170"/>
      <c r="F197" s="94"/>
      <c r="G197" s="94" t="str">
        <f t="shared" si="14"/>
        <v/>
      </c>
      <c r="H197" s="10" t="s">
        <v>335</v>
      </c>
      <c r="I197" s="338">
        <v>30</v>
      </c>
      <c r="J197" s="12">
        <f t="shared" si="17"/>
        <v>0</v>
      </c>
    </row>
    <row r="198" spans="1:10" hidden="1" x14ac:dyDescent="0.35">
      <c r="A198" s="103"/>
      <c r="B198" s="12" t="s">
        <v>8</v>
      </c>
      <c r="C198" s="10" t="s">
        <v>351</v>
      </c>
      <c r="D198" s="94"/>
      <c r="E198" s="170"/>
      <c r="F198" s="94"/>
      <c r="G198" s="94" t="str">
        <f t="shared" si="14"/>
        <v/>
      </c>
      <c r="H198" s="10" t="s">
        <v>335</v>
      </c>
      <c r="I198" s="331">
        <v>1.1499999999999999</v>
      </c>
      <c r="J198" s="12">
        <f t="shared" si="17"/>
        <v>0</v>
      </c>
    </row>
    <row r="199" spans="1:10" hidden="1" x14ac:dyDescent="0.35">
      <c r="A199" s="103"/>
      <c r="B199" s="12" t="s">
        <v>8</v>
      </c>
      <c r="C199" s="10" t="s">
        <v>352</v>
      </c>
      <c r="D199" s="94"/>
      <c r="E199" s="170"/>
      <c r="F199" s="94"/>
      <c r="G199" s="94" t="str">
        <f t="shared" si="14"/>
        <v/>
      </c>
      <c r="H199" s="10" t="s">
        <v>27</v>
      </c>
      <c r="I199" s="331">
        <v>23.83</v>
      </c>
      <c r="J199" s="12">
        <f t="shared" si="17"/>
        <v>0</v>
      </c>
    </row>
    <row r="200" spans="1:10" hidden="1" x14ac:dyDescent="0.35">
      <c r="A200" s="103"/>
      <c r="B200" s="12" t="s">
        <v>8</v>
      </c>
      <c r="C200" s="10" t="s">
        <v>353</v>
      </c>
      <c r="D200" s="94"/>
      <c r="E200" s="170"/>
      <c r="F200" s="94"/>
      <c r="G200" s="94" t="str">
        <f t="shared" si="14"/>
        <v/>
      </c>
      <c r="H200" s="10" t="s">
        <v>27</v>
      </c>
      <c r="I200" s="331">
        <v>28.89</v>
      </c>
      <c r="J200" s="12">
        <f t="shared" si="17"/>
        <v>0</v>
      </c>
    </row>
    <row r="201" spans="1:10" hidden="1" x14ac:dyDescent="0.35">
      <c r="A201" s="103"/>
      <c r="B201" s="12" t="s">
        <v>8</v>
      </c>
      <c r="C201" s="10" t="s">
        <v>354</v>
      </c>
      <c r="D201" s="94"/>
      <c r="E201" s="170"/>
      <c r="F201" s="94"/>
      <c r="G201" s="94" t="str">
        <f>IF(E201="","",IF(D201-E201&gt;0,D201-E201,""))</f>
        <v/>
      </c>
      <c r="H201" s="10" t="s">
        <v>27</v>
      </c>
      <c r="I201" s="331">
        <v>19.37</v>
      </c>
      <c r="J201" s="12">
        <f>E201*I201</f>
        <v>0</v>
      </c>
    </row>
    <row r="202" spans="1:10" hidden="1" x14ac:dyDescent="0.35">
      <c r="A202" s="103"/>
      <c r="B202" s="12" t="s">
        <v>8</v>
      </c>
      <c r="C202" s="10" t="s">
        <v>429</v>
      </c>
      <c r="D202" s="94"/>
      <c r="E202" s="170"/>
      <c r="F202" s="94"/>
      <c r="G202" s="94"/>
      <c r="H202" s="10" t="s">
        <v>27</v>
      </c>
      <c r="I202" s="331">
        <v>14.07</v>
      </c>
      <c r="J202" s="12"/>
    </row>
    <row r="203" spans="1:10" hidden="1" x14ac:dyDescent="0.35">
      <c r="A203" s="103"/>
      <c r="B203" s="12" t="s">
        <v>8</v>
      </c>
      <c r="C203" s="10" t="s">
        <v>430</v>
      </c>
      <c r="D203" s="94"/>
      <c r="E203" s="170"/>
      <c r="F203" s="94"/>
      <c r="G203" s="94"/>
      <c r="H203" s="10" t="s">
        <v>27</v>
      </c>
      <c r="I203" s="331">
        <v>16.07</v>
      </c>
      <c r="J203" s="12"/>
    </row>
    <row r="204" spans="1:10" hidden="1" x14ac:dyDescent="0.35">
      <c r="A204" s="103"/>
      <c r="B204" s="12" t="s">
        <v>8</v>
      </c>
      <c r="C204" s="10" t="s">
        <v>431</v>
      </c>
      <c r="D204" s="94"/>
      <c r="G204" s="94"/>
      <c r="H204" s="10" t="s">
        <v>27</v>
      </c>
      <c r="I204" s="339">
        <v>14.62</v>
      </c>
      <c r="J204" s="12"/>
    </row>
    <row r="205" spans="1:10" hidden="1" x14ac:dyDescent="0.35">
      <c r="A205" s="103"/>
      <c r="B205" s="12" t="s">
        <v>8</v>
      </c>
      <c r="C205" s="10" t="s">
        <v>355</v>
      </c>
      <c r="D205" s="94"/>
      <c r="E205" s="170"/>
      <c r="F205" s="94"/>
      <c r="G205" s="94" t="str">
        <f t="shared" si="14"/>
        <v/>
      </c>
      <c r="H205" s="10" t="s">
        <v>61</v>
      </c>
      <c r="I205" s="331">
        <v>17.11</v>
      </c>
      <c r="J205" s="12">
        <f t="shared" si="17"/>
        <v>0</v>
      </c>
    </row>
    <row r="206" spans="1:10" hidden="1" x14ac:dyDescent="0.35">
      <c r="A206" s="103"/>
      <c r="B206" s="12" t="s">
        <v>8</v>
      </c>
      <c r="C206" s="10" t="s">
        <v>356</v>
      </c>
      <c r="D206" s="94"/>
      <c r="E206" s="170"/>
      <c r="F206" s="94"/>
      <c r="G206" s="94" t="str">
        <f t="shared" si="14"/>
        <v/>
      </c>
      <c r="H206" s="10" t="s">
        <v>61</v>
      </c>
      <c r="I206" s="331">
        <v>22.13</v>
      </c>
      <c r="J206" s="12">
        <f t="shared" si="17"/>
        <v>0</v>
      </c>
    </row>
    <row r="207" spans="1:10" hidden="1" x14ac:dyDescent="0.35">
      <c r="A207" s="103"/>
      <c r="B207" s="40" t="s">
        <v>8</v>
      </c>
      <c r="C207" s="41" t="s">
        <v>357</v>
      </c>
      <c r="D207" s="98"/>
      <c r="E207" s="170"/>
      <c r="F207" s="98"/>
      <c r="G207" s="94" t="str">
        <f t="shared" si="14"/>
        <v/>
      </c>
      <c r="H207" s="41" t="s">
        <v>61</v>
      </c>
      <c r="I207" s="334">
        <v>18.8</v>
      </c>
      <c r="J207" s="40">
        <f t="shared" si="17"/>
        <v>0</v>
      </c>
    </row>
    <row r="208" spans="1:10" ht="15.5" hidden="1" x14ac:dyDescent="0.35">
      <c r="A208" s="112" t="s">
        <v>358</v>
      </c>
      <c r="B208" s="116"/>
      <c r="C208" s="116"/>
      <c r="D208" s="116"/>
      <c r="E208" s="178"/>
      <c r="F208" s="116"/>
      <c r="G208" s="221" t="str">
        <f t="shared" si="14"/>
        <v/>
      </c>
      <c r="H208" s="117"/>
      <c r="I208" s="118" t="s">
        <v>18</v>
      </c>
      <c r="J208" s="119">
        <f>J209+J210+J211+J212+J213</f>
        <v>0</v>
      </c>
    </row>
    <row r="209" spans="1:10" hidden="1" x14ac:dyDescent="0.35">
      <c r="A209" s="103"/>
      <c r="B209" s="13" t="s">
        <v>11</v>
      </c>
      <c r="C209" s="298" t="s">
        <v>359</v>
      </c>
      <c r="D209" s="303"/>
      <c r="E209" s="300"/>
      <c r="F209" s="303"/>
      <c r="G209" s="98" t="str">
        <f t="shared" si="14"/>
        <v/>
      </c>
      <c r="H209" s="41" t="s">
        <v>52</v>
      </c>
      <c r="I209" s="334">
        <v>11.63</v>
      </c>
      <c r="J209" s="40">
        <f>E209*I209</f>
        <v>0</v>
      </c>
    </row>
    <row r="210" spans="1:10" x14ac:dyDescent="0.35">
      <c r="A210" s="103"/>
      <c r="B210" s="12" t="s">
        <v>11</v>
      </c>
      <c r="C210" s="10" t="s">
        <v>436</v>
      </c>
      <c r="D210" s="94"/>
      <c r="E210" s="170"/>
      <c r="F210" s="94"/>
      <c r="G210" s="94"/>
      <c r="H210" s="10" t="s">
        <v>52</v>
      </c>
      <c r="I210" s="331">
        <v>16.8</v>
      </c>
      <c r="J210" s="40">
        <f t="shared" ref="J210:J213" si="18">E210*I210</f>
        <v>0</v>
      </c>
    </row>
    <row r="211" spans="1:10" x14ac:dyDescent="0.35">
      <c r="A211" s="103"/>
      <c r="B211" s="12" t="s">
        <v>11</v>
      </c>
      <c r="C211" s="10" t="s">
        <v>437</v>
      </c>
      <c r="D211" s="94"/>
      <c r="E211" s="170"/>
      <c r="F211" s="94"/>
      <c r="G211" s="94"/>
      <c r="H211" s="10" t="s">
        <v>440</v>
      </c>
      <c r="I211" s="331">
        <v>9.35</v>
      </c>
      <c r="J211" s="40">
        <f>E211*I211</f>
        <v>0</v>
      </c>
    </row>
    <row r="212" spans="1:10" x14ac:dyDescent="0.35">
      <c r="A212" s="103"/>
      <c r="B212" s="12" t="s">
        <v>11</v>
      </c>
      <c r="C212" s="10" t="s">
        <v>438</v>
      </c>
      <c r="D212" s="94"/>
      <c r="E212" s="170"/>
      <c r="F212" s="94"/>
      <c r="G212" s="94"/>
      <c r="H212" s="10" t="s">
        <v>52</v>
      </c>
      <c r="I212" s="331">
        <v>87</v>
      </c>
      <c r="J212" s="40">
        <f t="shared" si="18"/>
        <v>0</v>
      </c>
    </row>
    <row r="213" spans="1:10" x14ac:dyDescent="0.35">
      <c r="A213" s="103"/>
      <c r="B213" s="12" t="s">
        <v>11</v>
      </c>
      <c r="C213" s="10" t="s">
        <v>439</v>
      </c>
      <c r="D213" s="94"/>
      <c r="E213" s="170"/>
      <c r="F213" s="94"/>
      <c r="G213" s="94"/>
      <c r="H213" s="10" t="s">
        <v>52</v>
      </c>
      <c r="I213" s="331">
        <v>55</v>
      </c>
      <c r="J213" s="40">
        <f t="shared" si="18"/>
        <v>0</v>
      </c>
    </row>
    <row r="214" spans="1:10" ht="15.5" hidden="1" x14ac:dyDescent="0.35">
      <c r="A214" s="108" t="s">
        <v>360</v>
      </c>
      <c r="B214" s="108"/>
      <c r="C214" s="108"/>
      <c r="D214" s="108"/>
      <c r="E214" s="162"/>
      <c r="F214" s="108"/>
      <c r="G214" s="311" t="str">
        <f t="shared" si="14"/>
        <v/>
      </c>
      <c r="H214" s="108"/>
      <c r="I214" s="106" t="s">
        <v>18</v>
      </c>
      <c r="J214" s="107">
        <f>SUM(J215:J216)</f>
        <v>0</v>
      </c>
    </row>
    <row r="215" spans="1:10" hidden="1" x14ac:dyDescent="0.35">
      <c r="A215" s="103"/>
      <c r="B215" s="12" t="s">
        <v>12</v>
      </c>
      <c r="C215" s="10" t="s">
        <v>70</v>
      </c>
      <c r="D215" s="94"/>
      <c r="E215" s="170"/>
      <c r="F215" s="94"/>
      <c r="G215" s="94" t="str">
        <f t="shared" si="14"/>
        <v/>
      </c>
      <c r="H215" s="10" t="s">
        <v>27</v>
      </c>
      <c r="I215" s="331">
        <v>20.7</v>
      </c>
      <c r="J215" s="12">
        <f>+E215*I215</f>
        <v>0</v>
      </c>
    </row>
    <row r="216" spans="1:10" hidden="1" x14ac:dyDescent="0.35">
      <c r="A216" s="103"/>
      <c r="B216" s="12" t="s">
        <v>12</v>
      </c>
      <c r="C216" s="10" t="s">
        <v>71</v>
      </c>
      <c r="D216" s="94"/>
      <c r="E216" s="170"/>
      <c r="F216" s="94"/>
      <c r="G216" s="94" t="str">
        <f t="shared" si="14"/>
        <v/>
      </c>
      <c r="H216" s="10" t="s">
        <v>27</v>
      </c>
      <c r="I216" s="331">
        <v>13.7</v>
      </c>
      <c r="J216" s="12">
        <f>+E216*I216</f>
        <v>0</v>
      </c>
    </row>
    <row r="217" spans="1:10" ht="15.5" hidden="1" x14ac:dyDescent="0.35">
      <c r="A217" s="108" t="s">
        <v>361</v>
      </c>
      <c r="B217" s="108"/>
      <c r="C217" s="108"/>
      <c r="D217" s="108"/>
      <c r="E217" s="162"/>
      <c r="F217" s="108"/>
      <c r="G217" s="94" t="str">
        <f t="shared" si="14"/>
        <v/>
      </c>
      <c r="H217" s="108"/>
      <c r="I217" s="106" t="s">
        <v>18</v>
      </c>
      <c r="J217" s="107">
        <f>SUM(J218:J221)</f>
        <v>0</v>
      </c>
    </row>
    <row r="218" spans="1:10" hidden="1" x14ac:dyDescent="0.35">
      <c r="A218" s="103"/>
      <c r="B218" s="12" t="s">
        <v>10</v>
      </c>
      <c r="C218" s="10" t="s">
        <v>362</v>
      </c>
      <c r="D218" s="94"/>
      <c r="E218" s="170"/>
      <c r="F218" s="94"/>
      <c r="G218" s="94" t="str">
        <f t="shared" si="14"/>
        <v/>
      </c>
      <c r="H218" s="10" t="s">
        <v>20</v>
      </c>
      <c r="I218" s="331">
        <v>11.08</v>
      </c>
      <c r="J218" s="12">
        <f>E218*I218</f>
        <v>0</v>
      </c>
    </row>
    <row r="219" spans="1:10" hidden="1" x14ac:dyDescent="0.35">
      <c r="A219" s="103"/>
      <c r="B219" s="12" t="s">
        <v>10</v>
      </c>
      <c r="C219" s="10" t="s">
        <v>363</v>
      </c>
      <c r="D219" s="94"/>
      <c r="E219" s="170"/>
      <c r="F219" s="94"/>
      <c r="G219" s="94" t="str">
        <f t="shared" si="14"/>
        <v/>
      </c>
      <c r="H219" s="10" t="s">
        <v>27</v>
      </c>
      <c r="I219" s="331">
        <v>16.21</v>
      </c>
      <c r="J219" s="12">
        <f>E219*I219</f>
        <v>0</v>
      </c>
    </row>
    <row r="220" spans="1:10" hidden="1" x14ac:dyDescent="0.35">
      <c r="A220" s="103"/>
      <c r="B220" s="12" t="s">
        <v>10</v>
      </c>
      <c r="C220" s="10" t="s">
        <v>364</v>
      </c>
      <c r="D220" s="94"/>
      <c r="E220" s="170"/>
      <c r="F220" s="94"/>
      <c r="G220" s="94" t="str">
        <f t="shared" si="14"/>
        <v/>
      </c>
      <c r="H220" s="10" t="s">
        <v>27</v>
      </c>
      <c r="I220" s="331">
        <v>19.350000000000001</v>
      </c>
      <c r="J220" s="12">
        <f>E220*I220</f>
        <v>0</v>
      </c>
    </row>
    <row r="221" spans="1:10" hidden="1" x14ac:dyDescent="0.35">
      <c r="A221" s="103"/>
      <c r="B221" s="12" t="s">
        <v>10</v>
      </c>
      <c r="C221" s="10" t="s">
        <v>365</v>
      </c>
      <c r="D221" s="94"/>
      <c r="E221" s="170"/>
      <c r="F221" s="94"/>
      <c r="G221" s="94" t="str">
        <f t="shared" si="14"/>
        <v/>
      </c>
      <c r="H221" s="10" t="s">
        <v>27</v>
      </c>
      <c r="I221" s="331">
        <v>19.809999999999999</v>
      </c>
      <c r="J221" s="12">
        <f>E221*I221</f>
        <v>0</v>
      </c>
    </row>
    <row r="222" spans="1:10" ht="15.5" hidden="1" x14ac:dyDescent="0.35">
      <c r="A222" s="108" t="s">
        <v>366</v>
      </c>
      <c r="B222" s="108"/>
      <c r="C222" s="108"/>
      <c r="D222" s="108"/>
      <c r="E222" s="162"/>
      <c r="F222" s="108"/>
      <c r="G222" s="221" t="str">
        <f t="shared" si="14"/>
        <v/>
      </c>
      <c r="H222" s="108"/>
      <c r="I222" s="106" t="s">
        <v>18</v>
      </c>
      <c r="J222" s="107">
        <f>J223</f>
        <v>0</v>
      </c>
    </row>
    <row r="223" spans="1:10" hidden="1" x14ac:dyDescent="0.35">
      <c r="A223" s="103"/>
      <c r="B223" s="12" t="s">
        <v>28</v>
      </c>
      <c r="C223" s="10" t="s">
        <v>29</v>
      </c>
      <c r="D223" s="100"/>
      <c r="E223" s="170"/>
      <c r="F223" s="100"/>
      <c r="G223" s="94" t="str">
        <f t="shared" si="14"/>
        <v/>
      </c>
      <c r="H223" s="10" t="s">
        <v>54</v>
      </c>
      <c r="I223" s="331">
        <v>104</v>
      </c>
      <c r="J223" s="12">
        <f>I223*E223</f>
        <v>0</v>
      </c>
    </row>
    <row r="224" spans="1:10" ht="15.5" x14ac:dyDescent="0.35">
      <c r="A224" s="108" t="s">
        <v>367</v>
      </c>
      <c r="B224" s="108"/>
      <c r="C224" s="108"/>
      <c r="D224" s="108"/>
      <c r="E224" s="162"/>
      <c r="F224" s="108"/>
      <c r="G224" s="221" t="str">
        <f t="shared" ref="G224:G257" si="19">IF(E224="","",IF(D224-E224&gt;0,D224-E224,""))</f>
        <v/>
      </c>
      <c r="H224" s="108"/>
      <c r="I224" s="106" t="s">
        <v>18</v>
      </c>
      <c r="J224" s="115">
        <f>SUM(J225:J244)</f>
        <v>0</v>
      </c>
    </row>
    <row r="225" spans="1:10" x14ac:dyDescent="0.35">
      <c r="A225" s="103"/>
      <c r="B225" s="12" t="s">
        <v>9</v>
      </c>
      <c r="C225" s="10" t="s">
        <v>423</v>
      </c>
      <c r="D225" s="94"/>
      <c r="E225" s="170"/>
      <c r="F225" s="94"/>
      <c r="G225" s="94" t="str">
        <f t="shared" si="19"/>
        <v/>
      </c>
      <c r="H225" s="10" t="s">
        <v>20</v>
      </c>
      <c r="I225" s="331">
        <v>78</v>
      </c>
      <c r="J225" s="50">
        <f t="shared" ref="J225:J244" si="20">E225*I225</f>
        <v>0</v>
      </c>
    </row>
    <row r="226" spans="1:10" x14ac:dyDescent="0.35">
      <c r="A226" s="103"/>
      <c r="B226" s="12" t="s">
        <v>9</v>
      </c>
      <c r="C226" s="10" t="s">
        <v>424</v>
      </c>
      <c r="D226" s="94"/>
      <c r="E226" s="170"/>
      <c r="F226" s="94"/>
      <c r="G226" s="94" t="str">
        <f t="shared" si="19"/>
        <v/>
      </c>
      <c r="H226" s="10" t="s">
        <v>61</v>
      </c>
      <c r="I226" s="340">
        <v>107.12</v>
      </c>
      <c r="J226" s="50">
        <f t="shared" si="20"/>
        <v>0</v>
      </c>
    </row>
    <row r="227" spans="1:10" x14ac:dyDescent="0.35">
      <c r="A227" s="103"/>
      <c r="B227" s="12" t="s">
        <v>9</v>
      </c>
      <c r="C227" s="10" t="s">
        <v>369</v>
      </c>
      <c r="D227" s="94"/>
      <c r="E227" s="170"/>
      <c r="F227" s="94"/>
      <c r="G227" s="94" t="str">
        <f t="shared" si="19"/>
        <v/>
      </c>
      <c r="H227" s="10" t="s">
        <v>20</v>
      </c>
      <c r="I227" s="331">
        <v>0.04</v>
      </c>
      <c r="J227" s="50">
        <f t="shared" si="20"/>
        <v>0</v>
      </c>
    </row>
    <row r="228" spans="1:10" x14ac:dyDescent="0.35">
      <c r="A228" s="103"/>
      <c r="B228" s="12" t="s">
        <v>9</v>
      </c>
      <c r="C228" s="10" t="s">
        <v>370</v>
      </c>
      <c r="D228" s="94"/>
      <c r="E228" s="170"/>
      <c r="F228" s="94"/>
      <c r="G228" s="94" t="str">
        <f t="shared" si="19"/>
        <v/>
      </c>
      <c r="H228" s="10" t="s">
        <v>20</v>
      </c>
      <c r="I228" s="331">
        <v>7.0999999999999994E-2</v>
      </c>
      <c r="J228" s="50">
        <f t="shared" si="20"/>
        <v>0</v>
      </c>
    </row>
    <row r="229" spans="1:10" x14ac:dyDescent="0.35">
      <c r="A229" s="103"/>
      <c r="B229" s="12" t="s">
        <v>9</v>
      </c>
      <c r="C229" s="10" t="s">
        <v>411</v>
      </c>
      <c r="D229" s="94"/>
      <c r="E229" s="170"/>
      <c r="F229" s="94"/>
      <c r="G229" s="94"/>
      <c r="H229" s="10" t="s">
        <v>20</v>
      </c>
      <c r="I229" s="331">
        <v>1.97</v>
      </c>
      <c r="J229" s="50"/>
    </row>
    <row r="230" spans="1:10" hidden="1" x14ac:dyDescent="0.35">
      <c r="A230" s="103"/>
      <c r="B230" s="12" t="s">
        <v>9</v>
      </c>
      <c r="C230" s="10" t="s">
        <v>371</v>
      </c>
      <c r="D230" s="94"/>
      <c r="E230" s="170"/>
      <c r="F230" s="94"/>
      <c r="G230" s="94" t="str">
        <f t="shared" si="19"/>
        <v/>
      </c>
      <c r="H230" s="10" t="s">
        <v>61</v>
      </c>
      <c r="I230" s="331">
        <v>163.80000000000001</v>
      </c>
      <c r="J230" s="50">
        <f t="shared" si="20"/>
        <v>0</v>
      </c>
    </row>
    <row r="231" spans="1:10" hidden="1" x14ac:dyDescent="0.35">
      <c r="A231" s="103"/>
      <c r="B231" s="12" t="s">
        <v>9</v>
      </c>
      <c r="C231" s="10" t="s">
        <v>410</v>
      </c>
      <c r="D231" s="101"/>
      <c r="E231" s="170"/>
      <c r="F231" s="101"/>
      <c r="G231" s="94" t="str">
        <f t="shared" si="19"/>
        <v/>
      </c>
      <c r="H231" s="10" t="s">
        <v>61</v>
      </c>
      <c r="I231" s="331">
        <v>49.33</v>
      </c>
      <c r="J231" s="50">
        <f t="shared" si="20"/>
        <v>0</v>
      </c>
    </row>
    <row r="232" spans="1:10" hidden="1" x14ac:dyDescent="0.35">
      <c r="A232" s="103"/>
      <c r="B232" s="12" t="s">
        <v>9</v>
      </c>
      <c r="C232" s="10" t="s">
        <v>373</v>
      </c>
      <c r="D232" s="102"/>
      <c r="E232" s="170"/>
      <c r="F232" s="102"/>
      <c r="G232" s="94" t="str">
        <f t="shared" si="19"/>
        <v/>
      </c>
      <c r="H232" s="10" t="s">
        <v>61</v>
      </c>
      <c r="I232" s="331">
        <v>105.6</v>
      </c>
      <c r="J232" s="50">
        <f t="shared" si="20"/>
        <v>0</v>
      </c>
    </row>
    <row r="233" spans="1:10" hidden="1" x14ac:dyDescent="0.35">
      <c r="A233" s="103"/>
      <c r="B233" s="12" t="s">
        <v>9</v>
      </c>
      <c r="C233" s="10" t="s">
        <v>374</v>
      </c>
      <c r="D233" s="102"/>
      <c r="E233" s="170"/>
      <c r="F233" s="102"/>
      <c r="G233" s="94" t="str">
        <f t="shared" si="19"/>
        <v/>
      </c>
      <c r="H233" s="10" t="s">
        <v>61</v>
      </c>
      <c r="I233" s="331">
        <v>114.75</v>
      </c>
      <c r="J233" s="50">
        <f t="shared" si="20"/>
        <v>0</v>
      </c>
    </row>
    <row r="234" spans="1:10" hidden="1" x14ac:dyDescent="0.35">
      <c r="A234" s="103"/>
      <c r="B234" s="12" t="s">
        <v>9</v>
      </c>
      <c r="C234" s="10" t="s">
        <v>375</v>
      </c>
      <c r="D234" s="94"/>
      <c r="E234" s="170"/>
      <c r="F234" s="94"/>
      <c r="G234" s="94" t="str">
        <f t="shared" si="19"/>
        <v/>
      </c>
      <c r="H234" s="10" t="s">
        <v>61</v>
      </c>
      <c r="I234" s="331">
        <v>105.55</v>
      </c>
      <c r="J234" s="50">
        <f t="shared" si="20"/>
        <v>0</v>
      </c>
    </row>
    <row r="235" spans="1:10" x14ac:dyDescent="0.35">
      <c r="A235" s="103"/>
      <c r="B235" s="12" t="s">
        <v>9</v>
      </c>
      <c r="C235" s="10" t="s">
        <v>376</v>
      </c>
      <c r="D235" s="94"/>
      <c r="E235" s="170"/>
      <c r="F235" s="94"/>
      <c r="G235" s="94" t="str">
        <f t="shared" si="19"/>
        <v/>
      </c>
      <c r="H235" s="10" t="s">
        <v>61</v>
      </c>
      <c r="I235" s="331">
        <v>33.25</v>
      </c>
      <c r="J235" s="50">
        <f t="shared" si="20"/>
        <v>0</v>
      </c>
    </row>
    <row r="236" spans="1:10" hidden="1" x14ac:dyDescent="0.35">
      <c r="A236" s="103"/>
      <c r="B236" s="12" t="s">
        <v>9</v>
      </c>
      <c r="C236" s="10" t="s">
        <v>377</v>
      </c>
      <c r="D236" s="94"/>
      <c r="E236" s="170"/>
      <c r="F236" s="94"/>
      <c r="G236" s="94" t="str">
        <f t="shared" si="19"/>
        <v/>
      </c>
      <c r="H236" s="10" t="s">
        <v>20</v>
      </c>
      <c r="I236" s="331">
        <v>0.28999999999999998</v>
      </c>
      <c r="J236" s="50">
        <f t="shared" si="20"/>
        <v>0</v>
      </c>
    </row>
    <row r="237" spans="1:10" hidden="1" x14ac:dyDescent="0.35">
      <c r="A237" s="103"/>
      <c r="B237" s="12" t="s">
        <v>9</v>
      </c>
      <c r="C237" s="10" t="s">
        <v>378</v>
      </c>
      <c r="D237" s="94"/>
      <c r="E237" s="170"/>
      <c r="F237" s="94"/>
      <c r="G237" s="94" t="str">
        <f t="shared" si="19"/>
        <v/>
      </c>
      <c r="H237" s="10" t="s">
        <v>61</v>
      </c>
      <c r="I237" s="336">
        <v>37.85</v>
      </c>
      <c r="J237" s="50">
        <f t="shared" si="20"/>
        <v>0</v>
      </c>
    </row>
    <row r="238" spans="1:10" x14ac:dyDescent="0.35">
      <c r="A238" s="103"/>
      <c r="B238" s="12" t="s">
        <v>9</v>
      </c>
      <c r="C238" s="10" t="s">
        <v>425</v>
      </c>
      <c r="D238" s="94"/>
      <c r="E238" s="170"/>
      <c r="F238" s="94"/>
      <c r="G238" s="94" t="str">
        <f t="shared" si="19"/>
        <v/>
      </c>
      <c r="H238" s="10" t="s">
        <v>61</v>
      </c>
      <c r="I238" s="336">
        <v>111.47</v>
      </c>
      <c r="J238" s="50">
        <f t="shared" si="20"/>
        <v>0</v>
      </c>
    </row>
    <row r="239" spans="1:10" hidden="1" x14ac:dyDescent="0.35">
      <c r="A239" s="103"/>
      <c r="B239" s="12" t="s">
        <v>9</v>
      </c>
      <c r="C239" s="10" t="s">
        <v>379</v>
      </c>
      <c r="D239" s="94"/>
      <c r="E239" s="170"/>
      <c r="F239" s="94"/>
      <c r="G239" s="94" t="str">
        <f t="shared" si="19"/>
        <v/>
      </c>
      <c r="H239" s="10" t="s">
        <v>61</v>
      </c>
      <c r="I239" s="336">
        <v>174.97</v>
      </c>
      <c r="J239" s="50">
        <f t="shared" si="20"/>
        <v>0</v>
      </c>
    </row>
    <row r="240" spans="1:10" hidden="1" x14ac:dyDescent="0.35">
      <c r="A240" s="103"/>
      <c r="B240" s="12" t="s">
        <v>9</v>
      </c>
      <c r="C240" s="10" t="s">
        <v>380</v>
      </c>
      <c r="D240" s="94"/>
      <c r="E240" s="170"/>
      <c r="F240" s="94"/>
      <c r="G240" s="94" t="str">
        <f t="shared" si="19"/>
        <v/>
      </c>
      <c r="H240" s="10" t="s">
        <v>61</v>
      </c>
      <c r="I240" s="336">
        <v>44.93</v>
      </c>
      <c r="J240" s="50">
        <f t="shared" si="20"/>
        <v>0</v>
      </c>
    </row>
    <row r="241" spans="1:10" hidden="1" x14ac:dyDescent="0.35">
      <c r="A241" s="103"/>
      <c r="B241" s="12" t="s">
        <v>9</v>
      </c>
      <c r="C241" s="10" t="s">
        <v>426</v>
      </c>
      <c r="D241" s="94"/>
      <c r="E241" s="170"/>
      <c r="F241" s="94"/>
      <c r="G241" s="94" t="str">
        <f t="shared" si="19"/>
        <v/>
      </c>
      <c r="H241" s="10" t="s">
        <v>20</v>
      </c>
      <c r="I241" s="336">
        <v>29.2</v>
      </c>
      <c r="J241" s="50">
        <f t="shared" si="20"/>
        <v>0</v>
      </c>
    </row>
    <row r="242" spans="1:10" hidden="1" x14ac:dyDescent="0.35">
      <c r="A242" s="103"/>
      <c r="B242" s="12" t="s">
        <v>9</v>
      </c>
      <c r="C242" s="10" t="s">
        <v>427</v>
      </c>
      <c r="D242" s="94"/>
      <c r="E242" s="170"/>
      <c r="F242" s="94"/>
      <c r="G242" s="94" t="str">
        <f t="shared" si="19"/>
        <v/>
      </c>
      <c r="H242" s="10" t="s">
        <v>20</v>
      </c>
      <c r="I242" s="336">
        <v>19.03</v>
      </c>
      <c r="J242" s="50">
        <f t="shared" si="20"/>
        <v>0</v>
      </c>
    </row>
    <row r="243" spans="1:10" hidden="1" x14ac:dyDescent="0.35">
      <c r="A243" s="103"/>
      <c r="B243" s="12" t="s">
        <v>9</v>
      </c>
      <c r="C243" s="10" t="s">
        <v>428</v>
      </c>
      <c r="D243" s="94"/>
      <c r="E243" s="170"/>
      <c r="F243" s="94"/>
      <c r="G243" s="94" t="str">
        <f t="shared" si="19"/>
        <v/>
      </c>
      <c r="H243" s="10" t="s">
        <v>20</v>
      </c>
      <c r="I243" s="336">
        <v>8.4600000000000009</v>
      </c>
      <c r="J243" s="50">
        <f t="shared" si="20"/>
        <v>0</v>
      </c>
    </row>
    <row r="244" spans="1:10" hidden="1" x14ac:dyDescent="0.35">
      <c r="A244" s="103"/>
      <c r="B244" s="12" t="s">
        <v>9</v>
      </c>
      <c r="C244" s="10" t="s">
        <v>381</v>
      </c>
      <c r="D244" s="94"/>
      <c r="E244" s="170"/>
      <c r="F244" s="94"/>
      <c r="G244" s="94" t="str">
        <f t="shared" si="19"/>
        <v/>
      </c>
      <c r="H244" s="10" t="s">
        <v>20</v>
      </c>
      <c r="I244" s="336">
        <v>0.02</v>
      </c>
      <c r="J244" s="50">
        <f t="shared" si="20"/>
        <v>0</v>
      </c>
    </row>
    <row r="245" spans="1:10" ht="15.5" x14ac:dyDescent="0.35">
      <c r="A245" s="108" t="s">
        <v>382</v>
      </c>
      <c r="B245" s="108"/>
      <c r="C245" s="108"/>
      <c r="D245" s="108"/>
      <c r="E245" s="162"/>
      <c r="F245" s="108"/>
      <c r="G245" s="221" t="str">
        <f t="shared" si="19"/>
        <v/>
      </c>
      <c r="H245" s="108"/>
      <c r="I245" s="106" t="s">
        <v>18</v>
      </c>
      <c r="J245" s="107">
        <f>SUM(J246:J256)</f>
        <v>30.699999999999996</v>
      </c>
    </row>
    <row r="246" spans="1:10" x14ac:dyDescent="0.35">
      <c r="A246" s="103"/>
      <c r="B246" s="12" t="s">
        <v>31</v>
      </c>
      <c r="C246" s="10" t="s">
        <v>383</v>
      </c>
      <c r="D246" s="94"/>
      <c r="E246" s="170"/>
      <c r="F246" s="94"/>
      <c r="G246" s="94" t="str">
        <f t="shared" si="19"/>
        <v/>
      </c>
      <c r="H246" s="10" t="s">
        <v>20</v>
      </c>
      <c r="I246" s="331">
        <v>5.5</v>
      </c>
      <c r="J246" s="12">
        <f t="shared" ref="J246:J256" si="21">E246*I246</f>
        <v>0</v>
      </c>
    </row>
    <row r="247" spans="1:10" x14ac:dyDescent="0.35">
      <c r="A247" s="103"/>
      <c r="B247" s="12" t="s">
        <v>31</v>
      </c>
      <c r="C247" s="10" t="s">
        <v>39</v>
      </c>
      <c r="D247" s="94"/>
      <c r="E247" s="170">
        <v>3</v>
      </c>
      <c r="F247" s="94"/>
      <c r="G247" s="94" t="str">
        <f t="shared" si="19"/>
        <v/>
      </c>
      <c r="H247" s="10" t="s">
        <v>20</v>
      </c>
      <c r="I247" s="331">
        <v>4.55</v>
      </c>
      <c r="J247" s="12">
        <f t="shared" si="21"/>
        <v>13.649999999999999</v>
      </c>
    </row>
    <row r="248" spans="1:10" x14ac:dyDescent="0.35">
      <c r="A248" s="103"/>
      <c r="B248" s="12" t="s">
        <v>31</v>
      </c>
      <c r="C248" s="10" t="s">
        <v>422</v>
      </c>
      <c r="D248" s="94"/>
      <c r="E248" s="170">
        <v>2</v>
      </c>
      <c r="F248" s="94"/>
      <c r="G248" s="94" t="str">
        <f t="shared" si="19"/>
        <v/>
      </c>
      <c r="H248" s="10" t="s">
        <v>20</v>
      </c>
      <c r="I248" s="331">
        <v>3.7</v>
      </c>
      <c r="J248" s="12">
        <f t="shared" si="21"/>
        <v>7.4</v>
      </c>
    </row>
    <row r="249" spans="1:10" x14ac:dyDescent="0.35">
      <c r="A249" s="103"/>
      <c r="B249" s="12" t="s">
        <v>31</v>
      </c>
      <c r="C249" s="10" t="s">
        <v>67</v>
      </c>
      <c r="D249" s="94"/>
      <c r="E249" s="170"/>
      <c r="F249" s="94"/>
      <c r="G249" s="94" t="str">
        <f t="shared" si="19"/>
        <v/>
      </c>
      <c r="H249" s="10" t="s">
        <v>20</v>
      </c>
      <c r="I249" s="331">
        <v>15.56</v>
      </c>
      <c r="J249" s="12">
        <f t="shared" si="21"/>
        <v>0</v>
      </c>
    </row>
    <row r="250" spans="1:10" hidden="1" x14ac:dyDescent="0.35">
      <c r="A250" s="103"/>
      <c r="B250" s="12" t="s">
        <v>31</v>
      </c>
      <c r="C250" s="10" t="s">
        <v>384</v>
      </c>
      <c r="D250" s="94"/>
      <c r="E250" s="170"/>
      <c r="F250" s="94"/>
      <c r="G250" s="94" t="str">
        <f t="shared" si="19"/>
        <v/>
      </c>
      <c r="H250" s="10" t="s">
        <v>20</v>
      </c>
      <c r="I250" s="331">
        <v>0.8</v>
      </c>
      <c r="J250" s="12">
        <f t="shared" si="21"/>
        <v>0</v>
      </c>
    </row>
    <row r="251" spans="1:10" hidden="1" x14ac:dyDescent="0.35">
      <c r="A251" s="103"/>
      <c r="B251" s="12" t="s">
        <v>31</v>
      </c>
      <c r="C251" s="10" t="s">
        <v>385</v>
      </c>
      <c r="D251" s="94"/>
      <c r="E251" s="170"/>
      <c r="F251" s="94"/>
      <c r="G251" s="94" t="str">
        <f t="shared" si="19"/>
        <v/>
      </c>
      <c r="H251" s="10" t="s">
        <v>20</v>
      </c>
      <c r="I251" s="331">
        <v>1.83</v>
      </c>
      <c r="J251" s="12">
        <f t="shared" si="21"/>
        <v>0</v>
      </c>
    </row>
    <row r="252" spans="1:10" x14ac:dyDescent="0.35">
      <c r="A252" s="103"/>
      <c r="B252" s="12" t="s">
        <v>31</v>
      </c>
      <c r="C252" s="10" t="s">
        <v>386</v>
      </c>
      <c r="D252" s="94"/>
      <c r="E252" s="170">
        <v>1</v>
      </c>
      <c r="F252" s="94"/>
      <c r="G252" s="94" t="str">
        <f t="shared" si="19"/>
        <v/>
      </c>
      <c r="H252" s="10" t="s">
        <v>20</v>
      </c>
      <c r="I252" s="331">
        <v>2.65</v>
      </c>
      <c r="J252" s="12">
        <f t="shared" si="21"/>
        <v>2.65</v>
      </c>
    </row>
    <row r="253" spans="1:10" x14ac:dyDescent="0.35">
      <c r="A253" s="103"/>
      <c r="B253" s="12" t="s">
        <v>31</v>
      </c>
      <c r="C253" s="10" t="s">
        <v>65</v>
      </c>
      <c r="D253" s="94"/>
      <c r="E253" s="170"/>
      <c r="F253" s="94"/>
      <c r="G253" s="94" t="str">
        <f t="shared" si="19"/>
        <v/>
      </c>
      <c r="H253" s="10" t="s">
        <v>20</v>
      </c>
      <c r="I253" s="331">
        <v>13.43</v>
      </c>
      <c r="J253" s="12">
        <f t="shared" si="21"/>
        <v>0</v>
      </c>
    </row>
    <row r="254" spans="1:10" hidden="1" x14ac:dyDescent="0.35">
      <c r="A254" s="103"/>
      <c r="B254" s="12" t="s">
        <v>31</v>
      </c>
      <c r="C254" s="10" t="s">
        <v>66</v>
      </c>
      <c r="D254" s="94"/>
      <c r="E254" s="170"/>
      <c r="F254" s="94"/>
      <c r="G254" s="94" t="str">
        <f t="shared" si="19"/>
        <v/>
      </c>
      <c r="H254" s="10" t="s">
        <v>20</v>
      </c>
      <c r="I254" s="331">
        <v>75.38</v>
      </c>
      <c r="J254" s="12">
        <f t="shared" si="21"/>
        <v>0</v>
      </c>
    </row>
    <row r="255" spans="1:10" x14ac:dyDescent="0.35">
      <c r="A255" s="103"/>
      <c r="B255" s="12" t="s">
        <v>31</v>
      </c>
      <c r="C255" s="10" t="s">
        <v>412</v>
      </c>
      <c r="D255" s="94"/>
      <c r="E255" s="170"/>
      <c r="F255" s="94"/>
      <c r="G255" s="94" t="str">
        <f t="shared" si="19"/>
        <v/>
      </c>
      <c r="H255" s="10" t="s">
        <v>20</v>
      </c>
      <c r="I255" s="331">
        <v>8.43</v>
      </c>
      <c r="J255" s="12">
        <f t="shared" si="21"/>
        <v>0</v>
      </c>
    </row>
    <row r="256" spans="1:10" x14ac:dyDescent="0.35">
      <c r="A256" s="103"/>
      <c r="B256" s="12" t="s">
        <v>31</v>
      </c>
      <c r="C256" s="10" t="s">
        <v>69</v>
      </c>
      <c r="D256" s="94"/>
      <c r="E256" s="170">
        <v>2</v>
      </c>
      <c r="F256" s="94"/>
      <c r="G256" s="94" t="str">
        <f t="shared" si="19"/>
        <v/>
      </c>
      <c r="H256" s="10" t="s">
        <v>63</v>
      </c>
      <c r="I256" s="331">
        <v>3.5</v>
      </c>
      <c r="J256" s="12">
        <f t="shared" si="21"/>
        <v>7</v>
      </c>
    </row>
    <row r="257" spans="1:10" ht="15.5" x14ac:dyDescent="0.35">
      <c r="A257" s="108" t="s">
        <v>57</v>
      </c>
      <c r="B257" s="108"/>
      <c r="C257" s="108"/>
      <c r="D257" s="108"/>
      <c r="E257" s="162"/>
      <c r="F257" s="108"/>
      <c r="G257" s="221" t="str">
        <f t="shared" si="19"/>
        <v/>
      </c>
      <c r="H257" s="108"/>
      <c r="I257" s="106" t="s">
        <v>18</v>
      </c>
      <c r="J257" s="107">
        <f>SUM(J258:J259)</f>
        <v>0</v>
      </c>
    </row>
    <row r="258" spans="1:10" x14ac:dyDescent="0.35">
      <c r="A258" s="103"/>
      <c r="B258" s="12" t="s">
        <v>56</v>
      </c>
      <c r="C258" s="10" t="s">
        <v>58</v>
      </c>
      <c r="D258" s="94"/>
      <c r="E258" s="170"/>
      <c r="F258" s="94"/>
      <c r="G258" s="94" t="str">
        <f t="shared" ref="G258:G259" si="22">IF(D258-E258&gt;0,D258-E258,"")</f>
        <v/>
      </c>
      <c r="H258" s="10" t="s">
        <v>20</v>
      </c>
      <c r="I258" s="331">
        <v>54.05</v>
      </c>
      <c r="J258" s="12">
        <f>E258*I258</f>
        <v>0</v>
      </c>
    </row>
    <row r="259" spans="1:10" x14ac:dyDescent="0.35">
      <c r="A259" s="103"/>
      <c r="B259" s="12" t="s">
        <v>56</v>
      </c>
      <c r="C259" s="10" t="s">
        <v>388</v>
      </c>
      <c r="D259" s="94"/>
      <c r="E259" s="170"/>
      <c r="F259" s="94"/>
      <c r="G259" s="94" t="str">
        <f t="shared" si="22"/>
        <v/>
      </c>
      <c r="H259" s="10" t="s">
        <v>20</v>
      </c>
      <c r="I259" s="331">
        <v>0</v>
      </c>
      <c r="J259" s="12">
        <f>E259*I259</f>
        <v>0</v>
      </c>
    </row>
  </sheetData>
  <mergeCells count="2">
    <mergeCell ref="B1:C1"/>
    <mergeCell ref="B2:C2"/>
  </mergeCells>
  <pageMargins left="0.7" right="0.7" top="0.75" bottom="0.75" header="0.3" footer="0.3"/>
  <pageSetup paperSize="9" scale="73" fitToHeight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85CFA-7A1B-7645-9827-5C42426AEF91}">
  <sheetPr codeName="Feuil12">
    <tabColor theme="8" tint="0.39997558519241921"/>
    <pageSetUpPr fitToPage="1"/>
  </sheetPr>
  <dimension ref="A1:N259"/>
  <sheetViews>
    <sheetView topLeftCell="A58" zoomScaleNormal="100" workbookViewId="0">
      <selection activeCell="J209" sqref="J209"/>
    </sheetView>
  </sheetViews>
  <sheetFormatPr baseColWidth="10" defaultColWidth="8.453125" defaultRowHeight="14.5" x14ac:dyDescent="0.35"/>
  <cols>
    <col min="1" max="1" width="2.54296875" customWidth="1"/>
    <col min="2" max="2" width="32.26953125" customWidth="1"/>
    <col min="3" max="3" width="44.54296875" bestFit="1" customWidth="1"/>
    <col min="4" max="4" width="19.7265625" bestFit="1" customWidth="1"/>
    <col min="5" max="5" width="18.81640625" style="34" bestFit="1" customWidth="1"/>
    <col min="6" max="6" width="18.26953125" hidden="1" customWidth="1"/>
    <col min="7" max="7" width="14" bestFit="1" customWidth="1"/>
    <col min="8" max="8" width="6.81640625" bestFit="1" customWidth="1"/>
    <col min="9" max="9" width="8.453125" style="86" bestFit="1" customWidth="1"/>
    <col min="10" max="10" width="7.1796875" customWidth="1"/>
  </cols>
  <sheetData>
    <row r="1" spans="2:7" ht="15" thickBot="1" x14ac:dyDescent="0.4">
      <c r="B1" s="321" t="s">
        <v>198</v>
      </c>
      <c r="C1" s="322"/>
      <c r="F1" s="89"/>
      <c r="G1" s="89"/>
    </row>
    <row r="2" spans="2:7" ht="15" thickBot="1" x14ac:dyDescent="0.4">
      <c r="B2" s="319"/>
      <c r="C2" s="320"/>
      <c r="F2" s="90"/>
      <c r="G2" s="90"/>
    </row>
    <row r="3" spans="2:7" x14ac:dyDescent="0.35">
      <c r="B3" s="75"/>
      <c r="C3" s="75"/>
      <c r="F3" s="75"/>
      <c r="G3" s="75"/>
    </row>
    <row r="4" spans="2:7" ht="15.5" x14ac:dyDescent="0.35">
      <c r="B4" s="70" t="s">
        <v>0</v>
      </c>
      <c r="C4" s="70" t="s">
        <v>1</v>
      </c>
      <c r="F4" s="91"/>
      <c r="G4" s="91"/>
    </row>
    <row r="5" spans="2:7" x14ac:dyDescent="0.35">
      <c r="B5" s="71" t="s">
        <v>2</v>
      </c>
      <c r="C5" s="72">
        <f>J23</f>
        <v>3046.3</v>
      </c>
      <c r="F5" s="92"/>
      <c r="G5" s="92"/>
    </row>
    <row r="6" spans="2:7" x14ac:dyDescent="0.35">
      <c r="B6" s="71" t="s">
        <v>7</v>
      </c>
      <c r="C6" s="72">
        <f>J4</f>
        <v>0</v>
      </c>
      <c r="F6" s="92"/>
      <c r="G6" s="92"/>
    </row>
    <row r="7" spans="2:7" x14ac:dyDescent="0.35">
      <c r="B7" s="71" t="s">
        <v>13</v>
      </c>
      <c r="C7" s="72">
        <f>J50</f>
        <v>318.85000000000002</v>
      </c>
      <c r="F7" s="92"/>
      <c r="G7" s="92"/>
    </row>
    <row r="8" spans="2:7" x14ac:dyDescent="0.35">
      <c r="B8" s="71" t="s">
        <v>3</v>
      </c>
      <c r="C8" s="72">
        <f>J78</f>
        <v>0</v>
      </c>
      <c r="F8" s="92"/>
      <c r="G8" s="92"/>
    </row>
    <row r="9" spans="2:7" x14ac:dyDescent="0.35">
      <c r="B9" s="71" t="s">
        <v>4</v>
      </c>
      <c r="C9" s="72">
        <f>J122</f>
        <v>122.56</v>
      </c>
      <c r="F9" s="92"/>
      <c r="G9" s="92"/>
    </row>
    <row r="10" spans="2:7" x14ac:dyDescent="0.35">
      <c r="B10" s="71" t="s">
        <v>199</v>
      </c>
      <c r="C10" s="72">
        <f>J176</f>
        <v>0</v>
      </c>
      <c r="F10" s="92"/>
      <c r="G10" s="92"/>
    </row>
    <row r="11" spans="2:7" x14ac:dyDescent="0.35">
      <c r="B11" s="71" t="s">
        <v>200</v>
      </c>
      <c r="C11" s="72">
        <f>J187</f>
        <v>0</v>
      </c>
      <c r="F11" s="92"/>
      <c r="G11" s="92"/>
    </row>
    <row r="12" spans="2:7" x14ac:dyDescent="0.35">
      <c r="B12" s="71" t="s">
        <v>201</v>
      </c>
      <c r="C12" s="72">
        <f>J193</f>
        <v>0</v>
      </c>
      <c r="F12" s="92"/>
      <c r="G12" s="92"/>
    </row>
    <row r="13" spans="2:7" x14ac:dyDescent="0.35">
      <c r="B13" s="71" t="s">
        <v>202</v>
      </c>
      <c r="C13" s="72">
        <f>J195</f>
        <v>0</v>
      </c>
      <c r="F13" s="92"/>
      <c r="G13" s="92"/>
    </row>
    <row r="14" spans="2:7" x14ac:dyDescent="0.35">
      <c r="B14" s="71" t="s">
        <v>203</v>
      </c>
      <c r="C14" s="72">
        <f>J208</f>
        <v>0</v>
      </c>
      <c r="F14" s="92"/>
      <c r="G14" s="92"/>
    </row>
    <row r="15" spans="2:7" x14ac:dyDescent="0.35">
      <c r="B15" s="71" t="s">
        <v>12</v>
      </c>
      <c r="C15" s="72">
        <f>J214</f>
        <v>0</v>
      </c>
      <c r="F15" s="92"/>
      <c r="G15" s="92"/>
    </row>
    <row r="16" spans="2:7" x14ac:dyDescent="0.35">
      <c r="B16" s="71" t="s">
        <v>204</v>
      </c>
      <c r="C16" s="72">
        <f>J222</f>
        <v>0</v>
      </c>
      <c r="F16" s="92"/>
      <c r="G16" s="92"/>
    </row>
    <row r="17" spans="1:11" x14ac:dyDescent="0.35">
      <c r="B17" s="71" t="s">
        <v>9</v>
      </c>
      <c r="C17" s="72">
        <f>J224</f>
        <v>55.734999999999999</v>
      </c>
      <c r="F17" s="92"/>
      <c r="G17" s="92"/>
    </row>
    <row r="18" spans="1:11" x14ac:dyDescent="0.35">
      <c r="B18" s="71" t="s">
        <v>205</v>
      </c>
      <c r="C18" s="72">
        <f>J245</f>
        <v>13.35</v>
      </c>
      <c r="F18" s="92"/>
      <c r="G18" s="92"/>
    </row>
    <row r="19" spans="1:11" x14ac:dyDescent="0.35">
      <c r="B19" s="71" t="s">
        <v>56</v>
      </c>
      <c r="C19" s="72">
        <f>J257</f>
        <v>0</v>
      </c>
      <c r="F19" s="92"/>
      <c r="G19" s="92"/>
    </row>
    <row r="20" spans="1:11" ht="18.75" customHeight="1" x14ac:dyDescent="0.35">
      <c r="B20" s="73" t="s">
        <v>14</v>
      </c>
      <c r="C20" s="74">
        <f>C5+C6+C7+C8+C9+C10+C11+C12+C13+C14+C15+C16+C17+C18+C19</f>
        <v>3556.7950000000001</v>
      </c>
      <c r="F20" s="93"/>
      <c r="G20" s="93"/>
    </row>
    <row r="21" spans="1:11" ht="14.25" customHeight="1" x14ac:dyDescent="0.45">
      <c r="A21" s="76" t="s">
        <v>207</v>
      </c>
      <c r="B21" s="76"/>
      <c r="C21" s="76"/>
      <c r="D21" s="76"/>
      <c r="E21" s="167"/>
      <c r="F21" s="76"/>
      <c r="G21" s="76"/>
      <c r="H21" s="76"/>
      <c r="I21" s="262"/>
      <c r="J21" s="76"/>
    </row>
    <row r="22" spans="1:11" s="6" customFormat="1" ht="15.5" x14ac:dyDescent="0.35">
      <c r="A22" s="129"/>
      <c r="B22" s="129" t="s">
        <v>15</v>
      </c>
      <c r="C22" s="129" t="s">
        <v>16</v>
      </c>
      <c r="D22" s="130" t="s">
        <v>398</v>
      </c>
      <c r="E22" s="168" t="s">
        <v>401</v>
      </c>
      <c r="F22" s="130" t="s">
        <v>399</v>
      </c>
      <c r="G22" s="164" t="s">
        <v>400</v>
      </c>
      <c r="H22" s="132" t="s">
        <v>406</v>
      </c>
      <c r="I22" s="341" t="s">
        <v>45</v>
      </c>
      <c r="J22" s="132" t="s">
        <v>402</v>
      </c>
    </row>
    <row r="23" spans="1:11" ht="15.5" x14ac:dyDescent="0.35">
      <c r="A23" s="108" t="s">
        <v>208</v>
      </c>
      <c r="B23" s="108"/>
      <c r="C23" s="108"/>
      <c r="D23" s="108"/>
      <c r="E23" s="169" t="s">
        <v>421</v>
      </c>
      <c r="F23" s="108"/>
      <c r="G23" s="108"/>
      <c r="H23" s="108"/>
      <c r="I23" s="110" t="s">
        <v>18</v>
      </c>
      <c r="J23" s="107">
        <f>SUM(J24:J40)</f>
        <v>3046.3</v>
      </c>
      <c r="K23" s="13"/>
    </row>
    <row r="24" spans="1:11" x14ac:dyDescent="0.35">
      <c r="A24" s="103"/>
      <c r="B24" s="7" t="s">
        <v>2</v>
      </c>
      <c r="C24" s="14" t="s">
        <v>19</v>
      </c>
      <c r="D24" s="152">
        <v>2</v>
      </c>
      <c r="E24" s="170"/>
      <c r="F24" s="95"/>
      <c r="G24" s="153" t="str">
        <f>IF(E24="","",IF(D24-E24&gt;0,D24-E24,""))</f>
        <v/>
      </c>
      <c r="H24" s="10" t="s">
        <v>20</v>
      </c>
      <c r="I24" s="331">
        <v>55.95</v>
      </c>
      <c r="J24" s="12">
        <f t="shared" ref="J24:J40" si="0">E24*I24</f>
        <v>0</v>
      </c>
      <c r="K24" s="13"/>
    </row>
    <row r="25" spans="1:11" hidden="1" x14ac:dyDescent="0.35">
      <c r="A25" s="103"/>
      <c r="B25" s="7" t="s">
        <v>2</v>
      </c>
      <c r="C25" s="14" t="s">
        <v>209</v>
      </c>
      <c r="D25" s="152"/>
      <c r="E25" s="170"/>
      <c r="F25" s="95"/>
      <c r="G25" s="153" t="str">
        <f t="shared" ref="G25:G88" si="1">IF(E25="","",IF(D25-E25&gt;0,D25-E25,""))</f>
        <v/>
      </c>
      <c r="H25" s="10" t="s">
        <v>20</v>
      </c>
      <c r="I25" s="331">
        <v>173.1</v>
      </c>
      <c r="J25" s="12">
        <f t="shared" si="0"/>
        <v>0</v>
      </c>
      <c r="K25" s="13"/>
    </row>
    <row r="26" spans="1:11" ht="14.5" customHeight="1" x14ac:dyDescent="0.35">
      <c r="A26" s="103"/>
      <c r="B26" s="12" t="s">
        <v>2</v>
      </c>
      <c r="C26" s="10" t="s">
        <v>21</v>
      </c>
      <c r="D26" s="152">
        <v>15</v>
      </c>
      <c r="E26" s="170">
        <v>10</v>
      </c>
      <c r="F26" s="95"/>
      <c r="G26" s="153">
        <f t="shared" si="1"/>
        <v>5</v>
      </c>
      <c r="H26" s="10" t="s">
        <v>20</v>
      </c>
      <c r="I26" s="331">
        <v>75.400000000000006</v>
      </c>
      <c r="J26" s="12">
        <f t="shared" si="0"/>
        <v>754</v>
      </c>
      <c r="K26" s="13"/>
    </row>
    <row r="27" spans="1:11" ht="14.5" customHeight="1" x14ac:dyDescent="0.35">
      <c r="A27" s="103"/>
      <c r="B27" s="12" t="s">
        <v>2</v>
      </c>
      <c r="C27" s="10" t="s">
        <v>210</v>
      </c>
      <c r="D27" s="152">
        <v>15</v>
      </c>
      <c r="E27" s="170">
        <v>27</v>
      </c>
      <c r="F27" s="95"/>
      <c r="G27" s="153" t="str">
        <f t="shared" si="1"/>
        <v/>
      </c>
      <c r="H27" s="10" t="s">
        <v>20</v>
      </c>
      <c r="I27" s="331">
        <v>84.9</v>
      </c>
      <c r="J27" s="12">
        <f t="shared" si="0"/>
        <v>2292.3000000000002</v>
      </c>
      <c r="K27" s="13"/>
    </row>
    <row r="28" spans="1:11" ht="14.5" hidden="1" customHeight="1" x14ac:dyDescent="0.35">
      <c r="A28" s="103"/>
      <c r="B28" s="12" t="s">
        <v>2</v>
      </c>
      <c r="C28" s="10" t="s">
        <v>211</v>
      </c>
      <c r="D28" s="152"/>
      <c r="E28" s="170"/>
      <c r="F28" s="95"/>
      <c r="G28" s="153" t="str">
        <f t="shared" si="1"/>
        <v/>
      </c>
      <c r="H28" s="10" t="s">
        <v>20</v>
      </c>
      <c r="I28" s="331">
        <v>2.96</v>
      </c>
      <c r="J28" s="12">
        <f t="shared" si="0"/>
        <v>0</v>
      </c>
      <c r="K28" s="13"/>
    </row>
    <row r="29" spans="1:11" hidden="1" x14ac:dyDescent="0.35">
      <c r="A29" s="103"/>
      <c r="B29" s="12" t="s">
        <v>2</v>
      </c>
      <c r="C29" s="10" t="s">
        <v>212</v>
      </c>
      <c r="D29" s="152"/>
      <c r="E29" s="170"/>
      <c r="F29" s="95"/>
      <c r="G29" s="153" t="str">
        <f t="shared" si="1"/>
        <v/>
      </c>
      <c r="H29" s="10" t="s">
        <v>20</v>
      </c>
      <c r="I29" s="331">
        <v>2.96</v>
      </c>
      <c r="J29" s="12">
        <f t="shared" si="0"/>
        <v>0</v>
      </c>
      <c r="K29" s="13"/>
    </row>
    <row r="30" spans="1:11" hidden="1" x14ac:dyDescent="0.35">
      <c r="A30" s="103"/>
      <c r="B30" s="12" t="s">
        <v>2</v>
      </c>
      <c r="C30" s="10" t="s">
        <v>213</v>
      </c>
      <c r="D30" s="152"/>
      <c r="E30" s="170"/>
      <c r="F30" s="95"/>
      <c r="G30" s="153" t="str">
        <f t="shared" si="1"/>
        <v/>
      </c>
      <c r="H30" s="10" t="s">
        <v>20</v>
      </c>
      <c r="I30" s="331">
        <v>2.96</v>
      </c>
      <c r="J30" s="12">
        <f t="shared" si="0"/>
        <v>0</v>
      </c>
      <c r="K30" s="13"/>
    </row>
    <row r="31" spans="1:11" ht="14.5" hidden="1" customHeight="1" x14ac:dyDescent="0.35">
      <c r="A31" s="103"/>
      <c r="B31" s="7" t="s">
        <v>2</v>
      </c>
      <c r="C31" s="14" t="s">
        <v>22</v>
      </c>
      <c r="D31" s="152"/>
      <c r="E31" s="170"/>
      <c r="F31" s="95"/>
      <c r="G31" s="153" t="str">
        <f t="shared" si="1"/>
        <v/>
      </c>
      <c r="H31" s="10" t="s">
        <v>20</v>
      </c>
      <c r="I31" s="331">
        <v>107.2</v>
      </c>
      <c r="J31" s="12">
        <f t="shared" si="0"/>
        <v>0</v>
      </c>
      <c r="K31" s="13"/>
    </row>
    <row r="32" spans="1:11" ht="14.5" hidden="1" customHeight="1" x14ac:dyDescent="0.35">
      <c r="A32" s="103"/>
      <c r="B32" s="7" t="s">
        <v>2</v>
      </c>
      <c r="C32" s="14" t="s">
        <v>214</v>
      </c>
      <c r="D32" s="152"/>
      <c r="E32" s="170"/>
      <c r="F32" s="95"/>
      <c r="G32" s="153" t="str">
        <f t="shared" si="1"/>
        <v/>
      </c>
      <c r="H32" s="10" t="s">
        <v>20</v>
      </c>
      <c r="I32" s="331">
        <v>170.7</v>
      </c>
      <c r="J32" s="12">
        <f t="shared" si="0"/>
        <v>0</v>
      </c>
      <c r="K32" s="13"/>
    </row>
    <row r="33" spans="1:11" s="6" customFormat="1" ht="15.65" hidden="1" customHeight="1" x14ac:dyDescent="0.35">
      <c r="A33" s="103"/>
      <c r="B33" s="12" t="s">
        <v>2</v>
      </c>
      <c r="C33" s="10" t="s">
        <v>215</v>
      </c>
      <c r="D33" s="152"/>
      <c r="E33" s="170"/>
      <c r="F33" s="95"/>
      <c r="G33" s="153" t="str">
        <f t="shared" si="1"/>
        <v/>
      </c>
      <c r="H33" s="10" t="s">
        <v>216</v>
      </c>
      <c r="I33" s="331">
        <v>3.77</v>
      </c>
      <c r="J33" s="12">
        <f t="shared" si="0"/>
        <v>0</v>
      </c>
    </row>
    <row r="34" spans="1:11" ht="14.5" hidden="1" customHeight="1" x14ac:dyDescent="0.35">
      <c r="A34" s="103"/>
      <c r="B34" s="12" t="s">
        <v>2</v>
      </c>
      <c r="C34" s="10" t="s">
        <v>217</v>
      </c>
      <c r="D34" s="152"/>
      <c r="E34" s="170"/>
      <c r="F34" s="95"/>
      <c r="G34" s="153" t="str">
        <f t="shared" si="1"/>
        <v/>
      </c>
      <c r="H34" s="10" t="s">
        <v>20</v>
      </c>
      <c r="I34" s="331">
        <v>2.56</v>
      </c>
      <c r="J34" s="12">
        <f t="shared" si="0"/>
        <v>0</v>
      </c>
      <c r="K34" s="13"/>
    </row>
    <row r="35" spans="1:11" ht="14.5" hidden="1" customHeight="1" x14ac:dyDescent="0.35">
      <c r="A35" s="103"/>
      <c r="B35" s="12" t="s">
        <v>2</v>
      </c>
      <c r="C35" s="10" t="s">
        <v>218</v>
      </c>
      <c r="D35" s="152"/>
      <c r="E35" s="170"/>
      <c r="F35" s="95"/>
      <c r="G35" s="153" t="str">
        <f t="shared" si="1"/>
        <v/>
      </c>
      <c r="H35" s="10" t="s">
        <v>20</v>
      </c>
      <c r="I35" s="331">
        <v>3.08</v>
      </c>
      <c r="J35" s="12">
        <f t="shared" si="0"/>
        <v>0</v>
      </c>
      <c r="K35" s="13"/>
    </row>
    <row r="36" spans="1:11" hidden="1" x14ac:dyDescent="0.35">
      <c r="A36" s="103"/>
      <c r="B36" s="12" t="s">
        <v>2</v>
      </c>
      <c r="C36" s="10" t="s">
        <v>219</v>
      </c>
      <c r="D36" s="152"/>
      <c r="E36" s="170"/>
      <c r="F36" s="95"/>
      <c r="G36" s="153" t="str">
        <f t="shared" si="1"/>
        <v/>
      </c>
      <c r="H36" s="10" t="s">
        <v>20</v>
      </c>
      <c r="I36" s="331">
        <v>2.56</v>
      </c>
      <c r="J36" s="12">
        <f t="shared" si="0"/>
        <v>0</v>
      </c>
      <c r="K36" s="13"/>
    </row>
    <row r="37" spans="1:11" hidden="1" x14ac:dyDescent="0.35">
      <c r="A37" s="103"/>
      <c r="B37" s="12" t="s">
        <v>2</v>
      </c>
      <c r="C37" s="10" t="s">
        <v>220</v>
      </c>
      <c r="D37" s="152"/>
      <c r="E37" s="170"/>
      <c r="F37" s="95"/>
      <c r="G37" s="153" t="str">
        <f t="shared" si="1"/>
        <v/>
      </c>
      <c r="H37" s="10" t="s">
        <v>20</v>
      </c>
      <c r="I37" s="331">
        <v>1.41</v>
      </c>
      <c r="J37" s="12">
        <f t="shared" si="0"/>
        <v>0</v>
      </c>
      <c r="K37" s="13"/>
    </row>
    <row r="38" spans="1:11" hidden="1" x14ac:dyDescent="0.35">
      <c r="A38" s="103"/>
      <c r="B38" s="12" t="s">
        <v>2</v>
      </c>
      <c r="C38" s="10" t="s">
        <v>221</v>
      </c>
      <c r="D38" s="152"/>
      <c r="E38" s="170"/>
      <c r="F38" s="95"/>
      <c r="G38" s="153" t="str">
        <f t="shared" si="1"/>
        <v/>
      </c>
      <c r="H38" s="10" t="s">
        <v>20</v>
      </c>
      <c r="I38" s="331">
        <v>1.73</v>
      </c>
      <c r="J38" s="12">
        <f t="shared" si="0"/>
        <v>0</v>
      </c>
      <c r="K38" s="13"/>
    </row>
    <row r="39" spans="1:11" ht="14.5" hidden="1" customHeight="1" x14ac:dyDescent="0.35">
      <c r="A39" s="103"/>
      <c r="B39" s="12" t="s">
        <v>2</v>
      </c>
      <c r="C39" s="10" t="s">
        <v>222</v>
      </c>
      <c r="D39" s="152"/>
      <c r="E39" s="170"/>
      <c r="F39" s="95"/>
      <c r="G39" s="153" t="str">
        <f t="shared" si="1"/>
        <v/>
      </c>
      <c r="H39" s="10" t="s">
        <v>20</v>
      </c>
      <c r="I39" s="331">
        <v>1.46</v>
      </c>
      <c r="J39" s="12">
        <f t="shared" si="0"/>
        <v>0</v>
      </c>
      <c r="K39" s="13"/>
    </row>
    <row r="40" spans="1:11" s="6" customFormat="1" ht="15.65" hidden="1" customHeight="1" x14ac:dyDescent="0.35">
      <c r="A40" s="103"/>
      <c r="B40" s="12" t="s">
        <v>2</v>
      </c>
      <c r="C40" s="10" t="s">
        <v>223</v>
      </c>
      <c r="D40" s="222"/>
      <c r="E40" s="170"/>
      <c r="F40" s="141"/>
      <c r="G40" s="153" t="str">
        <f t="shared" si="1"/>
        <v/>
      </c>
      <c r="H40" s="10" t="s">
        <v>20</v>
      </c>
      <c r="I40" s="332">
        <v>3.45</v>
      </c>
      <c r="J40" s="12">
        <f t="shared" si="0"/>
        <v>0</v>
      </c>
    </row>
    <row r="41" spans="1:11" ht="14.5" customHeight="1" x14ac:dyDescent="0.35">
      <c r="A41" s="108" t="s">
        <v>119</v>
      </c>
      <c r="B41" s="108"/>
      <c r="C41" s="108"/>
      <c r="D41" s="223"/>
      <c r="E41" s="169"/>
      <c r="F41" s="109"/>
      <c r="G41" s="165" t="str">
        <f t="shared" si="1"/>
        <v/>
      </c>
      <c r="H41" s="108"/>
      <c r="I41" s="106" t="s">
        <v>18</v>
      </c>
      <c r="J41" s="107">
        <f>SUM(J42:J49)</f>
        <v>1875</v>
      </c>
      <c r="K41" s="13"/>
    </row>
    <row r="42" spans="1:11" x14ac:dyDescent="0.35">
      <c r="A42" s="103"/>
      <c r="B42" s="12" t="s">
        <v>7</v>
      </c>
      <c r="C42" s="10" t="s">
        <v>224</v>
      </c>
      <c r="D42" s="152"/>
      <c r="E42" s="166">
        <f>E24</f>
        <v>0</v>
      </c>
      <c r="F42" s="95"/>
      <c r="G42" s="153" t="str">
        <f t="shared" si="1"/>
        <v/>
      </c>
      <c r="H42" s="10" t="s">
        <v>20</v>
      </c>
      <c r="I42" s="331">
        <v>100</v>
      </c>
      <c r="J42" s="12">
        <f t="shared" ref="J42:J49" si="2">E42*I42</f>
        <v>0</v>
      </c>
      <c r="K42" s="13"/>
    </row>
    <row r="43" spans="1:11" ht="14.5" hidden="1" customHeight="1" x14ac:dyDescent="0.35">
      <c r="A43" s="103"/>
      <c r="B43" s="12" t="s">
        <v>7</v>
      </c>
      <c r="C43" s="10" t="s">
        <v>225</v>
      </c>
      <c r="D43" s="152"/>
      <c r="E43" s="170"/>
      <c r="F43" s="95"/>
      <c r="G43" s="153" t="str">
        <f t="shared" si="1"/>
        <v/>
      </c>
      <c r="H43" s="10" t="s">
        <v>20</v>
      </c>
      <c r="I43" s="331">
        <v>12.2</v>
      </c>
      <c r="J43" s="12">
        <f t="shared" si="2"/>
        <v>0</v>
      </c>
      <c r="K43" s="88"/>
    </row>
    <row r="44" spans="1:11" hidden="1" x14ac:dyDescent="0.35">
      <c r="A44" s="103"/>
      <c r="B44" s="12" t="s">
        <v>7</v>
      </c>
      <c r="C44" s="10" t="s">
        <v>226</v>
      </c>
      <c r="D44" s="152"/>
      <c r="E44" s="170"/>
      <c r="F44" s="95"/>
      <c r="G44" s="153" t="str">
        <f t="shared" si="1"/>
        <v/>
      </c>
      <c r="H44" s="10" t="s">
        <v>20</v>
      </c>
      <c r="I44" s="331">
        <v>11</v>
      </c>
      <c r="J44" s="12">
        <f t="shared" si="2"/>
        <v>0</v>
      </c>
      <c r="K44" s="13" t="s">
        <v>47</v>
      </c>
    </row>
    <row r="45" spans="1:11" hidden="1" x14ac:dyDescent="0.35">
      <c r="A45" s="103"/>
      <c r="B45" s="12" t="s">
        <v>7</v>
      </c>
      <c r="C45" s="10" t="s">
        <v>227</v>
      </c>
      <c r="D45" s="152"/>
      <c r="E45" s="170"/>
      <c r="F45" s="95"/>
      <c r="G45" s="153" t="str">
        <f t="shared" si="1"/>
        <v/>
      </c>
      <c r="H45" s="10" t="s">
        <v>20</v>
      </c>
      <c r="I45" s="331">
        <v>5</v>
      </c>
      <c r="J45" s="12">
        <f t="shared" si="2"/>
        <v>0</v>
      </c>
      <c r="K45" s="13"/>
    </row>
    <row r="46" spans="1:11" ht="14.5" customHeight="1" x14ac:dyDescent="0.35">
      <c r="A46" s="103"/>
      <c r="B46" s="12" t="s">
        <v>7</v>
      </c>
      <c r="C46" s="10" t="s">
        <v>46</v>
      </c>
      <c r="D46" s="152"/>
      <c r="E46" s="170">
        <v>5</v>
      </c>
      <c r="F46" s="95"/>
      <c r="G46" s="153" t="str">
        <f t="shared" si="1"/>
        <v/>
      </c>
      <c r="H46" s="10" t="s">
        <v>20</v>
      </c>
      <c r="I46" s="331">
        <v>5</v>
      </c>
      <c r="J46" s="12">
        <f t="shared" si="2"/>
        <v>25</v>
      </c>
      <c r="K46" s="13"/>
    </row>
    <row r="47" spans="1:11" ht="16.399999999999999" hidden="1" customHeight="1" x14ac:dyDescent="0.35">
      <c r="A47" s="103"/>
      <c r="B47" s="12" t="s">
        <v>7</v>
      </c>
      <c r="C47" s="10" t="s">
        <v>228</v>
      </c>
      <c r="D47" s="152"/>
      <c r="E47" s="170"/>
      <c r="F47" s="95"/>
      <c r="G47" s="153" t="str">
        <f t="shared" si="1"/>
        <v/>
      </c>
      <c r="H47" s="10" t="s">
        <v>20</v>
      </c>
      <c r="I47" s="331">
        <v>11</v>
      </c>
      <c r="J47" s="12">
        <f t="shared" si="2"/>
        <v>0</v>
      </c>
      <c r="K47" s="13"/>
    </row>
    <row r="48" spans="1:11" x14ac:dyDescent="0.35">
      <c r="A48" s="103"/>
      <c r="B48" s="12" t="s">
        <v>7</v>
      </c>
      <c r="C48" s="10" t="s">
        <v>229</v>
      </c>
      <c r="D48" s="152"/>
      <c r="E48" s="166">
        <f>E26+E27</f>
        <v>37</v>
      </c>
      <c r="F48" s="95"/>
      <c r="G48" s="153" t="str">
        <f t="shared" si="1"/>
        <v/>
      </c>
      <c r="H48" s="10" t="s">
        <v>20</v>
      </c>
      <c r="I48" s="331">
        <v>50</v>
      </c>
      <c r="J48" s="12">
        <f t="shared" si="2"/>
        <v>1850</v>
      </c>
      <c r="K48" s="13"/>
    </row>
    <row r="49" spans="1:11" ht="14.5" hidden="1" customHeight="1" x14ac:dyDescent="0.35">
      <c r="A49" s="103"/>
      <c r="B49" s="12" t="s">
        <v>7</v>
      </c>
      <c r="C49" s="78" t="s">
        <v>206</v>
      </c>
      <c r="D49" s="224"/>
      <c r="E49" s="170"/>
      <c r="F49" s="142"/>
      <c r="G49" s="153" t="str">
        <f t="shared" si="1"/>
        <v/>
      </c>
      <c r="H49" s="10" t="s">
        <v>20</v>
      </c>
      <c r="I49" s="333">
        <v>5</v>
      </c>
      <c r="J49" s="12">
        <f t="shared" si="2"/>
        <v>0</v>
      </c>
      <c r="K49" s="13"/>
    </row>
    <row r="50" spans="1:11" ht="14.5" customHeight="1" x14ac:dyDescent="0.35">
      <c r="A50" s="103"/>
      <c r="B50" s="104" t="s">
        <v>230</v>
      </c>
      <c r="C50" s="105"/>
      <c r="D50" s="225"/>
      <c r="E50" s="171"/>
      <c r="F50" s="143"/>
      <c r="G50" s="165" t="str">
        <f t="shared" si="1"/>
        <v/>
      </c>
      <c r="H50" s="105"/>
      <c r="I50" s="106" t="s">
        <v>18</v>
      </c>
      <c r="J50" s="107">
        <f>SUM(J52:J77)</f>
        <v>318.85000000000002</v>
      </c>
      <c r="K50" s="13"/>
    </row>
    <row r="51" spans="1:11" ht="14.5" customHeight="1" x14ac:dyDescent="0.35">
      <c r="A51" s="111"/>
      <c r="B51" s="126" t="s">
        <v>231</v>
      </c>
      <c r="C51" s="127"/>
      <c r="D51" s="226"/>
      <c r="E51" s="172"/>
      <c r="F51" s="144"/>
      <c r="G51" s="165" t="str">
        <f t="shared" si="1"/>
        <v/>
      </c>
      <c r="H51" s="127"/>
      <c r="I51" s="239"/>
      <c r="J51" s="128"/>
      <c r="K51" s="13"/>
    </row>
    <row r="52" spans="1:11" hidden="1" x14ac:dyDescent="0.35">
      <c r="A52" s="103"/>
      <c r="B52" s="12" t="s">
        <v>13</v>
      </c>
      <c r="C52" s="10" t="s">
        <v>78</v>
      </c>
      <c r="D52" s="152"/>
      <c r="E52" s="170"/>
      <c r="F52" s="95"/>
      <c r="G52" s="153" t="str">
        <f t="shared" si="1"/>
        <v/>
      </c>
      <c r="H52" s="10" t="s">
        <v>20</v>
      </c>
      <c r="I52" s="331">
        <v>13</v>
      </c>
      <c r="J52" s="12">
        <f t="shared" ref="J52:J58" si="3">E52*I52</f>
        <v>0</v>
      </c>
      <c r="K52" s="13"/>
    </row>
    <row r="53" spans="1:11" ht="15.75" hidden="1" customHeight="1" x14ac:dyDescent="0.35">
      <c r="A53" s="103"/>
      <c r="B53" s="12" t="s">
        <v>13</v>
      </c>
      <c r="C53" s="10" t="s">
        <v>232</v>
      </c>
      <c r="D53" s="152"/>
      <c r="E53" s="170"/>
      <c r="F53" s="95"/>
      <c r="G53" s="153" t="str">
        <f t="shared" si="1"/>
        <v/>
      </c>
      <c r="H53" s="10" t="s">
        <v>20</v>
      </c>
      <c r="I53" s="331">
        <v>13</v>
      </c>
      <c r="J53" s="12">
        <f t="shared" si="3"/>
        <v>0</v>
      </c>
      <c r="K53" s="134"/>
    </row>
    <row r="54" spans="1:11" hidden="1" x14ac:dyDescent="0.35">
      <c r="A54" s="103"/>
      <c r="B54" s="12" t="s">
        <v>13</v>
      </c>
      <c r="C54" s="10" t="s">
        <v>233</v>
      </c>
      <c r="D54" s="152"/>
      <c r="E54" s="170"/>
      <c r="F54" s="95"/>
      <c r="G54" s="153" t="str">
        <f t="shared" si="1"/>
        <v/>
      </c>
      <c r="H54" s="10" t="s">
        <v>20</v>
      </c>
      <c r="I54" s="331">
        <v>8.9</v>
      </c>
      <c r="J54" s="12">
        <f t="shared" si="3"/>
        <v>0</v>
      </c>
      <c r="K54" s="13"/>
    </row>
    <row r="55" spans="1:11" s="6" customFormat="1" ht="15.65" customHeight="1" x14ac:dyDescent="0.35">
      <c r="A55" s="103"/>
      <c r="B55" s="12" t="s">
        <v>13</v>
      </c>
      <c r="C55" s="10" t="s">
        <v>32</v>
      </c>
      <c r="D55" s="152">
        <v>6</v>
      </c>
      <c r="E55" s="170">
        <v>1</v>
      </c>
      <c r="F55" s="95"/>
      <c r="G55" s="153">
        <f t="shared" si="1"/>
        <v>5</v>
      </c>
      <c r="H55" s="10" t="s">
        <v>20</v>
      </c>
      <c r="I55" s="331">
        <v>8.35</v>
      </c>
      <c r="J55" s="12">
        <f t="shared" si="3"/>
        <v>8.35</v>
      </c>
    </row>
    <row r="56" spans="1:11" s="6" customFormat="1" ht="15.65" customHeight="1" x14ac:dyDescent="0.35">
      <c r="A56" s="103"/>
      <c r="B56" s="12" t="s">
        <v>13</v>
      </c>
      <c r="C56" s="10" t="s">
        <v>33</v>
      </c>
      <c r="D56" s="152">
        <v>6</v>
      </c>
      <c r="E56" s="170">
        <v>30</v>
      </c>
      <c r="F56" s="95"/>
      <c r="G56" s="153" t="str">
        <f t="shared" si="1"/>
        <v/>
      </c>
      <c r="H56" s="10" t="s">
        <v>20</v>
      </c>
      <c r="I56" s="331">
        <v>8.9</v>
      </c>
      <c r="J56" s="12">
        <f t="shared" si="3"/>
        <v>267</v>
      </c>
    </row>
    <row r="57" spans="1:11" ht="14.5" customHeight="1" x14ac:dyDescent="0.35">
      <c r="A57" s="103"/>
      <c r="B57" s="12" t="s">
        <v>13</v>
      </c>
      <c r="C57" s="10" t="s">
        <v>59</v>
      </c>
      <c r="D57" s="152">
        <v>6</v>
      </c>
      <c r="E57" s="170">
        <v>5</v>
      </c>
      <c r="F57" s="95"/>
      <c r="G57" s="153">
        <f t="shared" si="1"/>
        <v>1</v>
      </c>
      <c r="H57" s="10" t="s">
        <v>20</v>
      </c>
      <c r="I57" s="331">
        <v>8.6999999999999993</v>
      </c>
      <c r="J57" s="12">
        <f t="shared" si="3"/>
        <v>43.5</v>
      </c>
      <c r="K57" s="13"/>
    </row>
    <row r="58" spans="1:11" ht="14.5" customHeight="1" x14ac:dyDescent="0.35">
      <c r="A58" s="103"/>
      <c r="B58" s="12" t="s">
        <v>13</v>
      </c>
      <c r="C58" s="10" t="s">
        <v>234</v>
      </c>
      <c r="D58" s="152"/>
      <c r="E58" s="170"/>
      <c r="F58" s="95"/>
      <c r="G58" s="153" t="str">
        <f t="shared" si="1"/>
        <v/>
      </c>
      <c r="H58" s="10" t="s">
        <v>20</v>
      </c>
      <c r="I58" s="331">
        <v>12.15</v>
      </c>
      <c r="J58" s="12">
        <f t="shared" si="3"/>
        <v>0</v>
      </c>
      <c r="K58" s="13"/>
    </row>
    <row r="59" spans="1:11" s="6" customFormat="1" ht="15.65" hidden="1" customHeight="1" x14ac:dyDescent="0.35">
      <c r="A59" s="103"/>
      <c r="B59" s="12" t="s">
        <v>13</v>
      </c>
      <c r="C59" s="10" t="s">
        <v>235</v>
      </c>
      <c r="D59" s="152"/>
      <c r="E59" s="170"/>
      <c r="F59" s="95"/>
      <c r="G59" s="153" t="str">
        <f t="shared" si="1"/>
        <v/>
      </c>
      <c r="H59" s="10" t="s">
        <v>20</v>
      </c>
      <c r="I59" s="331">
        <v>11.35</v>
      </c>
      <c r="J59" s="12">
        <f t="shared" ref="J59:J64" si="4">E59*I59</f>
        <v>0</v>
      </c>
    </row>
    <row r="60" spans="1:11" ht="14.5" hidden="1" customHeight="1" x14ac:dyDescent="0.35">
      <c r="A60" s="103"/>
      <c r="B60" s="12" t="s">
        <v>13</v>
      </c>
      <c r="C60" s="10" t="s">
        <v>236</v>
      </c>
      <c r="D60" s="152"/>
      <c r="E60" s="170"/>
      <c r="F60" s="95"/>
      <c r="G60" s="153" t="str">
        <f t="shared" si="1"/>
        <v/>
      </c>
      <c r="H60" s="10" t="s">
        <v>20</v>
      </c>
      <c r="I60" s="331">
        <v>14.65</v>
      </c>
      <c r="J60" s="12">
        <f t="shared" si="4"/>
        <v>0</v>
      </c>
      <c r="K60" s="13"/>
    </row>
    <row r="61" spans="1:11" s="6" customFormat="1" ht="15.5" hidden="1" x14ac:dyDescent="0.35">
      <c r="A61" s="103"/>
      <c r="B61" s="12" t="s">
        <v>13</v>
      </c>
      <c r="C61" s="10" t="s">
        <v>237</v>
      </c>
      <c r="D61" s="152"/>
      <c r="E61" s="170"/>
      <c r="F61" s="95"/>
      <c r="G61" s="153" t="str">
        <f t="shared" si="1"/>
        <v/>
      </c>
      <c r="H61" s="10" t="s">
        <v>20</v>
      </c>
      <c r="I61" s="331">
        <v>16.25</v>
      </c>
      <c r="J61" s="12">
        <f t="shared" si="4"/>
        <v>0</v>
      </c>
    </row>
    <row r="62" spans="1:11" hidden="1" x14ac:dyDescent="0.35">
      <c r="A62" s="103"/>
      <c r="B62" s="12" t="s">
        <v>13</v>
      </c>
      <c r="C62" s="10" t="s">
        <v>238</v>
      </c>
      <c r="D62" s="152"/>
      <c r="E62" s="170"/>
      <c r="F62" s="95"/>
      <c r="G62" s="153" t="str">
        <f t="shared" si="1"/>
        <v/>
      </c>
      <c r="H62" s="10" t="s">
        <v>20</v>
      </c>
      <c r="I62" s="331">
        <v>17.899999999999999</v>
      </c>
      <c r="J62" s="12">
        <f t="shared" si="4"/>
        <v>0</v>
      </c>
      <c r="K62" s="13"/>
    </row>
    <row r="63" spans="1:11" ht="14.5" hidden="1" customHeight="1" x14ac:dyDescent="0.35">
      <c r="A63" s="103"/>
      <c r="B63" s="12" t="s">
        <v>13</v>
      </c>
      <c r="C63" s="10" t="s">
        <v>239</v>
      </c>
      <c r="D63" s="152"/>
      <c r="E63" s="170"/>
      <c r="F63" s="95"/>
      <c r="G63" s="153" t="str">
        <f t="shared" si="1"/>
        <v/>
      </c>
      <c r="H63" s="10" t="s">
        <v>20</v>
      </c>
      <c r="I63" s="331">
        <v>15.95</v>
      </c>
      <c r="J63" s="12">
        <f t="shared" si="4"/>
        <v>0</v>
      </c>
      <c r="K63" s="13"/>
    </row>
    <row r="64" spans="1:11" s="6" customFormat="1" ht="15.65" hidden="1" customHeight="1" x14ac:dyDescent="0.35">
      <c r="A64" s="103"/>
      <c r="B64" s="12" t="s">
        <v>13</v>
      </c>
      <c r="C64" s="10" t="s">
        <v>240</v>
      </c>
      <c r="D64" s="152"/>
      <c r="E64" s="170"/>
      <c r="F64" s="95"/>
      <c r="G64" s="153" t="str">
        <f t="shared" si="1"/>
        <v/>
      </c>
      <c r="H64" s="10" t="s">
        <v>20</v>
      </c>
      <c r="I64" s="331">
        <v>15.45</v>
      </c>
      <c r="J64" s="12">
        <f t="shared" si="4"/>
        <v>0</v>
      </c>
    </row>
    <row r="65" spans="1:11" ht="14.5" hidden="1" customHeight="1" x14ac:dyDescent="0.35">
      <c r="A65" s="111"/>
      <c r="B65" s="126" t="s">
        <v>241</v>
      </c>
      <c r="C65" s="127"/>
      <c r="D65" s="226"/>
      <c r="E65" s="172"/>
      <c r="F65" s="144"/>
      <c r="G65" s="153" t="str">
        <f t="shared" si="1"/>
        <v/>
      </c>
      <c r="H65" s="127"/>
      <c r="I65" s="239"/>
      <c r="J65" s="128"/>
      <c r="K65" s="13"/>
    </row>
    <row r="66" spans="1:11" ht="14.5" hidden="1" customHeight="1" x14ac:dyDescent="0.35">
      <c r="A66" s="103"/>
      <c r="B66" s="12" t="s">
        <v>13</v>
      </c>
      <c r="C66" s="10" t="s">
        <v>242</v>
      </c>
      <c r="D66" s="152"/>
      <c r="E66" s="170"/>
      <c r="F66" s="95"/>
      <c r="G66" s="153" t="str">
        <f t="shared" si="1"/>
        <v/>
      </c>
      <c r="H66" s="10" t="s">
        <v>20</v>
      </c>
      <c r="I66" s="331">
        <v>31.05</v>
      </c>
      <c r="J66" s="12">
        <f t="shared" ref="J66:J72" si="5">E66*I66</f>
        <v>0</v>
      </c>
      <c r="K66" s="13"/>
    </row>
    <row r="67" spans="1:11" hidden="1" x14ac:dyDescent="0.35">
      <c r="A67" s="103"/>
      <c r="B67" s="12" t="s">
        <v>13</v>
      </c>
      <c r="C67" s="10" t="s">
        <v>243</v>
      </c>
      <c r="D67" s="152"/>
      <c r="E67" s="170"/>
      <c r="F67" s="95"/>
      <c r="G67" s="153" t="str">
        <f t="shared" si="1"/>
        <v/>
      </c>
      <c r="H67" s="10" t="s">
        <v>20</v>
      </c>
      <c r="I67" s="331">
        <v>60.79</v>
      </c>
      <c r="J67" s="12">
        <f t="shared" si="5"/>
        <v>0</v>
      </c>
      <c r="K67" s="13"/>
    </row>
    <row r="68" spans="1:11" hidden="1" x14ac:dyDescent="0.35">
      <c r="A68" s="103"/>
      <c r="B68" s="12" t="s">
        <v>13</v>
      </c>
      <c r="C68" s="10" t="s">
        <v>244</v>
      </c>
      <c r="D68" s="152"/>
      <c r="E68" s="170"/>
      <c r="F68" s="95"/>
      <c r="G68" s="153" t="str">
        <f t="shared" si="1"/>
        <v/>
      </c>
      <c r="H68" s="10" t="s">
        <v>20</v>
      </c>
      <c r="I68" s="331">
        <v>56.55</v>
      </c>
      <c r="J68" s="12">
        <f t="shared" si="5"/>
        <v>0</v>
      </c>
      <c r="K68" s="13"/>
    </row>
    <row r="69" spans="1:11" ht="14.5" hidden="1" customHeight="1" x14ac:dyDescent="0.35">
      <c r="A69" s="103"/>
      <c r="B69" s="12" t="s">
        <v>13</v>
      </c>
      <c r="C69" s="10" t="s">
        <v>245</v>
      </c>
      <c r="D69" s="152"/>
      <c r="E69" s="170"/>
      <c r="F69" s="95"/>
      <c r="G69" s="153" t="str">
        <f t="shared" si="1"/>
        <v/>
      </c>
      <c r="H69" s="10" t="s">
        <v>20</v>
      </c>
      <c r="I69" s="331">
        <v>107.44</v>
      </c>
      <c r="J69" s="12">
        <f t="shared" si="5"/>
        <v>0</v>
      </c>
      <c r="K69" s="13"/>
    </row>
    <row r="70" spans="1:11" ht="15.65" hidden="1" customHeight="1" x14ac:dyDescent="0.35">
      <c r="A70" s="103"/>
      <c r="B70" s="12" t="s">
        <v>13</v>
      </c>
      <c r="C70" s="10" t="s">
        <v>246</v>
      </c>
      <c r="D70" s="152"/>
      <c r="E70" s="170"/>
      <c r="F70" s="95"/>
      <c r="G70" s="153" t="str">
        <f t="shared" si="1"/>
        <v/>
      </c>
      <c r="H70" s="10" t="s">
        <v>20</v>
      </c>
      <c r="I70" s="331">
        <v>47.4</v>
      </c>
      <c r="J70" s="12">
        <f t="shared" si="5"/>
        <v>0</v>
      </c>
      <c r="K70" s="13"/>
    </row>
    <row r="71" spans="1:11" ht="15.65" hidden="1" customHeight="1" x14ac:dyDescent="0.35">
      <c r="A71" s="103"/>
      <c r="B71" s="12" t="s">
        <v>13</v>
      </c>
      <c r="C71" s="10" t="s">
        <v>247</v>
      </c>
      <c r="D71" s="152"/>
      <c r="E71" s="170"/>
      <c r="F71" s="95"/>
      <c r="G71" s="153" t="str">
        <f t="shared" si="1"/>
        <v/>
      </c>
      <c r="H71" s="10" t="s">
        <v>20</v>
      </c>
      <c r="I71" s="331">
        <v>87.63</v>
      </c>
      <c r="J71" s="12">
        <f t="shared" si="5"/>
        <v>0</v>
      </c>
      <c r="K71" s="13"/>
    </row>
    <row r="72" spans="1:11" ht="16.399999999999999" hidden="1" customHeight="1" x14ac:dyDescent="0.35">
      <c r="A72" s="103"/>
      <c r="B72" s="12" t="s">
        <v>13</v>
      </c>
      <c r="C72" s="10" t="s">
        <v>248</v>
      </c>
      <c r="D72" s="152"/>
      <c r="E72" s="170"/>
      <c r="F72" s="95"/>
      <c r="G72" s="153" t="str">
        <f t="shared" si="1"/>
        <v/>
      </c>
      <c r="H72" s="10" t="s">
        <v>20</v>
      </c>
      <c r="I72" s="331">
        <v>52.31</v>
      </c>
      <c r="J72" s="12">
        <f t="shared" si="5"/>
        <v>0</v>
      </c>
      <c r="K72" s="13"/>
    </row>
    <row r="73" spans="1:11" ht="14.5" hidden="1" customHeight="1" x14ac:dyDescent="0.35">
      <c r="A73" s="111"/>
      <c r="B73" s="126" t="s">
        <v>249</v>
      </c>
      <c r="C73" s="127"/>
      <c r="D73" s="226"/>
      <c r="E73" s="172"/>
      <c r="F73" s="144"/>
      <c r="G73" s="153" t="str">
        <f t="shared" si="1"/>
        <v/>
      </c>
      <c r="H73" s="127"/>
      <c r="I73" s="239"/>
      <c r="J73" s="128"/>
      <c r="K73" s="13"/>
    </row>
    <row r="74" spans="1:11" ht="14.5" hidden="1" customHeight="1" x14ac:dyDescent="0.35">
      <c r="A74" s="103"/>
      <c r="B74" s="12" t="s">
        <v>13</v>
      </c>
      <c r="C74" s="10" t="s">
        <v>250</v>
      </c>
      <c r="D74" s="152"/>
      <c r="E74" s="170"/>
      <c r="F74" s="95"/>
      <c r="G74" s="153" t="str">
        <f t="shared" si="1"/>
        <v/>
      </c>
      <c r="H74" s="10" t="s">
        <v>20</v>
      </c>
      <c r="I74" s="331">
        <v>10.8</v>
      </c>
      <c r="J74" s="12">
        <f>E74*I74</f>
        <v>0</v>
      </c>
      <c r="K74" s="13"/>
    </row>
    <row r="75" spans="1:11" s="24" customFormat="1" ht="15.65" hidden="1" customHeight="1" x14ac:dyDescent="0.35">
      <c r="A75" s="103"/>
      <c r="B75" s="12" t="s">
        <v>13</v>
      </c>
      <c r="C75" s="10" t="s">
        <v>251</v>
      </c>
      <c r="D75" s="152"/>
      <c r="E75" s="170"/>
      <c r="F75" s="95"/>
      <c r="G75" s="153" t="str">
        <f t="shared" si="1"/>
        <v/>
      </c>
      <c r="H75" s="10" t="s">
        <v>20</v>
      </c>
      <c r="I75" s="331">
        <v>11.2</v>
      </c>
      <c r="J75" s="12">
        <f>E75*I75</f>
        <v>0</v>
      </c>
    </row>
    <row r="76" spans="1:11" s="6" customFormat="1" ht="15.65" customHeight="1" x14ac:dyDescent="0.35">
      <c r="A76" s="103"/>
      <c r="B76" s="12" t="s">
        <v>13</v>
      </c>
      <c r="C76" s="10" t="s">
        <v>252</v>
      </c>
      <c r="D76" s="152"/>
      <c r="E76" s="170"/>
      <c r="F76" s="95"/>
      <c r="G76" s="153" t="str">
        <f t="shared" si="1"/>
        <v/>
      </c>
      <c r="H76" s="10" t="s">
        <v>23</v>
      </c>
      <c r="I76" s="331">
        <v>4.5599999999999996</v>
      </c>
      <c r="J76" s="12">
        <f>E76*I76</f>
        <v>0</v>
      </c>
    </row>
    <row r="77" spans="1:11" ht="14.5" customHeight="1" x14ac:dyDescent="0.35">
      <c r="A77" s="103"/>
      <c r="B77" s="12" t="s">
        <v>13</v>
      </c>
      <c r="C77" s="10" t="s">
        <v>253</v>
      </c>
      <c r="D77" s="152"/>
      <c r="E77" s="170"/>
      <c r="F77" s="95"/>
      <c r="G77" s="153" t="str">
        <f t="shared" si="1"/>
        <v/>
      </c>
      <c r="H77" s="10" t="s">
        <v>23</v>
      </c>
      <c r="I77" s="331">
        <v>37.700000000000003</v>
      </c>
      <c r="J77" s="12">
        <f>E77*I77</f>
        <v>0</v>
      </c>
    </row>
    <row r="78" spans="1:11" ht="14.5" hidden="1" customHeight="1" x14ac:dyDescent="0.35">
      <c r="A78" s="108" t="s">
        <v>254</v>
      </c>
      <c r="B78" s="108"/>
      <c r="C78" s="108"/>
      <c r="D78" s="223"/>
      <c r="E78" s="169"/>
      <c r="F78" s="109"/>
      <c r="G78" s="153" t="str">
        <f t="shared" si="1"/>
        <v/>
      </c>
      <c r="H78" s="108"/>
      <c r="I78" s="110" t="s">
        <v>18</v>
      </c>
      <c r="J78" s="115">
        <f>SUM(J80:J121)</f>
        <v>0</v>
      </c>
      <c r="K78" s="13"/>
    </row>
    <row r="79" spans="1:11" ht="14.5" hidden="1" customHeight="1" x14ac:dyDescent="0.35">
      <c r="A79" s="111"/>
      <c r="B79" s="126" t="s">
        <v>255</v>
      </c>
      <c r="C79" s="127"/>
      <c r="D79" s="226"/>
      <c r="E79" s="172"/>
      <c r="F79" s="144"/>
      <c r="G79" s="153" t="str">
        <f t="shared" si="1"/>
        <v/>
      </c>
      <c r="H79" s="127"/>
      <c r="I79" s="239"/>
      <c r="J79" s="128"/>
      <c r="K79" s="13"/>
    </row>
    <row r="80" spans="1:11" ht="14.5" hidden="1" customHeight="1" x14ac:dyDescent="0.35">
      <c r="A80" s="103"/>
      <c r="B80" s="12" t="s">
        <v>3</v>
      </c>
      <c r="C80" s="10" t="s">
        <v>256</v>
      </c>
      <c r="D80" s="152"/>
      <c r="E80" s="170"/>
      <c r="F80" s="95"/>
      <c r="G80" s="153" t="str">
        <f t="shared" si="1"/>
        <v/>
      </c>
      <c r="H80" s="10" t="s">
        <v>20</v>
      </c>
      <c r="I80" s="331">
        <v>32.950000000000003</v>
      </c>
      <c r="J80" s="12">
        <f t="shared" ref="J80:J86" si="6">E80*I80</f>
        <v>0</v>
      </c>
      <c r="K80" s="13" t="s">
        <v>47</v>
      </c>
    </row>
    <row r="81" spans="1:13" ht="14.5" hidden="1" customHeight="1" x14ac:dyDescent="0.35">
      <c r="A81" s="103"/>
      <c r="B81" s="12" t="s">
        <v>3</v>
      </c>
      <c r="C81" s="10" t="s">
        <v>257</v>
      </c>
      <c r="D81" s="152"/>
      <c r="E81" s="170"/>
      <c r="F81" s="95"/>
      <c r="G81" s="153" t="str">
        <f t="shared" si="1"/>
        <v/>
      </c>
      <c r="H81" s="10" t="s">
        <v>20</v>
      </c>
      <c r="I81" s="331">
        <v>56.95</v>
      </c>
      <c r="J81" s="12">
        <f t="shared" si="6"/>
        <v>0</v>
      </c>
    </row>
    <row r="82" spans="1:13" ht="14.5" hidden="1" customHeight="1" x14ac:dyDescent="0.35">
      <c r="A82" s="103"/>
      <c r="B82" s="12" t="s">
        <v>3</v>
      </c>
      <c r="C82" s="10" t="s">
        <v>258</v>
      </c>
      <c r="D82" s="152"/>
      <c r="E82" s="170"/>
      <c r="F82" s="95"/>
      <c r="G82" s="153" t="str">
        <f t="shared" si="1"/>
        <v/>
      </c>
      <c r="H82" s="10" t="s">
        <v>20</v>
      </c>
      <c r="I82" s="331">
        <v>15.95</v>
      </c>
      <c r="J82" s="12">
        <f t="shared" si="6"/>
        <v>0</v>
      </c>
      <c r="K82" s="28"/>
    </row>
    <row r="83" spans="1:13" s="6" customFormat="1" ht="15.65" hidden="1" customHeight="1" x14ac:dyDescent="0.35">
      <c r="A83" s="103"/>
      <c r="B83" s="12" t="s">
        <v>3</v>
      </c>
      <c r="C83" s="10" t="s">
        <v>259</v>
      </c>
      <c r="D83" s="152"/>
      <c r="E83" s="170"/>
      <c r="F83" s="95"/>
      <c r="G83" s="153" t="str">
        <f t="shared" si="1"/>
        <v/>
      </c>
      <c r="H83" s="10" t="s">
        <v>20</v>
      </c>
      <c r="I83" s="331">
        <v>19.95</v>
      </c>
      <c r="J83" s="12">
        <f t="shared" si="6"/>
        <v>0</v>
      </c>
      <c r="K83" s="30"/>
    </row>
    <row r="84" spans="1:13" ht="14.5" hidden="1" customHeight="1" x14ac:dyDescent="0.35">
      <c r="A84" s="103"/>
      <c r="B84" s="12" t="s">
        <v>3</v>
      </c>
      <c r="C84" s="10" t="s">
        <v>260</v>
      </c>
      <c r="D84" s="152"/>
      <c r="E84" s="170"/>
      <c r="F84" s="95"/>
      <c r="G84" s="153" t="str">
        <f t="shared" si="1"/>
        <v/>
      </c>
      <c r="H84" s="10" t="s">
        <v>20</v>
      </c>
      <c r="I84" s="331">
        <v>46.95</v>
      </c>
      <c r="J84" s="12">
        <f t="shared" si="6"/>
        <v>0</v>
      </c>
      <c r="K84" s="28"/>
    </row>
    <row r="85" spans="1:13" s="6" customFormat="1" ht="15.65" hidden="1" customHeight="1" x14ac:dyDescent="0.35">
      <c r="A85" s="103"/>
      <c r="B85" s="12" t="s">
        <v>3</v>
      </c>
      <c r="C85" s="10" t="s">
        <v>261</v>
      </c>
      <c r="D85" s="152"/>
      <c r="E85" s="170"/>
      <c r="F85" s="95"/>
      <c r="G85" s="153" t="str">
        <f t="shared" si="1"/>
        <v/>
      </c>
      <c r="H85" s="10" t="s">
        <v>20</v>
      </c>
      <c r="I85" s="331">
        <v>34.950000000000003</v>
      </c>
      <c r="J85" s="12">
        <f t="shared" si="6"/>
        <v>0</v>
      </c>
    </row>
    <row r="86" spans="1:13" hidden="1" x14ac:dyDescent="0.35">
      <c r="A86" s="103"/>
      <c r="B86" s="12" t="s">
        <v>3</v>
      </c>
      <c r="C86" s="10" t="s">
        <v>262</v>
      </c>
      <c r="D86" s="152"/>
      <c r="E86" s="170"/>
      <c r="F86" s="95"/>
      <c r="G86" s="153" t="str">
        <f t="shared" si="1"/>
        <v/>
      </c>
      <c r="H86" s="10" t="s">
        <v>20</v>
      </c>
      <c r="I86" s="331">
        <v>24.95</v>
      </c>
      <c r="J86" s="12">
        <f t="shared" si="6"/>
        <v>0</v>
      </c>
      <c r="K86" s="28"/>
      <c r="M86" t="s">
        <v>47</v>
      </c>
    </row>
    <row r="87" spans="1:13" ht="15.5" hidden="1" x14ac:dyDescent="0.35">
      <c r="A87" s="111"/>
      <c r="B87" s="126" t="s">
        <v>263</v>
      </c>
      <c r="C87" s="127"/>
      <c r="D87" s="226"/>
      <c r="E87" s="172"/>
      <c r="F87" s="144"/>
      <c r="G87" s="153" t="str">
        <f t="shared" si="1"/>
        <v/>
      </c>
      <c r="H87" s="127"/>
      <c r="I87" s="239"/>
      <c r="J87" s="128"/>
      <c r="K87" s="28"/>
    </row>
    <row r="88" spans="1:13" hidden="1" x14ac:dyDescent="0.35">
      <c r="A88" s="103"/>
      <c r="B88" s="12" t="s">
        <v>3</v>
      </c>
      <c r="C88" s="10" t="s">
        <v>264</v>
      </c>
      <c r="D88" s="152"/>
      <c r="E88" s="170"/>
      <c r="F88" s="95"/>
      <c r="G88" s="153" t="str">
        <f t="shared" si="1"/>
        <v/>
      </c>
      <c r="H88" s="10" t="s">
        <v>20</v>
      </c>
      <c r="I88" s="331">
        <v>19.5</v>
      </c>
      <c r="J88" s="12">
        <f t="shared" ref="J88:J94" si="7">E88*I88</f>
        <v>0</v>
      </c>
      <c r="K88" s="28"/>
    </row>
    <row r="89" spans="1:13" hidden="1" x14ac:dyDescent="0.35">
      <c r="A89" s="103"/>
      <c r="B89" s="12" t="s">
        <v>3</v>
      </c>
      <c r="C89" s="10" t="s">
        <v>265</v>
      </c>
      <c r="D89" s="152"/>
      <c r="E89" s="170"/>
      <c r="F89" s="95"/>
      <c r="G89" s="153" t="str">
        <f t="shared" ref="G89:G152" si="8">IF(E89="","",IF(D89-E89&gt;0,D89-E89,""))</f>
        <v/>
      </c>
      <c r="H89" s="10" t="s">
        <v>20</v>
      </c>
      <c r="I89" s="331">
        <v>16.95</v>
      </c>
      <c r="J89" s="12">
        <f t="shared" si="7"/>
        <v>0</v>
      </c>
      <c r="K89" s="28"/>
    </row>
    <row r="90" spans="1:13" hidden="1" x14ac:dyDescent="0.35">
      <c r="A90" s="103"/>
      <c r="B90" s="12" t="s">
        <v>3</v>
      </c>
      <c r="C90" s="10" t="s">
        <v>266</v>
      </c>
      <c r="D90" s="152"/>
      <c r="E90" s="170"/>
      <c r="F90" s="95"/>
      <c r="G90" s="153" t="str">
        <f t="shared" si="8"/>
        <v/>
      </c>
      <c r="H90" s="10" t="s">
        <v>20</v>
      </c>
      <c r="I90" s="331">
        <v>17.95</v>
      </c>
      <c r="J90" s="12">
        <f t="shared" si="7"/>
        <v>0</v>
      </c>
      <c r="K90" s="28"/>
    </row>
    <row r="91" spans="1:13" s="6" customFormat="1" ht="15.5" hidden="1" x14ac:dyDescent="0.35">
      <c r="A91" s="103"/>
      <c r="B91" s="12" t="s">
        <v>3</v>
      </c>
      <c r="C91" s="10" t="s">
        <v>267</v>
      </c>
      <c r="D91" s="152"/>
      <c r="E91" s="170"/>
      <c r="F91" s="95"/>
      <c r="G91" s="153" t="str">
        <f t="shared" si="8"/>
        <v/>
      </c>
      <c r="H91" s="10" t="s">
        <v>20</v>
      </c>
      <c r="I91" s="331">
        <v>15.95</v>
      </c>
      <c r="J91" s="12">
        <f t="shared" si="7"/>
        <v>0</v>
      </c>
      <c r="K91" s="30"/>
    </row>
    <row r="92" spans="1:13" hidden="1" x14ac:dyDescent="0.35">
      <c r="A92" s="103"/>
      <c r="B92" s="12" t="s">
        <v>3</v>
      </c>
      <c r="C92" s="10" t="s">
        <v>268</v>
      </c>
      <c r="D92" s="152"/>
      <c r="E92" s="170"/>
      <c r="F92" s="95"/>
      <c r="G92" s="153" t="str">
        <f t="shared" si="8"/>
        <v/>
      </c>
      <c r="H92" s="10" t="s">
        <v>20</v>
      </c>
      <c r="I92" s="331">
        <v>20.95</v>
      </c>
      <c r="J92" s="12">
        <f t="shared" si="7"/>
        <v>0</v>
      </c>
      <c r="K92" s="31"/>
    </row>
    <row r="93" spans="1:13" hidden="1" x14ac:dyDescent="0.35">
      <c r="A93" s="103"/>
      <c r="B93" s="12" t="s">
        <v>3</v>
      </c>
      <c r="C93" s="10" t="s">
        <v>269</v>
      </c>
      <c r="D93" s="152"/>
      <c r="E93" s="170"/>
      <c r="F93" s="95"/>
      <c r="G93" s="153" t="str">
        <f t="shared" si="8"/>
        <v/>
      </c>
      <c r="H93" s="10" t="s">
        <v>20</v>
      </c>
      <c r="I93" s="331">
        <v>26.95</v>
      </c>
      <c r="J93" s="12">
        <f t="shared" si="7"/>
        <v>0</v>
      </c>
      <c r="K93" s="31"/>
    </row>
    <row r="94" spans="1:13" s="6" customFormat="1" ht="15.5" hidden="1" x14ac:dyDescent="0.35">
      <c r="A94" s="103"/>
      <c r="B94" s="12" t="s">
        <v>3</v>
      </c>
      <c r="C94" s="10" t="s">
        <v>270</v>
      </c>
      <c r="D94" s="152"/>
      <c r="E94" s="170"/>
      <c r="F94" s="95"/>
      <c r="G94" s="153" t="str">
        <f t="shared" si="8"/>
        <v/>
      </c>
      <c r="H94" s="10" t="s">
        <v>20</v>
      </c>
      <c r="I94" s="331">
        <v>26.95</v>
      </c>
      <c r="J94" s="12">
        <f t="shared" si="7"/>
        <v>0</v>
      </c>
      <c r="K94" s="30"/>
    </row>
    <row r="95" spans="1:13" ht="14.15" hidden="1" customHeight="1" x14ac:dyDescent="0.35">
      <c r="A95" s="111"/>
      <c r="B95" s="126" t="s">
        <v>271</v>
      </c>
      <c r="C95" s="127"/>
      <c r="D95" s="226"/>
      <c r="E95" s="172"/>
      <c r="F95" s="144"/>
      <c r="G95" s="153" t="str">
        <f t="shared" si="8"/>
        <v/>
      </c>
      <c r="H95" s="127"/>
      <c r="I95" s="239"/>
      <c r="J95" s="128"/>
      <c r="K95" s="28"/>
    </row>
    <row r="96" spans="1:13" hidden="1" x14ac:dyDescent="0.35">
      <c r="A96" s="103"/>
      <c r="B96" s="12" t="s">
        <v>3</v>
      </c>
      <c r="C96" s="10" t="s">
        <v>272</v>
      </c>
      <c r="D96" s="152"/>
      <c r="E96" s="170"/>
      <c r="F96" s="95"/>
      <c r="G96" s="153" t="str">
        <f t="shared" si="8"/>
        <v/>
      </c>
      <c r="H96" s="10" t="s">
        <v>20</v>
      </c>
      <c r="I96" s="331">
        <v>20.95</v>
      </c>
      <c r="J96" s="12">
        <f>E96*I96</f>
        <v>0</v>
      </c>
      <c r="K96" s="28"/>
    </row>
    <row r="97" spans="1:11" s="6" customFormat="1" ht="15.65" hidden="1" customHeight="1" x14ac:dyDescent="0.35">
      <c r="A97" s="103"/>
      <c r="B97" s="12" t="s">
        <v>3</v>
      </c>
      <c r="C97" s="10" t="s">
        <v>273</v>
      </c>
      <c r="D97" s="152"/>
      <c r="E97" s="170"/>
      <c r="F97" s="95"/>
      <c r="G97" s="153" t="str">
        <f t="shared" si="8"/>
        <v/>
      </c>
      <c r="H97" s="10" t="s">
        <v>20</v>
      </c>
      <c r="I97" s="331">
        <v>23.95</v>
      </c>
      <c r="J97" s="12">
        <f>E97*I97</f>
        <v>0</v>
      </c>
      <c r="K97" s="30"/>
    </row>
    <row r="98" spans="1:11" ht="14.5" hidden="1" customHeight="1" x14ac:dyDescent="0.35">
      <c r="A98" s="103"/>
      <c r="B98" s="12" t="s">
        <v>3</v>
      </c>
      <c r="C98" s="10" t="s">
        <v>274</v>
      </c>
      <c r="D98" s="152"/>
      <c r="E98" s="170"/>
      <c r="F98" s="95"/>
      <c r="G98" s="153" t="str">
        <f t="shared" si="8"/>
        <v/>
      </c>
      <c r="H98" s="10" t="s">
        <v>20</v>
      </c>
      <c r="I98" s="331">
        <v>22.5</v>
      </c>
      <c r="J98" s="12">
        <f>E98*I98</f>
        <v>0</v>
      </c>
      <c r="K98" s="31"/>
    </row>
    <row r="99" spans="1:11" s="6" customFormat="1" ht="15.65" hidden="1" customHeight="1" x14ac:dyDescent="0.35">
      <c r="A99" s="103"/>
      <c r="B99" s="12" t="s">
        <v>3</v>
      </c>
      <c r="C99" s="10" t="s">
        <v>275</v>
      </c>
      <c r="D99" s="152"/>
      <c r="E99" s="170"/>
      <c r="F99" s="95"/>
      <c r="G99" s="153" t="str">
        <f t="shared" si="8"/>
        <v/>
      </c>
      <c r="H99" s="10" t="s">
        <v>20</v>
      </c>
      <c r="I99" s="331">
        <v>29.95</v>
      </c>
      <c r="J99" s="12">
        <f>E99*I99</f>
        <v>0</v>
      </c>
    </row>
    <row r="100" spans="1:11" ht="15.5" hidden="1" x14ac:dyDescent="0.35">
      <c r="A100" s="111"/>
      <c r="B100" s="126" t="s">
        <v>276</v>
      </c>
      <c r="C100" s="127"/>
      <c r="D100" s="226"/>
      <c r="E100" s="172"/>
      <c r="F100" s="144"/>
      <c r="G100" s="153" t="str">
        <f t="shared" si="8"/>
        <v/>
      </c>
      <c r="H100" s="127"/>
      <c r="I100" s="239"/>
      <c r="J100" s="128"/>
      <c r="K100" s="28"/>
    </row>
    <row r="101" spans="1:11" s="6" customFormat="1" ht="15.5" hidden="1" x14ac:dyDescent="0.35">
      <c r="A101" s="103"/>
      <c r="B101" s="12" t="s">
        <v>3</v>
      </c>
      <c r="C101" s="10" t="s">
        <v>277</v>
      </c>
      <c r="D101" s="152"/>
      <c r="E101" s="170"/>
      <c r="F101" s="95"/>
      <c r="G101" s="153" t="str">
        <f t="shared" si="8"/>
        <v/>
      </c>
      <c r="H101" s="10" t="s">
        <v>20</v>
      </c>
      <c r="I101" s="331">
        <v>17.95</v>
      </c>
      <c r="J101" s="12">
        <f>E101*I101</f>
        <v>0</v>
      </c>
    </row>
    <row r="102" spans="1:11" hidden="1" x14ac:dyDescent="0.35">
      <c r="A102" s="103"/>
      <c r="B102" s="12" t="s">
        <v>3</v>
      </c>
      <c r="C102" s="10" t="s">
        <v>278</v>
      </c>
      <c r="D102" s="152"/>
      <c r="E102" s="170"/>
      <c r="F102" s="95"/>
      <c r="G102" s="153" t="str">
        <f t="shared" si="8"/>
        <v/>
      </c>
      <c r="H102" s="10" t="s">
        <v>20</v>
      </c>
      <c r="I102" s="331">
        <v>20.95</v>
      </c>
      <c r="J102" s="12">
        <f>E102*I102</f>
        <v>0</v>
      </c>
      <c r="K102" s="13"/>
    </row>
    <row r="103" spans="1:11" hidden="1" x14ac:dyDescent="0.35">
      <c r="A103" s="103"/>
      <c r="B103" s="12" t="s">
        <v>3</v>
      </c>
      <c r="C103" s="10" t="s">
        <v>279</v>
      </c>
      <c r="D103" s="152"/>
      <c r="E103" s="170"/>
      <c r="F103" s="95"/>
      <c r="G103" s="153" t="str">
        <f t="shared" si="8"/>
        <v/>
      </c>
      <c r="H103" s="10" t="s">
        <v>20</v>
      </c>
      <c r="I103" s="331">
        <v>19.95</v>
      </c>
      <c r="J103" s="12">
        <f>E103*I103</f>
        <v>0</v>
      </c>
      <c r="K103" s="13"/>
    </row>
    <row r="104" spans="1:11" ht="15.65" hidden="1" customHeight="1" x14ac:dyDescent="0.35">
      <c r="A104" s="103"/>
      <c r="B104" s="40" t="s">
        <v>3</v>
      </c>
      <c r="C104" s="41" t="s">
        <v>280</v>
      </c>
      <c r="D104" s="227"/>
      <c r="E104" s="170"/>
      <c r="F104" s="145"/>
      <c r="G104" s="153" t="str">
        <f t="shared" si="8"/>
        <v/>
      </c>
      <c r="H104" s="41" t="s">
        <v>20</v>
      </c>
      <c r="I104" s="334">
        <v>59.95</v>
      </c>
      <c r="J104" s="40">
        <f>E104*I104</f>
        <v>0</v>
      </c>
      <c r="K104" s="13"/>
    </row>
    <row r="105" spans="1:11" ht="14.5" hidden="1" customHeight="1" x14ac:dyDescent="0.35">
      <c r="A105" s="111"/>
      <c r="B105" s="126" t="s">
        <v>281</v>
      </c>
      <c r="C105" s="127"/>
      <c r="D105" s="226"/>
      <c r="E105" s="172"/>
      <c r="F105" s="144"/>
      <c r="G105" s="153" t="str">
        <f t="shared" si="8"/>
        <v/>
      </c>
      <c r="H105" s="127"/>
      <c r="I105" s="239"/>
      <c r="J105" s="128"/>
      <c r="K105" s="13"/>
    </row>
    <row r="106" spans="1:11" ht="14.5" hidden="1" customHeight="1" x14ac:dyDescent="0.35">
      <c r="A106" s="103"/>
      <c r="B106" s="12" t="s">
        <v>3</v>
      </c>
      <c r="C106" s="10" t="s">
        <v>282</v>
      </c>
      <c r="D106" s="152"/>
      <c r="E106" s="170"/>
      <c r="F106" s="95"/>
      <c r="G106" s="153" t="str">
        <f t="shared" si="8"/>
        <v/>
      </c>
      <c r="H106" s="10" t="s">
        <v>20</v>
      </c>
      <c r="I106" s="331">
        <v>54.95</v>
      </c>
      <c r="J106" s="12">
        <f>E106*I106</f>
        <v>0</v>
      </c>
      <c r="K106" s="13"/>
    </row>
    <row r="107" spans="1:11" ht="14.5" hidden="1" customHeight="1" x14ac:dyDescent="0.35">
      <c r="A107" s="103"/>
      <c r="B107" s="12" t="s">
        <v>3</v>
      </c>
      <c r="C107" s="10" t="s">
        <v>283</v>
      </c>
      <c r="D107" s="152"/>
      <c r="E107" s="170"/>
      <c r="F107" s="95"/>
      <c r="G107" s="153" t="str">
        <f t="shared" si="8"/>
        <v/>
      </c>
      <c r="H107" s="10" t="s">
        <v>20</v>
      </c>
      <c r="I107" s="331">
        <v>49.95</v>
      </c>
      <c r="J107" s="12">
        <f>E107*I107</f>
        <v>0</v>
      </c>
      <c r="K107" s="13"/>
    </row>
    <row r="108" spans="1:11" ht="14.5" hidden="1" customHeight="1" x14ac:dyDescent="0.35">
      <c r="A108" s="111"/>
      <c r="B108" s="126" t="s">
        <v>284</v>
      </c>
      <c r="C108" s="127"/>
      <c r="D108" s="226"/>
      <c r="E108" s="172"/>
      <c r="F108" s="144"/>
      <c r="G108" s="153" t="str">
        <f t="shared" si="8"/>
        <v/>
      </c>
      <c r="H108" s="127"/>
      <c r="I108" s="239"/>
      <c r="J108" s="128"/>
      <c r="K108" s="13"/>
    </row>
    <row r="109" spans="1:11" ht="15.65" hidden="1" customHeight="1" x14ac:dyDescent="0.35">
      <c r="A109" s="103"/>
      <c r="B109" s="12" t="s">
        <v>3</v>
      </c>
      <c r="C109" s="10" t="s">
        <v>285</v>
      </c>
      <c r="D109" s="152"/>
      <c r="E109" s="170"/>
      <c r="F109" s="95"/>
      <c r="G109" s="153" t="str">
        <f t="shared" si="8"/>
        <v/>
      </c>
      <c r="H109" s="10" t="s">
        <v>20</v>
      </c>
      <c r="I109" s="331">
        <v>41.5</v>
      </c>
      <c r="J109" s="12">
        <f t="shared" ref="J109:J114" si="9">E109*I109</f>
        <v>0</v>
      </c>
      <c r="K109" s="13"/>
    </row>
    <row r="110" spans="1:11" hidden="1" x14ac:dyDescent="0.35">
      <c r="A110" s="103"/>
      <c r="B110" s="12" t="s">
        <v>3</v>
      </c>
      <c r="C110" s="10" t="s">
        <v>286</v>
      </c>
      <c r="D110" s="152"/>
      <c r="E110" s="170"/>
      <c r="F110" s="95"/>
      <c r="G110" s="153" t="str">
        <f t="shared" si="8"/>
        <v/>
      </c>
      <c r="H110" s="10" t="s">
        <v>20</v>
      </c>
      <c r="I110" s="331">
        <v>36.200000000000003</v>
      </c>
      <c r="J110" s="12">
        <f t="shared" si="9"/>
        <v>0</v>
      </c>
      <c r="K110" s="13"/>
    </row>
    <row r="111" spans="1:11" hidden="1" x14ac:dyDescent="0.35">
      <c r="A111" s="103"/>
      <c r="B111" s="12" t="s">
        <v>3</v>
      </c>
      <c r="C111" s="10" t="s">
        <v>287</v>
      </c>
      <c r="D111" s="152"/>
      <c r="E111" s="170"/>
      <c r="F111" s="95"/>
      <c r="G111" s="153" t="str">
        <f t="shared" si="8"/>
        <v/>
      </c>
      <c r="H111" s="10" t="s">
        <v>20</v>
      </c>
      <c r="I111" s="331">
        <v>25.95</v>
      </c>
      <c r="J111" s="12">
        <f t="shared" si="9"/>
        <v>0</v>
      </c>
      <c r="K111" s="13"/>
    </row>
    <row r="112" spans="1:11" s="6" customFormat="1" ht="15.5" hidden="1" x14ac:dyDescent="0.35">
      <c r="A112" s="103"/>
      <c r="B112" s="12" t="s">
        <v>3</v>
      </c>
      <c r="C112" s="10" t="s">
        <v>288</v>
      </c>
      <c r="D112" s="152"/>
      <c r="E112" s="170"/>
      <c r="F112" s="95"/>
      <c r="G112" s="153" t="str">
        <f t="shared" si="8"/>
        <v/>
      </c>
      <c r="H112" s="10" t="s">
        <v>20</v>
      </c>
      <c r="I112" s="331">
        <v>32.799999999999997</v>
      </c>
      <c r="J112" s="12">
        <f t="shared" si="9"/>
        <v>0</v>
      </c>
    </row>
    <row r="113" spans="1:11" hidden="1" x14ac:dyDescent="0.35">
      <c r="A113" s="103"/>
      <c r="B113" s="12" t="s">
        <v>3</v>
      </c>
      <c r="C113" s="10" t="s">
        <v>289</v>
      </c>
      <c r="D113" s="152"/>
      <c r="E113" s="170"/>
      <c r="F113" s="95"/>
      <c r="G113" s="153" t="str">
        <f t="shared" si="8"/>
        <v/>
      </c>
      <c r="H113" s="10" t="s">
        <v>20</v>
      </c>
      <c r="I113" s="331">
        <v>29.2</v>
      </c>
      <c r="J113" s="12">
        <f t="shared" si="9"/>
        <v>0</v>
      </c>
      <c r="K113" s="13"/>
    </row>
    <row r="114" spans="1:11" hidden="1" x14ac:dyDescent="0.35">
      <c r="A114" s="103"/>
      <c r="B114" s="12" t="s">
        <v>3</v>
      </c>
      <c r="C114" s="10" t="s">
        <v>290</v>
      </c>
      <c r="D114" s="152"/>
      <c r="E114" s="170"/>
      <c r="F114" s="95"/>
      <c r="G114" s="153" t="str">
        <f t="shared" si="8"/>
        <v/>
      </c>
      <c r="H114" s="10" t="s">
        <v>20</v>
      </c>
      <c r="I114" s="331">
        <v>22.95</v>
      </c>
      <c r="J114" s="12">
        <f t="shared" si="9"/>
        <v>0</v>
      </c>
      <c r="K114" s="13"/>
    </row>
    <row r="115" spans="1:11" ht="14.5" hidden="1" customHeight="1" x14ac:dyDescent="0.35">
      <c r="A115" s="111"/>
      <c r="B115" s="126" t="s">
        <v>291</v>
      </c>
      <c r="C115" s="127"/>
      <c r="D115" s="226"/>
      <c r="E115" s="172"/>
      <c r="F115" s="144"/>
      <c r="G115" s="153" t="str">
        <f t="shared" si="8"/>
        <v/>
      </c>
      <c r="H115" s="127"/>
      <c r="I115" s="239"/>
      <c r="J115" s="128"/>
      <c r="K115" s="13"/>
    </row>
    <row r="116" spans="1:11" ht="14.5" hidden="1" customHeight="1" x14ac:dyDescent="0.35">
      <c r="A116" s="103"/>
      <c r="B116" s="12" t="s">
        <v>3</v>
      </c>
      <c r="C116" s="10" t="s">
        <v>292</v>
      </c>
      <c r="D116" s="152"/>
      <c r="E116" s="170"/>
      <c r="F116" s="95"/>
      <c r="G116" s="153" t="str">
        <f t="shared" si="8"/>
        <v/>
      </c>
      <c r="H116" s="10" t="s">
        <v>20</v>
      </c>
      <c r="I116" s="331">
        <v>17.95</v>
      </c>
      <c r="J116" s="12">
        <f t="shared" ref="J116:J121" si="10">E116*I116</f>
        <v>0</v>
      </c>
      <c r="K116" s="13"/>
    </row>
    <row r="117" spans="1:11" ht="14.5" hidden="1" customHeight="1" x14ac:dyDescent="0.35">
      <c r="A117" s="103"/>
      <c r="B117" s="12" t="s">
        <v>3</v>
      </c>
      <c r="C117" s="10" t="s">
        <v>293</v>
      </c>
      <c r="D117" s="152"/>
      <c r="E117" s="170"/>
      <c r="F117" s="95"/>
      <c r="G117" s="153" t="str">
        <f t="shared" si="8"/>
        <v/>
      </c>
      <c r="H117" s="10" t="s">
        <v>20</v>
      </c>
      <c r="I117" s="331">
        <v>12.95</v>
      </c>
      <c r="J117" s="12">
        <f t="shared" si="10"/>
        <v>0</v>
      </c>
      <c r="K117" s="13"/>
    </row>
    <row r="118" spans="1:11" ht="14.5" hidden="1" customHeight="1" x14ac:dyDescent="0.35">
      <c r="A118" s="103"/>
      <c r="B118" s="12" t="s">
        <v>3</v>
      </c>
      <c r="C118" s="10" t="s">
        <v>294</v>
      </c>
      <c r="D118" s="152"/>
      <c r="E118" s="170"/>
      <c r="F118" s="95"/>
      <c r="G118" s="153" t="str">
        <f t="shared" si="8"/>
        <v/>
      </c>
      <c r="H118" s="10" t="s">
        <v>20</v>
      </c>
      <c r="I118" s="331">
        <v>21.95</v>
      </c>
      <c r="J118" s="12">
        <f t="shared" si="10"/>
        <v>0</v>
      </c>
      <c r="K118" s="13"/>
    </row>
    <row r="119" spans="1:11" ht="15.65" hidden="1" customHeight="1" x14ac:dyDescent="0.35">
      <c r="A119" s="103"/>
      <c r="B119" s="12" t="s">
        <v>3</v>
      </c>
      <c r="C119" s="10" t="s">
        <v>295</v>
      </c>
      <c r="D119" s="152"/>
      <c r="E119" s="170"/>
      <c r="F119" s="95"/>
      <c r="G119" s="153" t="str">
        <f t="shared" si="8"/>
        <v/>
      </c>
      <c r="H119" s="10" t="s">
        <v>20</v>
      </c>
      <c r="I119" s="331"/>
      <c r="J119" s="12">
        <f t="shared" si="10"/>
        <v>0</v>
      </c>
      <c r="K119" s="13"/>
    </row>
    <row r="120" spans="1:11" ht="15.65" hidden="1" customHeight="1" x14ac:dyDescent="0.35">
      <c r="A120" s="103"/>
      <c r="B120" s="12" t="s">
        <v>3</v>
      </c>
      <c r="C120" s="10" t="s">
        <v>296</v>
      </c>
      <c r="D120" s="152"/>
      <c r="E120" s="170"/>
      <c r="F120" s="95"/>
      <c r="G120" s="153" t="str">
        <f t="shared" si="8"/>
        <v/>
      </c>
      <c r="H120" s="10" t="s">
        <v>20</v>
      </c>
      <c r="I120" s="331"/>
      <c r="J120" s="12">
        <f t="shared" si="10"/>
        <v>0</v>
      </c>
      <c r="K120" s="13"/>
    </row>
    <row r="121" spans="1:11" ht="14.5" hidden="1" customHeight="1" x14ac:dyDescent="0.35">
      <c r="A121" s="103"/>
      <c r="B121" s="12" t="s">
        <v>3</v>
      </c>
      <c r="C121" s="10" t="s">
        <v>297</v>
      </c>
      <c r="D121" s="152"/>
      <c r="E121" s="170"/>
      <c r="F121" s="95"/>
      <c r="G121" s="153" t="str">
        <f t="shared" si="8"/>
        <v/>
      </c>
      <c r="H121" s="10" t="s">
        <v>20</v>
      </c>
      <c r="I121" s="331">
        <v>22.95</v>
      </c>
      <c r="J121" s="12">
        <f t="shared" si="10"/>
        <v>0</v>
      </c>
      <c r="K121" s="13"/>
    </row>
    <row r="122" spans="1:11" ht="14.5" hidden="1" customHeight="1" x14ac:dyDescent="0.35">
      <c r="A122" s="112" t="s">
        <v>298</v>
      </c>
      <c r="B122" s="116"/>
      <c r="C122" s="116"/>
      <c r="D122" s="228"/>
      <c r="E122" s="173"/>
      <c r="F122" s="146"/>
      <c r="G122" s="153" t="str">
        <f t="shared" si="8"/>
        <v/>
      </c>
      <c r="H122" s="117"/>
      <c r="I122" s="106" t="s">
        <v>18</v>
      </c>
      <c r="J122" s="115">
        <f>SUM(J123:J175)</f>
        <v>122.56</v>
      </c>
      <c r="K122" s="13"/>
    </row>
    <row r="123" spans="1:11" ht="14.5" hidden="1" customHeight="1" x14ac:dyDescent="0.35">
      <c r="A123" s="103"/>
      <c r="B123" s="20" t="s">
        <v>4</v>
      </c>
      <c r="C123" s="18" t="s">
        <v>62</v>
      </c>
      <c r="D123" s="229"/>
      <c r="E123" s="170"/>
      <c r="F123" s="147"/>
      <c r="G123" s="153" t="str">
        <f t="shared" si="8"/>
        <v/>
      </c>
      <c r="H123" s="18" t="s">
        <v>20</v>
      </c>
      <c r="I123" s="335">
        <v>7.35</v>
      </c>
      <c r="J123" s="20">
        <f>E123*I123</f>
        <v>0</v>
      </c>
      <c r="K123" s="13"/>
    </row>
    <row r="124" spans="1:11" ht="15.65" hidden="1" customHeight="1" x14ac:dyDescent="0.35">
      <c r="A124" s="103"/>
      <c r="B124" s="20" t="s">
        <v>4</v>
      </c>
      <c r="C124" s="18" t="s">
        <v>60</v>
      </c>
      <c r="D124" s="229"/>
      <c r="E124" s="170"/>
      <c r="F124" s="147"/>
      <c r="G124" s="153" t="str">
        <f t="shared" si="8"/>
        <v/>
      </c>
      <c r="H124" s="18" t="s">
        <v>20</v>
      </c>
      <c r="I124" s="335">
        <v>10.65</v>
      </c>
      <c r="J124" s="20">
        <f>E124*I124</f>
        <v>0</v>
      </c>
      <c r="K124" s="13"/>
    </row>
    <row r="125" spans="1:11" ht="15.65" hidden="1" customHeight="1" x14ac:dyDescent="0.35">
      <c r="A125" s="113" t="s">
        <v>40</v>
      </c>
      <c r="B125" s="124"/>
      <c r="C125" s="124"/>
      <c r="D125" s="230"/>
      <c r="E125" s="174"/>
      <c r="F125" s="148"/>
      <c r="G125" s="153" t="str">
        <f t="shared" si="8"/>
        <v/>
      </c>
      <c r="H125" s="124"/>
      <c r="I125" s="241"/>
      <c r="J125" s="125"/>
      <c r="K125" s="13"/>
    </row>
    <row r="126" spans="1:11" ht="14.5" hidden="1" customHeight="1" x14ac:dyDescent="0.35">
      <c r="A126" s="103"/>
      <c r="B126" s="20" t="s">
        <v>4</v>
      </c>
      <c r="C126" s="18" t="s">
        <v>299</v>
      </c>
      <c r="D126" s="229"/>
      <c r="E126" s="170"/>
      <c r="F126" s="147"/>
      <c r="G126" s="153" t="str">
        <f t="shared" si="8"/>
        <v/>
      </c>
      <c r="H126" s="18" t="s">
        <v>20</v>
      </c>
      <c r="I126" s="335">
        <v>1.31</v>
      </c>
      <c r="J126" s="12">
        <f t="shared" ref="J126:J137" si="11">E126*I126</f>
        <v>0</v>
      </c>
    </row>
    <row r="127" spans="1:11" ht="14.5" hidden="1" customHeight="1" x14ac:dyDescent="0.35">
      <c r="A127" s="103"/>
      <c r="B127" s="12" t="s">
        <v>4</v>
      </c>
      <c r="C127" s="10" t="s">
        <v>300</v>
      </c>
      <c r="D127" s="152"/>
      <c r="E127" s="170"/>
      <c r="F127" s="95"/>
      <c r="G127" s="153" t="str">
        <f t="shared" si="8"/>
        <v/>
      </c>
      <c r="H127" s="10" t="s">
        <v>20</v>
      </c>
      <c r="I127" s="331">
        <v>1.31</v>
      </c>
      <c r="J127" s="12">
        <f t="shared" si="11"/>
        <v>0</v>
      </c>
    </row>
    <row r="128" spans="1:11" ht="14.5" hidden="1" customHeight="1" x14ac:dyDescent="0.35">
      <c r="A128" s="103"/>
      <c r="B128" s="20" t="s">
        <v>4</v>
      </c>
      <c r="C128" s="18" t="s">
        <v>301</v>
      </c>
      <c r="D128" s="229"/>
      <c r="E128" s="170"/>
      <c r="F128" s="147"/>
      <c r="G128" s="153" t="str">
        <f t="shared" si="8"/>
        <v/>
      </c>
      <c r="H128" s="18" t="s">
        <v>20</v>
      </c>
      <c r="I128" s="335">
        <v>1.4039999999999999</v>
      </c>
      <c r="J128" s="12">
        <f t="shared" si="11"/>
        <v>0</v>
      </c>
    </row>
    <row r="129" spans="1:11" ht="14.5" hidden="1" customHeight="1" x14ac:dyDescent="0.35">
      <c r="A129" s="103"/>
      <c r="B129" s="12" t="s">
        <v>4</v>
      </c>
      <c r="C129" s="10" t="s">
        <v>302</v>
      </c>
      <c r="D129" s="152"/>
      <c r="E129" s="170"/>
      <c r="F129" s="95"/>
      <c r="G129" s="153" t="str">
        <f t="shared" si="8"/>
        <v/>
      </c>
      <c r="H129" s="10" t="s">
        <v>20</v>
      </c>
      <c r="I129" s="331">
        <v>1.4039999999999999</v>
      </c>
      <c r="J129" s="12">
        <f t="shared" si="11"/>
        <v>0</v>
      </c>
    </row>
    <row r="130" spans="1:11" ht="14.5" hidden="1" customHeight="1" x14ac:dyDescent="0.35">
      <c r="A130" s="103"/>
      <c r="B130" s="12" t="s">
        <v>4</v>
      </c>
      <c r="C130" s="10" t="s">
        <v>303</v>
      </c>
      <c r="D130" s="152"/>
      <c r="E130" s="170"/>
      <c r="F130" s="95"/>
      <c r="G130" s="153" t="str">
        <f t="shared" si="8"/>
        <v/>
      </c>
      <c r="H130" s="10" t="s">
        <v>20</v>
      </c>
      <c r="I130" s="331">
        <v>1.53</v>
      </c>
      <c r="J130" s="12">
        <f t="shared" si="11"/>
        <v>0</v>
      </c>
    </row>
    <row r="131" spans="1:11" ht="14.5" hidden="1" customHeight="1" x14ac:dyDescent="0.35">
      <c r="A131" s="103"/>
      <c r="B131" s="12" t="s">
        <v>4</v>
      </c>
      <c r="C131" s="10" t="s">
        <v>304</v>
      </c>
      <c r="D131" s="152"/>
      <c r="E131" s="170"/>
      <c r="F131" s="95"/>
      <c r="G131" s="153" t="str">
        <f t="shared" si="8"/>
        <v/>
      </c>
      <c r="H131" s="10" t="s">
        <v>20</v>
      </c>
      <c r="I131" s="331">
        <v>1.65</v>
      </c>
      <c r="J131" s="12">
        <f t="shared" si="11"/>
        <v>0</v>
      </c>
    </row>
    <row r="132" spans="1:11" ht="14.5" hidden="1" customHeight="1" x14ac:dyDescent="0.35">
      <c r="A132" s="103"/>
      <c r="B132" s="12" t="s">
        <v>4</v>
      </c>
      <c r="C132" s="10" t="s">
        <v>83</v>
      </c>
      <c r="D132" s="152"/>
      <c r="E132" s="170"/>
      <c r="F132" s="95"/>
      <c r="G132" s="153" t="str">
        <f t="shared" si="8"/>
        <v/>
      </c>
      <c r="H132" s="10" t="s">
        <v>20</v>
      </c>
      <c r="I132" s="331">
        <v>1.04</v>
      </c>
      <c r="J132" s="12">
        <f t="shared" si="11"/>
        <v>0</v>
      </c>
    </row>
    <row r="133" spans="1:11" ht="14.5" hidden="1" customHeight="1" x14ac:dyDescent="0.35">
      <c r="A133" s="103"/>
      <c r="B133" s="12" t="s">
        <v>4</v>
      </c>
      <c r="C133" s="10" t="s">
        <v>305</v>
      </c>
      <c r="D133" s="152"/>
      <c r="E133" s="170"/>
      <c r="F133" s="95"/>
      <c r="G133" s="153" t="str">
        <f t="shared" si="8"/>
        <v/>
      </c>
      <c r="H133" s="10" t="s">
        <v>20</v>
      </c>
      <c r="I133" s="331">
        <v>1.04</v>
      </c>
      <c r="J133" s="12">
        <f t="shared" si="11"/>
        <v>0</v>
      </c>
    </row>
    <row r="134" spans="1:11" ht="14.5" hidden="1" customHeight="1" x14ac:dyDescent="0.35">
      <c r="A134" s="103"/>
      <c r="B134" s="12" t="s">
        <v>4</v>
      </c>
      <c r="C134" s="10" t="s">
        <v>306</v>
      </c>
      <c r="D134" s="152"/>
      <c r="E134" s="170"/>
      <c r="F134" s="95"/>
      <c r="G134" s="153" t="str">
        <f t="shared" si="8"/>
        <v/>
      </c>
      <c r="H134" s="10" t="s">
        <v>20</v>
      </c>
      <c r="I134" s="331">
        <v>1.06</v>
      </c>
      <c r="J134" s="12">
        <f t="shared" si="11"/>
        <v>0</v>
      </c>
    </row>
    <row r="135" spans="1:11" ht="14.5" hidden="1" customHeight="1" x14ac:dyDescent="0.35">
      <c r="A135" s="103"/>
      <c r="B135" s="12" t="s">
        <v>4</v>
      </c>
      <c r="C135" s="10" t="s">
        <v>307</v>
      </c>
      <c r="D135" s="152"/>
      <c r="E135" s="170"/>
      <c r="F135" s="95"/>
      <c r="G135" s="153" t="str">
        <f t="shared" si="8"/>
        <v/>
      </c>
      <c r="H135" s="10" t="s">
        <v>20</v>
      </c>
      <c r="I135" s="331">
        <v>1.06</v>
      </c>
      <c r="J135" s="12">
        <f t="shared" si="11"/>
        <v>0</v>
      </c>
    </row>
    <row r="136" spans="1:11" ht="15.65" hidden="1" customHeight="1" x14ac:dyDescent="0.35">
      <c r="A136" s="103"/>
      <c r="B136" s="12" t="s">
        <v>4</v>
      </c>
      <c r="C136" s="10" t="s">
        <v>308</v>
      </c>
      <c r="D136" s="152"/>
      <c r="E136" s="170"/>
      <c r="F136" s="95"/>
      <c r="G136" s="153" t="str">
        <f t="shared" si="8"/>
        <v/>
      </c>
      <c r="H136" s="10" t="s">
        <v>20</v>
      </c>
      <c r="I136" s="331">
        <v>1.2869999999999999</v>
      </c>
      <c r="J136" s="12">
        <f t="shared" si="11"/>
        <v>0</v>
      </c>
      <c r="K136" s="13"/>
    </row>
    <row r="137" spans="1:11" ht="15.65" hidden="1" customHeight="1" x14ac:dyDescent="0.35">
      <c r="A137" s="103"/>
      <c r="B137" s="12" t="s">
        <v>4</v>
      </c>
      <c r="C137" s="10" t="s">
        <v>309</v>
      </c>
      <c r="D137" s="152"/>
      <c r="E137" s="170"/>
      <c r="F137" s="95"/>
      <c r="G137" s="153" t="str">
        <f t="shared" si="8"/>
        <v/>
      </c>
      <c r="H137" s="10" t="s">
        <v>20</v>
      </c>
      <c r="I137" s="331">
        <v>1.59</v>
      </c>
      <c r="J137" s="12">
        <f t="shared" si="11"/>
        <v>0</v>
      </c>
    </row>
    <row r="138" spans="1:11" ht="14.5" hidden="1" customHeight="1" x14ac:dyDescent="0.35">
      <c r="A138" s="113" t="s">
        <v>310</v>
      </c>
      <c r="B138" s="124"/>
      <c r="C138" s="124"/>
      <c r="D138" s="230"/>
      <c r="E138" s="174"/>
      <c r="F138" s="148"/>
      <c r="G138" s="153" t="str">
        <f t="shared" si="8"/>
        <v/>
      </c>
      <c r="H138" s="124"/>
      <c r="I138" s="241"/>
      <c r="J138" s="125"/>
    </row>
    <row r="139" spans="1:11" ht="14.5" hidden="1" customHeight="1" x14ac:dyDescent="0.35">
      <c r="A139" s="103"/>
      <c r="B139" s="12" t="s">
        <v>4</v>
      </c>
      <c r="C139" s="10" t="s">
        <v>311</v>
      </c>
      <c r="D139" s="152"/>
      <c r="E139" s="170"/>
      <c r="F139" s="95"/>
      <c r="G139" s="153" t="str">
        <f t="shared" si="8"/>
        <v/>
      </c>
      <c r="H139" s="10" t="s">
        <v>20</v>
      </c>
      <c r="I139" s="331">
        <v>1.1000000000000001</v>
      </c>
      <c r="J139" s="12">
        <f t="shared" ref="J139:J149" si="12">E139*I139</f>
        <v>0</v>
      </c>
    </row>
    <row r="140" spans="1:11" ht="14.5" hidden="1" customHeight="1" x14ac:dyDescent="0.35">
      <c r="A140" s="103"/>
      <c r="B140" s="12" t="s">
        <v>4</v>
      </c>
      <c r="C140" s="10" t="s">
        <v>312</v>
      </c>
      <c r="D140" s="152"/>
      <c r="E140" s="170"/>
      <c r="F140" s="95"/>
      <c r="G140" s="153" t="str">
        <f t="shared" si="8"/>
        <v/>
      </c>
      <c r="H140" s="10" t="s">
        <v>20</v>
      </c>
      <c r="I140" s="331">
        <v>1.1000000000000001</v>
      </c>
      <c r="J140" s="12">
        <f t="shared" si="12"/>
        <v>0</v>
      </c>
    </row>
    <row r="141" spans="1:11" ht="14.5" hidden="1" customHeight="1" x14ac:dyDescent="0.35">
      <c r="A141" s="103"/>
      <c r="B141" s="12" t="s">
        <v>4</v>
      </c>
      <c r="C141" s="10" t="s">
        <v>313</v>
      </c>
      <c r="D141" s="152"/>
      <c r="E141" s="170"/>
      <c r="F141" s="95"/>
      <c r="G141" s="153" t="str">
        <f t="shared" si="8"/>
        <v/>
      </c>
      <c r="H141" s="10" t="s">
        <v>20</v>
      </c>
      <c r="I141" s="331">
        <v>1.3</v>
      </c>
      <c r="J141" s="12">
        <f t="shared" si="12"/>
        <v>0</v>
      </c>
    </row>
    <row r="142" spans="1:11" ht="14.5" hidden="1" customHeight="1" x14ac:dyDescent="0.35">
      <c r="A142" s="103"/>
      <c r="B142" s="12" t="s">
        <v>4</v>
      </c>
      <c r="C142" s="10" t="s">
        <v>314</v>
      </c>
      <c r="D142" s="152"/>
      <c r="E142" s="170"/>
      <c r="F142" s="95"/>
      <c r="G142" s="153" t="str">
        <f t="shared" si="8"/>
        <v/>
      </c>
      <c r="H142" s="10" t="s">
        <v>20</v>
      </c>
      <c r="I142" s="331">
        <v>1.36</v>
      </c>
      <c r="J142" s="12">
        <f t="shared" si="12"/>
        <v>0</v>
      </c>
    </row>
    <row r="143" spans="1:11" ht="15.65" hidden="1" customHeight="1" x14ac:dyDescent="0.35">
      <c r="A143" s="103"/>
      <c r="B143" s="12" t="s">
        <v>4</v>
      </c>
      <c r="C143" s="10" t="s">
        <v>315</v>
      </c>
      <c r="D143" s="152"/>
      <c r="E143" s="170"/>
      <c r="F143" s="95"/>
      <c r="G143" s="153" t="str">
        <f t="shared" si="8"/>
        <v/>
      </c>
      <c r="H143" s="10" t="s">
        <v>20</v>
      </c>
      <c r="I143" s="331">
        <v>1.3</v>
      </c>
      <c r="J143" s="12">
        <f t="shared" si="12"/>
        <v>0</v>
      </c>
      <c r="K143" s="13"/>
    </row>
    <row r="144" spans="1:11" ht="15.65" hidden="1" customHeight="1" x14ac:dyDescent="0.35">
      <c r="A144" s="103"/>
      <c r="B144" s="12" t="s">
        <v>4</v>
      </c>
      <c r="C144" s="10" t="s">
        <v>316</v>
      </c>
      <c r="D144" s="152"/>
      <c r="E144" s="170"/>
      <c r="F144" s="95"/>
      <c r="G144" s="153" t="str">
        <f t="shared" si="8"/>
        <v/>
      </c>
      <c r="H144" s="10" t="s">
        <v>20</v>
      </c>
      <c r="I144" s="331">
        <v>1.35</v>
      </c>
      <c r="J144" s="12">
        <f t="shared" si="12"/>
        <v>0</v>
      </c>
    </row>
    <row r="145" spans="1:11" ht="14.5" hidden="1" customHeight="1" x14ac:dyDescent="0.35">
      <c r="A145" s="103"/>
      <c r="B145" s="12" t="s">
        <v>4</v>
      </c>
      <c r="C145" s="10" t="s">
        <v>317</v>
      </c>
      <c r="D145" s="152"/>
      <c r="E145" s="170"/>
      <c r="F145" s="95"/>
      <c r="G145" s="153" t="str">
        <f t="shared" si="8"/>
        <v/>
      </c>
      <c r="H145" s="10" t="s">
        <v>20</v>
      </c>
      <c r="I145" s="331">
        <v>1.28</v>
      </c>
      <c r="J145" s="12">
        <f t="shared" si="12"/>
        <v>0</v>
      </c>
    </row>
    <row r="146" spans="1:11" ht="14.5" hidden="1" customHeight="1" x14ac:dyDescent="0.35">
      <c r="A146" s="103"/>
      <c r="B146" s="12" t="s">
        <v>4</v>
      </c>
      <c r="C146" s="10" t="s">
        <v>318</v>
      </c>
      <c r="D146" s="152"/>
      <c r="E146" s="170"/>
      <c r="F146" s="95"/>
      <c r="G146" s="153" t="str">
        <f t="shared" si="8"/>
        <v/>
      </c>
      <c r="H146" s="10" t="s">
        <v>20</v>
      </c>
      <c r="I146" s="331">
        <v>1.1000000000000001</v>
      </c>
      <c r="J146" s="12">
        <f t="shared" si="12"/>
        <v>0</v>
      </c>
    </row>
    <row r="147" spans="1:11" ht="14.5" hidden="1" customHeight="1" x14ac:dyDescent="0.35">
      <c r="A147" s="103"/>
      <c r="B147" s="12" t="s">
        <v>4</v>
      </c>
      <c r="C147" s="10" t="s">
        <v>319</v>
      </c>
      <c r="D147" s="152"/>
      <c r="E147" s="170"/>
      <c r="F147" s="95"/>
      <c r="G147" s="153" t="str">
        <f t="shared" si="8"/>
        <v/>
      </c>
      <c r="H147" s="10" t="s">
        <v>20</v>
      </c>
      <c r="I147" s="331">
        <v>1.1000000000000001</v>
      </c>
      <c r="J147" s="12">
        <f t="shared" si="12"/>
        <v>0</v>
      </c>
    </row>
    <row r="148" spans="1:11" ht="14.5" hidden="1" customHeight="1" x14ac:dyDescent="0.35">
      <c r="A148" s="103"/>
      <c r="B148" s="12" t="s">
        <v>4</v>
      </c>
      <c r="C148" s="10" t="s">
        <v>320</v>
      </c>
      <c r="D148" s="152"/>
      <c r="E148" s="170"/>
      <c r="F148" s="95"/>
      <c r="G148" s="153" t="str">
        <f t="shared" si="8"/>
        <v/>
      </c>
      <c r="H148" s="10" t="s">
        <v>20</v>
      </c>
      <c r="I148" s="331">
        <v>1.1000000000000001</v>
      </c>
      <c r="J148" s="12">
        <f t="shared" si="12"/>
        <v>0</v>
      </c>
    </row>
    <row r="149" spans="1:11" ht="14.5" hidden="1" customHeight="1" x14ac:dyDescent="0.35">
      <c r="A149" s="103"/>
      <c r="B149" s="12" t="s">
        <v>4</v>
      </c>
      <c r="C149" s="10" t="s">
        <v>321</v>
      </c>
      <c r="D149" s="152"/>
      <c r="E149" s="170"/>
      <c r="F149" s="95"/>
      <c r="G149" s="153" t="str">
        <f t="shared" si="8"/>
        <v/>
      </c>
      <c r="H149" s="10" t="s">
        <v>20</v>
      </c>
      <c r="I149" s="331">
        <v>1.1000000000000001</v>
      </c>
      <c r="J149" s="12">
        <f t="shared" si="12"/>
        <v>0</v>
      </c>
      <c r="K149" s="13"/>
    </row>
    <row r="150" spans="1:11" ht="14.5" customHeight="1" x14ac:dyDescent="0.35">
      <c r="A150" s="113" t="s">
        <v>41</v>
      </c>
      <c r="B150" s="124"/>
      <c r="C150" s="124"/>
      <c r="D150" s="230"/>
      <c r="E150" s="174"/>
      <c r="F150" s="148"/>
      <c r="G150" s="165" t="str">
        <f t="shared" si="8"/>
        <v/>
      </c>
      <c r="H150" s="124"/>
      <c r="I150" s="241"/>
      <c r="J150" s="125"/>
    </row>
    <row r="151" spans="1:11" ht="15.65" customHeight="1" x14ac:dyDescent="0.35">
      <c r="A151" s="103"/>
      <c r="B151" s="12" t="s">
        <v>4</v>
      </c>
      <c r="C151" s="10" t="s">
        <v>24</v>
      </c>
      <c r="D151" s="152">
        <v>20</v>
      </c>
      <c r="E151" s="170">
        <v>4</v>
      </c>
      <c r="F151" s="95"/>
      <c r="G151" s="153">
        <f t="shared" si="8"/>
        <v>16</v>
      </c>
      <c r="H151" s="10" t="s">
        <v>20</v>
      </c>
      <c r="I151" s="331">
        <v>3.04</v>
      </c>
      <c r="J151" s="12">
        <f t="shared" ref="J151:J164" si="13">E151*I151</f>
        <v>12.16</v>
      </c>
    </row>
    <row r="152" spans="1:11" ht="15.65" customHeight="1" x14ac:dyDescent="0.35">
      <c r="A152" s="103"/>
      <c r="B152" s="12" t="s">
        <v>4</v>
      </c>
      <c r="C152" s="10" t="s">
        <v>80</v>
      </c>
      <c r="D152" s="152">
        <v>40</v>
      </c>
      <c r="E152" s="170">
        <v>16</v>
      </c>
      <c r="F152" s="95"/>
      <c r="G152" s="153">
        <f t="shared" si="8"/>
        <v>24</v>
      </c>
      <c r="H152" s="10" t="s">
        <v>20</v>
      </c>
      <c r="I152" s="331">
        <v>2.31</v>
      </c>
      <c r="J152" s="12">
        <f t="shared" si="13"/>
        <v>36.96</v>
      </c>
    </row>
    <row r="153" spans="1:11" ht="14.5" customHeight="1" x14ac:dyDescent="0.35">
      <c r="A153" s="103"/>
      <c r="B153" s="12" t="s">
        <v>4</v>
      </c>
      <c r="C153" s="10" t="s">
        <v>84</v>
      </c>
      <c r="D153" s="152">
        <v>20</v>
      </c>
      <c r="E153" s="170">
        <v>17</v>
      </c>
      <c r="F153" s="95"/>
      <c r="G153" s="153">
        <f t="shared" ref="G153:G223" si="14">IF(E153="","",IF(D153-E153&gt;0,D153-E153,""))</f>
        <v>3</v>
      </c>
      <c r="H153" s="10" t="s">
        <v>20</v>
      </c>
      <c r="I153" s="331">
        <v>2.31</v>
      </c>
      <c r="J153" s="12">
        <f t="shared" si="13"/>
        <v>39.270000000000003</v>
      </c>
    </row>
    <row r="154" spans="1:11" ht="14.5" hidden="1" customHeight="1" x14ac:dyDescent="0.35">
      <c r="A154" s="103"/>
      <c r="B154" s="12" t="s">
        <v>4</v>
      </c>
      <c r="C154" s="10" t="s">
        <v>394</v>
      </c>
      <c r="D154" s="152"/>
      <c r="E154" s="170"/>
      <c r="F154" s="95"/>
      <c r="G154" s="153" t="str">
        <f t="shared" si="14"/>
        <v/>
      </c>
      <c r="H154" s="10" t="s">
        <v>20</v>
      </c>
      <c r="I154" s="331">
        <v>2.54</v>
      </c>
      <c r="J154" s="12">
        <f t="shared" si="13"/>
        <v>0</v>
      </c>
    </row>
    <row r="155" spans="1:11" ht="14.5" hidden="1" customHeight="1" x14ac:dyDescent="0.35">
      <c r="A155" s="103"/>
      <c r="B155" s="12" t="s">
        <v>4</v>
      </c>
      <c r="C155" s="10" t="s">
        <v>394</v>
      </c>
      <c r="D155" s="152"/>
      <c r="E155" s="170"/>
      <c r="F155" s="95"/>
      <c r="G155" s="153" t="str">
        <f t="shared" si="14"/>
        <v/>
      </c>
      <c r="H155" s="10" t="s">
        <v>20</v>
      </c>
      <c r="I155" s="331">
        <v>2.54</v>
      </c>
      <c r="J155" s="12">
        <f t="shared" si="13"/>
        <v>0</v>
      </c>
      <c r="K155" s="13"/>
    </row>
    <row r="156" spans="1:11" ht="15.65" customHeight="1" x14ac:dyDescent="0.35">
      <c r="A156" s="103"/>
      <c r="B156" s="12" t="s">
        <v>4</v>
      </c>
      <c r="C156" s="10" t="s">
        <v>25</v>
      </c>
      <c r="D156" s="152">
        <v>20</v>
      </c>
      <c r="E156" s="170"/>
      <c r="F156" s="95"/>
      <c r="G156" s="153" t="str">
        <f t="shared" si="14"/>
        <v/>
      </c>
      <c r="H156" s="10" t="s">
        <v>20</v>
      </c>
      <c r="I156" s="331">
        <v>1.79</v>
      </c>
      <c r="J156" s="12">
        <f t="shared" si="13"/>
        <v>0</v>
      </c>
    </row>
    <row r="157" spans="1:11" ht="15.65" hidden="1" customHeight="1" x14ac:dyDescent="0.35">
      <c r="A157" s="103"/>
      <c r="B157" s="12" t="s">
        <v>4</v>
      </c>
      <c r="C157" s="10" t="s">
        <v>322</v>
      </c>
      <c r="D157" s="152"/>
      <c r="E157" s="170"/>
      <c r="F157" s="95"/>
      <c r="G157" s="153" t="str">
        <f t="shared" si="14"/>
        <v/>
      </c>
      <c r="H157" s="10" t="s">
        <v>20</v>
      </c>
      <c r="I157" s="331">
        <v>2.46</v>
      </c>
      <c r="J157" s="12">
        <f t="shared" si="13"/>
        <v>0</v>
      </c>
    </row>
    <row r="158" spans="1:11" ht="14.5" customHeight="1" x14ac:dyDescent="0.35">
      <c r="A158" s="103"/>
      <c r="B158" s="12" t="s">
        <v>4</v>
      </c>
      <c r="C158" s="10" t="s">
        <v>393</v>
      </c>
      <c r="D158" s="152">
        <v>40</v>
      </c>
      <c r="E158" s="170">
        <v>1</v>
      </c>
      <c r="F158" s="95"/>
      <c r="G158" s="153">
        <f t="shared" si="14"/>
        <v>39</v>
      </c>
      <c r="H158" s="10" t="s">
        <v>20</v>
      </c>
      <c r="I158" s="331">
        <v>2.46</v>
      </c>
      <c r="J158" s="12">
        <f t="shared" si="13"/>
        <v>2.46</v>
      </c>
    </row>
    <row r="159" spans="1:11" ht="14.5" hidden="1" customHeight="1" x14ac:dyDescent="0.35">
      <c r="A159" s="103"/>
      <c r="B159" s="12" t="s">
        <v>4</v>
      </c>
      <c r="C159" s="10" t="s">
        <v>43</v>
      </c>
      <c r="D159" s="152"/>
      <c r="E159" s="170"/>
      <c r="F159" s="95"/>
      <c r="G159" s="153" t="str">
        <f t="shared" si="14"/>
        <v/>
      </c>
      <c r="H159" s="10" t="s">
        <v>20</v>
      </c>
      <c r="I159" s="331">
        <v>2.5499999999999998</v>
      </c>
      <c r="J159" s="12">
        <f t="shared" si="13"/>
        <v>0</v>
      </c>
      <c r="K159" s="13"/>
    </row>
    <row r="160" spans="1:11" ht="15.65" customHeight="1" x14ac:dyDescent="0.35">
      <c r="A160" s="103"/>
      <c r="B160" s="12" t="s">
        <v>4</v>
      </c>
      <c r="C160" s="10" t="s">
        <v>81</v>
      </c>
      <c r="D160" s="152">
        <v>40</v>
      </c>
      <c r="E160" s="170">
        <v>10</v>
      </c>
      <c r="F160" s="95"/>
      <c r="G160" s="153">
        <f t="shared" si="14"/>
        <v>30</v>
      </c>
      <c r="H160" s="10" t="s">
        <v>20</v>
      </c>
      <c r="I160" s="331">
        <v>1.51</v>
      </c>
      <c r="J160" s="12">
        <f t="shared" si="13"/>
        <v>15.1</v>
      </c>
    </row>
    <row r="161" spans="1:11" ht="15.65" customHeight="1" x14ac:dyDescent="0.35">
      <c r="A161" s="103"/>
      <c r="B161" s="12" t="s">
        <v>4</v>
      </c>
      <c r="C161" s="10" t="s">
        <v>82</v>
      </c>
      <c r="D161" s="152">
        <v>40</v>
      </c>
      <c r="E161" s="170">
        <v>11</v>
      </c>
      <c r="F161" s="95"/>
      <c r="G161" s="153">
        <f t="shared" si="14"/>
        <v>29</v>
      </c>
      <c r="H161" s="10" t="s">
        <v>20</v>
      </c>
      <c r="I161" s="331">
        <v>1.51</v>
      </c>
      <c r="J161" s="12">
        <f t="shared" si="13"/>
        <v>16.61</v>
      </c>
    </row>
    <row r="162" spans="1:11" ht="14.5" hidden="1" customHeight="1" x14ac:dyDescent="0.35">
      <c r="A162" s="103"/>
      <c r="B162" s="12" t="s">
        <v>4</v>
      </c>
      <c r="C162" s="10" t="s">
        <v>323</v>
      </c>
      <c r="D162" s="152"/>
      <c r="E162" s="170"/>
      <c r="F162" s="95"/>
      <c r="G162" s="153" t="str">
        <f t="shared" si="14"/>
        <v/>
      </c>
      <c r="H162" s="10" t="s">
        <v>20</v>
      </c>
      <c r="I162" s="331">
        <v>1.54</v>
      </c>
      <c r="J162" s="12">
        <f t="shared" si="13"/>
        <v>0</v>
      </c>
    </row>
    <row r="163" spans="1:11" ht="14.5" hidden="1" customHeight="1" x14ac:dyDescent="0.35">
      <c r="A163" s="103"/>
      <c r="B163" s="12" t="s">
        <v>4</v>
      </c>
      <c r="C163" s="10" t="s">
        <v>324</v>
      </c>
      <c r="D163" s="152"/>
      <c r="E163" s="170"/>
      <c r="F163" s="95"/>
      <c r="G163" s="153" t="str">
        <f t="shared" si="14"/>
        <v/>
      </c>
      <c r="H163" s="10" t="s">
        <v>20</v>
      </c>
      <c r="I163" s="331">
        <v>1.6</v>
      </c>
      <c r="J163" s="12">
        <f t="shared" si="13"/>
        <v>0</v>
      </c>
    </row>
    <row r="164" spans="1:11" ht="14.5" hidden="1" customHeight="1" x14ac:dyDescent="0.35">
      <c r="A164" s="103"/>
      <c r="B164" s="12" t="s">
        <v>4</v>
      </c>
      <c r="C164" s="78" t="s">
        <v>325</v>
      </c>
      <c r="D164" s="224"/>
      <c r="E164" s="170"/>
      <c r="F164" s="142"/>
      <c r="G164" s="153" t="str">
        <f t="shared" si="14"/>
        <v/>
      </c>
      <c r="H164" s="10" t="s">
        <v>20</v>
      </c>
      <c r="I164" s="333">
        <v>49.95</v>
      </c>
      <c r="J164" s="12">
        <f t="shared" si="13"/>
        <v>0</v>
      </c>
    </row>
    <row r="165" spans="1:11" ht="14.5" customHeight="1" x14ac:dyDescent="0.35">
      <c r="A165" s="113" t="s">
        <v>44</v>
      </c>
      <c r="B165" s="124"/>
      <c r="C165" s="124"/>
      <c r="D165" s="230"/>
      <c r="E165" s="174"/>
      <c r="F165" s="148"/>
      <c r="G165" s="165" t="str">
        <f t="shared" si="14"/>
        <v/>
      </c>
      <c r="H165" s="124"/>
      <c r="I165" s="241"/>
      <c r="J165" s="125"/>
    </row>
    <row r="166" spans="1:11" ht="14.5" customHeight="1" x14ac:dyDescent="0.35">
      <c r="A166" s="103"/>
      <c r="B166" s="12" t="s">
        <v>4</v>
      </c>
      <c r="C166" s="10" t="s">
        <v>48</v>
      </c>
      <c r="D166" s="152"/>
      <c r="E166" s="170"/>
      <c r="F166" s="95"/>
      <c r="G166" s="153" t="str">
        <f t="shared" si="14"/>
        <v/>
      </c>
      <c r="H166" s="10" t="s">
        <v>20</v>
      </c>
      <c r="I166" s="331">
        <v>1.94</v>
      </c>
      <c r="J166" s="12">
        <f t="shared" ref="J166:J175" si="15">E166*I166</f>
        <v>0</v>
      </c>
    </row>
    <row r="167" spans="1:11" ht="14.5" customHeight="1" x14ac:dyDescent="0.35">
      <c r="A167" s="103"/>
      <c r="B167" s="12" t="s">
        <v>4</v>
      </c>
      <c r="C167" s="10" t="s">
        <v>49</v>
      </c>
      <c r="D167" s="152"/>
      <c r="E167" s="170"/>
      <c r="F167" s="95"/>
      <c r="G167" s="153" t="str">
        <f t="shared" si="14"/>
        <v/>
      </c>
      <c r="H167" s="10" t="s">
        <v>20</v>
      </c>
      <c r="I167" s="331">
        <v>1.94</v>
      </c>
      <c r="J167" s="12">
        <f t="shared" si="15"/>
        <v>0</v>
      </c>
    </row>
    <row r="168" spans="1:11" ht="14.5" customHeight="1" x14ac:dyDescent="0.35">
      <c r="A168" s="103"/>
      <c r="B168" s="12" t="s">
        <v>4</v>
      </c>
      <c r="C168" s="10" t="s">
        <v>50</v>
      </c>
      <c r="D168" s="152"/>
      <c r="E168" s="170"/>
      <c r="F168" s="95"/>
      <c r="G168" s="153" t="str">
        <f t="shared" si="14"/>
        <v/>
      </c>
      <c r="H168" s="10" t="s">
        <v>20</v>
      </c>
      <c r="I168" s="331">
        <v>1.94</v>
      </c>
      <c r="J168" s="12">
        <f t="shared" si="15"/>
        <v>0</v>
      </c>
    </row>
    <row r="169" spans="1:11" ht="14.5" hidden="1" customHeight="1" x14ac:dyDescent="0.35">
      <c r="A169" s="103"/>
      <c r="B169" s="12" t="s">
        <v>4</v>
      </c>
      <c r="C169" s="10" t="s">
        <v>415</v>
      </c>
      <c r="D169" s="152"/>
      <c r="E169" s="170"/>
      <c r="F169" s="95"/>
      <c r="G169" s="153" t="str">
        <f t="shared" si="14"/>
        <v/>
      </c>
      <c r="H169" s="10" t="s">
        <v>20</v>
      </c>
      <c r="I169" s="331">
        <v>1.98</v>
      </c>
      <c r="J169" s="12">
        <f t="shared" si="15"/>
        <v>0</v>
      </c>
    </row>
    <row r="170" spans="1:11" ht="14.5" hidden="1" customHeight="1" x14ac:dyDescent="0.35">
      <c r="A170" s="103"/>
      <c r="B170" s="12" t="s">
        <v>4</v>
      </c>
      <c r="C170" s="10" t="s">
        <v>414</v>
      </c>
      <c r="D170" s="152"/>
      <c r="E170" s="170"/>
      <c r="F170" s="95"/>
      <c r="G170" s="153" t="str">
        <f t="shared" si="14"/>
        <v/>
      </c>
      <c r="H170" s="10" t="s">
        <v>20</v>
      </c>
      <c r="I170" s="331">
        <v>1.98</v>
      </c>
      <c r="J170" s="12">
        <f t="shared" si="15"/>
        <v>0</v>
      </c>
    </row>
    <row r="171" spans="1:11" ht="14.5" hidden="1" customHeight="1" x14ac:dyDescent="0.35">
      <c r="A171" s="103"/>
      <c r="B171" s="12" t="s">
        <v>4</v>
      </c>
      <c r="C171" s="10" t="s">
        <v>328</v>
      </c>
      <c r="D171" s="152"/>
      <c r="E171" s="170"/>
      <c r="F171" s="95"/>
      <c r="G171" s="153" t="str">
        <f t="shared" si="14"/>
        <v/>
      </c>
      <c r="H171" s="10" t="s">
        <v>20</v>
      </c>
      <c r="I171" s="331">
        <v>1.98</v>
      </c>
      <c r="J171" s="12">
        <f t="shared" si="15"/>
        <v>0</v>
      </c>
    </row>
    <row r="172" spans="1:11" ht="14.5" hidden="1" customHeight="1" x14ac:dyDescent="0.35">
      <c r="A172" s="103"/>
      <c r="B172" s="12" t="s">
        <v>4</v>
      </c>
      <c r="C172" s="10" t="s">
        <v>329</v>
      </c>
      <c r="D172" s="152"/>
      <c r="E172" s="170"/>
      <c r="F172" s="95"/>
      <c r="G172" s="153" t="str">
        <f t="shared" si="14"/>
        <v/>
      </c>
      <c r="H172" s="10" t="s">
        <v>20</v>
      </c>
      <c r="I172" s="331">
        <v>1.98</v>
      </c>
      <c r="J172" s="12">
        <f t="shared" si="15"/>
        <v>0</v>
      </c>
    </row>
    <row r="173" spans="1:11" ht="14.5" hidden="1" customHeight="1" x14ac:dyDescent="0.35">
      <c r="A173" s="103"/>
      <c r="B173" s="40" t="s">
        <v>4</v>
      </c>
      <c r="C173" s="41" t="s">
        <v>330</v>
      </c>
      <c r="D173" s="227"/>
      <c r="E173" s="170"/>
      <c r="F173" s="145"/>
      <c r="G173" s="153" t="str">
        <f t="shared" si="14"/>
        <v/>
      </c>
      <c r="H173" s="10" t="s">
        <v>20</v>
      </c>
      <c r="I173" s="331">
        <v>1.98</v>
      </c>
      <c r="J173" s="12">
        <f t="shared" si="15"/>
        <v>0</v>
      </c>
    </row>
    <row r="174" spans="1:11" ht="14.5" hidden="1" customHeight="1" x14ac:dyDescent="0.35">
      <c r="A174" s="103"/>
      <c r="B174" s="40" t="s">
        <v>4</v>
      </c>
      <c r="C174" s="41" t="s">
        <v>331</v>
      </c>
      <c r="D174" s="227"/>
      <c r="E174" s="170"/>
      <c r="F174" s="145"/>
      <c r="G174" s="153" t="str">
        <f t="shared" si="14"/>
        <v/>
      </c>
      <c r="H174" s="10" t="s">
        <v>20</v>
      </c>
      <c r="I174" s="331">
        <v>1.98</v>
      </c>
      <c r="J174" s="12">
        <f t="shared" si="15"/>
        <v>0</v>
      </c>
    </row>
    <row r="175" spans="1:11" ht="14.5" hidden="1" customHeight="1" x14ac:dyDescent="0.35">
      <c r="A175" s="103"/>
      <c r="B175" s="40" t="s">
        <v>4</v>
      </c>
      <c r="C175" s="41" t="s">
        <v>413</v>
      </c>
      <c r="D175" s="227"/>
      <c r="E175" s="170"/>
      <c r="F175" s="145"/>
      <c r="G175" s="153" t="str">
        <f t="shared" si="14"/>
        <v/>
      </c>
      <c r="H175" s="41" t="s">
        <v>20</v>
      </c>
      <c r="I175" s="334">
        <v>1.98</v>
      </c>
      <c r="J175" s="12">
        <f t="shared" si="15"/>
        <v>0</v>
      </c>
      <c r="K175" s="13"/>
    </row>
    <row r="176" spans="1:11" ht="15.65" hidden="1" customHeight="1" x14ac:dyDescent="0.35">
      <c r="A176" s="114" t="s">
        <v>333</v>
      </c>
      <c r="B176" s="120"/>
      <c r="C176" s="120"/>
      <c r="D176" s="228"/>
      <c r="E176" s="175"/>
      <c r="F176" s="149"/>
      <c r="G176" s="153" t="str">
        <f t="shared" si="14"/>
        <v/>
      </c>
      <c r="H176" s="121"/>
      <c r="I176" s="122" t="s">
        <v>18</v>
      </c>
      <c r="J176" s="123">
        <f>SUM(J177:J186)</f>
        <v>0</v>
      </c>
    </row>
    <row r="177" spans="1:14" hidden="1" x14ac:dyDescent="0.35">
      <c r="A177" s="103"/>
      <c r="B177" s="12" t="s">
        <v>26</v>
      </c>
      <c r="C177" s="10" t="s">
        <v>334</v>
      </c>
      <c r="D177" s="152"/>
      <c r="E177" s="170"/>
      <c r="F177" s="95"/>
      <c r="G177" s="153" t="str">
        <f t="shared" si="14"/>
        <v/>
      </c>
      <c r="H177" s="10" t="s">
        <v>335</v>
      </c>
      <c r="I177" s="331">
        <v>20</v>
      </c>
      <c r="J177" s="12">
        <f t="shared" ref="J177:J186" si="16">E177*I177</f>
        <v>0</v>
      </c>
      <c r="N177" t="s">
        <v>47</v>
      </c>
    </row>
    <row r="178" spans="1:14" hidden="1" x14ac:dyDescent="0.35">
      <c r="A178" s="103"/>
      <c r="B178" s="20" t="s">
        <v>26</v>
      </c>
      <c r="C178" s="18" t="s">
        <v>53</v>
      </c>
      <c r="D178" s="229"/>
      <c r="E178" s="170"/>
      <c r="F178" s="147"/>
      <c r="G178" s="153" t="str">
        <f t="shared" si="14"/>
        <v/>
      </c>
      <c r="H178" s="18" t="s">
        <v>20</v>
      </c>
      <c r="I178" s="335">
        <v>0.43</v>
      </c>
      <c r="J178" s="20">
        <f t="shared" si="16"/>
        <v>0</v>
      </c>
    </row>
    <row r="179" spans="1:14" ht="16.399999999999999" hidden="1" customHeight="1" x14ac:dyDescent="0.35">
      <c r="A179" s="103"/>
      <c r="B179" s="20" t="s">
        <v>26</v>
      </c>
      <c r="C179" s="18" t="s">
        <v>336</v>
      </c>
      <c r="D179" s="229"/>
      <c r="E179" s="170"/>
      <c r="F179" s="147"/>
      <c r="G179" s="153" t="str">
        <f t="shared" si="14"/>
        <v/>
      </c>
      <c r="H179" s="18" t="s">
        <v>20</v>
      </c>
      <c r="I179" s="335">
        <v>0.43</v>
      </c>
      <c r="J179" s="20">
        <f t="shared" si="16"/>
        <v>0</v>
      </c>
    </row>
    <row r="180" spans="1:14" hidden="1" x14ac:dyDescent="0.35">
      <c r="A180" s="103"/>
      <c r="B180" s="12" t="s">
        <v>26</v>
      </c>
      <c r="C180" s="10" t="s">
        <v>337</v>
      </c>
      <c r="D180" s="152"/>
      <c r="E180" s="170"/>
      <c r="F180" s="95"/>
      <c r="G180" s="153" t="str">
        <f t="shared" si="14"/>
        <v/>
      </c>
      <c r="H180" s="10" t="s">
        <v>20</v>
      </c>
      <c r="I180" s="331">
        <v>0.43</v>
      </c>
      <c r="J180" s="12">
        <f t="shared" si="16"/>
        <v>0</v>
      </c>
    </row>
    <row r="181" spans="1:14" hidden="1" x14ac:dyDescent="0.35">
      <c r="A181" s="103"/>
      <c r="B181" s="12" t="s">
        <v>26</v>
      </c>
      <c r="C181" s="10" t="s">
        <v>51</v>
      </c>
      <c r="D181" s="152"/>
      <c r="E181" s="170"/>
      <c r="F181" s="95"/>
      <c r="G181" s="153" t="str">
        <f t="shared" si="14"/>
        <v/>
      </c>
      <c r="H181" s="10" t="s">
        <v>61</v>
      </c>
      <c r="I181" s="331">
        <v>14</v>
      </c>
      <c r="J181" s="12">
        <f t="shared" si="16"/>
        <v>0</v>
      </c>
    </row>
    <row r="182" spans="1:14" hidden="1" x14ac:dyDescent="0.35">
      <c r="A182" s="103"/>
      <c r="B182" s="12" t="s">
        <v>26</v>
      </c>
      <c r="C182" s="10" t="s">
        <v>338</v>
      </c>
      <c r="D182" s="152"/>
      <c r="E182" s="170"/>
      <c r="F182" s="95"/>
      <c r="G182" s="153" t="str">
        <f t="shared" si="14"/>
        <v/>
      </c>
      <c r="H182" s="10" t="s">
        <v>61</v>
      </c>
      <c r="I182" s="331">
        <v>14.78</v>
      </c>
      <c r="J182" s="12">
        <f t="shared" si="16"/>
        <v>0</v>
      </c>
    </row>
    <row r="183" spans="1:14" ht="14.5" hidden="1" customHeight="1" x14ac:dyDescent="0.35">
      <c r="A183" s="103"/>
      <c r="B183" s="12" t="s">
        <v>26</v>
      </c>
      <c r="C183" s="10" t="s">
        <v>339</v>
      </c>
      <c r="D183" s="152"/>
      <c r="E183" s="170"/>
      <c r="F183" s="95"/>
      <c r="G183" s="153" t="str">
        <f t="shared" si="14"/>
        <v/>
      </c>
      <c r="H183" s="10" t="s">
        <v>61</v>
      </c>
      <c r="I183" s="331">
        <v>14.78</v>
      </c>
      <c r="J183" s="12">
        <f t="shared" si="16"/>
        <v>0</v>
      </c>
    </row>
    <row r="184" spans="1:14" hidden="1" x14ac:dyDescent="0.35">
      <c r="A184" s="103"/>
      <c r="B184" s="12" t="s">
        <v>26</v>
      </c>
      <c r="C184" s="10" t="s">
        <v>340</v>
      </c>
      <c r="D184" s="152"/>
      <c r="E184" s="170"/>
      <c r="F184" s="95"/>
      <c r="G184" s="153" t="str">
        <f t="shared" si="14"/>
        <v/>
      </c>
      <c r="H184" s="10" t="s">
        <v>61</v>
      </c>
      <c r="I184" s="331">
        <v>14.78</v>
      </c>
      <c r="J184" s="12">
        <f t="shared" si="16"/>
        <v>0</v>
      </c>
    </row>
    <row r="185" spans="1:14" ht="14.5" hidden="1" customHeight="1" x14ac:dyDescent="0.35">
      <c r="A185" s="103"/>
      <c r="B185" s="12" t="s">
        <v>26</v>
      </c>
      <c r="C185" s="10" t="s">
        <v>341</v>
      </c>
      <c r="D185" s="152"/>
      <c r="E185" s="170"/>
      <c r="F185" s="95"/>
      <c r="G185" s="153" t="str">
        <f t="shared" si="14"/>
        <v/>
      </c>
      <c r="H185" s="10" t="s">
        <v>61</v>
      </c>
      <c r="I185" s="331">
        <v>14.78</v>
      </c>
      <c r="J185" s="12">
        <f t="shared" si="16"/>
        <v>0</v>
      </c>
    </row>
    <row r="186" spans="1:14" hidden="1" x14ac:dyDescent="0.35">
      <c r="A186" s="103"/>
      <c r="B186" s="12" t="s">
        <v>26</v>
      </c>
      <c r="C186" s="10" t="s">
        <v>342</v>
      </c>
      <c r="D186" s="152"/>
      <c r="E186" s="170"/>
      <c r="F186" s="95"/>
      <c r="G186" s="153" t="str">
        <f t="shared" si="14"/>
        <v/>
      </c>
      <c r="H186" s="10" t="s">
        <v>61</v>
      </c>
      <c r="I186" s="331">
        <v>14.78</v>
      </c>
      <c r="J186" s="10">
        <f t="shared" si="16"/>
        <v>0</v>
      </c>
    </row>
    <row r="187" spans="1:14" ht="14.5" customHeight="1" x14ac:dyDescent="0.35">
      <c r="A187" s="108" t="s">
        <v>343</v>
      </c>
      <c r="B187" s="108"/>
      <c r="C187" s="108"/>
      <c r="D187" s="223"/>
      <c r="E187" s="169"/>
      <c r="F187" s="109"/>
      <c r="G187" s="165" t="str">
        <f t="shared" si="14"/>
        <v/>
      </c>
      <c r="H187" s="108"/>
      <c r="I187" s="106" t="s">
        <v>18</v>
      </c>
      <c r="J187" s="107">
        <f>SUM(J188:J192)</f>
        <v>0</v>
      </c>
    </row>
    <row r="188" spans="1:14" ht="15.65" hidden="1" customHeight="1" x14ac:dyDescent="0.35">
      <c r="A188" s="103"/>
      <c r="B188" s="7" t="s">
        <v>6</v>
      </c>
      <c r="C188" s="14" t="s">
        <v>344</v>
      </c>
      <c r="D188" s="152"/>
      <c r="E188" s="170"/>
      <c r="F188" s="95"/>
      <c r="G188" s="153" t="str">
        <f t="shared" si="14"/>
        <v/>
      </c>
      <c r="H188" s="14" t="s">
        <v>20</v>
      </c>
      <c r="I188" s="336">
        <v>0.79</v>
      </c>
      <c r="J188" s="7">
        <f>E188*I188</f>
        <v>0</v>
      </c>
    </row>
    <row r="189" spans="1:14" ht="14.5" customHeight="1" x14ac:dyDescent="0.35">
      <c r="A189" s="103"/>
      <c r="B189" s="7" t="s">
        <v>6</v>
      </c>
      <c r="C189" s="14" t="s">
        <v>345</v>
      </c>
      <c r="D189" s="152">
        <v>10</v>
      </c>
      <c r="E189" s="170"/>
      <c r="F189" s="95"/>
      <c r="G189" s="153" t="str">
        <f t="shared" si="14"/>
        <v/>
      </c>
      <c r="H189" s="14" t="s">
        <v>20</v>
      </c>
      <c r="I189" s="336">
        <v>2.76</v>
      </c>
      <c r="J189" s="7">
        <f>E189*I189</f>
        <v>0</v>
      </c>
    </row>
    <row r="190" spans="1:14" x14ac:dyDescent="0.35">
      <c r="A190" s="103"/>
      <c r="B190" s="7" t="s">
        <v>6</v>
      </c>
      <c r="C190" s="14" t="s">
        <v>346</v>
      </c>
      <c r="D190" s="152"/>
      <c r="E190" s="170"/>
      <c r="F190" s="95"/>
      <c r="G190" s="153" t="str">
        <f t="shared" si="14"/>
        <v/>
      </c>
      <c r="H190" s="14" t="s">
        <v>20</v>
      </c>
      <c r="I190" s="336">
        <v>1</v>
      </c>
      <c r="J190" s="7">
        <f>E190*I190</f>
        <v>0</v>
      </c>
    </row>
    <row r="191" spans="1:14" x14ac:dyDescent="0.35">
      <c r="A191" s="103"/>
      <c r="B191" s="7" t="s">
        <v>6</v>
      </c>
      <c r="C191" s="14" t="s">
        <v>34</v>
      </c>
      <c r="D191" s="152">
        <v>10</v>
      </c>
      <c r="E191" s="170"/>
      <c r="F191" s="95"/>
      <c r="G191" s="153" t="str">
        <f t="shared" si="14"/>
        <v/>
      </c>
      <c r="H191" s="14" t="s">
        <v>20</v>
      </c>
      <c r="I191" s="336">
        <v>1.8</v>
      </c>
      <c r="J191" s="7">
        <f>E191*I191</f>
        <v>0</v>
      </c>
    </row>
    <row r="192" spans="1:14" x14ac:dyDescent="0.35">
      <c r="A192" s="103"/>
      <c r="B192" s="7" t="s">
        <v>6</v>
      </c>
      <c r="C192" s="14" t="s">
        <v>35</v>
      </c>
      <c r="D192" s="152">
        <v>10</v>
      </c>
      <c r="E192" s="170"/>
      <c r="F192" s="95"/>
      <c r="G192" s="153" t="str">
        <f t="shared" si="14"/>
        <v/>
      </c>
      <c r="H192" s="14" t="s">
        <v>20</v>
      </c>
      <c r="I192" s="336">
        <v>1.8</v>
      </c>
      <c r="J192" s="7">
        <f>E192*I192</f>
        <v>0</v>
      </c>
    </row>
    <row r="193" spans="1:10" ht="15.5" hidden="1" x14ac:dyDescent="0.35">
      <c r="A193" s="112" t="s">
        <v>347</v>
      </c>
      <c r="B193" s="116"/>
      <c r="C193" s="116"/>
      <c r="D193" s="228"/>
      <c r="E193" s="173"/>
      <c r="F193" s="146"/>
      <c r="G193" s="165" t="str">
        <f t="shared" si="14"/>
        <v/>
      </c>
      <c r="H193" s="117"/>
      <c r="I193" s="118" t="s">
        <v>18</v>
      </c>
      <c r="J193" s="119">
        <f>SUM(J194)</f>
        <v>0</v>
      </c>
    </row>
    <row r="194" spans="1:10" hidden="1" x14ac:dyDescent="0.35">
      <c r="A194" s="103"/>
      <c r="B194" s="12" t="s">
        <v>5</v>
      </c>
      <c r="C194" s="10" t="s">
        <v>55</v>
      </c>
      <c r="D194" s="152"/>
      <c r="E194" s="170"/>
      <c r="F194" s="95"/>
      <c r="G194" s="153" t="str">
        <f t="shared" si="14"/>
        <v/>
      </c>
      <c r="H194" s="10" t="s">
        <v>20</v>
      </c>
      <c r="I194" s="331">
        <v>1.01</v>
      </c>
      <c r="J194" s="12">
        <f>E194*I194</f>
        <v>0</v>
      </c>
    </row>
    <row r="195" spans="1:10" ht="15.5" hidden="1" x14ac:dyDescent="0.35">
      <c r="A195" s="112" t="s">
        <v>348</v>
      </c>
      <c r="B195" s="116"/>
      <c r="C195" s="116"/>
      <c r="D195" s="228"/>
      <c r="E195" s="173"/>
      <c r="F195" s="146"/>
      <c r="G195" s="165" t="str">
        <f t="shared" si="14"/>
        <v/>
      </c>
      <c r="H195" s="117"/>
      <c r="I195" s="118" t="s">
        <v>18</v>
      </c>
      <c r="J195" s="119">
        <f>SUM(J196:J207)</f>
        <v>0</v>
      </c>
    </row>
    <row r="196" spans="1:10" hidden="1" x14ac:dyDescent="0.35">
      <c r="A196" s="103"/>
      <c r="B196" s="20" t="s">
        <v>8</v>
      </c>
      <c r="C196" s="18" t="s">
        <v>349</v>
      </c>
      <c r="D196" s="229"/>
      <c r="E196" s="170"/>
      <c r="F196" s="147"/>
      <c r="G196" s="153" t="str">
        <f t="shared" si="14"/>
        <v/>
      </c>
      <c r="H196" s="18" t="s">
        <v>27</v>
      </c>
      <c r="I196" s="337">
        <v>28.62</v>
      </c>
      <c r="J196" s="12">
        <f t="shared" ref="J196:J207" si="17">E196*I196</f>
        <v>0</v>
      </c>
    </row>
    <row r="197" spans="1:10" hidden="1" x14ac:dyDescent="0.35">
      <c r="A197" s="103"/>
      <c r="B197" s="12" t="s">
        <v>8</v>
      </c>
      <c r="C197" s="10" t="s">
        <v>350</v>
      </c>
      <c r="D197" s="152"/>
      <c r="E197" s="170"/>
      <c r="F197" s="95"/>
      <c r="G197" s="153" t="str">
        <f t="shared" si="14"/>
        <v/>
      </c>
      <c r="H197" s="10" t="s">
        <v>335</v>
      </c>
      <c r="I197" s="338">
        <v>30</v>
      </c>
      <c r="J197" s="12">
        <f t="shared" si="17"/>
        <v>0</v>
      </c>
    </row>
    <row r="198" spans="1:10" hidden="1" x14ac:dyDescent="0.35">
      <c r="A198" s="103"/>
      <c r="B198" s="12" t="s">
        <v>8</v>
      </c>
      <c r="C198" s="10" t="s">
        <v>351</v>
      </c>
      <c r="D198" s="152"/>
      <c r="E198" s="170"/>
      <c r="F198" s="95"/>
      <c r="G198" s="153" t="str">
        <f t="shared" si="14"/>
        <v/>
      </c>
      <c r="H198" s="10" t="s">
        <v>335</v>
      </c>
      <c r="I198" s="331">
        <v>1.1499999999999999</v>
      </c>
      <c r="J198" s="12">
        <f t="shared" si="17"/>
        <v>0</v>
      </c>
    </row>
    <row r="199" spans="1:10" hidden="1" x14ac:dyDescent="0.35">
      <c r="A199" s="103"/>
      <c r="B199" s="12" t="s">
        <v>8</v>
      </c>
      <c r="C199" s="10" t="s">
        <v>352</v>
      </c>
      <c r="D199" s="152"/>
      <c r="E199" s="170"/>
      <c r="F199" s="95"/>
      <c r="G199" s="153" t="str">
        <f t="shared" si="14"/>
        <v/>
      </c>
      <c r="H199" s="10" t="s">
        <v>27</v>
      </c>
      <c r="I199" s="331">
        <v>23.83</v>
      </c>
      <c r="J199" s="12">
        <f t="shared" si="17"/>
        <v>0</v>
      </c>
    </row>
    <row r="200" spans="1:10" hidden="1" x14ac:dyDescent="0.35">
      <c r="A200" s="103"/>
      <c r="B200" s="12" t="s">
        <v>8</v>
      </c>
      <c r="C200" s="10" t="s">
        <v>353</v>
      </c>
      <c r="D200" s="152"/>
      <c r="E200" s="170"/>
      <c r="F200" s="95"/>
      <c r="G200" s="153" t="str">
        <f t="shared" si="14"/>
        <v/>
      </c>
      <c r="H200" s="10" t="s">
        <v>27</v>
      </c>
      <c r="I200" s="331">
        <v>28.89</v>
      </c>
      <c r="J200" s="12">
        <f t="shared" si="17"/>
        <v>0</v>
      </c>
    </row>
    <row r="201" spans="1:10" hidden="1" x14ac:dyDescent="0.35">
      <c r="A201" s="103"/>
      <c r="B201" s="12" t="s">
        <v>8</v>
      </c>
      <c r="C201" s="10" t="s">
        <v>354</v>
      </c>
      <c r="D201" s="152"/>
      <c r="E201" s="170"/>
      <c r="F201" s="95"/>
      <c r="G201" s="153" t="str">
        <f>IF(E201="","",IF(D201-E201&gt;0,D201-E201,""))</f>
        <v/>
      </c>
      <c r="H201" s="10" t="s">
        <v>27</v>
      </c>
      <c r="I201" s="331">
        <v>19.37</v>
      </c>
      <c r="J201" s="12">
        <f>E201*I201</f>
        <v>0</v>
      </c>
    </row>
    <row r="202" spans="1:10" hidden="1" x14ac:dyDescent="0.35">
      <c r="A202" s="103"/>
      <c r="B202" s="12" t="s">
        <v>8</v>
      </c>
      <c r="C202" s="10" t="s">
        <v>429</v>
      </c>
      <c r="D202" s="152"/>
      <c r="E202" s="170"/>
      <c r="F202" s="95"/>
      <c r="G202" s="153"/>
      <c r="H202" s="10" t="s">
        <v>27</v>
      </c>
      <c r="I202" s="331">
        <v>14.07</v>
      </c>
      <c r="J202" s="12"/>
    </row>
    <row r="203" spans="1:10" hidden="1" x14ac:dyDescent="0.35">
      <c r="A203" s="103"/>
      <c r="B203" s="12" t="s">
        <v>8</v>
      </c>
      <c r="C203" s="10" t="s">
        <v>430</v>
      </c>
      <c r="D203" s="152"/>
      <c r="E203" s="170"/>
      <c r="F203" s="95"/>
      <c r="G203" s="153"/>
      <c r="H203" s="10" t="s">
        <v>27</v>
      </c>
      <c r="I203" s="331">
        <v>16.07</v>
      </c>
      <c r="J203" s="12"/>
    </row>
    <row r="204" spans="1:10" hidden="1" x14ac:dyDescent="0.35">
      <c r="A204" s="103"/>
      <c r="B204" s="12" t="s">
        <v>8</v>
      </c>
      <c r="C204" s="10" t="s">
        <v>431</v>
      </c>
      <c r="D204" s="152"/>
      <c r="G204" s="153"/>
      <c r="H204" s="10" t="s">
        <v>27</v>
      </c>
      <c r="I204" s="339">
        <v>14.62</v>
      </c>
      <c r="J204" s="12"/>
    </row>
    <row r="205" spans="1:10" hidden="1" x14ac:dyDescent="0.35">
      <c r="A205" s="103"/>
      <c r="B205" s="12" t="s">
        <v>8</v>
      </c>
      <c r="C205" s="10" t="s">
        <v>355</v>
      </c>
      <c r="D205" s="152"/>
      <c r="E205" s="170"/>
      <c r="F205" s="95"/>
      <c r="G205" s="153" t="str">
        <f t="shared" si="14"/>
        <v/>
      </c>
      <c r="H205" s="10" t="s">
        <v>61</v>
      </c>
      <c r="I205" s="331">
        <v>17.11</v>
      </c>
      <c r="J205" s="12">
        <f t="shared" si="17"/>
        <v>0</v>
      </c>
    </row>
    <row r="206" spans="1:10" hidden="1" x14ac:dyDescent="0.35">
      <c r="A206" s="103"/>
      <c r="B206" s="12" t="s">
        <v>8</v>
      </c>
      <c r="C206" s="10" t="s">
        <v>356</v>
      </c>
      <c r="D206" s="152"/>
      <c r="E206" s="170"/>
      <c r="F206" s="95"/>
      <c r="G206" s="153" t="str">
        <f t="shared" si="14"/>
        <v/>
      </c>
      <c r="H206" s="10" t="s">
        <v>61</v>
      </c>
      <c r="I206" s="331">
        <v>22.13</v>
      </c>
      <c r="J206" s="12">
        <f t="shared" si="17"/>
        <v>0</v>
      </c>
    </row>
    <row r="207" spans="1:10" hidden="1" x14ac:dyDescent="0.35">
      <c r="A207" s="103"/>
      <c r="B207" s="40" t="s">
        <v>8</v>
      </c>
      <c r="C207" s="41" t="s">
        <v>357</v>
      </c>
      <c r="D207" s="227"/>
      <c r="E207" s="170"/>
      <c r="F207" s="145"/>
      <c r="G207" s="153" t="str">
        <f t="shared" si="14"/>
        <v/>
      </c>
      <c r="H207" s="41" t="s">
        <v>61</v>
      </c>
      <c r="I207" s="334">
        <v>18.8</v>
      </c>
      <c r="J207" s="40">
        <f t="shared" si="17"/>
        <v>0</v>
      </c>
    </row>
    <row r="208" spans="1:10" ht="15.5" hidden="1" x14ac:dyDescent="0.35">
      <c r="A208" s="112" t="s">
        <v>358</v>
      </c>
      <c r="B208" s="116"/>
      <c r="C208" s="116"/>
      <c r="D208" s="228"/>
      <c r="E208" s="173"/>
      <c r="F208" s="146"/>
      <c r="G208" s="165" t="str">
        <f t="shared" si="14"/>
        <v/>
      </c>
      <c r="H208" s="117"/>
      <c r="I208" s="118" t="s">
        <v>18</v>
      </c>
      <c r="J208" s="119">
        <f>J209+J210+J211+J212+J213</f>
        <v>0</v>
      </c>
    </row>
    <row r="209" spans="1:10" hidden="1" x14ac:dyDescent="0.35">
      <c r="A209" s="103"/>
      <c r="B209" s="13" t="s">
        <v>11</v>
      </c>
      <c r="C209" s="298" t="s">
        <v>359</v>
      </c>
      <c r="D209" s="299"/>
      <c r="E209" s="300"/>
      <c r="F209" s="301"/>
      <c r="G209" s="302" t="str">
        <f t="shared" si="14"/>
        <v/>
      </c>
      <c r="H209" s="41" t="s">
        <v>52</v>
      </c>
      <c r="I209" s="334">
        <v>11.63</v>
      </c>
      <c r="J209" s="40">
        <f>E209*I209</f>
        <v>0</v>
      </c>
    </row>
    <row r="210" spans="1:10" hidden="1" x14ac:dyDescent="0.35">
      <c r="A210" s="103"/>
      <c r="B210" s="12" t="s">
        <v>11</v>
      </c>
      <c r="C210" s="10" t="s">
        <v>436</v>
      </c>
      <c r="D210" s="152"/>
      <c r="E210" s="170"/>
      <c r="F210" s="95"/>
      <c r="G210" s="153"/>
      <c r="H210" s="10" t="s">
        <v>52</v>
      </c>
      <c r="I210" s="331">
        <v>16.8</v>
      </c>
      <c r="J210" s="40">
        <f t="shared" ref="J210:J213" si="18">E210*I210</f>
        <v>0</v>
      </c>
    </row>
    <row r="211" spans="1:10" hidden="1" x14ac:dyDescent="0.35">
      <c r="A211" s="103"/>
      <c r="B211" s="12" t="s">
        <v>11</v>
      </c>
      <c r="C211" s="10" t="s">
        <v>437</v>
      </c>
      <c r="D211" s="152"/>
      <c r="E211" s="170"/>
      <c r="F211" s="95"/>
      <c r="G211" s="153"/>
      <c r="H211" s="10" t="s">
        <v>440</v>
      </c>
      <c r="I211" s="331">
        <v>9.35</v>
      </c>
      <c r="J211" s="40">
        <f>E211*I211</f>
        <v>0</v>
      </c>
    </row>
    <row r="212" spans="1:10" hidden="1" x14ac:dyDescent="0.35">
      <c r="A212" s="103"/>
      <c r="B212" s="12" t="s">
        <v>11</v>
      </c>
      <c r="C212" s="10" t="s">
        <v>438</v>
      </c>
      <c r="D212" s="152"/>
      <c r="E212" s="170"/>
      <c r="F212" s="95"/>
      <c r="G212" s="153"/>
      <c r="H212" s="10" t="s">
        <v>52</v>
      </c>
      <c r="I212" s="331">
        <v>87</v>
      </c>
      <c r="J212" s="40">
        <f t="shared" si="18"/>
        <v>0</v>
      </c>
    </row>
    <row r="213" spans="1:10" hidden="1" x14ac:dyDescent="0.35">
      <c r="A213" s="103"/>
      <c r="B213" s="12" t="s">
        <v>11</v>
      </c>
      <c r="C213" s="10" t="s">
        <v>439</v>
      </c>
      <c r="D213" s="152"/>
      <c r="E213" s="170"/>
      <c r="F213" s="95"/>
      <c r="G213" s="153"/>
      <c r="H213" s="10" t="s">
        <v>52</v>
      </c>
      <c r="I213" s="331">
        <v>55</v>
      </c>
      <c r="J213" s="40">
        <f t="shared" si="18"/>
        <v>0</v>
      </c>
    </row>
    <row r="214" spans="1:10" ht="15.5" hidden="1" x14ac:dyDescent="0.35">
      <c r="A214" s="108" t="s">
        <v>360</v>
      </c>
      <c r="B214" s="108"/>
      <c r="C214" s="108"/>
      <c r="D214" s="223"/>
      <c r="E214" s="169"/>
      <c r="F214" s="109"/>
      <c r="G214" s="310" t="str">
        <f t="shared" si="14"/>
        <v/>
      </c>
      <c r="H214" s="108"/>
      <c r="I214" s="106" t="s">
        <v>18</v>
      </c>
      <c r="J214" s="107">
        <f>SUM(J215:J216)</f>
        <v>0</v>
      </c>
    </row>
    <row r="215" spans="1:10" hidden="1" x14ac:dyDescent="0.35">
      <c r="A215" s="103"/>
      <c r="B215" s="12" t="s">
        <v>12</v>
      </c>
      <c r="C215" s="10" t="s">
        <v>70</v>
      </c>
      <c r="D215" s="152"/>
      <c r="E215" s="170"/>
      <c r="F215" s="95"/>
      <c r="G215" s="153" t="str">
        <f t="shared" si="14"/>
        <v/>
      </c>
      <c r="H215" s="10" t="s">
        <v>27</v>
      </c>
      <c r="I215" s="331">
        <v>20.7</v>
      </c>
      <c r="J215" s="12">
        <f>+E215*I215</f>
        <v>0</v>
      </c>
    </row>
    <row r="216" spans="1:10" hidden="1" x14ac:dyDescent="0.35">
      <c r="A216" s="103"/>
      <c r="B216" s="12" t="s">
        <v>12</v>
      </c>
      <c r="C216" s="10" t="s">
        <v>71</v>
      </c>
      <c r="D216" s="152"/>
      <c r="E216" s="170"/>
      <c r="F216" s="95"/>
      <c r="G216" s="153" t="str">
        <f t="shared" si="14"/>
        <v/>
      </c>
      <c r="H216" s="10" t="s">
        <v>27</v>
      </c>
      <c r="I216" s="331">
        <v>13.7</v>
      </c>
      <c r="J216" s="12">
        <f>+E216*I216</f>
        <v>0</v>
      </c>
    </row>
    <row r="217" spans="1:10" ht="15.5" hidden="1" x14ac:dyDescent="0.35">
      <c r="A217" s="108" t="s">
        <v>361</v>
      </c>
      <c r="B217" s="108"/>
      <c r="C217" s="108"/>
      <c r="D217" s="223"/>
      <c r="E217" s="169"/>
      <c r="F217" s="109"/>
      <c r="G217" s="153" t="str">
        <f t="shared" si="14"/>
        <v/>
      </c>
      <c r="H217" s="108"/>
      <c r="I217" s="106" t="s">
        <v>18</v>
      </c>
      <c r="J217" s="107">
        <f>SUM(J218:J221)</f>
        <v>0</v>
      </c>
    </row>
    <row r="218" spans="1:10" hidden="1" x14ac:dyDescent="0.35">
      <c r="A218" s="103"/>
      <c r="B218" s="12" t="s">
        <v>10</v>
      </c>
      <c r="C218" s="10" t="s">
        <v>362</v>
      </c>
      <c r="D218" s="152"/>
      <c r="E218" s="170"/>
      <c r="F218" s="95"/>
      <c r="G218" s="153" t="str">
        <f t="shared" si="14"/>
        <v/>
      </c>
      <c r="H218" s="10" t="s">
        <v>20</v>
      </c>
      <c r="I218" s="331">
        <v>11.08</v>
      </c>
      <c r="J218" s="12">
        <f>E218*I218</f>
        <v>0</v>
      </c>
    </row>
    <row r="219" spans="1:10" hidden="1" x14ac:dyDescent="0.35">
      <c r="A219" s="103"/>
      <c r="B219" s="12" t="s">
        <v>10</v>
      </c>
      <c r="C219" s="10" t="s">
        <v>363</v>
      </c>
      <c r="D219" s="152"/>
      <c r="E219" s="170"/>
      <c r="F219" s="95"/>
      <c r="G219" s="153" t="str">
        <f t="shared" si="14"/>
        <v/>
      </c>
      <c r="H219" s="10" t="s">
        <v>27</v>
      </c>
      <c r="I219" s="331">
        <v>16.21</v>
      </c>
      <c r="J219" s="12">
        <f>E219*I219</f>
        <v>0</v>
      </c>
    </row>
    <row r="220" spans="1:10" hidden="1" x14ac:dyDescent="0.35">
      <c r="A220" s="103"/>
      <c r="B220" s="12" t="s">
        <v>10</v>
      </c>
      <c r="C220" s="10" t="s">
        <v>364</v>
      </c>
      <c r="D220" s="152"/>
      <c r="E220" s="170"/>
      <c r="F220" s="95"/>
      <c r="G220" s="153" t="str">
        <f t="shared" si="14"/>
        <v/>
      </c>
      <c r="H220" s="10" t="s">
        <v>27</v>
      </c>
      <c r="I220" s="331">
        <v>19.350000000000001</v>
      </c>
      <c r="J220" s="12">
        <f>E220*I220</f>
        <v>0</v>
      </c>
    </row>
    <row r="221" spans="1:10" hidden="1" x14ac:dyDescent="0.35">
      <c r="A221" s="103"/>
      <c r="B221" s="12" t="s">
        <v>10</v>
      </c>
      <c r="C221" s="10" t="s">
        <v>365</v>
      </c>
      <c r="D221" s="152"/>
      <c r="E221" s="170"/>
      <c r="F221" s="95"/>
      <c r="G221" s="153" t="str">
        <f t="shared" si="14"/>
        <v/>
      </c>
      <c r="H221" s="10" t="s">
        <v>27</v>
      </c>
      <c r="I221" s="331">
        <v>19.809999999999999</v>
      </c>
      <c r="J221" s="12">
        <f>E221*I221</f>
        <v>0</v>
      </c>
    </row>
    <row r="222" spans="1:10" ht="15.5" hidden="1" x14ac:dyDescent="0.35">
      <c r="A222" s="108" t="s">
        <v>366</v>
      </c>
      <c r="B222" s="108"/>
      <c r="C222" s="108"/>
      <c r="D222" s="223"/>
      <c r="E222" s="169"/>
      <c r="F222" s="109"/>
      <c r="G222" s="165" t="str">
        <f t="shared" si="14"/>
        <v/>
      </c>
      <c r="H222" s="108"/>
      <c r="I222" s="106" t="s">
        <v>18</v>
      </c>
      <c r="J222" s="107">
        <f>J223</f>
        <v>0</v>
      </c>
    </row>
    <row r="223" spans="1:10" hidden="1" x14ac:dyDescent="0.35">
      <c r="A223" s="103"/>
      <c r="B223" s="12" t="s">
        <v>28</v>
      </c>
      <c r="C223" s="10" t="s">
        <v>29</v>
      </c>
      <c r="D223" s="152"/>
      <c r="E223" s="170"/>
      <c r="F223" s="150"/>
      <c r="G223" s="153" t="str">
        <f t="shared" si="14"/>
        <v/>
      </c>
      <c r="H223" s="10" t="s">
        <v>54</v>
      </c>
      <c r="I223" s="331">
        <v>104</v>
      </c>
      <c r="J223" s="12">
        <f>I223*E223</f>
        <v>0</v>
      </c>
    </row>
    <row r="224" spans="1:10" ht="15.5" x14ac:dyDescent="0.35">
      <c r="A224" s="108" t="s">
        <v>367</v>
      </c>
      <c r="B224" s="108"/>
      <c r="C224" s="108"/>
      <c r="D224" s="223"/>
      <c r="E224" s="169"/>
      <c r="F224" s="109"/>
      <c r="G224" s="165" t="str">
        <f t="shared" ref="G224:G257" si="19">IF(E224="","",IF(D224-E224&gt;0,D224-E224,""))</f>
        <v/>
      </c>
      <c r="H224" s="108"/>
      <c r="I224" s="106" t="s">
        <v>18</v>
      </c>
      <c r="J224" s="115">
        <f>SUM(J225:J244)</f>
        <v>55.734999999999999</v>
      </c>
    </row>
    <row r="225" spans="1:10" x14ac:dyDescent="0.35">
      <c r="A225" s="103"/>
      <c r="B225" s="12" t="s">
        <v>9</v>
      </c>
      <c r="C225" s="10" t="s">
        <v>423</v>
      </c>
      <c r="D225" s="152"/>
      <c r="E225" s="170"/>
      <c r="F225" s="95"/>
      <c r="G225" s="153" t="str">
        <f t="shared" si="19"/>
        <v/>
      </c>
      <c r="H225" s="10" t="s">
        <v>20</v>
      </c>
      <c r="I225" s="331">
        <v>78</v>
      </c>
      <c r="J225" s="50">
        <f t="shared" ref="J225:J244" si="20">E225*I225</f>
        <v>0</v>
      </c>
    </row>
    <row r="226" spans="1:10" x14ac:dyDescent="0.35">
      <c r="A226" s="103"/>
      <c r="B226" s="12" t="s">
        <v>9</v>
      </c>
      <c r="C226" s="10" t="s">
        <v>424</v>
      </c>
      <c r="D226" s="152"/>
      <c r="E226" s="170"/>
      <c r="F226" s="95"/>
      <c r="G226" s="153" t="str">
        <f t="shared" si="19"/>
        <v/>
      </c>
      <c r="H226" s="10" t="s">
        <v>61</v>
      </c>
      <c r="I226" s="340">
        <v>107.12</v>
      </c>
      <c r="J226" s="50">
        <f t="shared" si="20"/>
        <v>0</v>
      </c>
    </row>
    <row r="227" spans="1:10" x14ac:dyDescent="0.35">
      <c r="A227" s="103"/>
      <c r="B227" s="12" t="s">
        <v>9</v>
      </c>
      <c r="C227" s="10" t="s">
        <v>369</v>
      </c>
      <c r="D227" s="152"/>
      <c r="E227" s="170"/>
      <c r="F227" s="95"/>
      <c r="G227" s="153" t="str">
        <f t="shared" si="19"/>
        <v/>
      </c>
      <c r="H227" s="10" t="s">
        <v>20</v>
      </c>
      <c r="I227" s="331">
        <v>0.04</v>
      </c>
      <c r="J227" s="50">
        <f t="shared" si="20"/>
        <v>0</v>
      </c>
    </row>
    <row r="228" spans="1:10" x14ac:dyDescent="0.35">
      <c r="A228" s="103"/>
      <c r="B228" s="12" t="s">
        <v>9</v>
      </c>
      <c r="C228" s="10" t="s">
        <v>370</v>
      </c>
      <c r="D228" s="152"/>
      <c r="E228" s="170"/>
      <c r="F228" s="95"/>
      <c r="G228" s="153" t="str">
        <f t="shared" si="19"/>
        <v/>
      </c>
      <c r="H228" s="10" t="s">
        <v>20</v>
      </c>
      <c r="I228" s="331">
        <v>7.0999999999999994E-2</v>
      </c>
      <c r="J228" s="50">
        <f t="shared" si="20"/>
        <v>0</v>
      </c>
    </row>
    <row r="229" spans="1:10" hidden="1" x14ac:dyDescent="0.35">
      <c r="A229" s="103"/>
      <c r="B229" s="12" t="s">
        <v>9</v>
      </c>
      <c r="C229" s="10" t="s">
        <v>411</v>
      </c>
      <c r="D229" s="152"/>
      <c r="E229" s="170"/>
      <c r="F229" s="95"/>
      <c r="G229" s="153"/>
      <c r="H229" s="10" t="s">
        <v>20</v>
      </c>
      <c r="I229" s="331">
        <v>1.97</v>
      </c>
      <c r="J229" s="50"/>
    </row>
    <row r="230" spans="1:10" hidden="1" x14ac:dyDescent="0.35">
      <c r="A230" s="103"/>
      <c r="B230" s="12" t="s">
        <v>9</v>
      </c>
      <c r="C230" s="10" t="s">
        <v>371</v>
      </c>
      <c r="D230" s="152"/>
      <c r="E230" s="170"/>
      <c r="F230" s="95"/>
      <c r="G230" s="153" t="str">
        <f t="shared" si="19"/>
        <v/>
      </c>
      <c r="H230" s="10" t="s">
        <v>61</v>
      </c>
      <c r="I230" s="331">
        <v>163.80000000000001</v>
      </c>
      <c r="J230" s="50">
        <f t="shared" si="20"/>
        <v>0</v>
      </c>
    </row>
    <row r="231" spans="1:10" hidden="1" x14ac:dyDescent="0.35">
      <c r="A231" s="103"/>
      <c r="B231" s="12" t="s">
        <v>9</v>
      </c>
      <c r="C231" s="10" t="s">
        <v>410</v>
      </c>
      <c r="D231" s="152"/>
      <c r="E231" s="170"/>
      <c r="F231" s="151"/>
      <c r="G231" s="153" t="str">
        <f t="shared" si="19"/>
        <v/>
      </c>
      <c r="H231" s="10" t="s">
        <v>61</v>
      </c>
      <c r="I231" s="331">
        <v>49.33</v>
      </c>
      <c r="J231" s="50">
        <f t="shared" si="20"/>
        <v>0</v>
      </c>
    </row>
    <row r="232" spans="1:10" hidden="1" x14ac:dyDescent="0.35">
      <c r="A232" s="103"/>
      <c r="B232" s="12" t="s">
        <v>9</v>
      </c>
      <c r="C232" s="10" t="s">
        <v>373</v>
      </c>
      <c r="D232" s="152"/>
      <c r="E232" s="170"/>
      <c r="F232" s="151"/>
      <c r="G232" s="153" t="str">
        <f t="shared" si="19"/>
        <v/>
      </c>
      <c r="H232" s="10" t="s">
        <v>61</v>
      </c>
      <c r="I232" s="331">
        <v>105.6</v>
      </c>
      <c r="J232" s="50">
        <f t="shared" si="20"/>
        <v>0</v>
      </c>
    </row>
    <row r="233" spans="1:10" hidden="1" x14ac:dyDescent="0.35">
      <c r="A233" s="103"/>
      <c r="B233" s="12" t="s">
        <v>9</v>
      </c>
      <c r="C233" s="10" t="s">
        <v>374</v>
      </c>
      <c r="D233" s="152"/>
      <c r="E233" s="170"/>
      <c r="F233" s="151"/>
      <c r="G233" s="153" t="str">
        <f t="shared" si="19"/>
        <v/>
      </c>
      <c r="H233" s="10" t="s">
        <v>61</v>
      </c>
      <c r="I233" s="331">
        <v>114.75</v>
      </c>
      <c r="J233" s="50">
        <f t="shared" si="20"/>
        <v>0</v>
      </c>
    </row>
    <row r="234" spans="1:10" hidden="1" x14ac:dyDescent="0.35">
      <c r="A234" s="103"/>
      <c r="B234" s="12" t="s">
        <v>9</v>
      </c>
      <c r="C234" s="10" t="s">
        <v>375</v>
      </c>
      <c r="D234" s="152"/>
      <c r="E234" s="170"/>
      <c r="F234" s="95"/>
      <c r="G234" s="153" t="str">
        <f t="shared" si="19"/>
        <v/>
      </c>
      <c r="H234" s="10" t="s">
        <v>61</v>
      </c>
      <c r="I234" s="331">
        <v>105.55</v>
      </c>
      <c r="J234" s="50">
        <f t="shared" si="20"/>
        <v>0</v>
      </c>
    </row>
    <row r="235" spans="1:10" hidden="1" x14ac:dyDescent="0.35">
      <c r="A235" s="103"/>
      <c r="B235" s="12" t="s">
        <v>9</v>
      </c>
      <c r="C235" s="10" t="s">
        <v>376</v>
      </c>
      <c r="D235" s="152"/>
      <c r="E235" s="170"/>
      <c r="F235" s="95"/>
      <c r="G235" s="153" t="str">
        <f t="shared" si="19"/>
        <v/>
      </c>
      <c r="H235" s="10" t="s">
        <v>61</v>
      </c>
      <c r="I235" s="331">
        <v>33.25</v>
      </c>
      <c r="J235" s="50">
        <f t="shared" si="20"/>
        <v>0</v>
      </c>
    </row>
    <row r="236" spans="1:10" hidden="1" x14ac:dyDescent="0.35">
      <c r="A236" s="103"/>
      <c r="B236" s="12" t="s">
        <v>9</v>
      </c>
      <c r="C236" s="10" t="s">
        <v>377</v>
      </c>
      <c r="D236" s="152"/>
      <c r="E236" s="170"/>
      <c r="F236" s="95"/>
      <c r="G236" s="153" t="str">
        <f t="shared" si="19"/>
        <v/>
      </c>
      <c r="H236" s="10" t="s">
        <v>20</v>
      </c>
      <c r="I236" s="331">
        <v>0.28999999999999998</v>
      </c>
      <c r="J236" s="50">
        <f t="shared" si="20"/>
        <v>0</v>
      </c>
    </row>
    <row r="237" spans="1:10" hidden="1" x14ac:dyDescent="0.35">
      <c r="A237" s="103"/>
      <c r="B237" s="12" t="s">
        <v>9</v>
      </c>
      <c r="C237" s="10" t="s">
        <v>378</v>
      </c>
      <c r="D237" s="152"/>
      <c r="E237" s="170"/>
      <c r="F237" s="95"/>
      <c r="G237" s="153" t="str">
        <f t="shared" si="19"/>
        <v/>
      </c>
      <c r="H237" s="10" t="s">
        <v>61</v>
      </c>
      <c r="I237" s="336">
        <v>37.85</v>
      </c>
      <c r="J237" s="50">
        <f t="shared" si="20"/>
        <v>0</v>
      </c>
    </row>
    <row r="238" spans="1:10" x14ac:dyDescent="0.35">
      <c r="A238" s="103"/>
      <c r="B238" s="12" t="s">
        <v>9</v>
      </c>
      <c r="C238" s="10" t="s">
        <v>425</v>
      </c>
      <c r="D238" s="152">
        <v>1</v>
      </c>
      <c r="E238" s="170">
        <v>0.5</v>
      </c>
      <c r="F238" s="95"/>
      <c r="G238" s="153">
        <f t="shared" si="19"/>
        <v>0.5</v>
      </c>
      <c r="H238" s="10" t="s">
        <v>61</v>
      </c>
      <c r="I238" s="336">
        <v>111.47</v>
      </c>
      <c r="J238" s="50">
        <f t="shared" si="20"/>
        <v>55.734999999999999</v>
      </c>
    </row>
    <row r="239" spans="1:10" hidden="1" x14ac:dyDescent="0.35">
      <c r="A239" s="103"/>
      <c r="B239" s="12" t="s">
        <v>9</v>
      </c>
      <c r="C239" s="10" t="s">
        <v>379</v>
      </c>
      <c r="D239" s="152"/>
      <c r="E239" s="170"/>
      <c r="F239" s="95"/>
      <c r="G239" s="153" t="str">
        <f t="shared" si="19"/>
        <v/>
      </c>
      <c r="H239" s="10" t="s">
        <v>61</v>
      </c>
      <c r="I239" s="336">
        <v>174.97</v>
      </c>
      <c r="J239" s="50">
        <f t="shared" si="20"/>
        <v>0</v>
      </c>
    </row>
    <row r="240" spans="1:10" hidden="1" x14ac:dyDescent="0.35">
      <c r="A240" s="103"/>
      <c r="B240" s="12" t="s">
        <v>9</v>
      </c>
      <c r="C240" s="10" t="s">
        <v>380</v>
      </c>
      <c r="D240" s="152"/>
      <c r="E240" s="170"/>
      <c r="F240" s="95"/>
      <c r="G240" s="153" t="str">
        <f t="shared" si="19"/>
        <v/>
      </c>
      <c r="H240" s="10" t="s">
        <v>61</v>
      </c>
      <c r="I240" s="336">
        <v>44.93</v>
      </c>
      <c r="J240" s="50">
        <f t="shared" si="20"/>
        <v>0</v>
      </c>
    </row>
    <row r="241" spans="1:10" hidden="1" x14ac:dyDescent="0.35">
      <c r="A241" s="103"/>
      <c r="B241" s="12" t="s">
        <v>9</v>
      </c>
      <c r="C241" s="10" t="s">
        <v>426</v>
      </c>
      <c r="D241" s="152"/>
      <c r="E241" s="170"/>
      <c r="F241" s="95"/>
      <c r="G241" s="153" t="str">
        <f t="shared" si="19"/>
        <v/>
      </c>
      <c r="H241" s="10" t="s">
        <v>20</v>
      </c>
      <c r="I241" s="336">
        <v>29.2</v>
      </c>
      <c r="J241" s="50">
        <f t="shared" si="20"/>
        <v>0</v>
      </c>
    </row>
    <row r="242" spans="1:10" hidden="1" x14ac:dyDescent="0.35">
      <c r="A242" s="103"/>
      <c r="B242" s="12" t="s">
        <v>9</v>
      </c>
      <c r="C242" s="10" t="s">
        <v>427</v>
      </c>
      <c r="D242" s="152"/>
      <c r="E242" s="170"/>
      <c r="F242" s="95"/>
      <c r="G242" s="153" t="str">
        <f t="shared" si="19"/>
        <v/>
      </c>
      <c r="H242" s="10" t="s">
        <v>20</v>
      </c>
      <c r="I242" s="336">
        <v>19.03</v>
      </c>
      <c r="J242" s="50">
        <f t="shared" si="20"/>
        <v>0</v>
      </c>
    </row>
    <row r="243" spans="1:10" hidden="1" x14ac:dyDescent="0.35">
      <c r="A243" s="103"/>
      <c r="B243" s="12" t="s">
        <v>9</v>
      </c>
      <c r="C243" s="10" t="s">
        <v>428</v>
      </c>
      <c r="D243" s="152"/>
      <c r="E243" s="170"/>
      <c r="F243" s="95"/>
      <c r="G243" s="153" t="str">
        <f t="shared" si="19"/>
        <v/>
      </c>
      <c r="H243" s="10" t="s">
        <v>20</v>
      </c>
      <c r="I243" s="336">
        <v>8.4600000000000009</v>
      </c>
      <c r="J243" s="50">
        <f t="shared" si="20"/>
        <v>0</v>
      </c>
    </row>
    <row r="244" spans="1:10" hidden="1" x14ac:dyDescent="0.35">
      <c r="A244" s="103"/>
      <c r="B244" s="12" t="s">
        <v>9</v>
      </c>
      <c r="C244" s="10" t="s">
        <v>381</v>
      </c>
      <c r="D244" s="152"/>
      <c r="E244" s="170"/>
      <c r="F244" s="95"/>
      <c r="G244" s="153" t="str">
        <f t="shared" si="19"/>
        <v/>
      </c>
      <c r="H244" s="10" t="s">
        <v>20</v>
      </c>
      <c r="I244" s="336">
        <v>0.02</v>
      </c>
      <c r="J244" s="50">
        <f t="shared" si="20"/>
        <v>0</v>
      </c>
    </row>
    <row r="245" spans="1:10" ht="15.5" x14ac:dyDescent="0.35">
      <c r="A245" s="108" t="s">
        <v>382</v>
      </c>
      <c r="B245" s="108"/>
      <c r="C245" s="108"/>
      <c r="D245" s="223"/>
      <c r="E245" s="169"/>
      <c r="F245" s="109"/>
      <c r="G245" s="165" t="str">
        <f t="shared" si="19"/>
        <v/>
      </c>
      <c r="H245" s="108"/>
      <c r="I245" s="106" t="s">
        <v>18</v>
      </c>
      <c r="J245" s="107">
        <f>SUM(J246:J256)</f>
        <v>13.35</v>
      </c>
    </row>
    <row r="246" spans="1:10" x14ac:dyDescent="0.35">
      <c r="A246" s="103"/>
      <c r="B246" s="12" t="s">
        <v>31</v>
      </c>
      <c r="C246" s="10" t="s">
        <v>383</v>
      </c>
      <c r="D246" s="152"/>
      <c r="E246" s="170"/>
      <c r="F246" s="95"/>
      <c r="G246" s="153" t="str">
        <f t="shared" si="19"/>
        <v/>
      </c>
      <c r="H246" s="10" t="s">
        <v>20</v>
      </c>
      <c r="I246" s="331">
        <v>5.5</v>
      </c>
      <c r="J246" s="12">
        <f t="shared" ref="J246:J256" si="21">E246*I246</f>
        <v>0</v>
      </c>
    </row>
    <row r="247" spans="1:10" x14ac:dyDescent="0.35">
      <c r="A247" s="103"/>
      <c r="B247" s="12" t="s">
        <v>31</v>
      </c>
      <c r="C247" s="10" t="s">
        <v>39</v>
      </c>
      <c r="D247" s="152">
        <v>1</v>
      </c>
      <c r="E247" s="170">
        <v>1</v>
      </c>
      <c r="F247" s="95"/>
      <c r="G247" s="153" t="str">
        <f t="shared" si="19"/>
        <v/>
      </c>
      <c r="H247" s="10" t="s">
        <v>20</v>
      </c>
      <c r="I247" s="331">
        <v>4.55</v>
      </c>
      <c r="J247" s="12">
        <f t="shared" si="21"/>
        <v>4.55</v>
      </c>
    </row>
    <row r="248" spans="1:10" x14ac:dyDescent="0.35">
      <c r="A248" s="103"/>
      <c r="B248" s="12" t="s">
        <v>31</v>
      </c>
      <c r="C248" s="10" t="s">
        <v>422</v>
      </c>
      <c r="D248" s="152">
        <v>1</v>
      </c>
      <c r="E248" s="170"/>
      <c r="F248" s="95"/>
      <c r="G248" s="153" t="str">
        <f t="shared" si="19"/>
        <v/>
      </c>
      <c r="H248" s="10" t="s">
        <v>20</v>
      </c>
      <c r="I248" s="331">
        <v>3.7</v>
      </c>
      <c r="J248" s="12">
        <f t="shared" si="21"/>
        <v>0</v>
      </c>
    </row>
    <row r="249" spans="1:10" x14ac:dyDescent="0.35">
      <c r="A249" s="103"/>
      <c r="B249" s="12" t="s">
        <v>31</v>
      </c>
      <c r="C249" s="10" t="s">
        <v>67</v>
      </c>
      <c r="D249" s="152"/>
      <c r="E249" s="170"/>
      <c r="F249" s="95"/>
      <c r="G249" s="153" t="str">
        <f t="shared" si="19"/>
        <v/>
      </c>
      <c r="H249" s="10" t="s">
        <v>20</v>
      </c>
      <c r="I249" s="331">
        <v>15.56</v>
      </c>
      <c r="J249" s="12">
        <f t="shared" si="21"/>
        <v>0</v>
      </c>
    </row>
    <row r="250" spans="1:10" hidden="1" x14ac:dyDescent="0.35">
      <c r="A250" s="103"/>
      <c r="B250" s="12" t="s">
        <v>31</v>
      </c>
      <c r="C250" s="10" t="s">
        <v>384</v>
      </c>
      <c r="D250" s="152"/>
      <c r="E250" s="170"/>
      <c r="F250" s="95"/>
      <c r="G250" s="153" t="str">
        <f t="shared" si="19"/>
        <v/>
      </c>
      <c r="H250" s="10" t="s">
        <v>20</v>
      </c>
      <c r="I250" s="331">
        <v>0.8</v>
      </c>
      <c r="J250" s="12">
        <f t="shared" si="21"/>
        <v>0</v>
      </c>
    </row>
    <row r="251" spans="1:10" hidden="1" x14ac:dyDescent="0.35">
      <c r="A251" s="103"/>
      <c r="B251" s="12" t="s">
        <v>31</v>
      </c>
      <c r="C251" s="10" t="s">
        <v>385</v>
      </c>
      <c r="D251" s="152"/>
      <c r="E251" s="170"/>
      <c r="F251" s="95"/>
      <c r="G251" s="153" t="str">
        <f t="shared" si="19"/>
        <v/>
      </c>
      <c r="H251" s="10" t="s">
        <v>20</v>
      </c>
      <c r="I251" s="331">
        <v>1.83</v>
      </c>
      <c r="J251" s="12">
        <f t="shared" si="21"/>
        <v>0</v>
      </c>
    </row>
    <row r="252" spans="1:10" x14ac:dyDescent="0.35">
      <c r="A252" s="103"/>
      <c r="B252" s="12" t="s">
        <v>31</v>
      </c>
      <c r="C252" s="10" t="s">
        <v>386</v>
      </c>
      <c r="D252" s="152">
        <v>1</v>
      </c>
      <c r="E252" s="170">
        <v>2</v>
      </c>
      <c r="F252" s="95"/>
      <c r="G252" s="153" t="str">
        <f t="shared" si="19"/>
        <v/>
      </c>
      <c r="H252" s="10" t="s">
        <v>20</v>
      </c>
      <c r="I252" s="331">
        <v>2.65</v>
      </c>
      <c r="J252" s="12">
        <f t="shared" si="21"/>
        <v>5.3</v>
      </c>
    </row>
    <row r="253" spans="1:10" x14ac:dyDescent="0.35">
      <c r="A253" s="103"/>
      <c r="B253" s="12" t="s">
        <v>31</v>
      </c>
      <c r="C253" s="10" t="s">
        <v>65</v>
      </c>
      <c r="D253" s="152">
        <v>1</v>
      </c>
      <c r="E253" s="170"/>
      <c r="F253" s="95"/>
      <c r="G253" s="153" t="str">
        <f t="shared" si="19"/>
        <v/>
      </c>
      <c r="H253" s="10" t="s">
        <v>20</v>
      </c>
      <c r="I253" s="331">
        <v>13.43</v>
      </c>
      <c r="J253" s="12">
        <f t="shared" si="21"/>
        <v>0</v>
      </c>
    </row>
    <row r="254" spans="1:10" hidden="1" x14ac:dyDescent="0.35">
      <c r="A254" s="103"/>
      <c r="B254" s="12" t="s">
        <v>31</v>
      </c>
      <c r="C254" s="10" t="s">
        <v>66</v>
      </c>
      <c r="D254" s="152"/>
      <c r="E254" s="170"/>
      <c r="F254" s="95"/>
      <c r="G254" s="153" t="str">
        <f t="shared" si="19"/>
        <v/>
      </c>
      <c r="H254" s="10" t="s">
        <v>20</v>
      </c>
      <c r="I254" s="331">
        <v>75.38</v>
      </c>
      <c r="J254" s="12">
        <f t="shared" si="21"/>
        <v>0</v>
      </c>
    </row>
    <row r="255" spans="1:10" x14ac:dyDescent="0.35">
      <c r="A255" s="103"/>
      <c r="B255" s="12" t="s">
        <v>31</v>
      </c>
      <c r="C255" s="10" t="s">
        <v>412</v>
      </c>
      <c r="D255" s="152"/>
      <c r="E255" s="170"/>
      <c r="F255" s="95"/>
      <c r="G255" s="153" t="str">
        <f t="shared" si="19"/>
        <v/>
      </c>
      <c r="H255" s="10" t="s">
        <v>20</v>
      </c>
      <c r="I255" s="331">
        <v>8.43</v>
      </c>
      <c r="J255" s="12">
        <f t="shared" si="21"/>
        <v>0</v>
      </c>
    </row>
    <row r="256" spans="1:10" x14ac:dyDescent="0.35">
      <c r="A256" s="103"/>
      <c r="B256" s="12" t="s">
        <v>31</v>
      </c>
      <c r="C256" s="10" t="s">
        <v>69</v>
      </c>
      <c r="D256" s="152">
        <v>1</v>
      </c>
      <c r="E256" s="170">
        <v>1</v>
      </c>
      <c r="F256" s="95"/>
      <c r="G256" s="153" t="str">
        <f t="shared" si="19"/>
        <v/>
      </c>
      <c r="H256" s="10" t="s">
        <v>63</v>
      </c>
      <c r="I256" s="331">
        <v>3.5</v>
      </c>
      <c r="J256" s="12">
        <f t="shared" si="21"/>
        <v>3.5</v>
      </c>
    </row>
    <row r="257" spans="1:10" ht="15.5" hidden="1" x14ac:dyDescent="0.35">
      <c r="A257" s="108" t="s">
        <v>57</v>
      </c>
      <c r="B257" s="108"/>
      <c r="C257" s="108"/>
      <c r="D257" s="108"/>
      <c r="E257" s="162"/>
      <c r="F257" s="108"/>
      <c r="G257" s="165" t="str">
        <f t="shared" si="19"/>
        <v/>
      </c>
      <c r="H257" s="108"/>
      <c r="I257" s="106" t="s">
        <v>18</v>
      </c>
      <c r="J257" s="107">
        <f>SUM(J258:J259)</f>
        <v>0</v>
      </c>
    </row>
    <row r="258" spans="1:10" hidden="1" x14ac:dyDescent="0.35">
      <c r="A258" s="103"/>
      <c r="B258" s="12" t="s">
        <v>56</v>
      </c>
      <c r="C258" s="10" t="s">
        <v>58</v>
      </c>
      <c r="D258" s="94"/>
      <c r="E258" s="170"/>
      <c r="F258" s="94"/>
      <c r="G258" s="94" t="str">
        <f t="shared" ref="G258:G259" si="22">IF(D258-E258&gt;0,D258-E258,"")</f>
        <v/>
      </c>
      <c r="H258" s="10" t="s">
        <v>20</v>
      </c>
      <c r="I258" s="331">
        <v>54.05</v>
      </c>
      <c r="J258" s="12">
        <f>E258*I258</f>
        <v>0</v>
      </c>
    </row>
    <row r="259" spans="1:10" hidden="1" x14ac:dyDescent="0.35">
      <c r="A259" s="103"/>
      <c r="B259" s="12" t="s">
        <v>56</v>
      </c>
      <c r="C259" s="10" t="s">
        <v>388</v>
      </c>
      <c r="D259" s="94"/>
      <c r="E259" s="170"/>
      <c r="F259" s="94"/>
      <c r="G259" s="94" t="str">
        <f t="shared" si="22"/>
        <v/>
      </c>
      <c r="H259" s="10" t="s">
        <v>20</v>
      </c>
      <c r="I259" s="331">
        <v>0</v>
      </c>
      <c r="J259" s="12">
        <f>E259*I259</f>
        <v>0</v>
      </c>
    </row>
  </sheetData>
  <mergeCells count="2">
    <mergeCell ref="B1:C1"/>
    <mergeCell ref="B2:C2"/>
  </mergeCells>
  <pageMargins left="0.7" right="0.7" top="0.75" bottom="0.75" header="0.3" footer="0.3"/>
  <pageSetup paperSize="9" scale="73" fitToHeight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F3E1B-0158-B04A-A688-2DA6FEBD4669}">
  <sheetPr codeName="Feuil13">
    <tabColor theme="8" tint="0.39997558519241921"/>
    <pageSetUpPr fitToPage="1"/>
  </sheetPr>
  <dimension ref="A1:N259"/>
  <sheetViews>
    <sheetView topLeftCell="A226" zoomScaleNormal="100" workbookViewId="0">
      <selection activeCell="J209" sqref="J209"/>
    </sheetView>
  </sheetViews>
  <sheetFormatPr baseColWidth="10" defaultColWidth="8.453125" defaultRowHeight="14.5" x14ac:dyDescent="0.35"/>
  <cols>
    <col min="1" max="1" width="2.54296875" customWidth="1"/>
    <col min="2" max="2" width="32.26953125" customWidth="1"/>
    <col min="3" max="3" width="44.54296875" bestFit="1" customWidth="1"/>
    <col min="4" max="4" width="19.7265625" bestFit="1" customWidth="1"/>
    <col min="5" max="5" width="18.81640625" style="34" bestFit="1" customWidth="1"/>
    <col min="6" max="6" width="18.26953125" hidden="1" customWidth="1"/>
    <col min="7" max="7" width="14" bestFit="1" customWidth="1"/>
    <col min="8" max="8" width="6.81640625" bestFit="1" customWidth="1"/>
    <col min="9" max="9" width="8.453125" style="86" bestFit="1" customWidth="1"/>
    <col min="10" max="10" width="7.1796875" customWidth="1"/>
  </cols>
  <sheetData>
    <row r="1" spans="2:7" ht="15" thickBot="1" x14ac:dyDescent="0.4">
      <c r="B1" s="321" t="s">
        <v>198</v>
      </c>
      <c r="C1" s="322"/>
      <c r="F1" s="89"/>
      <c r="G1" s="89"/>
    </row>
    <row r="2" spans="2:7" ht="15" thickBot="1" x14ac:dyDescent="0.4">
      <c r="B2" s="319"/>
      <c r="C2" s="320"/>
      <c r="F2" s="90"/>
      <c r="G2" s="90"/>
    </row>
    <row r="3" spans="2:7" x14ac:dyDescent="0.35">
      <c r="B3" s="75"/>
      <c r="C3" s="75"/>
      <c r="F3" s="75"/>
      <c r="G3" s="75"/>
    </row>
    <row r="4" spans="2:7" ht="15.5" x14ac:dyDescent="0.35">
      <c r="B4" s="70" t="s">
        <v>0</v>
      </c>
      <c r="C4" s="70" t="s">
        <v>1</v>
      </c>
      <c r="F4" s="91"/>
      <c r="G4" s="91"/>
    </row>
    <row r="5" spans="2:7" x14ac:dyDescent="0.35">
      <c r="B5" s="71" t="s">
        <v>2</v>
      </c>
      <c r="C5" s="72">
        <f>J23</f>
        <v>4967.2000000000007</v>
      </c>
      <c r="F5" s="92"/>
      <c r="G5" s="92"/>
    </row>
    <row r="6" spans="2:7" x14ac:dyDescent="0.35">
      <c r="B6" s="71" t="s">
        <v>7</v>
      </c>
      <c r="C6" s="72">
        <f>J4</f>
        <v>0</v>
      </c>
      <c r="F6" s="92"/>
      <c r="G6" s="92"/>
    </row>
    <row r="7" spans="2:7" x14ac:dyDescent="0.35">
      <c r="B7" s="71" t="s">
        <v>13</v>
      </c>
      <c r="C7" s="72">
        <f>J50</f>
        <v>138.35</v>
      </c>
      <c r="F7" s="92"/>
      <c r="G7" s="92"/>
    </row>
    <row r="8" spans="2:7" x14ac:dyDescent="0.35">
      <c r="B8" s="71" t="s">
        <v>3</v>
      </c>
      <c r="C8" s="72">
        <f>J78</f>
        <v>0</v>
      </c>
      <c r="F8" s="92"/>
      <c r="G8" s="92"/>
    </row>
    <row r="9" spans="2:7" x14ac:dyDescent="0.35">
      <c r="B9" s="71" t="s">
        <v>4</v>
      </c>
      <c r="C9" s="72">
        <f>J122</f>
        <v>2145.31</v>
      </c>
      <c r="F9" s="92"/>
      <c r="G9" s="92"/>
    </row>
    <row r="10" spans="2:7" x14ac:dyDescent="0.35">
      <c r="B10" s="71" t="s">
        <v>199</v>
      </c>
      <c r="C10" s="72">
        <f>J176</f>
        <v>0</v>
      </c>
      <c r="F10" s="92"/>
      <c r="G10" s="92"/>
    </row>
    <row r="11" spans="2:7" x14ac:dyDescent="0.35">
      <c r="B11" s="71" t="s">
        <v>200</v>
      </c>
      <c r="C11" s="72">
        <f>J187</f>
        <v>331.2</v>
      </c>
      <c r="F11" s="92"/>
      <c r="G11" s="92"/>
    </row>
    <row r="12" spans="2:7" x14ac:dyDescent="0.35">
      <c r="B12" s="71" t="s">
        <v>201</v>
      </c>
      <c r="C12" s="72">
        <f>J193</f>
        <v>0</v>
      </c>
      <c r="F12" s="92"/>
      <c r="G12" s="92"/>
    </row>
    <row r="13" spans="2:7" x14ac:dyDescent="0.35">
      <c r="B13" s="71" t="s">
        <v>202</v>
      </c>
      <c r="C13" s="72">
        <f>J195</f>
        <v>0</v>
      </c>
      <c r="F13" s="92"/>
      <c r="G13" s="92"/>
    </row>
    <row r="14" spans="2:7" x14ac:dyDescent="0.35">
      <c r="B14" s="71" t="s">
        <v>203</v>
      </c>
      <c r="C14" s="72">
        <f>J208</f>
        <v>755.79</v>
      </c>
      <c r="F14" s="92"/>
      <c r="G14" s="92"/>
    </row>
    <row r="15" spans="2:7" x14ac:dyDescent="0.35">
      <c r="B15" s="71" t="s">
        <v>12</v>
      </c>
      <c r="C15" s="72">
        <f>J214</f>
        <v>0</v>
      </c>
      <c r="F15" s="92"/>
      <c r="G15" s="92"/>
    </row>
    <row r="16" spans="2:7" x14ac:dyDescent="0.35">
      <c r="B16" s="71" t="s">
        <v>204</v>
      </c>
      <c r="C16" s="72">
        <f>J222</f>
        <v>0</v>
      </c>
      <c r="F16" s="92"/>
      <c r="G16" s="92"/>
    </row>
    <row r="17" spans="1:11" x14ac:dyDescent="0.35">
      <c r="B17" s="71" t="s">
        <v>9</v>
      </c>
      <c r="C17" s="72">
        <f>J224</f>
        <v>0</v>
      </c>
      <c r="F17" s="92"/>
      <c r="G17" s="92"/>
    </row>
    <row r="18" spans="1:11" x14ac:dyDescent="0.35">
      <c r="B18" s="71" t="s">
        <v>205</v>
      </c>
      <c r="C18" s="72">
        <f>J245</f>
        <v>0</v>
      </c>
      <c r="F18" s="92"/>
      <c r="G18" s="92"/>
    </row>
    <row r="19" spans="1:11" x14ac:dyDescent="0.35">
      <c r="B19" s="71" t="s">
        <v>56</v>
      </c>
      <c r="C19" s="72">
        <f>J257</f>
        <v>0</v>
      </c>
      <c r="F19" s="92"/>
      <c r="G19" s="92"/>
    </row>
    <row r="20" spans="1:11" x14ac:dyDescent="0.35">
      <c r="B20" s="73" t="s">
        <v>14</v>
      </c>
      <c r="C20" s="74">
        <f>C5+C6+C7+C8+C9+C10+C11+C12+C13+C14+C15+C16+C17+C18+C19</f>
        <v>8337.85</v>
      </c>
      <c r="F20" s="93"/>
      <c r="G20" s="93"/>
    </row>
    <row r="21" spans="1:11" ht="18.75" customHeight="1" x14ac:dyDescent="0.45">
      <c r="A21" s="76" t="s">
        <v>207</v>
      </c>
      <c r="B21" s="76"/>
      <c r="C21" s="76"/>
      <c r="D21" s="76"/>
      <c r="E21" s="167"/>
      <c r="F21" s="76"/>
      <c r="G21" s="76"/>
      <c r="H21" s="76"/>
      <c r="I21" s="262"/>
      <c r="J21" s="76"/>
    </row>
    <row r="22" spans="1:11" ht="14.25" customHeight="1" x14ac:dyDescent="0.35">
      <c r="A22" s="129"/>
      <c r="B22" s="129" t="s">
        <v>15</v>
      </c>
      <c r="C22" s="129" t="s">
        <v>16</v>
      </c>
      <c r="D22" s="130" t="s">
        <v>398</v>
      </c>
      <c r="E22" s="168" t="s">
        <v>401</v>
      </c>
      <c r="F22" s="130" t="s">
        <v>399</v>
      </c>
      <c r="G22" s="164" t="s">
        <v>400</v>
      </c>
      <c r="H22" s="132" t="s">
        <v>406</v>
      </c>
      <c r="I22" s="341" t="s">
        <v>45</v>
      </c>
      <c r="J22" s="132" t="s">
        <v>402</v>
      </c>
    </row>
    <row r="23" spans="1:11" s="6" customFormat="1" ht="15.5" x14ac:dyDescent="0.35">
      <c r="A23" s="108" t="s">
        <v>208</v>
      </c>
      <c r="B23" s="108"/>
      <c r="C23" s="108"/>
      <c r="D23" s="108"/>
      <c r="E23" s="169" t="s">
        <v>421</v>
      </c>
      <c r="F23" s="108"/>
      <c r="G23" s="108"/>
      <c r="H23" s="108"/>
      <c r="I23" s="110" t="s">
        <v>18</v>
      </c>
      <c r="J23" s="107">
        <f>SUM(J24:J40)</f>
        <v>4967.2000000000007</v>
      </c>
    </row>
    <row r="24" spans="1:11" x14ac:dyDescent="0.35">
      <c r="A24" s="103"/>
      <c r="B24" s="7" t="s">
        <v>2</v>
      </c>
      <c r="C24" s="14" t="s">
        <v>19</v>
      </c>
      <c r="D24" s="152">
        <v>2</v>
      </c>
      <c r="E24" s="170">
        <v>2</v>
      </c>
      <c r="F24" s="95"/>
      <c r="G24" s="153">
        <f>IF(E199="",D199,IF(D199-E199&gt;0,D199-E199,0))</f>
        <v>3</v>
      </c>
      <c r="H24" s="10" t="s">
        <v>20</v>
      </c>
      <c r="I24" s="331">
        <v>55.95</v>
      </c>
      <c r="J24" s="12">
        <f t="shared" ref="J24:J40" si="0">E24*I24</f>
        <v>111.9</v>
      </c>
      <c r="K24" s="13"/>
    </row>
    <row r="25" spans="1:11" hidden="1" x14ac:dyDescent="0.35">
      <c r="A25" s="103"/>
      <c r="B25" s="7" t="s">
        <v>2</v>
      </c>
      <c r="C25" s="14" t="s">
        <v>209</v>
      </c>
      <c r="D25" s="152"/>
      <c r="E25" s="170"/>
      <c r="F25" s="95"/>
      <c r="G25" s="153">
        <f t="shared" ref="G25:G87" si="1">IF(E25="",D25,IF(D25-E25&gt;0,D25-E25,""))</f>
        <v>0</v>
      </c>
      <c r="H25" s="10" t="s">
        <v>20</v>
      </c>
      <c r="I25" s="331">
        <v>173.1</v>
      </c>
      <c r="J25" s="12">
        <f t="shared" si="0"/>
        <v>0</v>
      </c>
      <c r="K25" s="13"/>
    </row>
    <row r="26" spans="1:11" x14ac:dyDescent="0.35">
      <c r="A26" s="103"/>
      <c r="B26" s="12" t="s">
        <v>2</v>
      </c>
      <c r="C26" s="10" t="s">
        <v>21</v>
      </c>
      <c r="D26" s="152">
        <v>20</v>
      </c>
      <c r="E26" s="170">
        <v>43</v>
      </c>
      <c r="F26" s="95"/>
      <c r="G26" s="153" t="str">
        <f t="shared" si="1"/>
        <v/>
      </c>
      <c r="H26" s="10" t="s">
        <v>20</v>
      </c>
      <c r="I26" s="331">
        <v>75.400000000000006</v>
      </c>
      <c r="J26" s="12">
        <f t="shared" si="0"/>
        <v>3242.2000000000003</v>
      </c>
      <c r="K26" s="13"/>
    </row>
    <row r="27" spans="1:11" ht="14.5" customHeight="1" x14ac:dyDescent="0.35">
      <c r="A27" s="103"/>
      <c r="B27" s="12" t="s">
        <v>2</v>
      </c>
      <c r="C27" s="10" t="s">
        <v>210</v>
      </c>
      <c r="D27" s="152">
        <v>20</v>
      </c>
      <c r="E27" s="170">
        <v>19</v>
      </c>
      <c r="F27" s="95"/>
      <c r="G27" s="153">
        <f t="shared" si="1"/>
        <v>1</v>
      </c>
      <c r="H27" s="10" t="s">
        <v>20</v>
      </c>
      <c r="I27" s="331">
        <v>84.9</v>
      </c>
      <c r="J27" s="12">
        <f t="shared" si="0"/>
        <v>1613.1000000000001</v>
      </c>
      <c r="K27" s="13"/>
    </row>
    <row r="28" spans="1:11" ht="14.5" hidden="1" customHeight="1" x14ac:dyDescent="0.35">
      <c r="A28" s="103"/>
      <c r="B28" s="12" t="s">
        <v>2</v>
      </c>
      <c r="C28" s="10" t="s">
        <v>211</v>
      </c>
      <c r="D28" s="152"/>
      <c r="E28" s="170"/>
      <c r="F28" s="95"/>
      <c r="G28" s="153">
        <f t="shared" si="1"/>
        <v>0</v>
      </c>
      <c r="H28" s="10" t="s">
        <v>20</v>
      </c>
      <c r="I28" s="331">
        <v>2.96</v>
      </c>
      <c r="J28" s="12">
        <f t="shared" si="0"/>
        <v>0</v>
      </c>
      <c r="K28" s="13"/>
    </row>
    <row r="29" spans="1:11" ht="14.5" hidden="1" customHeight="1" x14ac:dyDescent="0.35">
      <c r="A29" s="103"/>
      <c r="B29" s="12" t="s">
        <v>2</v>
      </c>
      <c r="C29" s="10" t="s">
        <v>212</v>
      </c>
      <c r="D29" s="152"/>
      <c r="E29" s="170"/>
      <c r="F29" s="95"/>
      <c r="G29" s="153">
        <f t="shared" si="1"/>
        <v>0</v>
      </c>
      <c r="H29" s="10" t="s">
        <v>20</v>
      </c>
      <c r="I29" s="331">
        <v>2.96</v>
      </c>
      <c r="J29" s="12">
        <f t="shared" si="0"/>
        <v>0</v>
      </c>
      <c r="K29" s="13"/>
    </row>
    <row r="30" spans="1:11" ht="15.75" hidden="1" customHeight="1" x14ac:dyDescent="0.35">
      <c r="A30" s="103"/>
      <c r="B30" s="12" t="s">
        <v>2</v>
      </c>
      <c r="C30" s="10" t="s">
        <v>213</v>
      </c>
      <c r="D30" s="152"/>
      <c r="E30" s="170"/>
      <c r="F30" s="95"/>
      <c r="G30" s="153">
        <f t="shared" si="1"/>
        <v>0</v>
      </c>
      <c r="H30" s="10" t="s">
        <v>20</v>
      </c>
      <c r="I30" s="331">
        <v>2.96</v>
      </c>
      <c r="J30" s="12">
        <f t="shared" si="0"/>
        <v>0</v>
      </c>
      <c r="K30" s="13"/>
    </row>
    <row r="31" spans="1:11" hidden="1" x14ac:dyDescent="0.35">
      <c r="A31" s="103"/>
      <c r="B31" s="7" t="s">
        <v>2</v>
      </c>
      <c r="C31" s="14" t="s">
        <v>22</v>
      </c>
      <c r="D31" s="152"/>
      <c r="E31" s="170"/>
      <c r="F31" s="95"/>
      <c r="G31" s="153">
        <f t="shared" si="1"/>
        <v>0</v>
      </c>
      <c r="H31" s="10" t="s">
        <v>20</v>
      </c>
      <c r="I31" s="331">
        <v>107.2</v>
      </c>
      <c r="J31" s="12">
        <f t="shared" si="0"/>
        <v>0</v>
      </c>
      <c r="K31" s="13"/>
    </row>
    <row r="32" spans="1:11" ht="14.5" hidden="1" customHeight="1" x14ac:dyDescent="0.35">
      <c r="A32" s="103"/>
      <c r="B32" s="7" t="s">
        <v>2</v>
      </c>
      <c r="C32" s="14" t="s">
        <v>214</v>
      </c>
      <c r="D32" s="152"/>
      <c r="E32" s="170"/>
      <c r="F32" s="95"/>
      <c r="G32" s="153">
        <f t="shared" si="1"/>
        <v>0</v>
      </c>
      <c r="H32" s="10" t="s">
        <v>20</v>
      </c>
      <c r="I32" s="331">
        <v>170.7</v>
      </c>
      <c r="J32" s="12">
        <f t="shared" si="0"/>
        <v>0</v>
      </c>
      <c r="K32" s="13"/>
    </row>
    <row r="33" spans="1:11" ht="14.5" hidden="1" customHeight="1" x14ac:dyDescent="0.35">
      <c r="A33" s="103"/>
      <c r="B33" s="12" t="s">
        <v>2</v>
      </c>
      <c r="C33" s="10" t="s">
        <v>215</v>
      </c>
      <c r="D33" s="152"/>
      <c r="E33" s="170"/>
      <c r="F33" s="95"/>
      <c r="G33" s="153">
        <f t="shared" si="1"/>
        <v>0</v>
      </c>
      <c r="H33" s="10" t="s">
        <v>216</v>
      </c>
      <c r="I33" s="331">
        <v>3.77</v>
      </c>
      <c r="J33" s="12">
        <f t="shared" si="0"/>
        <v>0</v>
      </c>
      <c r="K33" s="13"/>
    </row>
    <row r="34" spans="1:11" s="6" customFormat="1" ht="15.65" hidden="1" customHeight="1" x14ac:dyDescent="0.35">
      <c r="A34" s="103"/>
      <c r="B34" s="12" t="s">
        <v>2</v>
      </c>
      <c r="C34" s="10" t="s">
        <v>217</v>
      </c>
      <c r="D34" s="152"/>
      <c r="E34" s="170"/>
      <c r="F34" s="95"/>
      <c r="G34" s="153">
        <f t="shared" si="1"/>
        <v>0</v>
      </c>
      <c r="H34" s="10" t="s">
        <v>20</v>
      </c>
      <c r="I34" s="331">
        <v>2.56</v>
      </c>
      <c r="J34" s="12">
        <f t="shared" si="0"/>
        <v>0</v>
      </c>
    </row>
    <row r="35" spans="1:11" ht="14.5" hidden="1" customHeight="1" x14ac:dyDescent="0.35">
      <c r="A35" s="103"/>
      <c r="B35" s="12" t="s">
        <v>2</v>
      </c>
      <c r="C35" s="10" t="s">
        <v>218</v>
      </c>
      <c r="D35" s="152"/>
      <c r="E35" s="170"/>
      <c r="F35" s="95"/>
      <c r="G35" s="153">
        <f t="shared" si="1"/>
        <v>0</v>
      </c>
      <c r="H35" s="10" t="s">
        <v>20</v>
      </c>
      <c r="I35" s="331">
        <v>3.08</v>
      </c>
      <c r="J35" s="12">
        <f t="shared" si="0"/>
        <v>0</v>
      </c>
      <c r="K35" s="13"/>
    </row>
    <row r="36" spans="1:11" ht="14.5" hidden="1" customHeight="1" x14ac:dyDescent="0.35">
      <c r="A36" s="103"/>
      <c r="B36" s="12" t="s">
        <v>2</v>
      </c>
      <c r="C36" s="10" t="s">
        <v>219</v>
      </c>
      <c r="D36" s="152"/>
      <c r="E36" s="170"/>
      <c r="F36" s="95"/>
      <c r="G36" s="153">
        <f t="shared" si="1"/>
        <v>0</v>
      </c>
      <c r="H36" s="10" t="s">
        <v>20</v>
      </c>
      <c r="I36" s="331">
        <v>2.56</v>
      </c>
      <c r="J36" s="12">
        <f t="shared" si="0"/>
        <v>0</v>
      </c>
      <c r="K36" s="13"/>
    </row>
    <row r="37" spans="1:11" ht="14.5" hidden="1" customHeight="1" x14ac:dyDescent="0.35">
      <c r="A37" s="103"/>
      <c r="B37" s="12" t="s">
        <v>2</v>
      </c>
      <c r="C37" s="10" t="s">
        <v>220</v>
      </c>
      <c r="D37" s="152"/>
      <c r="E37" s="170"/>
      <c r="F37" s="95"/>
      <c r="G37" s="153">
        <f t="shared" si="1"/>
        <v>0</v>
      </c>
      <c r="H37" s="10" t="s">
        <v>20</v>
      </c>
      <c r="I37" s="331">
        <v>1.41</v>
      </c>
      <c r="J37" s="12">
        <f t="shared" si="0"/>
        <v>0</v>
      </c>
      <c r="K37" s="13"/>
    </row>
    <row r="38" spans="1:11" hidden="1" x14ac:dyDescent="0.35">
      <c r="A38" s="103"/>
      <c r="B38" s="12" t="s">
        <v>2</v>
      </c>
      <c r="C38" s="10" t="s">
        <v>221</v>
      </c>
      <c r="D38" s="152"/>
      <c r="E38" s="170"/>
      <c r="F38" s="95"/>
      <c r="G38" s="153">
        <f t="shared" si="1"/>
        <v>0</v>
      </c>
      <c r="H38" s="10" t="s">
        <v>20</v>
      </c>
      <c r="I38" s="331">
        <v>1.73</v>
      </c>
      <c r="J38" s="12">
        <f t="shared" si="0"/>
        <v>0</v>
      </c>
      <c r="K38" s="13"/>
    </row>
    <row r="39" spans="1:11" hidden="1" x14ac:dyDescent="0.35">
      <c r="A39" s="103"/>
      <c r="B39" s="12" t="s">
        <v>2</v>
      </c>
      <c r="C39" s="10" t="s">
        <v>222</v>
      </c>
      <c r="D39" s="152"/>
      <c r="E39" s="170"/>
      <c r="F39" s="95"/>
      <c r="G39" s="153">
        <f t="shared" si="1"/>
        <v>0</v>
      </c>
      <c r="H39" s="10" t="s">
        <v>20</v>
      </c>
      <c r="I39" s="331">
        <v>1.46</v>
      </c>
      <c r="J39" s="12">
        <f t="shared" si="0"/>
        <v>0</v>
      </c>
      <c r="K39" s="13"/>
    </row>
    <row r="40" spans="1:11" ht="14.5" hidden="1" customHeight="1" x14ac:dyDescent="0.35">
      <c r="A40" s="103"/>
      <c r="B40" s="12" t="s">
        <v>2</v>
      </c>
      <c r="C40" s="10" t="s">
        <v>223</v>
      </c>
      <c r="D40" s="222"/>
      <c r="E40" s="170"/>
      <c r="F40" s="141"/>
      <c r="G40" s="153">
        <f t="shared" si="1"/>
        <v>0</v>
      </c>
      <c r="H40" s="10" t="s">
        <v>20</v>
      </c>
      <c r="I40" s="332">
        <v>3.45</v>
      </c>
      <c r="J40" s="12">
        <f t="shared" si="0"/>
        <v>0</v>
      </c>
      <c r="K40" s="13"/>
    </row>
    <row r="41" spans="1:11" s="6" customFormat="1" ht="15.65" customHeight="1" x14ac:dyDescent="0.35">
      <c r="A41" s="108" t="s">
        <v>119</v>
      </c>
      <c r="B41" s="108"/>
      <c r="C41" s="108"/>
      <c r="D41" s="223"/>
      <c r="E41" s="169"/>
      <c r="F41" s="109"/>
      <c r="G41" s="153">
        <f t="shared" si="1"/>
        <v>0</v>
      </c>
      <c r="H41" s="108"/>
      <c r="I41" s="106" t="s">
        <v>18</v>
      </c>
      <c r="J41" s="107">
        <f>SUM(J42:J49)</f>
        <v>3300</v>
      </c>
    </row>
    <row r="42" spans="1:11" ht="14.5" customHeight="1" x14ac:dyDescent="0.35">
      <c r="A42" s="103"/>
      <c r="B42" s="12" t="s">
        <v>7</v>
      </c>
      <c r="C42" s="10" t="s">
        <v>224</v>
      </c>
      <c r="D42" s="152"/>
      <c r="E42" s="166">
        <f>E24</f>
        <v>2</v>
      </c>
      <c r="F42" s="95"/>
      <c r="G42" s="153" t="str">
        <f t="shared" si="1"/>
        <v/>
      </c>
      <c r="H42" s="10" t="s">
        <v>20</v>
      </c>
      <c r="I42" s="331">
        <v>100</v>
      </c>
      <c r="J42" s="12">
        <f t="shared" ref="J42:J49" si="2">E42*I42</f>
        <v>200</v>
      </c>
      <c r="K42" s="13"/>
    </row>
    <row r="43" spans="1:11" hidden="1" x14ac:dyDescent="0.35">
      <c r="A43" s="103"/>
      <c r="B43" s="12" t="s">
        <v>7</v>
      </c>
      <c r="C43" s="10" t="s">
        <v>225</v>
      </c>
      <c r="D43" s="152"/>
      <c r="E43" s="170"/>
      <c r="F43" s="95"/>
      <c r="G43" s="153">
        <f t="shared" si="1"/>
        <v>0</v>
      </c>
      <c r="H43" s="10" t="s">
        <v>20</v>
      </c>
      <c r="I43" s="331">
        <v>12.2</v>
      </c>
      <c r="J43" s="12">
        <f t="shared" si="2"/>
        <v>0</v>
      </c>
      <c r="K43" s="13"/>
    </row>
    <row r="44" spans="1:11" ht="14.5" hidden="1" customHeight="1" x14ac:dyDescent="0.35">
      <c r="A44" s="103"/>
      <c r="B44" s="12" t="s">
        <v>7</v>
      </c>
      <c r="C44" s="10" t="s">
        <v>226</v>
      </c>
      <c r="D44" s="152"/>
      <c r="E44" s="170"/>
      <c r="F44" s="95"/>
      <c r="G44" s="153">
        <f t="shared" si="1"/>
        <v>0</v>
      </c>
      <c r="H44" s="10" t="s">
        <v>20</v>
      </c>
      <c r="I44" s="331">
        <v>11</v>
      </c>
      <c r="J44" s="12">
        <f t="shared" si="2"/>
        <v>0</v>
      </c>
      <c r="K44" s="88"/>
    </row>
    <row r="45" spans="1:11" hidden="1" x14ac:dyDescent="0.35">
      <c r="A45" s="103"/>
      <c r="B45" s="12" t="s">
        <v>7</v>
      </c>
      <c r="C45" s="10" t="s">
        <v>227</v>
      </c>
      <c r="D45" s="152"/>
      <c r="E45" s="170"/>
      <c r="F45" s="95"/>
      <c r="G45" s="153">
        <f t="shared" si="1"/>
        <v>0</v>
      </c>
      <c r="H45" s="10" t="s">
        <v>20</v>
      </c>
      <c r="I45" s="331">
        <v>5</v>
      </c>
      <c r="J45" s="12">
        <f t="shared" si="2"/>
        <v>0</v>
      </c>
      <c r="K45" s="13" t="s">
        <v>47</v>
      </c>
    </row>
    <row r="46" spans="1:11" x14ac:dyDescent="0.35">
      <c r="A46" s="103"/>
      <c r="B46" s="12" t="s">
        <v>7</v>
      </c>
      <c r="C46" s="10" t="s">
        <v>46</v>
      </c>
      <c r="D46" s="152"/>
      <c r="E46" s="170"/>
      <c r="F46" s="95"/>
      <c r="G46" s="153">
        <f t="shared" si="1"/>
        <v>0</v>
      </c>
      <c r="H46" s="10" t="s">
        <v>20</v>
      </c>
      <c r="I46" s="331">
        <v>5</v>
      </c>
      <c r="J46" s="12">
        <f t="shared" si="2"/>
        <v>0</v>
      </c>
      <c r="K46" s="13"/>
    </row>
    <row r="47" spans="1:11" ht="14.5" hidden="1" customHeight="1" x14ac:dyDescent="0.35">
      <c r="A47" s="103"/>
      <c r="B47" s="12" t="s">
        <v>7</v>
      </c>
      <c r="C47" s="10" t="s">
        <v>228</v>
      </c>
      <c r="D47" s="152"/>
      <c r="E47" s="170"/>
      <c r="F47" s="95"/>
      <c r="G47" s="153">
        <f t="shared" si="1"/>
        <v>0</v>
      </c>
      <c r="H47" s="10" t="s">
        <v>20</v>
      </c>
      <c r="I47" s="331">
        <v>11</v>
      </c>
      <c r="J47" s="12">
        <f t="shared" si="2"/>
        <v>0</v>
      </c>
      <c r="K47" s="13"/>
    </row>
    <row r="48" spans="1:11" ht="16.399999999999999" customHeight="1" x14ac:dyDescent="0.35">
      <c r="A48" s="103"/>
      <c r="B48" s="12" t="s">
        <v>7</v>
      </c>
      <c r="C48" s="10" t="s">
        <v>229</v>
      </c>
      <c r="D48" s="152"/>
      <c r="E48" s="166">
        <f>E27+E26</f>
        <v>62</v>
      </c>
      <c r="F48" s="95"/>
      <c r="G48" s="153" t="str">
        <f t="shared" si="1"/>
        <v/>
      </c>
      <c r="H48" s="10" t="s">
        <v>20</v>
      </c>
      <c r="I48" s="331">
        <v>50</v>
      </c>
      <c r="J48" s="12">
        <f t="shared" si="2"/>
        <v>3100</v>
      </c>
      <c r="K48" s="13"/>
    </row>
    <row r="49" spans="1:11" hidden="1" x14ac:dyDescent="0.35">
      <c r="A49" s="103"/>
      <c r="B49" s="12" t="s">
        <v>7</v>
      </c>
      <c r="C49" s="78" t="s">
        <v>206</v>
      </c>
      <c r="D49" s="224"/>
      <c r="E49" s="170"/>
      <c r="F49" s="142"/>
      <c r="G49" s="153">
        <f t="shared" si="1"/>
        <v>0</v>
      </c>
      <c r="H49" s="10" t="s">
        <v>20</v>
      </c>
      <c r="I49" s="333">
        <v>5</v>
      </c>
      <c r="J49" s="12">
        <f t="shared" si="2"/>
        <v>0</v>
      </c>
      <c r="K49" s="13"/>
    </row>
    <row r="50" spans="1:11" ht="14.5" customHeight="1" x14ac:dyDescent="0.35">
      <c r="A50" s="103"/>
      <c r="B50" s="104" t="s">
        <v>230</v>
      </c>
      <c r="C50" s="105"/>
      <c r="D50" s="225"/>
      <c r="E50" s="171"/>
      <c r="F50" s="143"/>
      <c r="G50" s="153">
        <f t="shared" si="1"/>
        <v>0</v>
      </c>
      <c r="H50" s="105"/>
      <c r="I50" s="106" t="s">
        <v>18</v>
      </c>
      <c r="J50" s="107">
        <f>SUM(J52:J77)</f>
        <v>138.35</v>
      </c>
      <c r="K50" s="13"/>
    </row>
    <row r="51" spans="1:11" ht="14.5" customHeight="1" x14ac:dyDescent="0.35">
      <c r="A51" s="111"/>
      <c r="B51" s="126" t="s">
        <v>231</v>
      </c>
      <c r="C51" s="127"/>
      <c r="D51" s="226"/>
      <c r="E51" s="172"/>
      <c r="F51" s="144"/>
      <c r="G51" s="153">
        <f t="shared" si="1"/>
        <v>0</v>
      </c>
      <c r="H51" s="127"/>
      <c r="I51" s="239"/>
      <c r="J51" s="128"/>
      <c r="K51" s="13"/>
    </row>
    <row r="52" spans="1:11" ht="14.5" hidden="1" customHeight="1" x14ac:dyDescent="0.35">
      <c r="A52" s="103"/>
      <c r="B52" s="12" t="s">
        <v>13</v>
      </c>
      <c r="C52" s="10" t="s">
        <v>78</v>
      </c>
      <c r="D52" s="152"/>
      <c r="E52" s="170"/>
      <c r="F52" s="95"/>
      <c r="G52" s="153">
        <f t="shared" si="1"/>
        <v>0</v>
      </c>
      <c r="H52" s="10" t="s">
        <v>20</v>
      </c>
      <c r="I52" s="331">
        <v>13</v>
      </c>
      <c r="J52" s="12">
        <f t="shared" ref="J52:J58" si="3">E52*I52</f>
        <v>0</v>
      </c>
      <c r="K52" s="13"/>
    </row>
    <row r="53" spans="1:11" hidden="1" x14ac:dyDescent="0.35">
      <c r="A53" s="103"/>
      <c r="B53" s="12" t="s">
        <v>13</v>
      </c>
      <c r="C53" s="10" t="s">
        <v>232</v>
      </c>
      <c r="D53" s="152"/>
      <c r="E53" s="170"/>
      <c r="F53" s="95"/>
      <c r="G53" s="153">
        <f t="shared" si="1"/>
        <v>0</v>
      </c>
      <c r="H53" s="10" t="s">
        <v>20</v>
      </c>
      <c r="I53" s="331">
        <v>13</v>
      </c>
      <c r="J53" s="12">
        <f t="shared" si="3"/>
        <v>0</v>
      </c>
      <c r="K53" s="134"/>
    </row>
    <row r="54" spans="1:11" hidden="1" x14ac:dyDescent="0.35">
      <c r="A54" s="103"/>
      <c r="B54" s="12" t="s">
        <v>13</v>
      </c>
      <c r="C54" s="10" t="s">
        <v>233</v>
      </c>
      <c r="D54" s="152"/>
      <c r="E54" s="170"/>
      <c r="F54" s="95"/>
      <c r="G54" s="153">
        <f t="shared" si="1"/>
        <v>0</v>
      </c>
      <c r="H54" s="10" t="s">
        <v>20</v>
      </c>
      <c r="I54" s="331">
        <v>8.9</v>
      </c>
      <c r="J54" s="12">
        <f t="shared" si="3"/>
        <v>0</v>
      </c>
      <c r="K54" s="13"/>
    </row>
    <row r="55" spans="1:11" x14ac:dyDescent="0.35">
      <c r="A55" s="103"/>
      <c r="B55" s="12" t="s">
        <v>13</v>
      </c>
      <c r="C55" s="10" t="s">
        <v>32</v>
      </c>
      <c r="D55" s="152">
        <v>6</v>
      </c>
      <c r="E55" s="170">
        <v>7</v>
      </c>
      <c r="F55" s="95"/>
      <c r="G55" s="153" t="str">
        <f t="shared" si="1"/>
        <v/>
      </c>
      <c r="H55" s="10" t="s">
        <v>20</v>
      </c>
      <c r="I55" s="331">
        <v>8.35</v>
      </c>
      <c r="J55" s="12">
        <f t="shared" si="3"/>
        <v>58.449999999999996</v>
      </c>
      <c r="K55" s="13"/>
    </row>
    <row r="56" spans="1:11" s="6" customFormat="1" ht="15.65" customHeight="1" x14ac:dyDescent="0.35">
      <c r="A56" s="103"/>
      <c r="B56" s="12" t="s">
        <v>13</v>
      </c>
      <c r="C56" s="10" t="s">
        <v>33</v>
      </c>
      <c r="D56" s="152">
        <v>6</v>
      </c>
      <c r="E56" s="170">
        <v>8</v>
      </c>
      <c r="F56" s="95"/>
      <c r="G56" s="153" t="str">
        <f t="shared" si="1"/>
        <v/>
      </c>
      <c r="H56" s="10" t="s">
        <v>20</v>
      </c>
      <c r="I56" s="331">
        <v>8.9</v>
      </c>
      <c r="J56" s="12">
        <f t="shared" si="3"/>
        <v>71.2</v>
      </c>
    </row>
    <row r="57" spans="1:11" s="6" customFormat="1" ht="15.65" customHeight="1" x14ac:dyDescent="0.35">
      <c r="A57" s="103"/>
      <c r="B57" s="12" t="s">
        <v>13</v>
      </c>
      <c r="C57" s="10" t="s">
        <v>59</v>
      </c>
      <c r="D57" s="152">
        <v>6</v>
      </c>
      <c r="E57" s="170">
        <v>1</v>
      </c>
      <c r="F57" s="95"/>
      <c r="G57" s="153">
        <f t="shared" si="1"/>
        <v>5</v>
      </c>
      <c r="H57" s="10" t="s">
        <v>20</v>
      </c>
      <c r="I57" s="331">
        <v>8.6999999999999993</v>
      </c>
      <c r="J57" s="12">
        <f t="shared" si="3"/>
        <v>8.6999999999999993</v>
      </c>
    </row>
    <row r="58" spans="1:11" ht="14.5" hidden="1" customHeight="1" x14ac:dyDescent="0.35">
      <c r="A58" s="103"/>
      <c r="B58" s="12" t="s">
        <v>13</v>
      </c>
      <c r="C58" s="10" t="s">
        <v>234</v>
      </c>
      <c r="D58" s="152"/>
      <c r="E58" s="170"/>
      <c r="F58" s="95"/>
      <c r="G58" s="153">
        <f t="shared" si="1"/>
        <v>0</v>
      </c>
      <c r="H58" s="10" t="s">
        <v>20</v>
      </c>
      <c r="I58" s="331">
        <v>12.15</v>
      </c>
      <c r="J58" s="12">
        <f t="shared" si="3"/>
        <v>0</v>
      </c>
      <c r="K58" s="13"/>
    </row>
    <row r="59" spans="1:11" ht="14.5" hidden="1" customHeight="1" x14ac:dyDescent="0.35">
      <c r="A59" s="103"/>
      <c r="B59" s="12" t="s">
        <v>13</v>
      </c>
      <c r="C59" s="10" t="s">
        <v>235</v>
      </c>
      <c r="D59" s="152"/>
      <c r="E59" s="170"/>
      <c r="F59" s="95"/>
      <c r="G59" s="153">
        <f t="shared" si="1"/>
        <v>0</v>
      </c>
      <c r="H59" s="10" t="s">
        <v>20</v>
      </c>
      <c r="I59" s="331">
        <v>11.35</v>
      </c>
      <c r="J59" s="12">
        <f t="shared" ref="J59:J64" si="4">E59*I59</f>
        <v>0</v>
      </c>
      <c r="K59" s="13"/>
    </row>
    <row r="60" spans="1:11" s="6" customFormat="1" ht="15.65" hidden="1" customHeight="1" x14ac:dyDescent="0.35">
      <c r="A60" s="103"/>
      <c r="B60" s="12" t="s">
        <v>13</v>
      </c>
      <c r="C60" s="10" t="s">
        <v>236</v>
      </c>
      <c r="D60" s="152"/>
      <c r="E60" s="170"/>
      <c r="F60" s="95"/>
      <c r="G60" s="153">
        <f t="shared" si="1"/>
        <v>0</v>
      </c>
      <c r="H60" s="10" t="s">
        <v>20</v>
      </c>
      <c r="I60" s="331">
        <v>14.65</v>
      </c>
      <c r="J60" s="12">
        <f t="shared" si="4"/>
        <v>0</v>
      </c>
    </row>
    <row r="61" spans="1:11" ht="14.5" hidden="1" customHeight="1" x14ac:dyDescent="0.35">
      <c r="A61" s="103"/>
      <c r="B61" s="12" t="s">
        <v>13</v>
      </c>
      <c r="C61" s="10" t="s">
        <v>237</v>
      </c>
      <c r="D61" s="152"/>
      <c r="E61" s="170"/>
      <c r="F61" s="95"/>
      <c r="G61" s="153">
        <f t="shared" si="1"/>
        <v>0</v>
      </c>
      <c r="H61" s="10" t="s">
        <v>20</v>
      </c>
      <c r="I61" s="331">
        <v>16.25</v>
      </c>
      <c r="J61" s="12">
        <f t="shared" si="4"/>
        <v>0</v>
      </c>
      <c r="K61" s="13"/>
    </row>
    <row r="62" spans="1:11" s="6" customFormat="1" ht="15.5" hidden="1" x14ac:dyDescent="0.35">
      <c r="A62" s="103"/>
      <c r="B62" s="12" t="s">
        <v>13</v>
      </c>
      <c r="C62" s="10" t="s">
        <v>238</v>
      </c>
      <c r="D62" s="152"/>
      <c r="E62" s="170"/>
      <c r="F62" s="95"/>
      <c r="G62" s="153">
        <f t="shared" si="1"/>
        <v>0</v>
      </c>
      <c r="H62" s="10" t="s">
        <v>20</v>
      </c>
      <c r="I62" s="331">
        <v>17.899999999999999</v>
      </c>
      <c r="J62" s="12">
        <f t="shared" si="4"/>
        <v>0</v>
      </c>
    </row>
    <row r="63" spans="1:11" hidden="1" x14ac:dyDescent="0.35">
      <c r="A63" s="103"/>
      <c r="B63" s="12" t="s">
        <v>13</v>
      </c>
      <c r="C63" s="10" t="s">
        <v>239</v>
      </c>
      <c r="D63" s="152"/>
      <c r="E63" s="170"/>
      <c r="F63" s="95"/>
      <c r="G63" s="153">
        <f t="shared" si="1"/>
        <v>0</v>
      </c>
      <c r="H63" s="10" t="s">
        <v>20</v>
      </c>
      <c r="I63" s="331">
        <v>15.95</v>
      </c>
      <c r="J63" s="12">
        <f t="shared" si="4"/>
        <v>0</v>
      </c>
      <c r="K63" s="13"/>
    </row>
    <row r="64" spans="1:11" ht="14.5" hidden="1" customHeight="1" x14ac:dyDescent="0.35">
      <c r="A64" s="103"/>
      <c r="B64" s="12" t="s">
        <v>13</v>
      </c>
      <c r="C64" s="10" t="s">
        <v>240</v>
      </c>
      <c r="D64" s="152"/>
      <c r="E64" s="170"/>
      <c r="F64" s="95"/>
      <c r="G64" s="153">
        <f t="shared" si="1"/>
        <v>0</v>
      </c>
      <c r="H64" s="10" t="s">
        <v>20</v>
      </c>
      <c r="I64" s="331">
        <v>15.45</v>
      </c>
      <c r="J64" s="12">
        <f t="shared" si="4"/>
        <v>0</v>
      </c>
      <c r="K64" s="13"/>
    </row>
    <row r="65" spans="1:11" s="6" customFormat="1" ht="15.65" hidden="1" customHeight="1" x14ac:dyDescent="0.35">
      <c r="A65" s="111"/>
      <c r="B65" s="126" t="s">
        <v>241</v>
      </c>
      <c r="C65" s="127"/>
      <c r="D65" s="226"/>
      <c r="E65" s="172"/>
      <c r="F65" s="144"/>
      <c r="G65" s="153">
        <f t="shared" si="1"/>
        <v>0</v>
      </c>
      <c r="H65" s="127"/>
      <c r="I65" s="239"/>
      <c r="J65" s="128"/>
    </row>
    <row r="66" spans="1:11" ht="14.5" hidden="1" customHeight="1" x14ac:dyDescent="0.35">
      <c r="A66" s="103"/>
      <c r="B66" s="12" t="s">
        <v>13</v>
      </c>
      <c r="C66" s="10" t="s">
        <v>242</v>
      </c>
      <c r="D66" s="152"/>
      <c r="E66" s="170"/>
      <c r="F66" s="95"/>
      <c r="G66" s="153">
        <f t="shared" si="1"/>
        <v>0</v>
      </c>
      <c r="H66" s="10" t="s">
        <v>20</v>
      </c>
      <c r="I66" s="331">
        <v>31.05</v>
      </c>
      <c r="J66" s="12">
        <f t="shared" ref="J66:J72" si="5">E66*I66</f>
        <v>0</v>
      </c>
      <c r="K66" s="13"/>
    </row>
    <row r="67" spans="1:11" ht="14.5" hidden="1" customHeight="1" x14ac:dyDescent="0.35">
      <c r="A67" s="103"/>
      <c r="B67" s="12" t="s">
        <v>13</v>
      </c>
      <c r="C67" s="10" t="s">
        <v>243</v>
      </c>
      <c r="D67" s="152"/>
      <c r="E67" s="170"/>
      <c r="F67" s="95"/>
      <c r="G67" s="153">
        <f t="shared" si="1"/>
        <v>0</v>
      </c>
      <c r="H67" s="10" t="s">
        <v>20</v>
      </c>
      <c r="I67" s="331">
        <v>60.79</v>
      </c>
      <c r="J67" s="12">
        <f t="shared" si="5"/>
        <v>0</v>
      </c>
      <c r="K67" s="13"/>
    </row>
    <row r="68" spans="1:11" ht="14.5" hidden="1" customHeight="1" x14ac:dyDescent="0.35">
      <c r="A68" s="103"/>
      <c r="B68" s="12" t="s">
        <v>13</v>
      </c>
      <c r="C68" s="10" t="s">
        <v>244</v>
      </c>
      <c r="D68" s="152"/>
      <c r="E68" s="170"/>
      <c r="F68" s="95"/>
      <c r="G68" s="153">
        <f t="shared" si="1"/>
        <v>0</v>
      </c>
      <c r="H68" s="10" t="s">
        <v>20</v>
      </c>
      <c r="I68" s="331">
        <v>56.55</v>
      </c>
      <c r="J68" s="12">
        <f t="shared" si="5"/>
        <v>0</v>
      </c>
      <c r="K68" s="13"/>
    </row>
    <row r="69" spans="1:11" ht="14.5" hidden="1" customHeight="1" x14ac:dyDescent="0.35">
      <c r="A69" s="103"/>
      <c r="B69" s="12" t="s">
        <v>13</v>
      </c>
      <c r="C69" s="10" t="s">
        <v>245</v>
      </c>
      <c r="D69" s="152"/>
      <c r="E69" s="170"/>
      <c r="F69" s="95"/>
      <c r="G69" s="153">
        <f t="shared" si="1"/>
        <v>0</v>
      </c>
      <c r="H69" s="10" t="s">
        <v>20</v>
      </c>
      <c r="I69" s="331">
        <v>107.44</v>
      </c>
      <c r="J69" s="12">
        <f t="shared" si="5"/>
        <v>0</v>
      </c>
      <c r="K69" s="13"/>
    </row>
    <row r="70" spans="1:11" ht="14.5" hidden="1" customHeight="1" x14ac:dyDescent="0.35">
      <c r="A70" s="103"/>
      <c r="B70" s="12" t="s">
        <v>13</v>
      </c>
      <c r="C70" s="10" t="s">
        <v>246</v>
      </c>
      <c r="D70" s="152"/>
      <c r="E70" s="170"/>
      <c r="F70" s="95"/>
      <c r="G70" s="153">
        <f t="shared" si="1"/>
        <v>0</v>
      </c>
      <c r="H70" s="10" t="s">
        <v>20</v>
      </c>
      <c r="I70" s="331">
        <v>47.4</v>
      </c>
      <c r="J70" s="12">
        <f t="shared" si="5"/>
        <v>0</v>
      </c>
      <c r="K70" s="13"/>
    </row>
    <row r="71" spans="1:11" ht="15.65" hidden="1" customHeight="1" x14ac:dyDescent="0.35">
      <c r="A71" s="103"/>
      <c r="B71" s="12" t="s">
        <v>13</v>
      </c>
      <c r="C71" s="10" t="s">
        <v>247</v>
      </c>
      <c r="D71" s="152"/>
      <c r="E71" s="170"/>
      <c r="F71" s="95"/>
      <c r="G71" s="153">
        <f t="shared" si="1"/>
        <v>0</v>
      </c>
      <c r="H71" s="10" t="s">
        <v>20</v>
      </c>
      <c r="I71" s="331">
        <v>87.63</v>
      </c>
      <c r="J71" s="12">
        <f t="shared" si="5"/>
        <v>0</v>
      </c>
      <c r="K71" s="13"/>
    </row>
    <row r="72" spans="1:11" hidden="1" x14ac:dyDescent="0.35">
      <c r="A72" s="103"/>
      <c r="B72" s="12" t="s">
        <v>13</v>
      </c>
      <c r="C72" s="10" t="s">
        <v>248</v>
      </c>
      <c r="D72" s="152"/>
      <c r="E72" s="170"/>
      <c r="F72" s="95"/>
      <c r="G72" s="153">
        <f t="shared" si="1"/>
        <v>0</v>
      </c>
      <c r="H72" s="10" t="s">
        <v>20</v>
      </c>
      <c r="I72" s="331">
        <v>52.31</v>
      </c>
      <c r="J72" s="12">
        <f t="shared" si="5"/>
        <v>0</v>
      </c>
      <c r="K72" s="13"/>
    </row>
    <row r="73" spans="1:11" ht="16.399999999999999" hidden="1" customHeight="1" x14ac:dyDescent="0.35">
      <c r="A73" s="111"/>
      <c r="B73" s="126" t="s">
        <v>249</v>
      </c>
      <c r="C73" s="127"/>
      <c r="D73" s="226"/>
      <c r="E73" s="172"/>
      <c r="F73" s="144"/>
      <c r="G73" s="153">
        <f t="shared" si="1"/>
        <v>0</v>
      </c>
      <c r="H73" s="127"/>
      <c r="I73" s="239"/>
      <c r="J73" s="128"/>
      <c r="K73" s="13"/>
    </row>
    <row r="74" spans="1:11" ht="14.5" hidden="1" customHeight="1" x14ac:dyDescent="0.35">
      <c r="A74" s="103"/>
      <c r="B74" s="12" t="s">
        <v>13</v>
      </c>
      <c r="C74" s="10" t="s">
        <v>250</v>
      </c>
      <c r="D74" s="152"/>
      <c r="E74" s="170"/>
      <c r="F74" s="95"/>
      <c r="G74" s="153">
        <f t="shared" si="1"/>
        <v>0</v>
      </c>
      <c r="H74" s="10" t="s">
        <v>20</v>
      </c>
      <c r="I74" s="331">
        <v>10.8</v>
      </c>
      <c r="J74" s="12">
        <f>E74*I74</f>
        <v>0</v>
      </c>
      <c r="K74" s="13"/>
    </row>
    <row r="75" spans="1:11" ht="14.5" hidden="1" customHeight="1" x14ac:dyDescent="0.35">
      <c r="A75" s="103"/>
      <c r="B75" s="12" t="s">
        <v>13</v>
      </c>
      <c r="C75" s="10" t="s">
        <v>251</v>
      </c>
      <c r="D75" s="152"/>
      <c r="E75" s="170"/>
      <c r="F75" s="95"/>
      <c r="G75" s="153">
        <f t="shared" si="1"/>
        <v>0</v>
      </c>
      <c r="H75" s="10" t="s">
        <v>20</v>
      </c>
      <c r="I75" s="331">
        <v>11.2</v>
      </c>
      <c r="J75" s="12">
        <f>E75*I75</f>
        <v>0</v>
      </c>
      <c r="K75" s="13"/>
    </row>
    <row r="76" spans="1:11" s="24" customFormat="1" ht="15.65" customHeight="1" x14ac:dyDescent="0.35">
      <c r="A76" s="103"/>
      <c r="B76" s="12" t="s">
        <v>13</v>
      </c>
      <c r="C76" s="10" t="s">
        <v>252</v>
      </c>
      <c r="D76" s="152"/>
      <c r="E76" s="170"/>
      <c r="F76" s="95"/>
      <c r="G76" s="153">
        <f t="shared" si="1"/>
        <v>0</v>
      </c>
      <c r="H76" s="10" t="s">
        <v>23</v>
      </c>
      <c r="I76" s="331">
        <v>4.5599999999999996</v>
      </c>
      <c r="J76" s="12">
        <f>E76*I76</f>
        <v>0</v>
      </c>
    </row>
    <row r="77" spans="1:11" s="6" customFormat="1" ht="15.65" customHeight="1" x14ac:dyDescent="0.35">
      <c r="A77" s="103"/>
      <c r="B77" s="12" t="s">
        <v>13</v>
      </c>
      <c r="C77" s="10" t="s">
        <v>253</v>
      </c>
      <c r="D77" s="152"/>
      <c r="E77" s="170"/>
      <c r="F77" s="95"/>
      <c r="G77" s="153">
        <f t="shared" si="1"/>
        <v>0</v>
      </c>
      <c r="H77" s="10" t="s">
        <v>23</v>
      </c>
      <c r="I77" s="331">
        <v>37.700000000000003</v>
      </c>
      <c r="J77" s="12">
        <f>E77*I77</f>
        <v>0</v>
      </c>
    </row>
    <row r="78" spans="1:11" ht="14.5" hidden="1" customHeight="1" x14ac:dyDescent="0.35">
      <c r="A78" s="108" t="s">
        <v>254</v>
      </c>
      <c r="B78" s="108"/>
      <c r="C78" s="108"/>
      <c r="D78" s="223"/>
      <c r="E78" s="169"/>
      <c r="F78" s="109"/>
      <c r="G78" s="153">
        <f t="shared" si="1"/>
        <v>0</v>
      </c>
      <c r="H78" s="108"/>
      <c r="I78" s="110" t="s">
        <v>18</v>
      </c>
      <c r="J78" s="115">
        <f>SUM(J80:J121)</f>
        <v>0</v>
      </c>
    </row>
    <row r="79" spans="1:11" ht="14.5" hidden="1" customHeight="1" x14ac:dyDescent="0.35">
      <c r="A79" s="111"/>
      <c r="B79" s="126" t="s">
        <v>255</v>
      </c>
      <c r="C79" s="127"/>
      <c r="D79" s="226"/>
      <c r="E79" s="172"/>
      <c r="F79" s="144"/>
      <c r="G79" s="153">
        <f t="shared" si="1"/>
        <v>0</v>
      </c>
      <c r="H79" s="127"/>
      <c r="I79" s="239"/>
      <c r="J79" s="128"/>
      <c r="K79" s="13"/>
    </row>
    <row r="80" spans="1:11" ht="14.5" hidden="1" customHeight="1" x14ac:dyDescent="0.35">
      <c r="A80" s="103"/>
      <c r="B80" s="12" t="s">
        <v>3</v>
      </c>
      <c r="C80" s="10" t="s">
        <v>256</v>
      </c>
      <c r="D80" s="152"/>
      <c r="E80" s="170"/>
      <c r="F80" s="95"/>
      <c r="G80" s="153">
        <f t="shared" si="1"/>
        <v>0</v>
      </c>
      <c r="H80" s="10" t="s">
        <v>20</v>
      </c>
      <c r="I80" s="331">
        <v>32.950000000000003</v>
      </c>
      <c r="J80" s="12">
        <f t="shared" ref="J80:J86" si="6">E80*I80</f>
        <v>0</v>
      </c>
      <c r="K80" s="13"/>
    </row>
    <row r="81" spans="1:13" ht="14.5" hidden="1" customHeight="1" x14ac:dyDescent="0.35">
      <c r="A81" s="103"/>
      <c r="B81" s="12" t="s">
        <v>3</v>
      </c>
      <c r="C81" s="10" t="s">
        <v>257</v>
      </c>
      <c r="D81" s="152"/>
      <c r="E81" s="170"/>
      <c r="F81" s="95"/>
      <c r="G81" s="153">
        <f t="shared" si="1"/>
        <v>0</v>
      </c>
      <c r="H81" s="10" t="s">
        <v>20</v>
      </c>
      <c r="I81" s="331">
        <v>56.95</v>
      </c>
      <c r="J81" s="12">
        <f t="shared" si="6"/>
        <v>0</v>
      </c>
      <c r="K81" s="13" t="s">
        <v>47</v>
      </c>
    </row>
    <row r="82" spans="1:13" ht="14.5" hidden="1" customHeight="1" x14ac:dyDescent="0.35">
      <c r="A82" s="103"/>
      <c r="B82" s="12" t="s">
        <v>3</v>
      </c>
      <c r="C82" s="10" t="s">
        <v>258</v>
      </c>
      <c r="D82" s="152"/>
      <c r="E82" s="170"/>
      <c r="F82" s="95"/>
      <c r="G82" s="153">
        <f t="shared" si="1"/>
        <v>0</v>
      </c>
      <c r="H82" s="10" t="s">
        <v>20</v>
      </c>
      <c r="I82" s="331">
        <v>15.95</v>
      </c>
      <c r="J82" s="12">
        <f t="shared" si="6"/>
        <v>0</v>
      </c>
    </row>
    <row r="83" spans="1:13" ht="14.5" hidden="1" customHeight="1" x14ac:dyDescent="0.35">
      <c r="A83" s="103"/>
      <c r="B83" s="12" t="s">
        <v>3</v>
      </c>
      <c r="C83" s="10" t="s">
        <v>259</v>
      </c>
      <c r="D83" s="152"/>
      <c r="E83" s="170"/>
      <c r="F83" s="95"/>
      <c r="G83" s="153">
        <f t="shared" si="1"/>
        <v>0</v>
      </c>
      <c r="H83" s="10" t="s">
        <v>20</v>
      </c>
      <c r="I83" s="331">
        <v>19.95</v>
      </c>
      <c r="J83" s="12">
        <f t="shared" si="6"/>
        <v>0</v>
      </c>
      <c r="K83" s="28"/>
    </row>
    <row r="84" spans="1:13" s="6" customFormat="1" ht="15.65" hidden="1" customHeight="1" x14ac:dyDescent="0.35">
      <c r="A84" s="103"/>
      <c r="B84" s="12" t="s">
        <v>3</v>
      </c>
      <c r="C84" s="10" t="s">
        <v>260</v>
      </c>
      <c r="D84" s="152"/>
      <c r="E84" s="170"/>
      <c r="F84" s="95"/>
      <c r="G84" s="153">
        <f t="shared" si="1"/>
        <v>0</v>
      </c>
      <c r="H84" s="10" t="s">
        <v>20</v>
      </c>
      <c r="I84" s="331">
        <v>46.95</v>
      </c>
      <c r="J84" s="12">
        <f t="shared" si="6"/>
        <v>0</v>
      </c>
      <c r="K84" s="30"/>
    </row>
    <row r="85" spans="1:13" ht="14.5" hidden="1" customHeight="1" x14ac:dyDescent="0.35">
      <c r="A85" s="103"/>
      <c r="B85" s="12" t="s">
        <v>3</v>
      </c>
      <c r="C85" s="10" t="s">
        <v>261</v>
      </c>
      <c r="D85" s="152"/>
      <c r="E85" s="170"/>
      <c r="F85" s="95"/>
      <c r="G85" s="153">
        <f t="shared" si="1"/>
        <v>0</v>
      </c>
      <c r="H85" s="10" t="s">
        <v>20</v>
      </c>
      <c r="I85" s="331">
        <v>34.950000000000003</v>
      </c>
      <c r="J85" s="12">
        <f t="shared" si="6"/>
        <v>0</v>
      </c>
      <c r="K85" s="28"/>
    </row>
    <row r="86" spans="1:13" s="6" customFormat="1" ht="15.65" hidden="1" customHeight="1" x14ac:dyDescent="0.35">
      <c r="A86" s="103"/>
      <c r="B86" s="12" t="s">
        <v>3</v>
      </c>
      <c r="C86" s="10" t="s">
        <v>262</v>
      </c>
      <c r="D86" s="152"/>
      <c r="E86" s="170"/>
      <c r="F86" s="95"/>
      <c r="G86" s="153">
        <f t="shared" si="1"/>
        <v>0</v>
      </c>
      <c r="H86" s="10" t="s">
        <v>20</v>
      </c>
      <c r="I86" s="331">
        <v>24.95</v>
      </c>
      <c r="J86" s="12">
        <f t="shared" si="6"/>
        <v>0</v>
      </c>
    </row>
    <row r="87" spans="1:13" ht="15.5" hidden="1" x14ac:dyDescent="0.35">
      <c r="A87" s="111"/>
      <c r="B87" s="126" t="s">
        <v>263</v>
      </c>
      <c r="C87" s="127"/>
      <c r="D87" s="226"/>
      <c r="E87" s="172"/>
      <c r="F87" s="144"/>
      <c r="G87" s="153">
        <f t="shared" si="1"/>
        <v>0</v>
      </c>
      <c r="H87" s="127"/>
      <c r="I87" s="239"/>
      <c r="J87" s="128"/>
      <c r="K87" s="28"/>
      <c r="M87" t="s">
        <v>47</v>
      </c>
    </row>
    <row r="88" spans="1:13" hidden="1" x14ac:dyDescent="0.35">
      <c r="A88" s="103"/>
      <c r="B88" s="12" t="s">
        <v>3</v>
      </c>
      <c r="C88" s="10" t="s">
        <v>264</v>
      </c>
      <c r="D88" s="152"/>
      <c r="E88" s="170"/>
      <c r="F88" s="95"/>
      <c r="G88" s="153">
        <f t="shared" ref="G88:G151" si="7">IF(E88="",D88,IF(D88-E88&gt;0,D88-E88,""))</f>
        <v>0</v>
      </c>
      <c r="H88" s="10" t="s">
        <v>20</v>
      </c>
      <c r="I88" s="331">
        <v>19.5</v>
      </c>
      <c r="J88" s="12">
        <f t="shared" ref="J88:J94" si="8">E88*I88</f>
        <v>0</v>
      </c>
      <c r="K88" s="28"/>
    </row>
    <row r="89" spans="1:13" hidden="1" x14ac:dyDescent="0.35">
      <c r="A89" s="103"/>
      <c r="B89" s="12" t="s">
        <v>3</v>
      </c>
      <c r="C89" s="10" t="s">
        <v>265</v>
      </c>
      <c r="D89" s="152"/>
      <c r="E89" s="170"/>
      <c r="F89" s="95"/>
      <c r="G89" s="153">
        <f t="shared" si="7"/>
        <v>0</v>
      </c>
      <c r="H89" s="10" t="s">
        <v>20</v>
      </c>
      <c r="I89" s="331">
        <v>16.95</v>
      </c>
      <c r="J89" s="12">
        <f t="shared" si="8"/>
        <v>0</v>
      </c>
      <c r="K89" s="28"/>
    </row>
    <row r="90" spans="1:13" hidden="1" x14ac:dyDescent="0.35">
      <c r="A90" s="103"/>
      <c r="B90" s="12" t="s">
        <v>3</v>
      </c>
      <c r="C90" s="10" t="s">
        <v>266</v>
      </c>
      <c r="D90" s="152"/>
      <c r="E90" s="170"/>
      <c r="F90" s="95"/>
      <c r="G90" s="153">
        <f t="shared" si="7"/>
        <v>0</v>
      </c>
      <c r="H90" s="10" t="s">
        <v>20</v>
      </c>
      <c r="I90" s="331">
        <v>17.95</v>
      </c>
      <c r="J90" s="12">
        <f t="shared" si="8"/>
        <v>0</v>
      </c>
      <c r="K90" s="28"/>
    </row>
    <row r="91" spans="1:13" hidden="1" x14ac:dyDescent="0.35">
      <c r="A91" s="103"/>
      <c r="B91" s="12" t="s">
        <v>3</v>
      </c>
      <c r="C91" s="10" t="s">
        <v>267</v>
      </c>
      <c r="D91" s="152"/>
      <c r="E91" s="170"/>
      <c r="F91" s="95"/>
      <c r="G91" s="153">
        <f t="shared" si="7"/>
        <v>0</v>
      </c>
      <c r="H91" s="10" t="s">
        <v>20</v>
      </c>
      <c r="I91" s="331">
        <v>15.95</v>
      </c>
      <c r="J91" s="12">
        <f t="shared" si="8"/>
        <v>0</v>
      </c>
      <c r="K91" s="28"/>
    </row>
    <row r="92" spans="1:13" s="6" customFormat="1" ht="15.5" hidden="1" x14ac:dyDescent="0.35">
      <c r="A92" s="103"/>
      <c r="B92" s="12" t="s">
        <v>3</v>
      </c>
      <c r="C92" s="10" t="s">
        <v>268</v>
      </c>
      <c r="D92" s="152"/>
      <c r="E92" s="170"/>
      <c r="F92" s="95"/>
      <c r="G92" s="153">
        <f t="shared" si="7"/>
        <v>0</v>
      </c>
      <c r="H92" s="10" t="s">
        <v>20</v>
      </c>
      <c r="I92" s="331">
        <v>20.95</v>
      </c>
      <c r="J92" s="12">
        <f t="shared" si="8"/>
        <v>0</v>
      </c>
      <c r="K92" s="30"/>
    </row>
    <row r="93" spans="1:13" hidden="1" x14ac:dyDescent="0.35">
      <c r="A93" s="103"/>
      <c r="B93" s="12" t="s">
        <v>3</v>
      </c>
      <c r="C93" s="10" t="s">
        <v>269</v>
      </c>
      <c r="D93" s="152"/>
      <c r="E93" s="170"/>
      <c r="F93" s="95"/>
      <c r="G93" s="153">
        <f t="shared" si="7"/>
        <v>0</v>
      </c>
      <c r="H93" s="10" t="s">
        <v>20</v>
      </c>
      <c r="I93" s="331">
        <v>26.95</v>
      </c>
      <c r="J93" s="12">
        <f t="shared" si="8"/>
        <v>0</v>
      </c>
      <c r="K93" s="31"/>
    </row>
    <row r="94" spans="1:13" ht="14.5" hidden="1" customHeight="1" x14ac:dyDescent="0.35">
      <c r="A94" s="103"/>
      <c r="B94" s="12" t="s">
        <v>3</v>
      </c>
      <c r="C94" s="10" t="s">
        <v>270</v>
      </c>
      <c r="D94" s="152"/>
      <c r="E94" s="170"/>
      <c r="F94" s="95"/>
      <c r="G94" s="153">
        <f t="shared" si="7"/>
        <v>0</v>
      </c>
      <c r="H94" s="10" t="s">
        <v>20</v>
      </c>
      <c r="I94" s="331">
        <v>26.95</v>
      </c>
      <c r="J94" s="12">
        <f t="shared" si="8"/>
        <v>0</v>
      </c>
      <c r="K94" s="31"/>
    </row>
    <row r="95" spans="1:13" s="6" customFormat="1" ht="15.65" hidden="1" customHeight="1" x14ac:dyDescent="0.35">
      <c r="A95" s="111"/>
      <c r="B95" s="126" t="s">
        <v>271</v>
      </c>
      <c r="C95" s="127"/>
      <c r="D95" s="226"/>
      <c r="E95" s="172"/>
      <c r="F95" s="144"/>
      <c r="G95" s="153">
        <f t="shared" si="7"/>
        <v>0</v>
      </c>
      <c r="H95" s="127"/>
      <c r="I95" s="239"/>
      <c r="J95" s="128"/>
      <c r="K95" s="30"/>
    </row>
    <row r="96" spans="1:13" ht="14.15" hidden="1" customHeight="1" x14ac:dyDescent="0.35">
      <c r="A96" s="103"/>
      <c r="B96" s="12" t="s">
        <v>3</v>
      </c>
      <c r="C96" s="10" t="s">
        <v>272</v>
      </c>
      <c r="D96" s="152"/>
      <c r="E96" s="170"/>
      <c r="F96" s="95"/>
      <c r="G96" s="153">
        <f t="shared" si="7"/>
        <v>0</v>
      </c>
      <c r="H96" s="10" t="s">
        <v>20</v>
      </c>
      <c r="I96" s="331">
        <v>20.95</v>
      </c>
      <c r="J96" s="12">
        <f>E96*I96</f>
        <v>0</v>
      </c>
      <c r="K96" s="28"/>
    </row>
    <row r="97" spans="1:11" hidden="1" x14ac:dyDescent="0.35">
      <c r="A97" s="103"/>
      <c r="B97" s="12" t="s">
        <v>3</v>
      </c>
      <c r="C97" s="10" t="s">
        <v>273</v>
      </c>
      <c r="D97" s="152"/>
      <c r="E97" s="170"/>
      <c r="F97" s="95"/>
      <c r="G97" s="153">
        <f t="shared" si="7"/>
        <v>0</v>
      </c>
      <c r="H97" s="10" t="s">
        <v>20</v>
      </c>
      <c r="I97" s="331">
        <v>23.95</v>
      </c>
      <c r="J97" s="12">
        <f>E97*I97</f>
        <v>0</v>
      </c>
      <c r="K97" s="28"/>
    </row>
    <row r="98" spans="1:11" s="6" customFormat="1" ht="15.65" hidden="1" customHeight="1" x14ac:dyDescent="0.35">
      <c r="A98" s="103"/>
      <c r="B98" s="12" t="s">
        <v>3</v>
      </c>
      <c r="C98" s="10" t="s">
        <v>274</v>
      </c>
      <c r="D98" s="152"/>
      <c r="E98" s="170"/>
      <c r="F98" s="95"/>
      <c r="G98" s="153">
        <f t="shared" si="7"/>
        <v>0</v>
      </c>
      <c r="H98" s="10" t="s">
        <v>20</v>
      </c>
      <c r="I98" s="331">
        <v>22.5</v>
      </c>
      <c r="J98" s="12">
        <f>E98*I98</f>
        <v>0</v>
      </c>
      <c r="K98" s="30"/>
    </row>
    <row r="99" spans="1:11" ht="14.5" hidden="1" customHeight="1" x14ac:dyDescent="0.35">
      <c r="A99" s="103"/>
      <c r="B99" s="12" t="s">
        <v>3</v>
      </c>
      <c r="C99" s="10" t="s">
        <v>275</v>
      </c>
      <c r="D99" s="152"/>
      <c r="E99" s="170"/>
      <c r="F99" s="95"/>
      <c r="G99" s="153">
        <f t="shared" si="7"/>
        <v>0</v>
      </c>
      <c r="H99" s="10" t="s">
        <v>20</v>
      </c>
      <c r="I99" s="331">
        <v>29.95</v>
      </c>
      <c r="J99" s="12">
        <f>E99*I99</f>
        <v>0</v>
      </c>
      <c r="K99" s="31"/>
    </row>
    <row r="100" spans="1:11" s="6" customFormat="1" ht="15.65" hidden="1" customHeight="1" x14ac:dyDescent="0.35">
      <c r="A100" s="111"/>
      <c r="B100" s="126" t="s">
        <v>276</v>
      </c>
      <c r="C100" s="127"/>
      <c r="D100" s="226"/>
      <c r="E100" s="172"/>
      <c r="F100" s="144"/>
      <c r="G100" s="153">
        <f t="shared" si="7"/>
        <v>0</v>
      </c>
      <c r="H100" s="127"/>
      <c r="I100" s="239"/>
      <c r="J100" s="128"/>
    </row>
    <row r="101" spans="1:11" hidden="1" x14ac:dyDescent="0.35">
      <c r="A101" s="103"/>
      <c r="B101" s="12" t="s">
        <v>3</v>
      </c>
      <c r="C101" s="10" t="s">
        <v>277</v>
      </c>
      <c r="D101" s="152"/>
      <c r="E101" s="170"/>
      <c r="F101" s="95"/>
      <c r="G101" s="153">
        <f t="shared" si="7"/>
        <v>0</v>
      </c>
      <c r="H101" s="10" t="s">
        <v>20</v>
      </c>
      <c r="I101" s="331">
        <v>17.95</v>
      </c>
      <c r="J101" s="12">
        <f>E101*I101</f>
        <v>0</v>
      </c>
      <c r="K101" s="28"/>
    </row>
    <row r="102" spans="1:11" s="6" customFormat="1" ht="15.5" hidden="1" x14ac:dyDescent="0.35">
      <c r="A102" s="103"/>
      <c r="B102" s="12" t="s">
        <v>3</v>
      </c>
      <c r="C102" s="10" t="s">
        <v>278</v>
      </c>
      <c r="D102" s="152"/>
      <c r="E102" s="170"/>
      <c r="F102" s="95"/>
      <c r="G102" s="153">
        <f t="shared" si="7"/>
        <v>0</v>
      </c>
      <c r="H102" s="10" t="s">
        <v>20</v>
      </c>
      <c r="I102" s="331">
        <v>20.95</v>
      </c>
      <c r="J102" s="12">
        <f>E102*I102</f>
        <v>0</v>
      </c>
    </row>
    <row r="103" spans="1:11" hidden="1" x14ac:dyDescent="0.35">
      <c r="A103" s="103"/>
      <c r="B103" s="12" t="s">
        <v>3</v>
      </c>
      <c r="C103" s="10" t="s">
        <v>279</v>
      </c>
      <c r="D103" s="152"/>
      <c r="E103" s="170"/>
      <c r="F103" s="95"/>
      <c r="G103" s="153">
        <f t="shared" si="7"/>
        <v>0</v>
      </c>
      <c r="H103" s="10" t="s">
        <v>20</v>
      </c>
      <c r="I103" s="331">
        <v>19.95</v>
      </c>
      <c r="J103" s="12">
        <f>E103*I103</f>
        <v>0</v>
      </c>
      <c r="K103" s="13"/>
    </row>
    <row r="104" spans="1:11" hidden="1" x14ac:dyDescent="0.35">
      <c r="A104" s="103"/>
      <c r="B104" s="40" t="s">
        <v>3</v>
      </c>
      <c r="C104" s="41" t="s">
        <v>280</v>
      </c>
      <c r="D104" s="227"/>
      <c r="E104" s="170"/>
      <c r="F104" s="145"/>
      <c r="G104" s="153">
        <f t="shared" si="7"/>
        <v>0</v>
      </c>
      <c r="H104" s="41" t="s">
        <v>20</v>
      </c>
      <c r="I104" s="334">
        <v>59.95</v>
      </c>
      <c r="J104" s="40">
        <f>E104*I104</f>
        <v>0</v>
      </c>
      <c r="K104" s="13"/>
    </row>
    <row r="105" spans="1:11" ht="15.65" hidden="1" customHeight="1" x14ac:dyDescent="0.35">
      <c r="A105" s="111"/>
      <c r="B105" s="126" t="s">
        <v>281</v>
      </c>
      <c r="C105" s="127"/>
      <c r="D105" s="226"/>
      <c r="E105" s="172"/>
      <c r="F105" s="144"/>
      <c r="G105" s="153">
        <f t="shared" si="7"/>
        <v>0</v>
      </c>
      <c r="H105" s="127"/>
      <c r="I105" s="239"/>
      <c r="J105" s="128"/>
      <c r="K105" s="13"/>
    </row>
    <row r="106" spans="1:11" ht="14.5" hidden="1" customHeight="1" x14ac:dyDescent="0.35">
      <c r="A106" s="103"/>
      <c r="B106" s="12" t="s">
        <v>3</v>
      </c>
      <c r="C106" s="10" t="s">
        <v>282</v>
      </c>
      <c r="D106" s="152"/>
      <c r="E106" s="170"/>
      <c r="F106" s="95"/>
      <c r="G106" s="153">
        <f t="shared" si="7"/>
        <v>0</v>
      </c>
      <c r="H106" s="10" t="s">
        <v>20</v>
      </c>
      <c r="I106" s="331">
        <v>54.95</v>
      </c>
      <c r="J106" s="12">
        <f>E106*I106</f>
        <v>0</v>
      </c>
      <c r="K106" s="13"/>
    </row>
    <row r="107" spans="1:11" ht="14.5" hidden="1" customHeight="1" x14ac:dyDescent="0.35">
      <c r="A107" s="103"/>
      <c r="B107" s="12" t="s">
        <v>3</v>
      </c>
      <c r="C107" s="10" t="s">
        <v>283</v>
      </c>
      <c r="D107" s="152"/>
      <c r="E107" s="170"/>
      <c r="F107" s="95"/>
      <c r="G107" s="153">
        <f t="shared" si="7"/>
        <v>0</v>
      </c>
      <c r="H107" s="10" t="s">
        <v>20</v>
      </c>
      <c r="I107" s="331">
        <v>49.95</v>
      </c>
      <c r="J107" s="12">
        <f>E107*I107</f>
        <v>0</v>
      </c>
      <c r="K107" s="13"/>
    </row>
    <row r="108" spans="1:11" ht="14.5" hidden="1" customHeight="1" x14ac:dyDescent="0.35">
      <c r="A108" s="111"/>
      <c r="B108" s="126" t="s">
        <v>284</v>
      </c>
      <c r="C108" s="127"/>
      <c r="D108" s="226"/>
      <c r="E108" s="172"/>
      <c r="F108" s="144"/>
      <c r="G108" s="153">
        <f t="shared" si="7"/>
        <v>0</v>
      </c>
      <c r="H108" s="127"/>
      <c r="I108" s="239"/>
      <c r="J108" s="128"/>
      <c r="K108" s="13"/>
    </row>
    <row r="109" spans="1:11" ht="14.5" hidden="1" customHeight="1" x14ac:dyDescent="0.35">
      <c r="A109" s="103"/>
      <c r="B109" s="12" t="s">
        <v>3</v>
      </c>
      <c r="C109" s="10" t="s">
        <v>285</v>
      </c>
      <c r="D109" s="152"/>
      <c r="E109" s="170"/>
      <c r="F109" s="95"/>
      <c r="G109" s="153">
        <f t="shared" si="7"/>
        <v>0</v>
      </c>
      <c r="H109" s="10" t="s">
        <v>20</v>
      </c>
      <c r="I109" s="331">
        <v>41.5</v>
      </c>
      <c r="J109" s="12">
        <f t="shared" ref="J109:J114" si="9">E109*I109</f>
        <v>0</v>
      </c>
      <c r="K109" s="13"/>
    </row>
    <row r="110" spans="1:11" ht="15.65" hidden="1" customHeight="1" x14ac:dyDescent="0.35">
      <c r="A110" s="103"/>
      <c r="B110" s="12" t="s">
        <v>3</v>
      </c>
      <c r="C110" s="10" t="s">
        <v>286</v>
      </c>
      <c r="D110" s="152"/>
      <c r="E110" s="170"/>
      <c r="F110" s="95"/>
      <c r="G110" s="153">
        <f t="shared" si="7"/>
        <v>0</v>
      </c>
      <c r="H110" s="10" t="s">
        <v>20</v>
      </c>
      <c r="I110" s="331">
        <v>36.200000000000003</v>
      </c>
      <c r="J110" s="12">
        <f t="shared" si="9"/>
        <v>0</v>
      </c>
      <c r="K110" s="13"/>
    </row>
    <row r="111" spans="1:11" hidden="1" x14ac:dyDescent="0.35">
      <c r="A111" s="103"/>
      <c r="B111" s="12" t="s">
        <v>3</v>
      </c>
      <c r="C111" s="10" t="s">
        <v>287</v>
      </c>
      <c r="D111" s="152"/>
      <c r="E111" s="170"/>
      <c r="F111" s="95"/>
      <c r="G111" s="153">
        <f t="shared" si="7"/>
        <v>0</v>
      </c>
      <c r="H111" s="10" t="s">
        <v>20</v>
      </c>
      <c r="I111" s="331">
        <v>25.95</v>
      </c>
      <c r="J111" s="12">
        <f t="shared" si="9"/>
        <v>0</v>
      </c>
      <c r="K111" s="13"/>
    </row>
    <row r="112" spans="1:11" hidden="1" x14ac:dyDescent="0.35">
      <c r="A112" s="103"/>
      <c r="B112" s="12" t="s">
        <v>3</v>
      </c>
      <c r="C112" s="10" t="s">
        <v>288</v>
      </c>
      <c r="D112" s="152"/>
      <c r="E112" s="170"/>
      <c r="F112" s="95"/>
      <c r="G112" s="153">
        <f t="shared" si="7"/>
        <v>0</v>
      </c>
      <c r="H112" s="10" t="s">
        <v>20</v>
      </c>
      <c r="I112" s="331">
        <v>32.799999999999997</v>
      </c>
      <c r="J112" s="12">
        <f t="shared" si="9"/>
        <v>0</v>
      </c>
      <c r="K112" s="13"/>
    </row>
    <row r="113" spans="1:11" s="6" customFormat="1" ht="15.65" hidden="1" customHeight="1" x14ac:dyDescent="0.35">
      <c r="A113" s="103"/>
      <c r="B113" s="12" t="s">
        <v>3</v>
      </c>
      <c r="C113" s="10" t="s">
        <v>289</v>
      </c>
      <c r="D113" s="152"/>
      <c r="E113" s="170"/>
      <c r="F113" s="95"/>
      <c r="G113" s="153">
        <f t="shared" si="7"/>
        <v>0</v>
      </c>
      <c r="H113" s="10" t="s">
        <v>20</v>
      </c>
      <c r="I113" s="331">
        <v>29.2</v>
      </c>
      <c r="J113" s="12">
        <f t="shared" si="9"/>
        <v>0</v>
      </c>
    </row>
    <row r="114" spans="1:11" hidden="1" x14ac:dyDescent="0.35">
      <c r="A114" s="103"/>
      <c r="B114" s="12" t="s">
        <v>3</v>
      </c>
      <c r="C114" s="10" t="s">
        <v>290</v>
      </c>
      <c r="D114" s="152"/>
      <c r="E114" s="170"/>
      <c r="F114" s="95"/>
      <c r="G114" s="153">
        <f t="shared" si="7"/>
        <v>0</v>
      </c>
      <c r="H114" s="10" t="s">
        <v>20</v>
      </c>
      <c r="I114" s="331">
        <v>22.95</v>
      </c>
      <c r="J114" s="12">
        <f t="shared" si="9"/>
        <v>0</v>
      </c>
      <c r="K114" s="13"/>
    </row>
    <row r="115" spans="1:11" ht="15.5" hidden="1" x14ac:dyDescent="0.35">
      <c r="A115" s="111"/>
      <c r="B115" s="126" t="s">
        <v>291</v>
      </c>
      <c r="C115" s="127"/>
      <c r="D115" s="226"/>
      <c r="E115" s="172"/>
      <c r="F115" s="144"/>
      <c r="G115" s="153">
        <f t="shared" si="7"/>
        <v>0</v>
      </c>
      <c r="H115" s="127"/>
      <c r="I115" s="239"/>
      <c r="J115" s="128"/>
      <c r="K115" s="13"/>
    </row>
    <row r="116" spans="1:11" ht="14.5" hidden="1" customHeight="1" x14ac:dyDescent="0.35">
      <c r="A116" s="103"/>
      <c r="B116" s="12" t="s">
        <v>3</v>
      </c>
      <c r="C116" s="10" t="s">
        <v>292</v>
      </c>
      <c r="D116" s="152"/>
      <c r="E116" s="170"/>
      <c r="F116" s="95"/>
      <c r="G116" s="153">
        <f t="shared" si="7"/>
        <v>0</v>
      </c>
      <c r="H116" s="10" t="s">
        <v>20</v>
      </c>
      <c r="I116" s="331">
        <v>17.95</v>
      </c>
      <c r="J116" s="12">
        <f t="shared" ref="J116:J121" si="10">E116*I116</f>
        <v>0</v>
      </c>
      <c r="K116" s="13"/>
    </row>
    <row r="117" spans="1:11" ht="14.5" hidden="1" customHeight="1" x14ac:dyDescent="0.35">
      <c r="A117" s="103"/>
      <c r="B117" s="12" t="s">
        <v>3</v>
      </c>
      <c r="C117" s="10" t="s">
        <v>293</v>
      </c>
      <c r="D117" s="152"/>
      <c r="E117" s="170"/>
      <c r="F117" s="95"/>
      <c r="G117" s="153">
        <f t="shared" si="7"/>
        <v>0</v>
      </c>
      <c r="H117" s="10" t="s">
        <v>20</v>
      </c>
      <c r="I117" s="331">
        <v>12.95</v>
      </c>
      <c r="J117" s="12">
        <f t="shared" si="10"/>
        <v>0</v>
      </c>
      <c r="K117" s="13"/>
    </row>
    <row r="118" spans="1:11" ht="14.5" hidden="1" customHeight="1" x14ac:dyDescent="0.35">
      <c r="A118" s="103"/>
      <c r="B118" s="12" t="s">
        <v>3</v>
      </c>
      <c r="C118" s="10" t="s">
        <v>294</v>
      </c>
      <c r="D118" s="152"/>
      <c r="E118" s="170"/>
      <c r="F118" s="95"/>
      <c r="G118" s="153">
        <f t="shared" si="7"/>
        <v>0</v>
      </c>
      <c r="H118" s="10" t="s">
        <v>20</v>
      </c>
      <c r="I118" s="331">
        <v>21.95</v>
      </c>
      <c r="J118" s="12">
        <f t="shared" si="10"/>
        <v>0</v>
      </c>
      <c r="K118" s="13"/>
    </row>
    <row r="119" spans="1:11" ht="14.5" hidden="1" customHeight="1" x14ac:dyDescent="0.35">
      <c r="A119" s="103"/>
      <c r="B119" s="12" t="s">
        <v>3</v>
      </c>
      <c r="C119" s="10" t="s">
        <v>295</v>
      </c>
      <c r="D119" s="152"/>
      <c r="E119" s="170"/>
      <c r="F119" s="95"/>
      <c r="G119" s="153">
        <f t="shared" si="7"/>
        <v>0</v>
      </c>
      <c r="H119" s="10" t="s">
        <v>20</v>
      </c>
      <c r="I119" s="331"/>
      <c r="J119" s="12">
        <f t="shared" si="10"/>
        <v>0</v>
      </c>
      <c r="K119" s="13"/>
    </row>
    <row r="120" spans="1:11" ht="15.65" hidden="1" customHeight="1" x14ac:dyDescent="0.35">
      <c r="A120" s="103"/>
      <c r="B120" s="12" t="s">
        <v>3</v>
      </c>
      <c r="C120" s="10" t="s">
        <v>296</v>
      </c>
      <c r="D120" s="152"/>
      <c r="E120" s="170"/>
      <c r="F120" s="95"/>
      <c r="G120" s="153">
        <f t="shared" si="7"/>
        <v>0</v>
      </c>
      <c r="H120" s="10" t="s">
        <v>20</v>
      </c>
      <c r="I120" s="331"/>
      <c r="J120" s="12">
        <f t="shared" si="10"/>
        <v>0</v>
      </c>
      <c r="K120" s="13"/>
    </row>
    <row r="121" spans="1:11" ht="14.5" hidden="1" customHeight="1" x14ac:dyDescent="0.35">
      <c r="A121" s="103"/>
      <c r="B121" s="12" t="s">
        <v>3</v>
      </c>
      <c r="C121" s="10" t="s">
        <v>297</v>
      </c>
      <c r="D121" s="152"/>
      <c r="E121" s="170"/>
      <c r="F121" s="95"/>
      <c r="G121" s="153">
        <f t="shared" si="7"/>
        <v>0</v>
      </c>
      <c r="H121" s="10" t="s">
        <v>20</v>
      </c>
      <c r="I121" s="331">
        <v>22.95</v>
      </c>
      <c r="J121" s="12">
        <f t="shared" si="10"/>
        <v>0</v>
      </c>
      <c r="K121" s="13"/>
    </row>
    <row r="122" spans="1:11" ht="14.5" hidden="1" customHeight="1" x14ac:dyDescent="0.35">
      <c r="A122" s="112" t="s">
        <v>298</v>
      </c>
      <c r="B122" s="116"/>
      <c r="C122" s="116"/>
      <c r="D122" s="228"/>
      <c r="E122" s="173"/>
      <c r="F122" s="146"/>
      <c r="G122" s="153">
        <f t="shared" si="7"/>
        <v>0</v>
      </c>
      <c r="H122" s="117"/>
      <c r="I122" s="106" t="s">
        <v>18</v>
      </c>
      <c r="J122" s="115">
        <f>SUM(J123:J175)</f>
        <v>2145.31</v>
      </c>
      <c r="K122" s="13"/>
    </row>
    <row r="123" spans="1:11" ht="14.5" hidden="1" customHeight="1" x14ac:dyDescent="0.35">
      <c r="A123" s="103"/>
      <c r="B123" s="20" t="s">
        <v>4</v>
      </c>
      <c r="C123" s="18" t="s">
        <v>62</v>
      </c>
      <c r="D123" s="229"/>
      <c r="E123" s="170"/>
      <c r="F123" s="147"/>
      <c r="G123" s="153">
        <f t="shared" si="7"/>
        <v>0</v>
      </c>
      <c r="H123" s="18" t="s">
        <v>20</v>
      </c>
      <c r="I123" s="335">
        <v>7.35</v>
      </c>
      <c r="J123" s="20">
        <f>E123*I123</f>
        <v>0</v>
      </c>
      <c r="K123" s="13"/>
    </row>
    <row r="124" spans="1:11" ht="14.5" hidden="1" customHeight="1" x14ac:dyDescent="0.35">
      <c r="A124" s="103"/>
      <c r="B124" s="20" t="s">
        <v>4</v>
      </c>
      <c r="C124" s="18" t="s">
        <v>60</v>
      </c>
      <c r="D124" s="229"/>
      <c r="E124" s="170"/>
      <c r="F124" s="147"/>
      <c r="G124" s="153">
        <f t="shared" si="7"/>
        <v>0</v>
      </c>
      <c r="H124" s="18" t="s">
        <v>20</v>
      </c>
      <c r="I124" s="335">
        <v>10.65</v>
      </c>
      <c r="J124" s="20">
        <f>E124*I124</f>
        <v>0</v>
      </c>
      <c r="K124" s="13"/>
    </row>
    <row r="125" spans="1:11" ht="15.65" hidden="1" customHeight="1" x14ac:dyDescent="0.35">
      <c r="A125" s="113" t="s">
        <v>40</v>
      </c>
      <c r="B125" s="124"/>
      <c r="C125" s="124"/>
      <c r="D125" s="230"/>
      <c r="E125" s="174"/>
      <c r="F125" s="148"/>
      <c r="G125" s="153">
        <f t="shared" si="7"/>
        <v>0</v>
      </c>
      <c r="H125" s="124"/>
      <c r="I125" s="241"/>
      <c r="J125" s="125"/>
      <c r="K125" s="13"/>
    </row>
    <row r="126" spans="1:11" hidden="1" x14ac:dyDescent="0.35">
      <c r="A126" s="103"/>
      <c r="B126" s="20" t="s">
        <v>4</v>
      </c>
      <c r="C126" s="18" t="s">
        <v>299</v>
      </c>
      <c r="D126" s="229"/>
      <c r="E126" s="170"/>
      <c r="F126" s="147"/>
      <c r="G126" s="153">
        <f t="shared" si="7"/>
        <v>0</v>
      </c>
      <c r="H126" s="18" t="s">
        <v>20</v>
      </c>
      <c r="I126" s="335">
        <v>1.31</v>
      </c>
      <c r="J126" s="12">
        <f t="shared" ref="J126:J137" si="11">E126*I126</f>
        <v>0</v>
      </c>
      <c r="K126" s="13"/>
    </row>
    <row r="127" spans="1:11" hidden="1" x14ac:dyDescent="0.35">
      <c r="A127" s="103"/>
      <c r="B127" s="12" t="s">
        <v>4</v>
      </c>
      <c r="C127" s="10" t="s">
        <v>300</v>
      </c>
      <c r="D127" s="152"/>
      <c r="E127" s="170"/>
      <c r="F127" s="95"/>
      <c r="G127" s="153">
        <f t="shared" si="7"/>
        <v>0</v>
      </c>
      <c r="H127" s="10" t="s">
        <v>20</v>
      </c>
      <c r="I127" s="331">
        <v>1.31</v>
      </c>
      <c r="J127" s="12">
        <f t="shared" si="11"/>
        <v>0</v>
      </c>
    </row>
    <row r="128" spans="1:11" hidden="1" x14ac:dyDescent="0.35">
      <c r="A128" s="103"/>
      <c r="B128" s="20" t="s">
        <v>4</v>
      </c>
      <c r="C128" s="18" t="s">
        <v>301</v>
      </c>
      <c r="D128" s="229"/>
      <c r="E128" s="170"/>
      <c r="F128" s="147"/>
      <c r="G128" s="153">
        <f t="shared" si="7"/>
        <v>0</v>
      </c>
      <c r="H128" s="18" t="s">
        <v>20</v>
      </c>
      <c r="I128" s="335">
        <v>1.4039999999999999</v>
      </c>
      <c r="J128" s="12">
        <f t="shared" si="11"/>
        <v>0</v>
      </c>
    </row>
    <row r="129" spans="1:11" hidden="1" x14ac:dyDescent="0.35">
      <c r="A129" s="103"/>
      <c r="B129" s="12" t="s">
        <v>4</v>
      </c>
      <c r="C129" s="10" t="s">
        <v>302</v>
      </c>
      <c r="D129" s="152"/>
      <c r="E129" s="170"/>
      <c r="F129" s="95"/>
      <c r="G129" s="153">
        <f t="shared" si="7"/>
        <v>0</v>
      </c>
      <c r="H129" s="10" t="s">
        <v>20</v>
      </c>
      <c r="I129" s="331">
        <v>1.4039999999999999</v>
      </c>
      <c r="J129" s="12">
        <f t="shared" si="11"/>
        <v>0</v>
      </c>
    </row>
    <row r="130" spans="1:11" hidden="1" x14ac:dyDescent="0.35">
      <c r="A130" s="103"/>
      <c r="B130" s="12" t="s">
        <v>4</v>
      </c>
      <c r="C130" s="10" t="s">
        <v>303</v>
      </c>
      <c r="D130" s="152"/>
      <c r="E130" s="170"/>
      <c r="F130" s="95"/>
      <c r="G130" s="153">
        <f t="shared" si="7"/>
        <v>0</v>
      </c>
      <c r="H130" s="10" t="s">
        <v>20</v>
      </c>
      <c r="I130" s="331">
        <v>1.53</v>
      </c>
      <c r="J130" s="12">
        <f t="shared" si="11"/>
        <v>0</v>
      </c>
    </row>
    <row r="131" spans="1:11" hidden="1" x14ac:dyDescent="0.35">
      <c r="A131" s="103"/>
      <c r="B131" s="12" t="s">
        <v>4</v>
      </c>
      <c r="C131" s="10" t="s">
        <v>304</v>
      </c>
      <c r="D131" s="152"/>
      <c r="E131" s="170"/>
      <c r="F131" s="95"/>
      <c r="G131" s="153">
        <f t="shared" si="7"/>
        <v>0</v>
      </c>
      <c r="H131" s="10" t="s">
        <v>20</v>
      </c>
      <c r="I131" s="331">
        <v>1.65</v>
      </c>
      <c r="J131" s="12">
        <f t="shared" si="11"/>
        <v>0</v>
      </c>
    </row>
    <row r="132" spans="1:11" hidden="1" x14ac:dyDescent="0.35">
      <c r="A132" s="103"/>
      <c r="B132" s="12" t="s">
        <v>4</v>
      </c>
      <c r="C132" s="10" t="s">
        <v>83</v>
      </c>
      <c r="D132" s="152"/>
      <c r="E132" s="170"/>
      <c r="F132" s="95"/>
      <c r="G132" s="153">
        <f t="shared" si="7"/>
        <v>0</v>
      </c>
      <c r="H132" s="10" t="s">
        <v>20</v>
      </c>
      <c r="I132" s="331">
        <v>1.04</v>
      </c>
      <c r="J132" s="12">
        <f t="shared" si="11"/>
        <v>0</v>
      </c>
    </row>
    <row r="133" spans="1:11" hidden="1" x14ac:dyDescent="0.35">
      <c r="A133" s="103"/>
      <c r="B133" s="12" t="s">
        <v>4</v>
      </c>
      <c r="C133" s="10" t="s">
        <v>305</v>
      </c>
      <c r="D133" s="152"/>
      <c r="E133" s="170"/>
      <c r="F133" s="95"/>
      <c r="G133" s="153">
        <f t="shared" si="7"/>
        <v>0</v>
      </c>
      <c r="H133" s="10" t="s">
        <v>20</v>
      </c>
      <c r="I133" s="331">
        <v>1.04</v>
      </c>
      <c r="J133" s="12">
        <f t="shared" si="11"/>
        <v>0</v>
      </c>
    </row>
    <row r="134" spans="1:11" ht="14.5" hidden="1" customHeight="1" x14ac:dyDescent="0.35">
      <c r="A134" s="103"/>
      <c r="B134" s="12" t="s">
        <v>4</v>
      </c>
      <c r="C134" s="10" t="s">
        <v>306</v>
      </c>
      <c r="D134" s="152"/>
      <c r="E134" s="170"/>
      <c r="F134" s="95"/>
      <c r="G134" s="153">
        <f t="shared" si="7"/>
        <v>0</v>
      </c>
      <c r="H134" s="10" t="s">
        <v>20</v>
      </c>
      <c r="I134" s="331">
        <v>1.06</v>
      </c>
      <c r="J134" s="12">
        <f t="shared" si="11"/>
        <v>0</v>
      </c>
    </row>
    <row r="135" spans="1:11" ht="14.5" hidden="1" customHeight="1" x14ac:dyDescent="0.35">
      <c r="A135" s="103"/>
      <c r="B135" s="12" t="s">
        <v>4</v>
      </c>
      <c r="C135" s="10" t="s">
        <v>307</v>
      </c>
      <c r="D135" s="152"/>
      <c r="E135" s="170"/>
      <c r="F135" s="95"/>
      <c r="G135" s="153">
        <f t="shared" si="7"/>
        <v>0</v>
      </c>
      <c r="H135" s="10" t="s">
        <v>20</v>
      </c>
      <c r="I135" s="331">
        <v>1.06</v>
      </c>
      <c r="J135" s="12">
        <f t="shared" si="11"/>
        <v>0</v>
      </c>
    </row>
    <row r="136" spans="1:11" ht="14.5" hidden="1" customHeight="1" x14ac:dyDescent="0.35">
      <c r="A136" s="103"/>
      <c r="B136" s="12" t="s">
        <v>4</v>
      </c>
      <c r="C136" s="10" t="s">
        <v>308</v>
      </c>
      <c r="D136" s="152"/>
      <c r="E136" s="170"/>
      <c r="F136" s="95"/>
      <c r="G136" s="153">
        <f t="shared" si="7"/>
        <v>0</v>
      </c>
      <c r="H136" s="10" t="s">
        <v>20</v>
      </c>
      <c r="I136" s="331">
        <v>1.2869999999999999</v>
      </c>
      <c r="J136" s="12">
        <f t="shared" si="11"/>
        <v>0</v>
      </c>
    </row>
    <row r="137" spans="1:11" ht="15.65" hidden="1" customHeight="1" x14ac:dyDescent="0.35">
      <c r="A137" s="103"/>
      <c r="B137" s="12" t="s">
        <v>4</v>
      </c>
      <c r="C137" s="10" t="s">
        <v>309</v>
      </c>
      <c r="D137" s="152"/>
      <c r="E137" s="170"/>
      <c r="F137" s="95"/>
      <c r="G137" s="153">
        <f t="shared" si="7"/>
        <v>0</v>
      </c>
      <c r="H137" s="10" t="s">
        <v>20</v>
      </c>
      <c r="I137" s="331">
        <v>1.59</v>
      </c>
      <c r="J137" s="12">
        <f t="shared" si="11"/>
        <v>0</v>
      </c>
      <c r="K137" s="13"/>
    </row>
    <row r="138" spans="1:11" hidden="1" x14ac:dyDescent="0.35">
      <c r="A138" s="113" t="s">
        <v>310</v>
      </c>
      <c r="B138" s="124"/>
      <c r="C138" s="124"/>
      <c r="D138" s="230"/>
      <c r="E138" s="174"/>
      <c r="F138" s="148"/>
      <c r="G138" s="153">
        <f t="shared" si="7"/>
        <v>0</v>
      </c>
      <c r="H138" s="124"/>
      <c r="I138" s="241"/>
      <c r="J138" s="125"/>
    </row>
    <row r="139" spans="1:11" hidden="1" x14ac:dyDescent="0.35">
      <c r="A139" s="103"/>
      <c r="B139" s="12" t="s">
        <v>4</v>
      </c>
      <c r="C139" s="10" t="s">
        <v>311</v>
      </c>
      <c r="D139" s="152"/>
      <c r="E139" s="170"/>
      <c r="F139" s="95"/>
      <c r="G139" s="153">
        <f t="shared" si="7"/>
        <v>0</v>
      </c>
      <c r="H139" s="10" t="s">
        <v>20</v>
      </c>
      <c r="I139" s="331">
        <v>1.1000000000000001</v>
      </c>
      <c r="J139" s="12">
        <f t="shared" ref="J139:J149" si="12">E139*I139</f>
        <v>0</v>
      </c>
    </row>
    <row r="140" spans="1:11" hidden="1" x14ac:dyDescent="0.35">
      <c r="A140" s="103"/>
      <c r="B140" s="12" t="s">
        <v>4</v>
      </c>
      <c r="C140" s="10" t="s">
        <v>312</v>
      </c>
      <c r="D140" s="152"/>
      <c r="E140" s="170"/>
      <c r="F140" s="95"/>
      <c r="G140" s="153">
        <f t="shared" si="7"/>
        <v>0</v>
      </c>
      <c r="H140" s="10" t="s">
        <v>20</v>
      </c>
      <c r="I140" s="331">
        <v>1.1000000000000001</v>
      </c>
      <c r="J140" s="12">
        <f t="shared" si="12"/>
        <v>0</v>
      </c>
      <c r="K140">
        <v>60</v>
      </c>
    </row>
    <row r="141" spans="1:11" hidden="1" x14ac:dyDescent="0.35">
      <c r="A141" s="103"/>
      <c r="B141" s="12" t="s">
        <v>4</v>
      </c>
      <c r="C141" s="10" t="s">
        <v>313</v>
      </c>
      <c r="D141" s="152"/>
      <c r="E141" s="170"/>
      <c r="F141" s="95"/>
      <c r="G141" s="153">
        <f t="shared" si="7"/>
        <v>0</v>
      </c>
      <c r="H141" s="10" t="s">
        <v>20</v>
      </c>
      <c r="I141" s="331">
        <v>1.3</v>
      </c>
      <c r="J141" s="12">
        <f t="shared" si="12"/>
        <v>0</v>
      </c>
    </row>
    <row r="142" spans="1:11" ht="14.5" hidden="1" customHeight="1" x14ac:dyDescent="0.35">
      <c r="A142" s="103"/>
      <c r="B142" s="12" t="s">
        <v>4</v>
      </c>
      <c r="C142" s="10" t="s">
        <v>314</v>
      </c>
      <c r="D142" s="152"/>
      <c r="E142" s="170"/>
      <c r="F142" s="95"/>
      <c r="G142" s="153">
        <f t="shared" si="7"/>
        <v>0</v>
      </c>
      <c r="H142" s="10" t="s">
        <v>20</v>
      </c>
      <c r="I142" s="331">
        <v>1.36</v>
      </c>
      <c r="J142" s="12">
        <f t="shared" si="12"/>
        <v>0</v>
      </c>
    </row>
    <row r="143" spans="1:11" ht="14.5" hidden="1" customHeight="1" x14ac:dyDescent="0.35">
      <c r="A143" s="103"/>
      <c r="B143" s="12" t="s">
        <v>4</v>
      </c>
      <c r="C143" s="10" t="s">
        <v>315</v>
      </c>
      <c r="D143" s="152"/>
      <c r="E143" s="170"/>
      <c r="F143" s="95"/>
      <c r="G143" s="153">
        <f t="shared" si="7"/>
        <v>0</v>
      </c>
      <c r="H143" s="10" t="s">
        <v>20</v>
      </c>
      <c r="I143" s="331">
        <v>1.3</v>
      </c>
      <c r="J143" s="12">
        <f t="shared" si="12"/>
        <v>0</v>
      </c>
    </row>
    <row r="144" spans="1:11" ht="15.65" hidden="1" customHeight="1" x14ac:dyDescent="0.35">
      <c r="A144" s="103"/>
      <c r="B144" s="12" t="s">
        <v>4</v>
      </c>
      <c r="C144" s="10" t="s">
        <v>316</v>
      </c>
      <c r="D144" s="152"/>
      <c r="E144" s="170"/>
      <c r="F144" s="95"/>
      <c r="G144" s="153">
        <f t="shared" si="7"/>
        <v>0</v>
      </c>
      <c r="H144" s="10" t="s">
        <v>20</v>
      </c>
      <c r="I144" s="331">
        <v>1.35</v>
      </c>
      <c r="J144" s="12">
        <f t="shared" si="12"/>
        <v>0</v>
      </c>
      <c r="K144" s="13"/>
    </row>
    <row r="145" spans="1:11" hidden="1" x14ac:dyDescent="0.35">
      <c r="A145" s="103"/>
      <c r="B145" s="12" t="s">
        <v>4</v>
      </c>
      <c r="C145" s="10" t="s">
        <v>317</v>
      </c>
      <c r="D145" s="152"/>
      <c r="E145" s="170"/>
      <c r="F145" s="95"/>
      <c r="G145" s="153">
        <f t="shared" si="7"/>
        <v>0</v>
      </c>
      <c r="H145" s="10" t="s">
        <v>20</v>
      </c>
      <c r="I145" s="331">
        <v>1.28</v>
      </c>
      <c r="J145" s="12">
        <f t="shared" si="12"/>
        <v>0</v>
      </c>
    </row>
    <row r="146" spans="1:11" hidden="1" x14ac:dyDescent="0.35">
      <c r="A146" s="103"/>
      <c r="B146" s="12" t="s">
        <v>4</v>
      </c>
      <c r="C146" s="10" t="s">
        <v>318</v>
      </c>
      <c r="D146" s="152"/>
      <c r="E146" s="170"/>
      <c r="F146" s="95"/>
      <c r="G146" s="153">
        <f t="shared" si="7"/>
        <v>0</v>
      </c>
      <c r="H146" s="10" t="s">
        <v>20</v>
      </c>
      <c r="I146" s="331">
        <v>1.1000000000000001</v>
      </c>
      <c r="J146" s="12">
        <f t="shared" si="12"/>
        <v>0</v>
      </c>
    </row>
    <row r="147" spans="1:11" hidden="1" x14ac:dyDescent="0.35">
      <c r="A147" s="103"/>
      <c r="B147" s="12" t="s">
        <v>4</v>
      </c>
      <c r="C147" s="10" t="s">
        <v>319</v>
      </c>
      <c r="D147" s="152"/>
      <c r="E147" s="170"/>
      <c r="F147" s="95"/>
      <c r="G147" s="153">
        <f t="shared" si="7"/>
        <v>0</v>
      </c>
      <c r="H147" s="10" t="s">
        <v>20</v>
      </c>
      <c r="I147" s="331">
        <v>1.1000000000000001</v>
      </c>
      <c r="J147" s="12">
        <f t="shared" si="12"/>
        <v>0</v>
      </c>
    </row>
    <row r="148" spans="1:11" hidden="1" x14ac:dyDescent="0.35">
      <c r="A148" s="103"/>
      <c r="B148" s="12" t="s">
        <v>4</v>
      </c>
      <c r="C148" s="10" t="s">
        <v>320</v>
      </c>
      <c r="D148" s="152"/>
      <c r="E148" s="170"/>
      <c r="F148" s="95"/>
      <c r="G148" s="153">
        <f t="shared" si="7"/>
        <v>0</v>
      </c>
      <c r="H148" s="10" t="s">
        <v>20</v>
      </c>
      <c r="I148" s="331">
        <v>1.1000000000000001</v>
      </c>
      <c r="J148" s="12">
        <f t="shared" si="12"/>
        <v>0</v>
      </c>
    </row>
    <row r="149" spans="1:11" hidden="1" x14ac:dyDescent="0.35">
      <c r="A149" s="103"/>
      <c r="B149" s="12" t="s">
        <v>4</v>
      </c>
      <c r="C149" s="10" t="s">
        <v>321</v>
      </c>
      <c r="D149" s="152"/>
      <c r="E149" s="170"/>
      <c r="F149" s="95"/>
      <c r="G149" s="153">
        <f t="shared" si="7"/>
        <v>0</v>
      </c>
      <c r="H149" s="10" t="s">
        <v>20</v>
      </c>
      <c r="I149" s="331">
        <v>1.1000000000000001</v>
      </c>
      <c r="J149" s="12">
        <f t="shared" si="12"/>
        <v>0</v>
      </c>
    </row>
    <row r="150" spans="1:11" x14ac:dyDescent="0.35">
      <c r="A150" s="113" t="s">
        <v>41</v>
      </c>
      <c r="B150" s="124"/>
      <c r="C150" s="124"/>
      <c r="D150" s="230"/>
      <c r="E150" s="174"/>
      <c r="F150" s="148"/>
      <c r="G150" s="153">
        <f t="shared" si="7"/>
        <v>0</v>
      </c>
      <c r="H150" s="124"/>
      <c r="I150" s="241"/>
      <c r="J150" s="125"/>
    </row>
    <row r="151" spans="1:11" x14ac:dyDescent="0.35">
      <c r="A151" s="103"/>
      <c r="B151" s="12" t="s">
        <v>4</v>
      </c>
      <c r="C151" s="10" t="s">
        <v>24</v>
      </c>
      <c r="D151" s="152">
        <v>30</v>
      </c>
      <c r="E151" s="170">
        <v>31</v>
      </c>
      <c r="F151" s="95"/>
      <c r="G151" s="153" t="str">
        <f t="shared" si="7"/>
        <v/>
      </c>
      <c r="H151" s="10" t="s">
        <v>20</v>
      </c>
      <c r="I151" s="331">
        <v>3.04</v>
      </c>
      <c r="J151" s="12">
        <f t="shared" ref="J151:J164" si="13">E151*I151</f>
        <v>94.24</v>
      </c>
      <c r="K151" s="13"/>
    </row>
    <row r="152" spans="1:11" x14ac:dyDescent="0.35">
      <c r="A152" s="103"/>
      <c r="B152" s="12" t="s">
        <v>4</v>
      </c>
      <c r="C152" s="10" t="s">
        <v>80</v>
      </c>
      <c r="D152" s="152">
        <v>60</v>
      </c>
      <c r="E152" s="170">
        <v>129</v>
      </c>
      <c r="F152" s="95"/>
      <c r="G152" s="153" t="str">
        <f t="shared" ref="G152:G201" si="14">IF(E152="",D152,IF(D152-E152&gt;0,D152-E152,""))</f>
        <v/>
      </c>
      <c r="H152" s="10" t="s">
        <v>20</v>
      </c>
      <c r="I152" s="331">
        <v>2.31</v>
      </c>
      <c r="J152" s="12">
        <f t="shared" si="13"/>
        <v>297.99</v>
      </c>
    </row>
    <row r="153" spans="1:11" ht="15.65" customHeight="1" x14ac:dyDescent="0.35">
      <c r="A153" s="103"/>
      <c r="B153" s="12" t="s">
        <v>4</v>
      </c>
      <c r="C153" s="10" t="s">
        <v>84</v>
      </c>
      <c r="D153" s="152">
        <v>30</v>
      </c>
      <c r="E153" s="170">
        <v>263</v>
      </c>
      <c r="F153" s="95"/>
      <c r="G153" s="153" t="str">
        <f t="shared" si="14"/>
        <v/>
      </c>
      <c r="H153" s="10" t="s">
        <v>20</v>
      </c>
      <c r="I153" s="331">
        <v>2.31</v>
      </c>
      <c r="J153" s="12">
        <f t="shared" si="13"/>
        <v>607.53</v>
      </c>
    </row>
    <row r="154" spans="1:11" ht="14.5" hidden="1" customHeight="1" x14ac:dyDescent="0.35">
      <c r="A154" s="103"/>
      <c r="B154" s="12" t="s">
        <v>4</v>
      </c>
      <c r="C154" s="10" t="s">
        <v>394</v>
      </c>
      <c r="D154" s="152"/>
      <c r="E154" s="170"/>
      <c r="F154" s="95"/>
      <c r="G154" s="153">
        <f t="shared" si="14"/>
        <v>0</v>
      </c>
      <c r="H154" s="10" t="s">
        <v>20</v>
      </c>
      <c r="I154" s="331">
        <v>2.54</v>
      </c>
      <c r="J154" s="12">
        <f t="shared" si="13"/>
        <v>0</v>
      </c>
    </row>
    <row r="155" spans="1:11" ht="14.5" hidden="1" customHeight="1" x14ac:dyDescent="0.35">
      <c r="A155" s="103"/>
      <c r="B155" s="12" t="s">
        <v>4</v>
      </c>
      <c r="C155" s="10" t="s">
        <v>394</v>
      </c>
      <c r="D155" s="152"/>
      <c r="E155" s="170"/>
      <c r="F155" s="95"/>
      <c r="G155" s="153">
        <f t="shared" si="14"/>
        <v>0</v>
      </c>
      <c r="H155" s="10" t="s">
        <v>20</v>
      </c>
      <c r="I155" s="331">
        <v>2.54</v>
      </c>
      <c r="J155" s="12">
        <f t="shared" si="13"/>
        <v>0</v>
      </c>
    </row>
    <row r="156" spans="1:11" ht="14.5" customHeight="1" x14ac:dyDescent="0.35">
      <c r="A156" s="103"/>
      <c r="B156" s="12" t="s">
        <v>4</v>
      </c>
      <c r="C156" s="10" t="s">
        <v>25</v>
      </c>
      <c r="D156" s="152">
        <v>30</v>
      </c>
      <c r="E156" s="170">
        <v>8</v>
      </c>
      <c r="F156" s="95"/>
      <c r="G156" s="153">
        <f t="shared" si="14"/>
        <v>22</v>
      </c>
      <c r="H156" s="10" t="s">
        <v>20</v>
      </c>
      <c r="I156" s="331">
        <v>1.79</v>
      </c>
      <c r="J156" s="12">
        <f t="shared" si="13"/>
        <v>14.32</v>
      </c>
      <c r="K156" s="13"/>
    </row>
    <row r="157" spans="1:11" ht="15.65" hidden="1" customHeight="1" x14ac:dyDescent="0.35">
      <c r="A157" s="103"/>
      <c r="B157" s="12" t="s">
        <v>4</v>
      </c>
      <c r="C157" s="10" t="s">
        <v>322</v>
      </c>
      <c r="D157" s="152"/>
      <c r="E157" s="170"/>
      <c r="F157" s="95"/>
      <c r="G157" s="153">
        <f t="shared" si="14"/>
        <v>0</v>
      </c>
      <c r="H157" s="10" t="s">
        <v>20</v>
      </c>
      <c r="I157" s="331">
        <v>2.46</v>
      </c>
      <c r="J157" s="12">
        <f t="shared" si="13"/>
        <v>0</v>
      </c>
    </row>
    <row r="158" spans="1:11" x14ac:dyDescent="0.35">
      <c r="A158" s="103"/>
      <c r="B158" s="12" t="s">
        <v>4</v>
      </c>
      <c r="C158" s="10" t="s">
        <v>393</v>
      </c>
      <c r="D158" s="152">
        <v>60</v>
      </c>
      <c r="E158" s="170">
        <v>280</v>
      </c>
      <c r="F158" s="95"/>
      <c r="G158" s="153" t="str">
        <f t="shared" si="14"/>
        <v/>
      </c>
      <c r="H158" s="10" t="s">
        <v>20</v>
      </c>
      <c r="I158" s="331">
        <v>2.46</v>
      </c>
      <c r="J158" s="12">
        <f t="shared" si="13"/>
        <v>688.8</v>
      </c>
    </row>
    <row r="159" spans="1:11" hidden="1" x14ac:dyDescent="0.35">
      <c r="A159" s="103"/>
      <c r="B159" s="12" t="s">
        <v>4</v>
      </c>
      <c r="C159" s="10" t="s">
        <v>43</v>
      </c>
      <c r="D159" s="152"/>
      <c r="E159" s="170"/>
      <c r="F159" s="95"/>
      <c r="G159" s="153">
        <f t="shared" si="14"/>
        <v>0</v>
      </c>
      <c r="H159" s="10" t="s">
        <v>20</v>
      </c>
      <c r="I159" s="331">
        <v>2.5499999999999998</v>
      </c>
      <c r="J159" s="12">
        <f t="shared" si="13"/>
        <v>0</v>
      </c>
    </row>
    <row r="160" spans="1:11" ht="14.5" customHeight="1" x14ac:dyDescent="0.35">
      <c r="A160" s="103"/>
      <c r="B160" s="12" t="s">
        <v>4</v>
      </c>
      <c r="C160" s="10" t="s">
        <v>81</v>
      </c>
      <c r="D160" s="152">
        <v>60</v>
      </c>
      <c r="E160" s="170">
        <v>201</v>
      </c>
      <c r="F160" s="95"/>
      <c r="G160" s="153" t="str">
        <f t="shared" si="14"/>
        <v/>
      </c>
      <c r="H160" s="10" t="s">
        <v>20</v>
      </c>
      <c r="I160" s="331">
        <v>1.51</v>
      </c>
      <c r="J160" s="12">
        <f t="shared" si="13"/>
        <v>303.51</v>
      </c>
      <c r="K160" s="13"/>
    </row>
    <row r="161" spans="1:11" ht="15.65" customHeight="1" x14ac:dyDescent="0.35">
      <c r="A161" s="103"/>
      <c r="B161" s="12" t="s">
        <v>4</v>
      </c>
      <c r="C161" s="10" t="s">
        <v>82</v>
      </c>
      <c r="D161" s="152">
        <v>60</v>
      </c>
      <c r="E161" s="170">
        <v>92</v>
      </c>
      <c r="F161" s="95"/>
      <c r="G161" s="153" t="str">
        <f t="shared" si="14"/>
        <v/>
      </c>
      <c r="H161" s="10" t="s">
        <v>20</v>
      </c>
      <c r="I161" s="331">
        <v>1.51</v>
      </c>
      <c r="J161" s="12">
        <f t="shared" si="13"/>
        <v>138.91999999999999</v>
      </c>
    </row>
    <row r="162" spans="1:11" hidden="1" x14ac:dyDescent="0.35">
      <c r="A162" s="103"/>
      <c r="B162" s="12" t="s">
        <v>4</v>
      </c>
      <c r="C162" s="10" t="s">
        <v>323</v>
      </c>
      <c r="D162" s="152"/>
      <c r="E162" s="170"/>
      <c r="F162" s="95"/>
      <c r="G162" s="153">
        <f t="shared" si="14"/>
        <v>0</v>
      </c>
      <c r="H162" s="10" t="s">
        <v>20</v>
      </c>
      <c r="I162" s="331">
        <v>1.54</v>
      </c>
      <c r="J162" s="12">
        <f t="shared" si="13"/>
        <v>0</v>
      </c>
    </row>
    <row r="163" spans="1:11" ht="14.5" hidden="1" customHeight="1" x14ac:dyDescent="0.35">
      <c r="A163" s="103"/>
      <c r="B163" s="12" t="s">
        <v>4</v>
      </c>
      <c r="C163" s="10" t="s">
        <v>324</v>
      </c>
      <c r="D163" s="152"/>
      <c r="E163" s="170"/>
      <c r="F163" s="95"/>
      <c r="G163" s="153">
        <f t="shared" si="14"/>
        <v>0</v>
      </c>
      <c r="H163" s="10" t="s">
        <v>20</v>
      </c>
      <c r="I163" s="331">
        <v>1.6</v>
      </c>
      <c r="J163" s="12">
        <f t="shared" si="13"/>
        <v>0</v>
      </c>
    </row>
    <row r="164" spans="1:11" ht="14.5" hidden="1" customHeight="1" x14ac:dyDescent="0.35">
      <c r="A164" s="103"/>
      <c r="B164" s="12" t="s">
        <v>4</v>
      </c>
      <c r="C164" s="78" t="s">
        <v>325</v>
      </c>
      <c r="D164" s="224"/>
      <c r="E164" s="170"/>
      <c r="F164" s="142"/>
      <c r="G164" s="153">
        <f t="shared" si="14"/>
        <v>0</v>
      </c>
      <c r="H164" s="10" t="s">
        <v>20</v>
      </c>
      <c r="I164" s="333">
        <v>49.95</v>
      </c>
      <c r="J164" s="12">
        <f t="shared" si="13"/>
        <v>0</v>
      </c>
    </row>
    <row r="165" spans="1:11" ht="14.5" customHeight="1" x14ac:dyDescent="0.35">
      <c r="A165" s="113" t="s">
        <v>44</v>
      </c>
      <c r="B165" s="124"/>
      <c r="C165" s="124"/>
      <c r="D165" s="230"/>
      <c r="E165" s="174"/>
      <c r="F165" s="148"/>
      <c r="G165" s="153">
        <f t="shared" si="14"/>
        <v>0</v>
      </c>
      <c r="H165" s="124"/>
      <c r="I165" s="241"/>
      <c r="J165" s="125"/>
    </row>
    <row r="166" spans="1:11" x14ac:dyDescent="0.35">
      <c r="A166" s="103"/>
      <c r="B166" s="12" t="s">
        <v>4</v>
      </c>
      <c r="C166" s="10" t="s">
        <v>48</v>
      </c>
      <c r="D166" s="152">
        <v>10</v>
      </c>
      <c r="E166" s="170"/>
      <c r="F166" s="95"/>
      <c r="G166" s="153">
        <f t="shared" si="14"/>
        <v>10</v>
      </c>
      <c r="H166" s="10" t="s">
        <v>20</v>
      </c>
      <c r="I166" s="331">
        <v>1.94</v>
      </c>
      <c r="J166" s="12">
        <f t="shared" ref="J166:J175" si="15">E166*I166</f>
        <v>0</v>
      </c>
    </row>
    <row r="167" spans="1:11" x14ac:dyDescent="0.35">
      <c r="A167" s="103"/>
      <c r="B167" s="12" t="s">
        <v>4</v>
      </c>
      <c r="C167" s="10" t="s">
        <v>49</v>
      </c>
      <c r="D167" s="152">
        <v>10</v>
      </c>
      <c r="E167" s="170"/>
      <c r="F167" s="95"/>
      <c r="G167" s="153">
        <f t="shared" si="14"/>
        <v>10</v>
      </c>
      <c r="H167" s="10" t="s">
        <v>20</v>
      </c>
      <c r="I167" s="331">
        <v>1.94</v>
      </c>
      <c r="J167" s="12">
        <f t="shared" si="15"/>
        <v>0</v>
      </c>
    </row>
    <row r="168" spans="1:11" x14ac:dyDescent="0.35">
      <c r="A168" s="103"/>
      <c r="B168" s="12" t="s">
        <v>4</v>
      </c>
      <c r="C168" s="10" t="s">
        <v>50</v>
      </c>
      <c r="D168" s="152">
        <v>10</v>
      </c>
      <c r="E168" s="170"/>
      <c r="F168" s="95"/>
      <c r="G168" s="153">
        <f t="shared" si="14"/>
        <v>10</v>
      </c>
      <c r="H168" s="10" t="s">
        <v>20</v>
      </c>
      <c r="I168" s="331">
        <v>1.94</v>
      </c>
      <c r="J168" s="12">
        <f t="shared" si="15"/>
        <v>0</v>
      </c>
    </row>
    <row r="169" spans="1:11" hidden="1" x14ac:dyDescent="0.35">
      <c r="A169" s="103"/>
      <c r="B169" s="12" t="s">
        <v>4</v>
      </c>
      <c r="C169" s="10" t="s">
        <v>415</v>
      </c>
      <c r="D169" s="152"/>
      <c r="E169" s="170"/>
      <c r="F169" s="95"/>
      <c r="G169" s="153">
        <f t="shared" si="14"/>
        <v>0</v>
      </c>
      <c r="H169" s="10" t="s">
        <v>20</v>
      </c>
      <c r="I169" s="331">
        <v>1.98</v>
      </c>
      <c r="J169" s="12">
        <f t="shared" si="15"/>
        <v>0</v>
      </c>
    </row>
    <row r="170" spans="1:11" ht="14.5" hidden="1" customHeight="1" x14ac:dyDescent="0.35">
      <c r="A170" s="103"/>
      <c r="B170" s="12" t="s">
        <v>4</v>
      </c>
      <c r="C170" s="10" t="s">
        <v>414</v>
      </c>
      <c r="D170" s="152"/>
      <c r="E170" s="170"/>
      <c r="F170" s="95"/>
      <c r="G170" s="153">
        <f t="shared" si="14"/>
        <v>0</v>
      </c>
      <c r="H170" s="10" t="s">
        <v>20</v>
      </c>
      <c r="I170" s="331">
        <v>1.98</v>
      </c>
      <c r="J170" s="12">
        <f t="shared" si="15"/>
        <v>0</v>
      </c>
    </row>
    <row r="171" spans="1:11" ht="14.5" hidden="1" customHeight="1" x14ac:dyDescent="0.35">
      <c r="A171" s="103"/>
      <c r="B171" s="12" t="s">
        <v>4</v>
      </c>
      <c r="C171" s="10" t="s">
        <v>328</v>
      </c>
      <c r="D171" s="152"/>
      <c r="E171" s="170"/>
      <c r="F171" s="95"/>
      <c r="G171" s="153">
        <f t="shared" si="14"/>
        <v>0</v>
      </c>
      <c r="H171" s="10" t="s">
        <v>20</v>
      </c>
      <c r="I171" s="331">
        <v>1.98</v>
      </c>
      <c r="J171" s="12">
        <f t="shared" si="15"/>
        <v>0</v>
      </c>
    </row>
    <row r="172" spans="1:11" hidden="1" x14ac:dyDescent="0.35">
      <c r="A172" s="103"/>
      <c r="B172" s="12" t="s">
        <v>4</v>
      </c>
      <c r="C172" s="10" t="s">
        <v>329</v>
      </c>
      <c r="D172" s="152"/>
      <c r="E172" s="170"/>
      <c r="F172" s="95"/>
      <c r="G172" s="153">
        <f t="shared" si="14"/>
        <v>0</v>
      </c>
      <c r="H172" s="10" t="s">
        <v>20</v>
      </c>
      <c r="I172" s="331">
        <v>1.98</v>
      </c>
      <c r="J172" s="12">
        <f t="shared" si="15"/>
        <v>0</v>
      </c>
    </row>
    <row r="173" spans="1:11" ht="14.5" hidden="1" customHeight="1" x14ac:dyDescent="0.35">
      <c r="A173" s="103"/>
      <c r="B173" s="40" t="s">
        <v>4</v>
      </c>
      <c r="C173" s="41" t="s">
        <v>330</v>
      </c>
      <c r="D173" s="227"/>
      <c r="E173" s="170"/>
      <c r="F173" s="145"/>
      <c r="G173" s="153">
        <f t="shared" si="14"/>
        <v>0</v>
      </c>
      <c r="H173" s="10" t="s">
        <v>20</v>
      </c>
      <c r="I173" s="331">
        <v>1.98</v>
      </c>
      <c r="J173" s="12">
        <f t="shared" si="15"/>
        <v>0</v>
      </c>
    </row>
    <row r="174" spans="1:11" ht="14.5" hidden="1" customHeight="1" x14ac:dyDescent="0.35">
      <c r="A174" s="103"/>
      <c r="B174" s="40" t="s">
        <v>4</v>
      </c>
      <c r="C174" s="41" t="s">
        <v>331</v>
      </c>
      <c r="D174" s="227"/>
      <c r="E174" s="170"/>
      <c r="F174" s="145"/>
      <c r="G174" s="153">
        <f t="shared" si="14"/>
        <v>0</v>
      </c>
      <c r="H174" s="10" t="s">
        <v>20</v>
      </c>
      <c r="I174" s="331">
        <v>1.98</v>
      </c>
      <c r="J174" s="12">
        <f t="shared" si="15"/>
        <v>0</v>
      </c>
    </row>
    <row r="175" spans="1:11" ht="14.5" hidden="1" customHeight="1" x14ac:dyDescent="0.35">
      <c r="A175" s="103"/>
      <c r="B175" s="40" t="s">
        <v>4</v>
      </c>
      <c r="C175" s="41" t="s">
        <v>413</v>
      </c>
      <c r="D175" s="227"/>
      <c r="E175" s="170"/>
      <c r="F175" s="145"/>
      <c r="G175" s="153">
        <f t="shared" si="14"/>
        <v>0</v>
      </c>
      <c r="H175" s="41" t="s">
        <v>20</v>
      </c>
      <c r="I175" s="334">
        <v>1.98</v>
      </c>
      <c r="J175" s="12">
        <f t="shared" si="15"/>
        <v>0</v>
      </c>
    </row>
    <row r="176" spans="1:11" ht="15.5" hidden="1" x14ac:dyDescent="0.35">
      <c r="A176" s="114" t="s">
        <v>333</v>
      </c>
      <c r="B176" s="120"/>
      <c r="C176" s="120"/>
      <c r="D176" s="228"/>
      <c r="E176" s="175"/>
      <c r="F176" s="149"/>
      <c r="G176" s="153">
        <f t="shared" si="14"/>
        <v>0</v>
      </c>
      <c r="H176" s="121"/>
      <c r="I176" s="122" t="s">
        <v>18</v>
      </c>
      <c r="J176" s="123">
        <f>SUM(J177:J186)</f>
        <v>0</v>
      </c>
      <c r="K176" s="13"/>
    </row>
    <row r="177" spans="1:14" hidden="1" x14ac:dyDescent="0.35">
      <c r="A177" s="103"/>
      <c r="B177" s="12" t="s">
        <v>26</v>
      </c>
      <c r="C177" s="10" t="s">
        <v>334</v>
      </c>
      <c r="D177" s="152"/>
      <c r="E177" s="170"/>
      <c r="F177" s="95"/>
      <c r="G177" s="153">
        <f t="shared" si="14"/>
        <v>0</v>
      </c>
      <c r="H177" s="10" t="s">
        <v>335</v>
      </c>
      <c r="I177" s="331">
        <v>20</v>
      </c>
      <c r="J177" s="12">
        <f t="shared" ref="J177:J186" si="16">E177*I177</f>
        <v>0</v>
      </c>
    </row>
    <row r="178" spans="1:14" hidden="1" x14ac:dyDescent="0.35">
      <c r="A178" s="103"/>
      <c r="B178" s="20" t="s">
        <v>26</v>
      </c>
      <c r="C178" s="18" t="s">
        <v>53</v>
      </c>
      <c r="D178" s="229"/>
      <c r="E178" s="170"/>
      <c r="F178" s="147"/>
      <c r="G178" s="153">
        <f t="shared" si="14"/>
        <v>0</v>
      </c>
      <c r="H178" s="18" t="s">
        <v>20</v>
      </c>
      <c r="I178" s="335">
        <v>0.43</v>
      </c>
      <c r="J178" s="20">
        <f t="shared" si="16"/>
        <v>0</v>
      </c>
      <c r="N178" t="s">
        <v>47</v>
      </c>
    </row>
    <row r="179" spans="1:14" hidden="1" x14ac:dyDescent="0.35">
      <c r="A179" s="103"/>
      <c r="B179" s="20" t="s">
        <v>26</v>
      </c>
      <c r="C179" s="18" t="s">
        <v>336</v>
      </c>
      <c r="D179" s="229"/>
      <c r="E179" s="170"/>
      <c r="F179" s="147"/>
      <c r="G179" s="153">
        <f t="shared" si="14"/>
        <v>0</v>
      </c>
      <c r="H179" s="18" t="s">
        <v>20</v>
      </c>
      <c r="I179" s="335">
        <v>0.43</v>
      </c>
      <c r="J179" s="20">
        <f t="shared" si="16"/>
        <v>0</v>
      </c>
    </row>
    <row r="180" spans="1:14" ht="16.399999999999999" hidden="1" customHeight="1" x14ac:dyDescent="0.35">
      <c r="A180" s="103"/>
      <c r="B180" s="12" t="s">
        <v>26</v>
      </c>
      <c r="C180" s="10" t="s">
        <v>337</v>
      </c>
      <c r="D180" s="152"/>
      <c r="E180" s="170"/>
      <c r="F180" s="95"/>
      <c r="G180" s="153">
        <f t="shared" si="14"/>
        <v>0</v>
      </c>
      <c r="H180" s="10" t="s">
        <v>20</v>
      </c>
      <c r="I180" s="331">
        <v>0.43</v>
      </c>
      <c r="J180" s="12">
        <f t="shared" si="16"/>
        <v>0</v>
      </c>
    </row>
    <row r="181" spans="1:14" hidden="1" x14ac:dyDescent="0.35">
      <c r="A181" s="103"/>
      <c r="B181" s="12" t="s">
        <v>26</v>
      </c>
      <c r="C181" s="10" t="s">
        <v>51</v>
      </c>
      <c r="D181" s="152"/>
      <c r="E181" s="170"/>
      <c r="F181" s="95"/>
      <c r="G181" s="153">
        <f t="shared" si="14"/>
        <v>0</v>
      </c>
      <c r="H181" s="10" t="s">
        <v>61</v>
      </c>
      <c r="I181" s="331">
        <v>14</v>
      </c>
      <c r="J181" s="12">
        <f t="shared" si="16"/>
        <v>0</v>
      </c>
    </row>
    <row r="182" spans="1:14" hidden="1" x14ac:dyDescent="0.35">
      <c r="A182" s="103"/>
      <c r="B182" s="12" t="s">
        <v>26</v>
      </c>
      <c r="C182" s="10" t="s">
        <v>338</v>
      </c>
      <c r="D182" s="152"/>
      <c r="E182" s="170"/>
      <c r="F182" s="95"/>
      <c r="G182" s="153">
        <f t="shared" si="14"/>
        <v>0</v>
      </c>
      <c r="H182" s="10" t="s">
        <v>61</v>
      </c>
      <c r="I182" s="331">
        <v>14.78</v>
      </c>
      <c r="J182" s="12">
        <f t="shared" si="16"/>
        <v>0</v>
      </c>
    </row>
    <row r="183" spans="1:14" hidden="1" x14ac:dyDescent="0.35">
      <c r="A183" s="103"/>
      <c r="B183" s="12" t="s">
        <v>26</v>
      </c>
      <c r="C183" s="10" t="s">
        <v>339</v>
      </c>
      <c r="D183" s="152"/>
      <c r="E183" s="170"/>
      <c r="F183" s="95"/>
      <c r="G183" s="153">
        <f t="shared" si="14"/>
        <v>0</v>
      </c>
      <c r="H183" s="10" t="s">
        <v>61</v>
      </c>
      <c r="I183" s="331">
        <v>14.78</v>
      </c>
      <c r="J183" s="12">
        <f t="shared" si="16"/>
        <v>0</v>
      </c>
    </row>
    <row r="184" spans="1:14" hidden="1" x14ac:dyDescent="0.35">
      <c r="A184" s="103"/>
      <c r="B184" s="12" t="s">
        <v>26</v>
      </c>
      <c r="C184" s="10" t="s">
        <v>340</v>
      </c>
      <c r="D184" s="152"/>
      <c r="E184" s="170"/>
      <c r="F184" s="95"/>
      <c r="G184" s="153">
        <f t="shared" si="14"/>
        <v>0</v>
      </c>
      <c r="H184" s="10" t="s">
        <v>61</v>
      </c>
      <c r="I184" s="331">
        <v>14.78</v>
      </c>
      <c r="J184" s="12">
        <f t="shared" si="16"/>
        <v>0</v>
      </c>
    </row>
    <row r="185" spans="1:14" hidden="1" x14ac:dyDescent="0.35">
      <c r="A185" s="103"/>
      <c r="B185" s="12" t="s">
        <v>26</v>
      </c>
      <c r="C185" s="10" t="s">
        <v>341</v>
      </c>
      <c r="D185" s="152"/>
      <c r="E185" s="170"/>
      <c r="F185" s="95"/>
      <c r="G185" s="153">
        <f t="shared" si="14"/>
        <v>0</v>
      </c>
      <c r="H185" s="10" t="s">
        <v>61</v>
      </c>
      <c r="I185" s="331">
        <v>14.78</v>
      </c>
      <c r="J185" s="12">
        <f t="shared" si="16"/>
        <v>0</v>
      </c>
    </row>
    <row r="186" spans="1:14" hidden="1" x14ac:dyDescent="0.35">
      <c r="A186" s="103"/>
      <c r="B186" s="12" t="s">
        <v>26</v>
      </c>
      <c r="C186" s="10" t="s">
        <v>342</v>
      </c>
      <c r="D186" s="152"/>
      <c r="E186" s="170"/>
      <c r="F186" s="95"/>
      <c r="G186" s="153">
        <f t="shared" si="14"/>
        <v>0</v>
      </c>
      <c r="H186" s="10" t="s">
        <v>61</v>
      </c>
      <c r="I186" s="331">
        <v>14.78</v>
      </c>
      <c r="J186" s="10">
        <f t="shared" si="16"/>
        <v>0</v>
      </c>
    </row>
    <row r="187" spans="1:14" ht="15.5" x14ac:dyDescent="0.35">
      <c r="A187" s="108" t="s">
        <v>343</v>
      </c>
      <c r="B187" s="108"/>
      <c r="C187" s="108"/>
      <c r="D187" s="223"/>
      <c r="E187" s="169"/>
      <c r="F187" s="109"/>
      <c r="G187" s="153">
        <f t="shared" si="14"/>
        <v>0</v>
      </c>
      <c r="H187" s="108"/>
      <c r="I187" s="106" t="s">
        <v>18</v>
      </c>
      <c r="J187" s="107">
        <f>SUM(J188:J192)</f>
        <v>331.2</v>
      </c>
    </row>
    <row r="188" spans="1:14" hidden="1" x14ac:dyDescent="0.35">
      <c r="A188" s="103"/>
      <c r="B188" s="7" t="s">
        <v>6</v>
      </c>
      <c r="C188" s="14" t="s">
        <v>344</v>
      </c>
      <c r="D188" s="152"/>
      <c r="E188" s="170"/>
      <c r="F188" s="95"/>
      <c r="G188" s="153">
        <f t="shared" si="14"/>
        <v>0</v>
      </c>
      <c r="H188" s="14" t="s">
        <v>20</v>
      </c>
      <c r="I188" s="336">
        <v>0.79</v>
      </c>
      <c r="J188" s="7">
        <f>E188*I188</f>
        <v>0</v>
      </c>
    </row>
    <row r="189" spans="1:14" x14ac:dyDescent="0.35">
      <c r="A189" s="103"/>
      <c r="B189" s="7" t="s">
        <v>6</v>
      </c>
      <c r="C189" s="14" t="s">
        <v>345</v>
      </c>
      <c r="D189" s="152">
        <v>10</v>
      </c>
      <c r="E189" s="170">
        <v>120</v>
      </c>
      <c r="F189" s="95"/>
      <c r="G189" s="153" t="str">
        <f t="shared" si="14"/>
        <v/>
      </c>
      <c r="H189" s="14" t="s">
        <v>20</v>
      </c>
      <c r="I189" s="336">
        <v>2.76</v>
      </c>
      <c r="J189" s="7">
        <f>E189*I189</f>
        <v>331.2</v>
      </c>
    </row>
    <row r="190" spans="1:14" x14ac:dyDescent="0.35">
      <c r="A190" s="103"/>
      <c r="B190" s="7" t="s">
        <v>6</v>
      </c>
      <c r="C190" s="14" t="s">
        <v>346</v>
      </c>
      <c r="D190" s="152"/>
      <c r="E190" s="170"/>
      <c r="F190" s="95"/>
      <c r="G190" s="153">
        <f t="shared" si="14"/>
        <v>0</v>
      </c>
      <c r="H190" s="14" t="s">
        <v>20</v>
      </c>
      <c r="I190" s="336">
        <v>1</v>
      </c>
      <c r="J190" s="7">
        <f>E190*I190</f>
        <v>0</v>
      </c>
    </row>
    <row r="191" spans="1:14" x14ac:dyDescent="0.35">
      <c r="A191" s="103"/>
      <c r="B191" s="7" t="s">
        <v>6</v>
      </c>
      <c r="C191" s="14" t="s">
        <v>34</v>
      </c>
      <c r="D191" s="152">
        <v>20</v>
      </c>
      <c r="E191" s="170"/>
      <c r="F191" s="95"/>
      <c r="G191" s="153">
        <f t="shared" si="14"/>
        <v>20</v>
      </c>
      <c r="H191" s="14" t="s">
        <v>20</v>
      </c>
      <c r="I191" s="336">
        <v>1.8</v>
      </c>
      <c r="J191" s="7">
        <f>E191*I191</f>
        <v>0</v>
      </c>
    </row>
    <row r="192" spans="1:14" x14ac:dyDescent="0.35">
      <c r="A192" s="103"/>
      <c r="B192" s="7" t="s">
        <v>6</v>
      </c>
      <c r="C192" s="14" t="s">
        <v>35</v>
      </c>
      <c r="D192" s="152">
        <v>20</v>
      </c>
      <c r="E192" s="170"/>
      <c r="F192" s="95"/>
      <c r="G192" s="153">
        <f t="shared" si="14"/>
        <v>20</v>
      </c>
      <c r="H192" s="14" t="s">
        <v>20</v>
      </c>
      <c r="I192" s="336">
        <v>1.8</v>
      </c>
      <c r="J192" s="7">
        <f>E192*I192</f>
        <v>0</v>
      </c>
    </row>
    <row r="193" spans="1:10" ht="15.5" x14ac:dyDescent="0.35">
      <c r="A193" s="112" t="s">
        <v>347</v>
      </c>
      <c r="B193" s="116"/>
      <c r="C193" s="116"/>
      <c r="D193" s="228"/>
      <c r="E193" s="173"/>
      <c r="F193" s="146"/>
      <c r="G193" s="153">
        <f t="shared" si="14"/>
        <v>0</v>
      </c>
      <c r="H193" s="117"/>
      <c r="I193" s="118" t="s">
        <v>18</v>
      </c>
      <c r="J193" s="119">
        <f>SUM(J194)</f>
        <v>0</v>
      </c>
    </row>
    <row r="194" spans="1:10" x14ac:dyDescent="0.35">
      <c r="A194" s="103"/>
      <c r="B194" s="12" t="s">
        <v>5</v>
      </c>
      <c r="C194" s="10" t="s">
        <v>55</v>
      </c>
      <c r="D194" s="152"/>
      <c r="E194" s="170"/>
      <c r="F194" s="95"/>
      <c r="G194" s="153">
        <f t="shared" si="14"/>
        <v>0</v>
      </c>
      <c r="H194" s="10" t="s">
        <v>20</v>
      </c>
      <c r="I194" s="331">
        <v>1.01</v>
      </c>
      <c r="J194" s="12">
        <f>E194*I194</f>
        <v>0</v>
      </c>
    </row>
    <row r="195" spans="1:10" ht="15.5" x14ac:dyDescent="0.35">
      <c r="A195" s="112" t="s">
        <v>348</v>
      </c>
      <c r="B195" s="116"/>
      <c r="C195" s="116"/>
      <c r="D195" s="228"/>
      <c r="E195" s="173"/>
      <c r="F195" s="146"/>
      <c r="G195" s="153">
        <f t="shared" si="14"/>
        <v>0</v>
      </c>
      <c r="H195" s="117"/>
      <c r="I195" s="118" t="s">
        <v>18</v>
      </c>
      <c r="J195" s="119">
        <f>SUM(J196:J207)</f>
        <v>0</v>
      </c>
    </row>
    <row r="196" spans="1:10" x14ac:dyDescent="0.35">
      <c r="A196" s="103"/>
      <c r="B196" s="20" t="s">
        <v>8</v>
      </c>
      <c r="C196" s="18" t="s">
        <v>349</v>
      </c>
      <c r="D196" s="229">
        <v>1</v>
      </c>
      <c r="E196" s="170"/>
      <c r="F196" s="147"/>
      <c r="G196" s="153">
        <f t="shared" si="14"/>
        <v>1</v>
      </c>
      <c r="H196" s="18" t="s">
        <v>27</v>
      </c>
      <c r="I196" s="337">
        <v>28.62</v>
      </c>
      <c r="J196" s="12">
        <f t="shared" ref="J196:J207" si="17">E196*I196</f>
        <v>0</v>
      </c>
    </row>
    <row r="197" spans="1:10" x14ac:dyDescent="0.35">
      <c r="A197" s="103"/>
      <c r="B197" s="12" t="s">
        <v>8</v>
      </c>
      <c r="C197" s="10" t="s">
        <v>350</v>
      </c>
      <c r="D197" s="152"/>
      <c r="E197" s="170"/>
      <c r="F197" s="95"/>
      <c r="G197" s="153">
        <f t="shared" si="14"/>
        <v>0</v>
      </c>
      <c r="H197" s="10" t="s">
        <v>335</v>
      </c>
      <c r="I197" s="338">
        <v>30</v>
      </c>
      <c r="J197" s="12">
        <f t="shared" si="17"/>
        <v>0</v>
      </c>
    </row>
    <row r="198" spans="1:10" x14ac:dyDescent="0.35">
      <c r="A198" s="103"/>
      <c r="B198" s="12" t="s">
        <v>8</v>
      </c>
      <c r="C198" s="10" t="s">
        <v>351</v>
      </c>
      <c r="D198" s="152"/>
      <c r="E198" s="170"/>
      <c r="F198" s="95"/>
      <c r="G198" s="153">
        <f t="shared" si="14"/>
        <v>0</v>
      </c>
      <c r="H198" s="10" t="s">
        <v>335</v>
      </c>
      <c r="I198" s="331">
        <v>1.1499999999999999</v>
      </c>
      <c r="J198" s="12">
        <f t="shared" si="17"/>
        <v>0</v>
      </c>
    </row>
    <row r="199" spans="1:10" x14ac:dyDescent="0.35">
      <c r="A199" s="103"/>
      <c r="B199" s="12" t="s">
        <v>8</v>
      </c>
      <c r="C199" s="10" t="s">
        <v>352</v>
      </c>
      <c r="D199" s="152">
        <v>3</v>
      </c>
      <c r="E199" s="170">
        <v>0</v>
      </c>
      <c r="F199" s="95"/>
      <c r="G199" s="153">
        <f>IF(E199="",D199,IF(D199-E199&gt;0,D199-E199,0))</f>
        <v>3</v>
      </c>
      <c r="H199" s="10" t="s">
        <v>27</v>
      </c>
      <c r="I199" s="331">
        <v>23.83</v>
      </c>
      <c r="J199" s="12">
        <f t="shared" si="17"/>
        <v>0</v>
      </c>
    </row>
    <row r="200" spans="1:10" x14ac:dyDescent="0.35">
      <c r="A200" s="103"/>
      <c r="B200" s="12" t="s">
        <v>8</v>
      </c>
      <c r="C200" s="10" t="s">
        <v>353</v>
      </c>
      <c r="D200" s="152">
        <v>3</v>
      </c>
      <c r="E200" s="170"/>
      <c r="F200" s="95"/>
      <c r="G200" s="153">
        <f t="shared" si="14"/>
        <v>3</v>
      </c>
      <c r="H200" s="10" t="s">
        <v>27</v>
      </c>
      <c r="I200" s="331">
        <v>28.89</v>
      </c>
      <c r="J200" s="12">
        <f t="shared" si="17"/>
        <v>0</v>
      </c>
    </row>
    <row r="201" spans="1:10" x14ac:dyDescent="0.35">
      <c r="A201" s="103"/>
      <c r="B201" s="12" t="s">
        <v>8</v>
      </c>
      <c r="C201" s="10" t="s">
        <v>354</v>
      </c>
      <c r="D201" s="152">
        <v>3</v>
      </c>
      <c r="E201" s="170">
        <v>0</v>
      </c>
      <c r="F201" s="95"/>
      <c r="G201" s="153">
        <f t="shared" si="14"/>
        <v>3</v>
      </c>
      <c r="H201" s="10" t="s">
        <v>27</v>
      </c>
      <c r="I201" s="331">
        <v>19.37</v>
      </c>
      <c r="J201" s="12">
        <f>E201*I201</f>
        <v>0</v>
      </c>
    </row>
    <row r="202" spans="1:10" x14ac:dyDescent="0.35">
      <c r="A202" s="103"/>
      <c r="B202" s="12" t="s">
        <v>8</v>
      </c>
      <c r="C202" s="10" t="s">
        <v>429</v>
      </c>
      <c r="D202" s="152">
        <v>0</v>
      </c>
      <c r="E202" s="170"/>
      <c r="F202" s="95"/>
      <c r="G202" s="153">
        <f t="shared" ref="G202:G213" si="18">IF(E202="",D202,IF(D202-E202&gt;0,D202-E202,""))</f>
        <v>0</v>
      </c>
      <c r="H202" s="10" t="s">
        <v>27</v>
      </c>
      <c r="I202" s="331">
        <v>14.07</v>
      </c>
      <c r="J202" s="12"/>
    </row>
    <row r="203" spans="1:10" x14ac:dyDescent="0.35">
      <c r="A203" s="103"/>
      <c r="B203" s="12" t="s">
        <v>8</v>
      </c>
      <c r="C203" s="10" t="s">
        <v>430</v>
      </c>
      <c r="D203" s="152">
        <v>0</v>
      </c>
      <c r="E203" s="170"/>
      <c r="F203" s="95"/>
      <c r="G203" s="153">
        <f t="shared" si="18"/>
        <v>0</v>
      </c>
      <c r="H203" s="10" t="s">
        <v>27</v>
      </c>
      <c r="I203" s="331">
        <v>16.07</v>
      </c>
      <c r="J203" s="12"/>
    </row>
    <row r="204" spans="1:10" x14ac:dyDescent="0.35">
      <c r="A204" s="103"/>
      <c r="B204" s="12" t="s">
        <v>8</v>
      </c>
      <c r="C204" s="10" t="s">
        <v>431</v>
      </c>
      <c r="D204" s="152">
        <v>0</v>
      </c>
      <c r="G204" s="153">
        <f t="shared" si="18"/>
        <v>0</v>
      </c>
      <c r="H204" s="10" t="s">
        <v>27</v>
      </c>
      <c r="I204" s="339">
        <v>14.62</v>
      </c>
      <c r="J204" s="12"/>
    </row>
    <row r="205" spans="1:10" hidden="1" x14ac:dyDescent="0.35">
      <c r="A205" s="103"/>
      <c r="B205" s="12" t="s">
        <v>8</v>
      </c>
      <c r="C205" s="10" t="s">
        <v>355</v>
      </c>
      <c r="D205" s="152"/>
      <c r="E205" s="170"/>
      <c r="F205" s="95"/>
      <c r="G205" s="153">
        <f t="shared" si="18"/>
        <v>0</v>
      </c>
      <c r="H205" s="10" t="s">
        <v>61</v>
      </c>
      <c r="I205" s="331">
        <v>17.11</v>
      </c>
      <c r="J205" s="12">
        <f t="shared" si="17"/>
        <v>0</v>
      </c>
    </row>
    <row r="206" spans="1:10" hidden="1" x14ac:dyDescent="0.35">
      <c r="A206" s="103"/>
      <c r="B206" s="12" t="s">
        <v>8</v>
      </c>
      <c r="C206" s="10" t="s">
        <v>356</v>
      </c>
      <c r="D206" s="152"/>
      <c r="E206" s="170"/>
      <c r="F206" s="95"/>
      <c r="G206" s="153">
        <f t="shared" si="18"/>
        <v>0</v>
      </c>
      <c r="H206" s="10" t="s">
        <v>61</v>
      </c>
      <c r="I206" s="331">
        <v>22.13</v>
      </c>
      <c r="J206" s="12">
        <f t="shared" si="17"/>
        <v>0</v>
      </c>
    </row>
    <row r="207" spans="1:10" hidden="1" x14ac:dyDescent="0.35">
      <c r="A207" s="103"/>
      <c r="B207" s="40" t="s">
        <v>8</v>
      </c>
      <c r="C207" s="41" t="s">
        <v>357</v>
      </c>
      <c r="D207" s="227"/>
      <c r="E207" s="170"/>
      <c r="F207" s="145"/>
      <c r="G207" s="153">
        <f t="shared" si="18"/>
        <v>0</v>
      </c>
      <c r="H207" s="41" t="s">
        <v>61</v>
      </c>
      <c r="I207" s="334">
        <v>18.8</v>
      </c>
      <c r="J207" s="40">
        <f t="shared" si="17"/>
        <v>0</v>
      </c>
    </row>
    <row r="208" spans="1:10" ht="15.5" x14ac:dyDescent="0.35">
      <c r="A208" s="112" t="s">
        <v>358</v>
      </c>
      <c r="B208" s="116"/>
      <c r="C208" s="116"/>
      <c r="D208" s="228"/>
      <c r="E208" s="173"/>
      <c r="F208" s="146"/>
      <c r="G208" s="153">
        <f t="shared" si="18"/>
        <v>0</v>
      </c>
      <c r="H208" s="117"/>
      <c r="I208" s="118" t="s">
        <v>18</v>
      </c>
      <c r="J208" s="119">
        <f>J209+J210+J211+J212+J213</f>
        <v>755.79</v>
      </c>
    </row>
    <row r="209" spans="1:10" x14ac:dyDescent="0.35">
      <c r="A209" s="103"/>
      <c r="B209" s="13" t="s">
        <v>11</v>
      </c>
      <c r="C209" s="298" t="s">
        <v>359</v>
      </c>
      <c r="D209" s="299">
        <v>40</v>
      </c>
      <c r="E209" s="300">
        <v>3</v>
      </c>
      <c r="F209" s="301"/>
      <c r="G209" s="153">
        <f t="shared" si="18"/>
        <v>37</v>
      </c>
      <c r="H209" s="41" t="s">
        <v>52</v>
      </c>
      <c r="I209" s="334">
        <v>11.63</v>
      </c>
      <c r="J209" s="40">
        <f>E209*I209</f>
        <v>34.89</v>
      </c>
    </row>
    <row r="210" spans="1:10" x14ac:dyDescent="0.35">
      <c r="A210" s="103"/>
      <c r="B210" s="12" t="s">
        <v>11</v>
      </c>
      <c r="C210" s="10" t="s">
        <v>436</v>
      </c>
      <c r="D210" s="152"/>
      <c r="E210" s="170">
        <v>3</v>
      </c>
      <c r="F210" s="95"/>
      <c r="G210" s="153" t="str">
        <f t="shared" si="18"/>
        <v/>
      </c>
      <c r="H210" s="10" t="s">
        <v>52</v>
      </c>
      <c r="I210" s="331">
        <v>16.8</v>
      </c>
      <c r="J210" s="40">
        <f t="shared" ref="J210:J213" si="19">E210*I210</f>
        <v>50.400000000000006</v>
      </c>
    </row>
    <row r="211" spans="1:10" x14ac:dyDescent="0.35">
      <c r="A211" s="103"/>
      <c r="B211" s="12" t="s">
        <v>11</v>
      </c>
      <c r="C211" s="10" t="s">
        <v>437</v>
      </c>
      <c r="D211" s="152"/>
      <c r="E211" s="170">
        <v>10</v>
      </c>
      <c r="F211" s="95"/>
      <c r="G211" s="153" t="str">
        <f t="shared" si="18"/>
        <v/>
      </c>
      <c r="H211" s="10" t="s">
        <v>440</v>
      </c>
      <c r="I211" s="331">
        <v>9.35</v>
      </c>
      <c r="J211" s="40">
        <f>E211*I211</f>
        <v>93.5</v>
      </c>
    </row>
    <row r="212" spans="1:10" x14ac:dyDescent="0.35">
      <c r="A212" s="103"/>
      <c r="B212" s="12" t="s">
        <v>11</v>
      </c>
      <c r="C212" s="10" t="s">
        <v>438</v>
      </c>
      <c r="D212" s="152"/>
      <c r="E212" s="170">
        <v>6</v>
      </c>
      <c r="F212" s="95"/>
      <c r="G212" s="153" t="str">
        <f t="shared" si="18"/>
        <v/>
      </c>
      <c r="H212" s="10" t="s">
        <v>52</v>
      </c>
      <c r="I212" s="331">
        <v>87</v>
      </c>
      <c r="J212" s="40">
        <f t="shared" si="19"/>
        <v>522</v>
      </c>
    </row>
    <row r="213" spans="1:10" x14ac:dyDescent="0.35">
      <c r="A213" s="103"/>
      <c r="B213" s="12" t="s">
        <v>11</v>
      </c>
      <c r="C213" s="10" t="s">
        <v>439</v>
      </c>
      <c r="D213" s="152"/>
      <c r="E213" s="170">
        <v>1</v>
      </c>
      <c r="F213" s="95"/>
      <c r="G213" s="153" t="str">
        <f t="shared" si="18"/>
        <v/>
      </c>
      <c r="H213" s="10" t="s">
        <v>52</v>
      </c>
      <c r="I213" s="331">
        <v>55</v>
      </c>
      <c r="J213" s="40">
        <f t="shared" si="19"/>
        <v>55</v>
      </c>
    </row>
    <row r="214" spans="1:10" ht="15.5" x14ac:dyDescent="0.35">
      <c r="A214" s="108" t="s">
        <v>360</v>
      </c>
      <c r="B214" s="108"/>
      <c r="C214" s="108"/>
      <c r="D214" s="223"/>
      <c r="E214" s="169"/>
      <c r="F214" s="109"/>
      <c r="G214" s="153">
        <f t="shared" ref="G214:G256" si="20">IF(E213="",D213,IF(D213-E213&gt;0,D213-E213,0))</f>
        <v>0</v>
      </c>
      <c r="H214" s="108"/>
      <c r="I214" s="106" t="s">
        <v>18</v>
      </c>
      <c r="J214" s="107">
        <f>SUM(J215:J216)</f>
        <v>0</v>
      </c>
    </row>
    <row r="215" spans="1:10" x14ac:dyDescent="0.35">
      <c r="A215" s="103"/>
      <c r="B215" s="12" t="s">
        <v>12</v>
      </c>
      <c r="C215" s="10" t="s">
        <v>70</v>
      </c>
      <c r="D215" s="152">
        <v>40</v>
      </c>
      <c r="E215" s="170"/>
      <c r="F215" s="95"/>
      <c r="G215" s="153">
        <f t="shared" si="20"/>
        <v>0</v>
      </c>
      <c r="H215" s="10" t="s">
        <v>27</v>
      </c>
      <c r="I215" s="331">
        <v>20.7</v>
      </c>
      <c r="J215" s="12">
        <f>+E215*I215</f>
        <v>0</v>
      </c>
    </row>
    <row r="216" spans="1:10" x14ac:dyDescent="0.35">
      <c r="A216" s="103"/>
      <c r="B216" s="12" t="s">
        <v>12</v>
      </c>
      <c r="C216" s="10" t="s">
        <v>71</v>
      </c>
      <c r="D216" s="152">
        <v>40</v>
      </c>
      <c r="E216" s="170"/>
      <c r="F216" s="95"/>
      <c r="G216" s="153">
        <f t="shared" si="20"/>
        <v>40</v>
      </c>
      <c r="H216" s="10" t="s">
        <v>27</v>
      </c>
      <c r="I216" s="331">
        <v>13.7</v>
      </c>
      <c r="J216" s="12">
        <f>+E216*I216</f>
        <v>0</v>
      </c>
    </row>
    <row r="217" spans="1:10" ht="15.5" hidden="1" x14ac:dyDescent="0.35">
      <c r="A217" s="108" t="s">
        <v>361</v>
      </c>
      <c r="B217" s="108"/>
      <c r="C217" s="108"/>
      <c r="D217" s="223"/>
      <c r="E217" s="169"/>
      <c r="F217" s="109"/>
      <c r="G217" s="153">
        <f t="shared" si="20"/>
        <v>40</v>
      </c>
      <c r="H217" s="108"/>
      <c r="I217" s="106" t="s">
        <v>18</v>
      </c>
      <c r="J217" s="107">
        <f>SUM(J218:J221)</f>
        <v>0</v>
      </c>
    </row>
    <row r="218" spans="1:10" hidden="1" x14ac:dyDescent="0.35">
      <c r="A218" s="103"/>
      <c r="B218" s="12" t="s">
        <v>10</v>
      </c>
      <c r="C218" s="10" t="s">
        <v>362</v>
      </c>
      <c r="D218" s="152"/>
      <c r="E218" s="170"/>
      <c r="F218" s="95"/>
      <c r="G218" s="153">
        <f t="shared" si="20"/>
        <v>0</v>
      </c>
      <c r="H218" s="10" t="s">
        <v>20</v>
      </c>
      <c r="I218" s="331">
        <v>11.08</v>
      </c>
      <c r="J218" s="12">
        <f>E218*I218</f>
        <v>0</v>
      </c>
    </row>
    <row r="219" spans="1:10" hidden="1" x14ac:dyDescent="0.35">
      <c r="A219" s="103"/>
      <c r="B219" s="12" t="s">
        <v>10</v>
      </c>
      <c r="C219" s="10" t="s">
        <v>363</v>
      </c>
      <c r="D219" s="152"/>
      <c r="E219" s="170"/>
      <c r="F219" s="95"/>
      <c r="G219" s="153">
        <f t="shared" si="20"/>
        <v>0</v>
      </c>
      <c r="H219" s="10" t="s">
        <v>27</v>
      </c>
      <c r="I219" s="331">
        <v>16.21</v>
      </c>
      <c r="J219" s="12">
        <f>E219*I219</f>
        <v>0</v>
      </c>
    </row>
    <row r="220" spans="1:10" hidden="1" x14ac:dyDescent="0.35">
      <c r="A220" s="103"/>
      <c r="B220" s="12" t="s">
        <v>10</v>
      </c>
      <c r="C220" s="10" t="s">
        <v>364</v>
      </c>
      <c r="D220" s="152"/>
      <c r="E220" s="170"/>
      <c r="F220" s="95"/>
      <c r="G220" s="153">
        <f t="shared" si="20"/>
        <v>0</v>
      </c>
      <c r="H220" s="10" t="s">
        <v>27</v>
      </c>
      <c r="I220" s="331">
        <v>19.350000000000001</v>
      </c>
      <c r="J220" s="12">
        <f>E220*I220</f>
        <v>0</v>
      </c>
    </row>
    <row r="221" spans="1:10" hidden="1" x14ac:dyDescent="0.35">
      <c r="A221" s="103"/>
      <c r="B221" s="12" t="s">
        <v>10</v>
      </c>
      <c r="C221" s="10" t="s">
        <v>365</v>
      </c>
      <c r="D221" s="152"/>
      <c r="E221" s="170"/>
      <c r="F221" s="95"/>
      <c r="G221" s="153">
        <f t="shared" si="20"/>
        <v>0</v>
      </c>
      <c r="H221" s="10" t="s">
        <v>27</v>
      </c>
      <c r="I221" s="331">
        <v>19.809999999999999</v>
      </c>
      <c r="J221" s="12">
        <f>E221*I221</f>
        <v>0</v>
      </c>
    </row>
    <row r="222" spans="1:10" ht="15.5" x14ac:dyDescent="0.35">
      <c r="A222" s="108" t="s">
        <v>366</v>
      </c>
      <c r="B222" s="108"/>
      <c r="C222" s="108"/>
      <c r="D222" s="223"/>
      <c r="E222" s="169"/>
      <c r="F222" s="109"/>
      <c r="G222" s="153">
        <f t="shared" si="20"/>
        <v>0</v>
      </c>
      <c r="H222" s="108"/>
      <c r="I222" s="106" t="s">
        <v>18</v>
      </c>
      <c r="J222" s="107">
        <f>J223</f>
        <v>0</v>
      </c>
    </row>
    <row r="223" spans="1:10" x14ac:dyDescent="0.35">
      <c r="A223" s="103"/>
      <c r="B223" s="12" t="s">
        <v>28</v>
      </c>
      <c r="C223" s="10" t="s">
        <v>29</v>
      </c>
      <c r="D223" s="152">
        <v>1</v>
      </c>
      <c r="E223" s="170"/>
      <c r="F223" s="150"/>
      <c r="G223" s="153">
        <f t="shared" si="20"/>
        <v>0</v>
      </c>
      <c r="H223" s="10" t="s">
        <v>54</v>
      </c>
      <c r="I223" s="331">
        <v>104</v>
      </c>
      <c r="J223" s="12">
        <f>I223*E223</f>
        <v>0</v>
      </c>
    </row>
    <row r="224" spans="1:10" ht="15.5" x14ac:dyDescent="0.35">
      <c r="A224" s="108" t="s">
        <v>367</v>
      </c>
      <c r="B224" s="108"/>
      <c r="C224" s="108"/>
      <c r="D224" s="223"/>
      <c r="E224" s="169"/>
      <c r="F224" s="109"/>
      <c r="G224" s="153">
        <f t="shared" si="20"/>
        <v>1</v>
      </c>
      <c r="H224" s="108"/>
      <c r="I224" s="106" t="s">
        <v>18</v>
      </c>
      <c r="J224" s="115">
        <f>SUM(J225:J244)</f>
        <v>0</v>
      </c>
    </row>
    <row r="225" spans="1:10" x14ac:dyDescent="0.35">
      <c r="A225" s="103"/>
      <c r="B225" s="12" t="s">
        <v>9</v>
      </c>
      <c r="C225" s="10" t="s">
        <v>423</v>
      </c>
      <c r="D225" s="152"/>
      <c r="E225" s="170"/>
      <c r="F225" s="95"/>
      <c r="G225" s="153">
        <f t="shared" si="20"/>
        <v>0</v>
      </c>
      <c r="H225" s="10" t="s">
        <v>20</v>
      </c>
      <c r="I225" s="331">
        <v>78</v>
      </c>
      <c r="J225" s="50">
        <f t="shared" ref="J225:J244" si="21">E225*I225</f>
        <v>0</v>
      </c>
    </row>
    <row r="226" spans="1:10" x14ac:dyDescent="0.35">
      <c r="A226" s="103"/>
      <c r="B226" s="12" t="s">
        <v>9</v>
      </c>
      <c r="C226" s="10" t="s">
        <v>424</v>
      </c>
      <c r="D226" s="152"/>
      <c r="E226" s="170"/>
      <c r="F226" s="95"/>
      <c r="G226" s="153">
        <f t="shared" si="20"/>
        <v>0</v>
      </c>
      <c r="H226" s="10" t="s">
        <v>61</v>
      </c>
      <c r="I226" s="340">
        <v>107.12</v>
      </c>
      <c r="J226" s="50">
        <f t="shared" si="21"/>
        <v>0</v>
      </c>
    </row>
    <row r="227" spans="1:10" x14ac:dyDescent="0.35">
      <c r="A227" s="103"/>
      <c r="B227" s="12" t="s">
        <v>9</v>
      </c>
      <c r="C227" s="10" t="s">
        <v>369</v>
      </c>
      <c r="D227" s="152"/>
      <c r="E227" s="170"/>
      <c r="F227" s="95"/>
      <c r="G227" s="153">
        <f t="shared" si="20"/>
        <v>0</v>
      </c>
      <c r="H227" s="10" t="s">
        <v>20</v>
      </c>
      <c r="I227" s="331">
        <v>0.04</v>
      </c>
      <c r="J227" s="50">
        <f t="shared" si="21"/>
        <v>0</v>
      </c>
    </row>
    <row r="228" spans="1:10" x14ac:dyDescent="0.35">
      <c r="A228" s="103"/>
      <c r="B228" s="12" t="s">
        <v>9</v>
      </c>
      <c r="C228" s="10" t="s">
        <v>370</v>
      </c>
      <c r="D228" s="152"/>
      <c r="E228" s="170"/>
      <c r="F228" s="95"/>
      <c r="G228" s="153">
        <f t="shared" si="20"/>
        <v>0</v>
      </c>
      <c r="H228" s="10" t="s">
        <v>20</v>
      </c>
      <c r="I228" s="331">
        <v>7.0999999999999994E-2</v>
      </c>
      <c r="J228" s="50">
        <f t="shared" si="21"/>
        <v>0</v>
      </c>
    </row>
    <row r="229" spans="1:10" hidden="1" x14ac:dyDescent="0.35">
      <c r="A229" s="103"/>
      <c r="B229" s="12" t="s">
        <v>9</v>
      </c>
      <c r="C229" s="10" t="s">
        <v>411</v>
      </c>
      <c r="D229" s="152"/>
      <c r="E229" s="170"/>
      <c r="F229" s="95"/>
      <c r="G229" s="153">
        <f t="shared" si="20"/>
        <v>0</v>
      </c>
      <c r="H229" s="10" t="s">
        <v>20</v>
      </c>
      <c r="I229" s="331">
        <v>1.97</v>
      </c>
      <c r="J229" s="50"/>
    </row>
    <row r="230" spans="1:10" hidden="1" x14ac:dyDescent="0.35">
      <c r="A230" s="103"/>
      <c r="B230" s="12" t="s">
        <v>9</v>
      </c>
      <c r="C230" s="10" t="s">
        <v>371</v>
      </c>
      <c r="D230" s="152"/>
      <c r="E230" s="170"/>
      <c r="F230" s="95"/>
      <c r="G230" s="153">
        <f t="shared" si="20"/>
        <v>0</v>
      </c>
      <c r="H230" s="10" t="s">
        <v>61</v>
      </c>
      <c r="I230" s="331">
        <v>163.80000000000001</v>
      </c>
      <c r="J230" s="50">
        <f t="shared" si="21"/>
        <v>0</v>
      </c>
    </row>
    <row r="231" spans="1:10" hidden="1" x14ac:dyDescent="0.35">
      <c r="A231" s="103"/>
      <c r="B231" s="12" t="s">
        <v>9</v>
      </c>
      <c r="C231" s="10" t="s">
        <v>410</v>
      </c>
      <c r="D231" s="152"/>
      <c r="E231" s="170"/>
      <c r="F231" s="151"/>
      <c r="G231" s="153">
        <f t="shared" si="20"/>
        <v>0</v>
      </c>
      <c r="H231" s="10" t="s">
        <v>61</v>
      </c>
      <c r="I231" s="331">
        <v>49.33</v>
      </c>
      <c r="J231" s="50">
        <f t="shared" si="21"/>
        <v>0</v>
      </c>
    </row>
    <row r="232" spans="1:10" hidden="1" x14ac:dyDescent="0.35">
      <c r="A232" s="103"/>
      <c r="B232" s="12" t="s">
        <v>9</v>
      </c>
      <c r="C232" s="10" t="s">
        <v>373</v>
      </c>
      <c r="D232" s="152"/>
      <c r="E232" s="170"/>
      <c r="F232" s="151"/>
      <c r="G232" s="153">
        <f t="shared" si="20"/>
        <v>0</v>
      </c>
      <c r="H232" s="10" t="s">
        <v>61</v>
      </c>
      <c r="I232" s="331">
        <v>105.6</v>
      </c>
      <c r="J232" s="50">
        <f t="shared" si="21"/>
        <v>0</v>
      </c>
    </row>
    <row r="233" spans="1:10" hidden="1" x14ac:dyDescent="0.35">
      <c r="A233" s="103"/>
      <c r="B233" s="12" t="s">
        <v>9</v>
      </c>
      <c r="C233" s="10" t="s">
        <v>374</v>
      </c>
      <c r="D233" s="152"/>
      <c r="E233" s="170"/>
      <c r="F233" s="151"/>
      <c r="G233" s="153">
        <f t="shared" si="20"/>
        <v>0</v>
      </c>
      <c r="H233" s="10" t="s">
        <v>61</v>
      </c>
      <c r="I233" s="331">
        <v>114.75</v>
      </c>
      <c r="J233" s="50">
        <f t="shared" si="21"/>
        <v>0</v>
      </c>
    </row>
    <row r="234" spans="1:10" hidden="1" x14ac:dyDescent="0.35">
      <c r="A234" s="103"/>
      <c r="B234" s="12" t="s">
        <v>9</v>
      </c>
      <c r="C234" s="10" t="s">
        <v>375</v>
      </c>
      <c r="D234" s="152"/>
      <c r="E234" s="170"/>
      <c r="F234" s="95"/>
      <c r="G234" s="153">
        <f t="shared" si="20"/>
        <v>0</v>
      </c>
      <c r="H234" s="10" t="s">
        <v>61</v>
      </c>
      <c r="I234" s="331">
        <v>105.55</v>
      </c>
      <c r="J234" s="50">
        <f t="shared" si="21"/>
        <v>0</v>
      </c>
    </row>
    <row r="235" spans="1:10" x14ac:dyDescent="0.35">
      <c r="A235" s="103"/>
      <c r="B235" s="12" t="s">
        <v>9</v>
      </c>
      <c r="C235" s="10" t="s">
        <v>376</v>
      </c>
      <c r="D235" s="152">
        <v>1</v>
      </c>
      <c r="E235" s="170"/>
      <c r="F235" s="95"/>
      <c r="G235" s="153">
        <f t="shared" si="20"/>
        <v>0</v>
      </c>
      <c r="H235" s="10" t="s">
        <v>61</v>
      </c>
      <c r="I235" s="331">
        <v>33.25</v>
      </c>
      <c r="J235" s="50">
        <f t="shared" si="21"/>
        <v>0</v>
      </c>
    </row>
    <row r="236" spans="1:10" hidden="1" x14ac:dyDescent="0.35">
      <c r="A236" s="103"/>
      <c r="B236" s="12" t="s">
        <v>9</v>
      </c>
      <c r="C236" s="10" t="s">
        <v>377</v>
      </c>
      <c r="D236" s="152"/>
      <c r="E236" s="170"/>
      <c r="F236" s="95"/>
      <c r="G236" s="153">
        <f t="shared" si="20"/>
        <v>1</v>
      </c>
      <c r="H236" s="10" t="s">
        <v>20</v>
      </c>
      <c r="I236" s="331">
        <v>0.28999999999999998</v>
      </c>
      <c r="J236" s="50">
        <f t="shared" si="21"/>
        <v>0</v>
      </c>
    </row>
    <row r="237" spans="1:10" hidden="1" x14ac:dyDescent="0.35">
      <c r="A237" s="103"/>
      <c r="B237" s="12" t="s">
        <v>9</v>
      </c>
      <c r="C237" s="10" t="s">
        <v>378</v>
      </c>
      <c r="D237" s="152"/>
      <c r="E237" s="170"/>
      <c r="F237" s="95"/>
      <c r="G237" s="153">
        <f t="shared" si="20"/>
        <v>0</v>
      </c>
      <c r="H237" s="10" t="s">
        <v>61</v>
      </c>
      <c r="I237" s="336">
        <v>37.85</v>
      </c>
      <c r="J237" s="50">
        <f t="shared" si="21"/>
        <v>0</v>
      </c>
    </row>
    <row r="238" spans="1:10" x14ac:dyDescent="0.35">
      <c r="A238" s="103"/>
      <c r="B238" s="12" t="s">
        <v>9</v>
      </c>
      <c r="C238" s="10" t="s">
        <v>425</v>
      </c>
      <c r="D238" s="152">
        <v>1</v>
      </c>
      <c r="E238" s="170"/>
      <c r="F238" s="95"/>
      <c r="G238" s="153">
        <f t="shared" si="20"/>
        <v>0</v>
      </c>
      <c r="H238" s="10" t="s">
        <v>61</v>
      </c>
      <c r="I238" s="336">
        <v>111.47</v>
      </c>
      <c r="J238" s="50">
        <f t="shared" si="21"/>
        <v>0</v>
      </c>
    </row>
    <row r="239" spans="1:10" hidden="1" x14ac:dyDescent="0.35">
      <c r="A239" s="103"/>
      <c r="B239" s="12" t="s">
        <v>9</v>
      </c>
      <c r="C239" s="10" t="s">
        <v>379</v>
      </c>
      <c r="D239" s="152"/>
      <c r="E239" s="170"/>
      <c r="F239" s="95"/>
      <c r="G239" s="153">
        <f t="shared" si="20"/>
        <v>1</v>
      </c>
      <c r="H239" s="10" t="s">
        <v>61</v>
      </c>
      <c r="I239" s="336">
        <v>174.97</v>
      </c>
      <c r="J239" s="50">
        <f t="shared" si="21"/>
        <v>0</v>
      </c>
    </row>
    <row r="240" spans="1:10" x14ac:dyDescent="0.35">
      <c r="A240" s="103"/>
      <c r="B240" s="12" t="s">
        <v>9</v>
      </c>
      <c r="C240" s="10" t="s">
        <v>380</v>
      </c>
      <c r="D240" s="152"/>
      <c r="E240" s="170"/>
      <c r="F240" s="95"/>
      <c r="G240" s="153">
        <f t="shared" si="20"/>
        <v>0</v>
      </c>
      <c r="H240" s="10" t="s">
        <v>61</v>
      </c>
      <c r="I240" s="336">
        <v>44.93</v>
      </c>
      <c r="J240" s="50">
        <f t="shared" si="21"/>
        <v>0</v>
      </c>
    </row>
    <row r="241" spans="1:10" x14ac:dyDescent="0.35">
      <c r="A241" s="103"/>
      <c r="B241" s="12" t="s">
        <v>9</v>
      </c>
      <c r="C241" s="10" t="s">
        <v>426</v>
      </c>
      <c r="D241" s="152">
        <v>2</v>
      </c>
      <c r="E241" s="170"/>
      <c r="F241" s="95"/>
      <c r="G241" s="153">
        <f t="shared" si="20"/>
        <v>0</v>
      </c>
      <c r="H241" s="10" t="s">
        <v>20</v>
      </c>
      <c r="I241" s="336">
        <v>29.2</v>
      </c>
      <c r="J241" s="50">
        <f t="shared" si="21"/>
        <v>0</v>
      </c>
    </row>
    <row r="242" spans="1:10" x14ac:dyDescent="0.35">
      <c r="A242" s="103"/>
      <c r="B242" s="12" t="s">
        <v>9</v>
      </c>
      <c r="C242" s="10" t="s">
        <v>427</v>
      </c>
      <c r="D242" s="152">
        <v>2</v>
      </c>
      <c r="E242" s="170"/>
      <c r="F242" s="95"/>
      <c r="G242" s="153">
        <f t="shared" si="20"/>
        <v>2</v>
      </c>
      <c r="H242" s="10" t="s">
        <v>20</v>
      </c>
      <c r="I242" s="336">
        <v>19.03</v>
      </c>
      <c r="J242" s="50">
        <f t="shared" si="21"/>
        <v>0</v>
      </c>
    </row>
    <row r="243" spans="1:10" x14ac:dyDescent="0.35">
      <c r="A243" s="103"/>
      <c r="B243" s="12" t="s">
        <v>9</v>
      </c>
      <c r="C243" s="10" t="s">
        <v>428</v>
      </c>
      <c r="D243" s="152"/>
      <c r="E243" s="170"/>
      <c r="F243" s="95"/>
      <c r="G243" s="153">
        <f t="shared" si="20"/>
        <v>2</v>
      </c>
      <c r="H243" s="10" t="s">
        <v>20</v>
      </c>
      <c r="I243" s="336">
        <v>8.4600000000000009</v>
      </c>
      <c r="J243" s="50">
        <f t="shared" si="21"/>
        <v>0</v>
      </c>
    </row>
    <row r="244" spans="1:10" hidden="1" x14ac:dyDescent="0.35">
      <c r="A244" s="103"/>
      <c r="B244" s="12" t="s">
        <v>9</v>
      </c>
      <c r="C244" s="10" t="s">
        <v>381</v>
      </c>
      <c r="D244" s="152"/>
      <c r="E244" s="170"/>
      <c r="F244" s="95"/>
      <c r="G244" s="153">
        <f t="shared" si="20"/>
        <v>0</v>
      </c>
      <c r="H244" s="10" t="s">
        <v>20</v>
      </c>
      <c r="I244" s="336">
        <v>0.02</v>
      </c>
      <c r="J244" s="50">
        <f t="shared" si="21"/>
        <v>0</v>
      </c>
    </row>
    <row r="245" spans="1:10" ht="15.5" x14ac:dyDescent="0.35">
      <c r="A245" s="108" t="s">
        <v>382</v>
      </c>
      <c r="B245" s="108"/>
      <c r="C245" s="108"/>
      <c r="D245" s="223"/>
      <c r="E245" s="169"/>
      <c r="F245" s="109"/>
      <c r="G245" s="153">
        <f t="shared" si="20"/>
        <v>0</v>
      </c>
      <c r="H245" s="108"/>
      <c r="I245" s="106" t="s">
        <v>18</v>
      </c>
      <c r="J245" s="107">
        <f>SUM(J246:J256)</f>
        <v>0</v>
      </c>
    </row>
    <row r="246" spans="1:10" x14ac:dyDescent="0.35">
      <c r="A246" s="103"/>
      <c r="B246" s="12" t="s">
        <v>31</v>
      </c>
      <c r="C246" s="10" t="s">
        <v>383</v>
      </c>
      <c r="D246" s="152"/>
      <c r="E246" s="170"/>
      <c r="F246" s="95"/>
      <c r="G246" s="153">
        <f t="shared" si="20"/>
        <v>0</v>
      </c>
      <c r="H246" s="10" t="s">
        <v>20</v>
      </c>
      <c r="I246" s="331">
        <v>5.5</v>
      </c>
      <c r="J246" s="12">
        <f t="shared" ref="J246:J256" si="22">E246*I246</f>
        <v>0</v>
      </c>
    </row>
    <row r="247" spans="1:10" x14ac:dyDescent="0.35">
      <c r="A247" s="103"/>
      <c r="B247" s="12" t="s">
        <v>31</v>
      </c>
      <c r="C247" s="10" t="s">
        <v>39</v>
      </c>
      <c r="D247" s="152">
        <v>2</v>
      </c>
      <c r="E247" s="170"/>
      <c r="F247" s="95"/>
      <c r="G247" s="153">
        <f t="shared" si="20"/>
        <v>0</v>
      </c>
      <c r="H247" s="10" t="s">
        <v>20</v>
      </c>
      <c r="I247" s="331">
        <v>4.55</v>
      </c>
      <c r="J247" s="12">
        <f t="shared" si="22"/>
        <v>0</v>
      </c>
    </row>
    <row r="248" spans="1:10" x14ac:dyDescent="0.35">
      <c r="A248" s="103"/>
      <c r="B248" s="12" t="s">
        <v>31</v>
      </c>
      <c r="C248" s="10" t="s">
        <v>422</v>
      </c>
      <c r="D248" s="152">
        <v>2</v>
      </c>
      <c r="E248" s="170"/>
      <c r="F248" s="95"/>
      <c r="G248" s="153">
        <f t="shared" si="20"/>
        <v>2</v>
      </c>
      <c r="H248" s="10" t="s">
        <v>20</v>
      </c>
      <c r="I248" s="331">
        <v>3.7</v>
      </c>
      <c r="J248" s="12">
        <f t="shared" si="22"/>
        <v>0</v>
      </c>
    </row>
    <row r="249" spans="1:10" x14ac:dyDescent="0.35">
      <c r="A249" s="103"/>
      <c r="B249" s="12" t="s">
        <v>31</v>
      </c>
      <c r="C249" s="10" t="s">
        <v>67</v>
      </c>
      <c r="D249" s="152">
        <v>1</v>
      </c>
      <c r="E249" s="170"/>
      <c r="F249" s="95"/>
      <c r="G249" s="153">
        <f t="shared" si="20"/>
        <v>2</v>
      </c>
      <c r="H249" s="10" t="s">
        <v>20</v>
      </c>
      <c r="I249" s="331">
        <v>15.56</v>
      </c>
      <c r="J249" s="12">
        <f t="shared" si="22"/>
        <v>0</v>
      </c>
    </row>
    <row r="250" spans="1:10" hidden="1" x14ac:dyDescent="0.35">
      <c r="A250" s="103"/>
      <c r="B250" s="12" t="s">
        <v>31</v>
      </c>
      <c r="C250" s="10" t="s">
        <v>384</v>
      </c>
      <c r="D250" s="152"/>
      <c r="E250" s="170"/>
      <c r="F250" s="95"/>
      <c r="G250" s="153">
        <f t="shared" si="20"/>
        <v>1</v>
      </c>
      <c r="H250" s="10" t="s">
        <v>20</v>
      </c>
      <c r="I250" s="331">
        <v>0.8</v>
      </c>
      <c r="J250" s="12">
        <f t="shared" si="22"/>
        <v>0</v>
      </c>
    </row>
    <row r="251" spans="1:10" hidden="1" x14ac:dyDescent="0.35">
      <c r="A251" s="103"/>
      <c r="B251" s="12" t="s">
        <v>31</v>
      </c>
      <c r="C251" s="10" t="s">
        <v>385</v>
      </c>
      <c r="D251" s="152"/>
      <c r="E251" s="170"/>
      <c r="F251" s="95"/>
      <c r="G251" s="153">
        <f t="shared" si="20"/>
        <v>0</v>
      </c>
      <c r="H251" s="10" t="s">
        <v>20</v>
      </c>
      <c r="I251" s="331">
        <v>1.83</v>
      </c>
      <c r="J251" s="12">
        <f t="shared" si="22"/>
        <v>0</v>
      </c>
    </row>
    <row r="252" spans="1:10" x14ac:dyDescent="0.35">
      <c r="A252" s="103"/>
      <c r="B252" s="12" t="s">
        <v>31</v>
      </c>
      <c r="C252" s="10" t="s">
        <v>386</v>
      </c>
      <c r="D252" s="152">
        <v>2</v>
      </c>
      <c r="E252" s="170"/>
      <c r="F252" s="95"/>
      <c r="G252" s="153">
        <f t="shared" si="20"/>
        <v>0</v>
      </c>
      <c r="H252" s="10" t="s">
        <v>20</v>
      </c>
      <c r="I252" s="331">
        <v>2.65</v>
      </c>
      <c r="J252" s="12">
        <f t="shared" si="22"/>
        <v>0</v>
      </c>
    </row>
    <row r="253" spans="1:10" x14ac:dyDescent="0.35">
      <c r="A253" s="103"/>
      <c r="B253" s="12" t="s">
        <v>31</v>
      </c>
      <c r="C253" s="10" t="s">
        <v>65</v>
      </c>
      <c r="D253" s="152">
        <v>1</v>
      </c>
      <c r="E253" s="170"/>
      <c r="F253" s="95"/>
      <c r="G253" s="153">
        <f t="shared" si="20"/>
        <v>2</v>
      </c>
      <c r="H253" s="10" t="s">
        <v>20</v>
      </c>
      <c r="I253" s="331">
        <v>13.43</v>
      </c>
      <c r="J253" s="12">
        <f t="shared" si="22"/>
        <v>0</v>
      </c>
    </row>
    <row r="254" spans="1:10" hidden="1" x14ac:dyDescent="0.35">
      <c r="A254" s="103"/>
      <c r="B254" s="12" t="s">
        <v>31</v>
      </c>
      <c r="C254" s="10" t="s">
        <v>66</v>
      </c>
      <c r="D254" s="152"/>
      <c r="E254" s="170"/>
      <c r="F254" s="95"/>
      <c r="G254" s="153">
        <f t="shared" si="20"/>
        <v>1</v>
      </c>
      <c r="H254" s="10" t="s">
        <v>20</v>
      </c>
      <c r="I254" s="331">
        <v>75.38</v>
      </c>
      <c r="J254" s="12">
        <f t="shared" si="22"/>
        <v>0</v>
      </c>
    </row>
    <row r="255" spans="1:10" x14ac:dyDescent="0.35">
      <c r="A255" s="103"/>
      <c r="B255" s="12" t="s">
        <v>31</v>
      </c>
      <c r="C255" s="10" t="s">
        <v>412</v>
      </c>
      <c r="D255" s="152">
        <v>1</v>
      </c>
      <c r="E255" s="170"/>
      <c r="F255" s="95"/>
      <c r="G255" s="153">
        <f t="shared" si="20"/>
        <v>0</v>
      </c>
      <c r="H255" s="10" t="s">
        <v>20</v>
      </c>
      <c r="I255" s="331">
        <v>8.43</v>
      </c>
      <c r="J255" s="12">
        <f t="shared" si="22"/>
        <v>0</v>
      </c>
    </row>
    <row r="256" spans="1:10" x14ac:dyDescent="0.35">
      <c r="A256" s="103"/>
      <c r="B256" s="12" t="s">
        <v>31</v>
      </c>
      <c r="C256" s="10" t="s">
        <v>69</v>
      </c>
      <c r="D256" s="152">
        <v>1</v>
      </c>
      <c r="E256" s="170"/>
      <c r="F256" s="95"/>
      <c r="G256" s="153">
        <f t="shared" si="20"/>
        <v>1</v>
      </c>
      <c r="H256" s="10" t="s">
        <v>63</v>
      </c>
      <c r="I256" s="331">
        <v>3.5</v>
      </c>
      <c r="J256" s="12">
        <f t="shared" si="22"/>
        <v>0</v>
      </c>
    </row>
    <row r="257" spans="1:10" ht="15.5" x14ac:dyDescent="0.35">
      <c r="A257" s="108" t="s">
        <v>57</v>
      </c>
      <c r="B257" s="108"/>
      <c r="C257" s="108"/>
      <c r="D257" s="231"/>
      <c r="E257" s="169"/>
      <c r="F257" s="109"/>
      <c r="G257" s="165" t="str">
        <f t="shared" ref="G257" si="23">IF(E257="","",IF(D257-E257&gt;0,D257-E257,""))</f>
        <v/>
      </c>
      <c r="H257" s="108"/>
      <c r="I257" s="106" t="s">
        <v>18</v>
      </c>
      <c r="J257" s="107">
        <f>SUM(J258:J259)</f>
        <v>0</v>
      </c>
    </row>
    <row r="258" spans="1:10" hidden="1" x14ac:dyDescent="0.35">
      <c r="A258" s="103"/>
      <c r="B258" s="12" t="s">
        <v>56</v>
      </c>
      <c r="C258" s="10" t="s">
        <v>58</v>
      </c>
      <c r="D258" s="94"/>
      <c r="E258" s="170"/>
      <c r="F258" s="94"/>
      <c r="G258" s="94" t="str">
        <f t="shared" ref="G258:G259" si="24">IF(D258-E258&gt;0,D258-E258,"")</f>
        <v/>
      </c>
      <c r="H258" s="10" t="s">
        <v>20</v>
      </c>
      <c r="I258" s="331">
        <v>54.05</v>
      </c>
      <c r="J258" s="12">
        <f>E258*I258</f>
        <v>0</v>
      </c>
    </row>
    <row r="259" spans="1:10" hidden="1" x14ac:dyDescent="0.35">
      <c r="A259" s="103"/>
      <c r="B259" s="12" t="s">
        <v>56</v>
      </c>
      <c r="C259" s="10" t="s">
        <v>388</v>
      </c>
      <c r="D259" s="94"/>
      <c r="E259" s="170"/>
      <c r="F259" s="94"/>
      <c r="G259" s="94" t="str">
        <f t="shared" si="24"/>
        <v/>
      </c>
      <c r="H259" s="10" t="s">
        <v>20</v>
      </c>
      <c r="I259" s="331">
        <v>0</v>
      </c>
      <c r="J259" s="12">
        <f>E259*I259</f>
        <v>0</v>
      </c>
    </row>
  </sheetData>
  <mergeCells count="2">
    <mergeCell ref="B1:C1"/>
    <mergeCell ref="B2:C2"/>
  </mergeCells>
  <pageMargins left="0.7" right="0.7" top="0.75" bottom="0.75" header="0.3" footer="0.3"/>
  <pageSetup paperSize="9" scale="73" fitToHeight="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8DAEF-6333-F74B-9513-90918AC84156}">
  <sheetPr codeName="Feuil14">
    <tabColor theme="8" tint="0.39997558519241921"/>
    <pageSetUpPr fitToPage="1"/>
  </sheetPr>
  <dimension ref="A1:N259"/>
  <sheetViews>
    <sheetView topLeftCell="A57" zoomScaleNormal="100" workbookViewId="0">
      <selection activeCell="J209" sqref="J209"/>
    </sheetView>
  </sheetViews>
  <sheetFormatPr baseColWidth="10" defaultColWidth="8.453125" defaultRowHeight="14.5" x14ac:dyDescent="0.35"/>
  <cols>
    <col min="1" max="1" width="2.54296875" customWidth="1"/>
    <col min="2" max="2" width="32.26953125" customWidth="1"/>
    <col min="3" max="3" width="44.54296875" bestFit="1" customWidth="1"/>
    <col min="4" max="4" width="19.7265625" bestFit="1" customWidth="1"/>
    <col min="5" max="5" width="18.81640625" style="34" bestFit="1" customWidth="1"/>
    <col min="6" max="6" width="18.26953125" hidden="1" customWidth="1"/>
    <col min="7" max="7" width="14" bestFit="1" customWidth="1"/>
    <col min="8" max="8" width="6.81640625" bestFit="1" customWidth="1"/>
    <col min="9" max="9" width="8.453125" style="86" bestFit="1" customWidth="1"/>
    <col min="10" max="10" width="7.1796875" customWidth="1"/>
  </cols>
  <sheetData>
    <row r="1" spans="2:7" ht="15" thickBot="1" x14ac:dyDescent="0.4">
      <c r="B1" s="321" t="s">
        <v>198</v>
      </c>
      <c r="C1" s="322"/>
      <c r="F1" s="89"/>
      <c r="G1" s="89"/>
    </row>
    <row r="2" spans="2:7" ht="15" thickBot="1" x14ac:dyDescent="0.4">
      <c r="B2" s="319"/>
      <c r="C2" s="320"/>
      <c r="F2" s="90"/>
      <c r="G2" s="90"/>
    </row>
    <row r="3" spans="2:7" x14ac:dyDescent="0.35">
      <c r="B3" s="75"/>
      <c r="C3" s="75"/>
      <c r="F3" s="75"/>
      <c r="G3" s="75"/>
    </row>
    <row r="4" spans="2:7" ht="15.5" x14ac:dyDescent="0.35">
      <c r="B4" s="70" t="s">
        <v>0</v>
      </c>
      <c r="C4" s="70" t="s">
        <v>1</v>
      </c>
      <c r="F4" s="91"/>
      <c r="G4" s="91"/>
    </row>
    <row r="5" spans="2:7" x14ac:dyDescent="0.35">
      <c r="B5" s="71" t="s">
        <v>2</v>
      </c>
      <c r="C5" s="72">
        <f>J23</f>
        <v>4751.55</v>
      </c>
      <c r="F5" s="92"/>
      <c r="G5" s="92"/>
    </row>
    <row r="6" spans="2:7" x14ac:dyDescent="0.35">
      <c r="B6" s="71" t="s">
        <v>7</v>
      </c>
      <c r="C6" s="72">
        <f>J4</f>
        <v>0</v>
      </c>
      <c r="F6" s="92"/>
      <c r="G6" s="92"/>
    </row>
    <row r="7" spans="2:7" x14ac:dyDescent="0.35">
      <c r="B7" s="71" t="s">
        <v>13</v>
      </c>
      <c r="C7" s="72">
        <f>J50</f>
        <v>124.05</v>
      </c>
      <c r="F7" s="92"/>
      <c r="G7" s="92"/>
    </row>
    <row r="8" spans="2:7" x14ac:dyDescent="0.35">
      <c r="B8" s="71" t="s">
        <v>3</v>
      </c>
      <c r="C8" s="72">
        <f>J78</f>
        <v>0</v>
      </c>
      <c r="F8" s="92"/>
      <c r="G8" s="92"/>
    </row>
    <row r="9" spans="2:7" x14ac:dyDescent="0.35">
      <c r="B9" s="71" t="s">
        <v>4</v>
      </c>
      <c r="C9" s="72">
        <f>J122</f>
        <v>103.42000000000002</v>
      </c>
      <c r="F9" s="92"/>
      <c r="G9" s="92"/>
    </row>
    <row r="10" spans="2:7" x14ac:dyDescent="0.35">
      <c r="B10" s="71" t="s">
        <v>199</v>
      </c>
      <c r="C10" s="72">
        <f>J176</f>
        <v>0</v>
      </c>
      <c r="F10" s="92"/>
      <c r="G10" s="92"/>
    </row>
    <row r="11" spans="2:7" x14ac:dyDescent="0.35">
      <c r="B11" s="71" t="s">
        <v>200</v>
      </c>
      <c r="C11" s="72">
        <f>J187</f>
        <v>0</v>
      </c>
      <c r="F11" s="92"/>
      <c r="G11" s="92"/>
    </row>
    <row r="12" spans="2:7" x14ac:dyDescent="0.35">
      <c r="B12" s="71" t="s">
        <v>201</v>
      </c>
      <c r="C12" s="72">
        <f>J193</f>
        <v>0</v>
      </c>
      <c r="F12" s="92"/>
      <c r="G12" s="92"/>
    </row>
    <row r="13" spans="2:7" x14ac:dyDescent="0.35">
      <c r="B13" s="71" t="s">
        <v>202</v>
      </c>
      <c r="C13" s="72">
        <f>J195</f>
        <v>0</v>
      </c>
      <c r="F13" s="92"/>
      <c r="G13" s="92"/>
    </row>
    <row r="14" spans="2:7" x14ac:dyDescent="0.35">
      <c r="B14" s="71" t="s">
        <v>203</v>
      </c>
      <c r="C14" s="72">
        <f>J208</f>
        <v>0</v>
      </c>
      <c r="F14" s="92"/>
      <c r="G14" s="92"/>
    </row>
    <row r="15" spans="2:7" x14ac:dyDescent="0.35">
      <c r="B15" s="71" t="s">
        <v>12</v>
      </c>
      <c r="C15" s="72">
        <f>J214</f>
        <v>0</v>
      </c>
      <c r="F15" s="92"/>
      <c r="G15" s="92"/>
    </row>
    <row r="16" spans="2:7" x14ac:dyDescent="0.35">
      <c r="B16" s="71" t="s">
        <v>204</v>
      </c>
      <c r="C16" s="72">
        <f>J222</f>
        <v>0</v>
      </c>
      <c r="F16" s="92"/>
      <c r="G16" s="92"/>
    </row>
    <row r="17" spans="1:11" x14ac:dyDescent="0.35">
      <c r="B17" s="71" t="s">
        <v>9</v>
      </c>
      <c r="C17" s="72">
        <f>J224</f>
        <v>0</v>
      </c>
      <c r="F17" s="92"/>
      <c r="G17" s="92"/>
    </row>
    <row r="18" spans="1:11" x14ac:dyDescent="0.35">
      <c r="B18" s="71" t="s">
        <v>205</v>
      </c>
      <c r="C18" s="72">
        <f>J245</f>
        <v>29.849999999999998</v>
      </c>
      <c r="F18" s="92"/>
      <c r="G18" s="92"/>
    </row>
    <row r="19" spans="1:11" x14ac:dyDescent="0.35">
      <c r="B19" s="71" t="s">
        <v>56</v>
      </c>
      <c r="C19" s="72">
        <f>J257</f>
        <v>0</v>
      </c>
      <c r="F19" s="92"/>
      <c r="G19" s="92"/>
    </row>
    <row r="20" spans="1:11" x14ac:dyDescent="0.35">
      <c r="B20" s="73" t="s">
        <v>14</v>
      </c>
      <c r="C20" s="74">
        <f>C5+C6+C7+C8+C9+C10+C11+C12+C13+C14+C15+C16+C17+C18+C19</f>
        <v>5008.8700000000008</v>
      </c>
      <c r="F20" s="93"/>
      <c r="G20" s="93"/>
    </row>
    <row r="21" spans="1:11" ht="18.75" customHeight="1" x14ac:dyDescent="0.45">
      <c r="A21" s="76" t="s">
        <v>207</v>
      </c>
      <c r="B21" s="76"/>
      <c r="C21" s="76"/>
      <c r="D21" s="76"/>
      <c r="E21" s="167"/>
      <c r="F21" s="76"/>
      <c r="G21" s="76"/>
      <c r="H21" s="76"/>
      <c r="I21" s="262"/>
      <c r="J21" s="76"/>
    </row>
    <row r="22" spans="1:11" ht="14.25" customHeight="1" x14ac:dyDescent="0.35">
      <c r="A22" s="129"/>
      <c r="B22" s="129" t="s">
        <v>15</v>
      </c>
      <c r="C22" s="129" t="s">
        <v>16</v>
      </c>
      <c r="D22" s="130" t="s">
        <v>398</v>
      </c>
      <c r="E22" s="168" t="s">
        <v>401</v>
      </c>
      <c r="F22" s="130" t="s">
        <v>399</v>
      </c>
      <c r="G22" s="164" t="s">
        <v>400</v>
      </c>
      <c r="H22" s="132" t="s">
        <v>406</v>
      </c>
      <c r="I22" s="341" t="s">
        <v>45</v>
      </c>
      <c r="J22" s="132" t="s">
        <v>402</v>
      </c>
    </row>
    <row r="23" spans="1:11" s="6" customFormat="1" ht="15.5" x14ac:dyDescent="0.35">
      <c r="A23" s="108" t="s">
        <v>208</v>
      </c>
      <c r="B23" s="108"/>
      <c r="C23" s="108"/>
      <c r="D23" s="108"/>
      <c r="E23" s="169" t="s">
        <v>421</v>
      </c>
      <c r="F23" s="108"/>
      <c r="G23" s="108"/>
      <c r="H23" s="108"/>
      <c r="I23" s="110" t="s">
        <v>18</v>
      </c>
      <c r="J23" s="107">
        <f>SUM(J24:J40)</f>
        <v>4751.55</v>
      </c>
    </row>
    <row r="24" spans="1:11" x14ac:dyDescent="0.35">
      <c r="A24" s="103"/>
      <c r="B24" s="7" t="s">
        <v>2</v>
      </c>
      <c r="C24" s="14" t="s">
        <v>19</v>
      </c>
      <c r="D24" s="152">
        <v>2</v>
      </c>
      <c r="E24" s="170">
        <v>1</v>
      </c>
      <c r="F24" s="95"/>
      <c r="G24" s="153">
        <f>IF(E24="","",IF(D24-E24&gt;0,D24-E24,""))</f>
        <v>1</v>
      </c>
      <c r="H24" s="10" t="s">
        <v>20</v>
      </c>
      <c r="I24" s="331">
        <v>55.95</v>
      </c>
      <c r="J24" s="12">
        <f t="shared" ref="J24:J40" si="0">E24*I24</f>
        <v>55.95</v>
      </c>
      <c r="K24" s="13"/>
    </row>
    <row r="25" spans="1:11" hidden="1" x14ac:dyDescent="0.35">
      <c r="A25" s="103"/>
      <c r="B25" s="7" t="s">
        <v>2</v>
      </c>
      <c r="C25" s="14" t="s">
        <v>209</v>
      </c>
      <c r="D25" s="152"/>
      <c r="E25" s="170"/>
      <c r="F25" s="95"/>
      <c r="G25" s="153" t="str">
        <f t="shared" ref="G25:G88" si="1">IF(E25="","",IF(D25-E25&gt;0,D25-E25,""))</f>
        <v/>
      </c>
      <c r="H25" s="10" t="s">
        <v>20</v>
      </c>
      <c r="I25" s="331">
        <v>173.1</v>
      </c>
      <c r="J25" s="12">
        <f t="shared" si="0"/>
        <v>0</v>
      </c>
      <c r="K25" s="13"/>
    </row>
    <row r="26" spans="1:11" x14ac:dyDescent="0.35">
      <c r="A26" s="103"/>
      <c r="B26" s="12" t="s">
        <v>2</v>
      </c>
      <c r="C26" s="10" t="s">
        <v>21</v>
      </c>
      <c r="D26" s="152">
        <v>15</v>
      </c>
      <c r="E26" s="170">
        <v>33</v>
      </c>
      <c r="F26" s="95"/>
      <c r="G26" s="153" t="str">
        <f t="shared" si="1"/>
        <v/>
      </c>
      <c r="H26" s="10" t="s">
        <v>20</v>
      </c>
      <c r="I26" s="331">
        <v>75.400000000000006</v>
      </c>
      <c r="J26" s="12">
        <f t="shared" si="0"/>
        <v>2488.2000000000003</v>
      </c>
      <c r="K26" s="13"/>
    </row>
    <row r="27" spans="1:11" ht="14.5" customHeight="1" x14ac:dyDescent="0.35">
      <c r="A27" s="103"/>
      <c r="B27" s="12" t="s">
        <v>2</v>
      </c>
      <c r="C27" s="10" t="s">
        <v>210</v>
      </c>
      <c r="D27" s="152">
        <v>15</v>
      </c>
      <c r="E27" s="170">
        <v>26</v>
      </c>
      <c r="F27" s="95"/>
      <c r="G27" s="153" t="str">
        <f t="shared" si="1"/>
        <v/>
      </c>
      <c r="H27" s="10" t="s">
        <v>20</v>
      </c>
      <c r="I27" s="331">
        <v>84.9</v>
      </c>
      <c r="J27" s="12">
        <f t="shared" si="0"/>
        <v>2207.4</v>
      </c>
      <c r="K27" s="13"/>
    </row>
    <row r="28" spans="1:11" ht="14.5" hidden="1" customHeight="1" x14ac:dyDescent="0.35">
      <c r="A28" s="103"/>
      <c r="B28" s="12" t="s">
        <v>2</v>
      </c>
      <c r="C28" s="10" t="s">
        <v>211</v>
      </c>
      <c r="D28" s="152"/>
      <c r="E28" s="170"/>
      <c r="F28" s="95"/>
      <c r="G28" s="153" t="str">
        <f t="shared" si="1"/>
        <v/>
      </c>
      <c r="H28" s="10" t="s">
        <v>20</v>
      </c>
      <c r="I28" s="331">
        <v>2.96</v>
      </c>
      <c r="J28" s="12">
        <f t="shared" si="0"/>
        <v>0</v>
      </c>
      <c r="K28" s="13"/>
    </row>
    <row r="29" spans="1:11" ht="14.5" hidden="1" customHeight="1" x14ac:dyDescent="0.35">
      <c r="A29" s="103"/>
      <c r="B29" s="12" t="s">
        <v>2</v>
      </c>
      <c r="C29" s="10" t="s">
        <v>212</v>
      </c>
      <c r="D29" s="152"/>
      <c r="E29" s="170"/>
      <c r="F29" s="95"/>
      <c r="G29" s="153" t="str">
        <f t="shared" si="1"/>
        <v/>
      </c>
      <c r="H29" s="10" t="s">
        <v>20</v>
      </c>
      <c r="I29" s="331">
        <v>2.96</v>
      </c>
      <c r="J29" s="12">
        <f t="shared" si="0"/>
        <v>0</v>
      </c>
      <c r="K29" s="13"/>
    </row>
    <row r="30" spans="1:11" hidden="1" x14ac:dyDescent="0.35">
      <c r="A30" s="103"/>
      <c r="B30" s="12" t="s">
        <v>2</v>
      </c>
      <c r="C30" s="10" t="s">
        <v>213</v>
      </c>
      <c r="D30" s="152"/>
      <c r="E30" s="170"/>
      <c r="F30" s="95"/>
      <c r="G30" s="153" t="str">
        <f t="shared" si="1"/>
        <v/>
      </c>
      <c r="H30" s="10" t="s">
        <v>20</v>
      </c>
      <c r="I30" s="331">
        <v>2.96</v>
      </c>
      <c r="J30" s="12">
        <f t="shared" si="0"/>
        <v>0</v>
      </c>
      <c r="K30" s="13"/>
    </row>
    <row r="31" spans="1:11" hidden="1" x14ac:dyDescent="0.35">
      <c r="A31" s="103"/>
      <c r="B31" s="7" t="s">
        <v>2</v>
      </c>
      <c r="C31" s="14" t="s">
        <v>22</v>
      </c>
      <c r="D31" s="152"/>
      <c r="E31" s="170"/>
      <c r="F31" s="95"/>
      <c r="G31" s="153" t="str">
        <f t="shared" si="1"/>
        <v/>
      </c>
      <c r="H31" s="10" t="s">
        <v>20</v>
      </c>
      <c r="I31" s="331">
        <v>107.2</v>
      </c>
      <c r="J31" s="12">
        <f t="shared" si="0"/>
        <v>0</v>
      </c>
      <c r="K31" s="13"/>
    </row>
    <row r="32" spans="1:11" ht="14.5" hidden="1" customHeight="1" x14ac:dyDescent="0.35">
      <c r="A32" s="103"/>
      <c r="B32" s="7" t="s">
        <v>2</v>
      </c>
      <c r="C32" s="14" t="s">
        <v>214</v>
      </c>
      <c r="D32" s="152"/>
      <c r="E32" s="170"/>
      <c r="F32" s="95"/>
      <c r="G32" s="153" t="str">
        <f t="shared" si="1"/>
        <v/>
      </c>
      <c r="H32" s="10" t="s">
        <v>20</v>
      </c>
      <c r="I32" s="331">
        <v>170.7</v>
      </c>
      <c r="J32" s="12">
        <f t="shared" si="0"/>
        <v>0</v>
      </c>
      <c r="K32" s="13"/>
    </row>
    <row r="33" spans="1:11" ht="14.5" hidden="1" customHeight="1" x14ac:dyDescent="0.35">
      <c r="A33" s="103"/>
      <c r="B33" s="12" t="s">
        <v>2</v>
      </c>
      <c r="C33" s="10" t="s">
        <v>215</v>
      </c>
      <c r="D33" s="152"/>
      <c r="E33" s="170"/>
      <c r="F33" s="95"/>
      <c r="G33" s="153" t="str">
        <f t="shared" si="1"/>
        <v/>
      </c>
      <c r="H33" s="10" t="s">
        <v>216</v>
      </c>
      <c r="I33" s="331">
        <v>3.77</v>
      </c>
      <c r="J33" s="12">
        <f t="shared" si="0"/>
        <v>0</v>
      </c>
      <c r="K33" s="13"/>
    </row>
    <row r="34" spans="1:11" s="6" customFormat="1" ht="15.65" hidden="1" customHeight="1" x14ac:dyDescent="0.35">
      <c r="A34" s="103"/>
      <c r="B34" s="12" t="s">
        <v>2</v>
      </c>
      <c r="C34" s="10" t="s">
        <v>217</v>
      </c>
      <c r="D34" s="152"/>
      <c r="E34" s="170"/>
      <c r="F34" s="95"/>
      <c r="G34" s="153" t="str">
        <f t="shared" si="1"/>
        <v/>
      </c>
      <c r="H34" s="10" t="s">
        <v>20</v>
      </c>
      <c r="I34" s="331">
        <v>2.56</v>
      </c>
      <c r="J34" s="12">
        <f t="shared" si="0"/>
        <v>0</v>
      </c>
    </row>
    <row r="35" spans="1:11" ht="14.5" hidden="1" customHeight="1" x14ac:dyDescent="0.35">
      <c r="A35" s="103"/>
      <c r="B35" s="12" t="s">
        <v>2</v>
      </c>
      <c r="C35" s="10" t="s">
        <v>218</v>
      </c>
      <c r="D35" s="152"/>
      <c r="E35" s="170"/>
      <c r="F35" s="95"/>
      <c r="G35" s="153" t="str">
        <f t="shared" si="1"/>
        <v/>
      </c>
      <c r="H35" s="10" t="s">
        <v>20</v>
      </c>
      <c r="I35" s="331">
        <v>3.08</v>
      </c>
      <c r="J35" s="12">
        <f t="shared" si="0"/>
        <v>0</v>
      </c>
      <c r="K35" s="13"/>
    </row>
    <row r="36" spans="1:11" ht="14.5" hidden="1" customHeight="1" x14ac:dyDescent="0.35">
      <c r="A36" s="103"/>
      <c r="B36" s="12" t="s">
        <v>2</v>
      </c>
      <c r="C36" s="10" t="s">
        <v>219</v>
      </c>
      <c r="D36" s="152"/>
      <c r="E36" s="170"/>
      <c r="F36" s="95"/>
      <c r="G36" s="153" t="str">
        <f t="shared" si="1"/>
        <v/>
      </c>
      <c r="H36" s="10" t="s">
        <v>20</v>
      </c>
      <c r="I36" s="331">
        <v>2.56</v>
      </c>
      <c r="J36" s="12">
        <f t="shared" si="0"/>
        <v>0</v>
      </c>
      <c r="K36" s="13"/>
    </row>
    <row r="37" spans="1:11" hidden="1" x14ac:dyDescent="0.35">
      <c r="A37" s="103"/>
      <c r="B37" s="12" t="s">
        <v>2</v>
      </c>
      <c r="C37" s="10" t="s">
        <v>220</v>
      </c>
      <c r="D37" s="152"/>
      <c r="E37" s="170"/>
      <c r="F37" s="95"/>
      <c r="G37" s="153" t="str">
        <f t="shared" si="1"/>
        <v/>
      </c>
      <c r="H37" s="10" t="s">
        <v>20</v>
      </c>
      <c r="I37" s="331">
        <v>1.41</v>
      </c>
      <c r="J37" s="12">
        <f t="shared" si="0"/>
        <v>0</v>
      </c>
      <c r="K37" s="13"/>
    </row>
    <row r="38" spans="1:11" hidden="1" x14ac:dyDescent="0.35">
      <c r="A38" s="103"/>
      <c r="B38" s="12" t="s">
        <v>2</v>
      </c>
      <c r="C38" s="10" t="s">
        <v>221</v>
      </c>
      <c r="D38" s="152"/>
      <c r="E38" s="170"/>
      <c r="F38" s="95"/>
      <c r="G38" s="153" t="str">
        <f t="shared" si="1"/>
        <v/>
      </c>
      <c r="H38" s="10" t="s">
        <v>20</v>
      </c>
      <c r="I38" s="331">
        <v>1.73</v>
      </c>
      <c r="J38" s="12">
        <f t="shared" si="0"/>
        <v>0</v>
      </c>
      <c r="K38" s="13"/>
    </row>
    <row r="39" spans="1:11" hidden="1" x14ac:dyDescent="0.35">
      <c r="A39" s="103"/>
      <c r="B39" s="12" t="s">
        <v>2</v>
      </c>
      <c r="C39" s="10" t="s">
        <v>222</v>
      </c>
      <c r="D39" s="152"/>
      <c r="E39" s="170"/>
      <c r="F39" s="95"/>
      <c r="G39" s="153" t="str">
        <f t="shared" si="1"/>
        <v/>
      </c>
      <c r="H39" s="10" t="s">
        <v>20</v>
      </c>
      <c r="I39" s="331">
        <v>1.46</v>
      </c>
      <c r="J39" s="12">
        <f t="shared" si="0"/>
        <v>0</v>
      </c>
      <c r="K39" s="13"/>
    </row>
    <row r="40" spans="1:11" ht="14.5" hidden="1" customHeight="1" x14ac:dyDescent="0.35">
      <c r="A40" s="103"/>
      <c r="B40" s="12" t="s">
        <v>2</v>
      </c>
      <c r="C40" s="10" t="s">
        <v>223</v>
      </c>
      <c r="D40" s="222"/>
      <c r="E40" s="170"/>
      <c r="F40" s="141"/>
      <c r="G40" s="153" t="str">
        <f t="shared" si="1"/>
        <v/>
      </c>
      <c r="H40" s="10" t="s">
        <v>20</v>
      </c>
      <c r="I40" s="332">
        <v>3.45</v>
      </c>
      <c r="J40" s="12">
        <f t="shared" si="0"/>
        <v>0</v>
      </c>
      <c r="K40" s="13"/>
    </row>
    <row r="41" spans="1:11" s="6" customFormat="1" ht="15.65" customHeight="1" x14ac:dyDescent="0.35">
      <c r="A41" s="108" t="s">
        <v>119</v>
      </c>
      <c r="B41" s="108"/>
      <c r="C41" s="108"/>
      <c r="D41" s="223"/>
      <c r="E41" s="169"/>
      <c r="F41" s="109"/>
      <c r="G41" s="165" t="str">
        <f t="shared" si="1"/>
        <v/>
      </c>
      <c r="H41" s="108"/>
      <c r="I41" s="106" t="s">
        <v>18</v>
      </c>
      <c r="J41" s="107">
        <f>SUM(J42:J49)</f>
        <v>3055</v>
      </c>
    </row>
    <row r="42" spans="1:11" ht="14.5" customHeight="1" x14ac:dyDescent="0.35">
      <c r="A42" s="103"/>
      <c r="B42" s="12" t="s">
        <v>7</v>
      </c>
      <c r="C42" s="10" t="s">
        <v>224</v>
      </c>
      <c r="D42" s="152"/>
      <c r="E42" s="166">
        <f>E24</f>
        <v>1</v>
      </c>
      <c r="F42" s="95"/>
      <c r="G42" s="153" t="str">
        <f t="shared" si="1"/>
        <v/>
      </c>
      <c r="H42" s="10" t="s">
        <v>20</v>
      </c>
      <c r="I42" s="331">
        <v>100</v>
      </c>
      <c r="J42" s="12">
        <f t="shared" ref="J42:J49" si="2">E42*I42</f>
        <v>100</v>
      </c>
      <c r="K42" s="13"/>
    </row>
    <row r="43" spans="1:11" hidden="1" x14ac:dyDescent="0.35">
      <c r="A43" s="103"/>
      <c r="B43" s="12" t="s">
        <v>7</v>
      </c>
      <c r="C43" s="10" t="s">
        <v>225</v>
      </c>
      <c r="D43" s="152"/>
      <c r="E43" s="170"/>
      <c r="F43" s="95"/>
      <c r="G43" s="153" t="str">
        <f t="shared" si="1"/>
        <v/>
      </c>
      <c r="H43" s="10" t="s">
        <v>20</v>
      </c>
      <c r="I43" s="331">
        <v>12.2</v>
      </c>
      <c r="J43" s="12">
        <f t="shared" si="2"/>
        <v>0</v>
      </c>
      <c r="K43" s="13"/>
    </row>
    <row r="44" spans="1:11" ht="14.5" hidden="1" customHeight="1" x14ac:dyDescent="0.35">
      <c r="A44" s="103"/>
      <c r="B44" s="12" t="s">
        <v>7</v>
      </c>
      <c r="C44" s="10" t="s">
        <v>226</v>
      </c>
      <c r="D44" s="152"/>
      <c r="E44" s="170"/>
      <c r="F44" s="95"/>
      <c r="G44" s="153" t="str">
        <f t="shared" si="1"/>
        <v/>
      </c>
      <c r="H44" s="10" t="s">
        <v>20</v>
      </c>
      <c r="I44" s="331">
        <v>11</v>
      </c>
      <c r="J44" s="12">
        <f t="shared" si="2"/>
        <v>0</v>
      </c>
      <c r="K44" s="88"/>
    </row>
    <row r="45" spans="1:11" hidden="1" x14ac:dyDescent="0.35">
      <c r="A45" s="103"/>
      <c r="B45" s="12" t="s">
        <v>7</v>
      </c>
      <c r="C45" s="10" t="s">
        <v>227</v>
      </c>
      <c r="D45" s="152"/>
      <c r="E45" s="170"/>
      <c r="F45" s="95"/>
      <c r="G45" s="153" t="str">
        <f t="shared" si="1"/>
        <v/>
      </c>
      <c r="H45" s="10" t="s">
        <v>20</v>
      </c>
      <c r="I45" s="331">
        <v>5</v>
      </c>
      <c r="J45" s="12">
        <f t="shared" si="2"/>
        <v>0</v>
      </c>
      <c r="K45" s="13" t="s">
        <v>47</v>
      </c>
    </row>
    <row r="46" spans="1:11" x14ac:dyDescent="0.35">
      <c r="A46" s="103"/>
      <c r="B46" s="12" t="s">
        <v>7</v>
      </c>
      <c r="C46" s="10" t="s">
        <v>46</v>
      </c>
      <c r="D46" s="152"/>
      <c r="E46" s="170">
        <v>1</v>
      </c>
      <c r="F46" s="95"/>
      <c r="G46" s="153" t="str">
        <f t="shared" si="1"/>
        <v/>
      </c>
      <c r="H46" s="10" t="s">
        <v>20</v>
      </c>
      <c r="I46" s="331">
        <v>5</v>
      </c>
      <c r="J46" s="12">
        <f t="shared" si="2"/>
        <v>5</v>
      </c>
      <c r="K46" s="13"/>
    </row>
    <row r="47" spans="1:11" ht="14.5" hidden="1" customHeight="1" x14ac:dyDescent="0.35">
      <c r="A47" s="103"/>
      <c r="B47" s="12" t="s">
        <v>7</v>
      </c>
      <c r="C47" s="10" t="s">
        <v>228</v>
      </c>
      <c r="D47" s="152"/>
      <c r="E47" s="170"/>
      <c r="F47" s="95"/>
      <c r="G47" s="153" t="str">
        <f t="shared" si="1"/>
        <v/>
      </c>
      <c r="H47" s="10" t="s">
        <v>20</v>
      </c>
      <c r="I47" s="331">
        <v>11</v>
      </c>
      <c r="J47" s="12">
        <f t="shared" si="2"/>
        <v>0</v>
      </c>
      <c r="K47" s="13"/>
    </row>
    <row r="48" spans="1:11" ht="16.399999999999999" customHeight="1" x14ac:dyDescent="0.35">
      <c r="A48" s="103"/>
      <c r="B48" s="12" t="s">
        <v>7</v>
      </c>
      <c r="C48" s="10" t="s">
        <v>229</v>
      </c>
      <c r="D48" s="152"/>
      <c r="E48" s="166">
        <f>E26+E27</f>
        <v>59</v>
      </c>
      <c r="F48" s="95"/>
      <c r="G48" s="153" t="str">
        <f t="shared" si="1"/>
        <v/>
      </c>
      <c r="H48" s="10" t="s">
        <v>20</v>
      </c>
      <c r="I48" s="331">
        <v>50</v>
      </c>
      <c r="J48" s="12">
        <f t="shared" si="2"/>
        <v>2950</v>
      </c>
      <c r="K48" s="13"/>
    </row>
    <row r="49" spans="1:11" hidden="1" x14ac:dyDescent="0.35">
      <c r="A49" s="103"/>
      <c r="B49" s="12" t="s">
        <v>7</v>
      </c>
      <c r="C49" s="78" t="s">
        <v>206</v>
      </c>
      <c r="D49" s="224"/>
      <c r="E49" s="170"/>
      <c r="F49" s="142"/>
      <c r="G49" s="153" t="str">
        <f t="shared" si="1"/>
        <v/>
      </c>
      <c r="H49" s="10" t="s">
        <v>20</v>
      </c>
      <c r="I49" s="333">
        <v>5</v>
      </c>
      <c r="J49" s="12">
        <f t="shared" si="2"/>
        <v>0</v>
      </c>
      <c r="K49" s="13"/>
    </row>
    <row r="50" spans="1:11" ht="14.5" customHeight="1" x14ac:dyDescent="0.35">
      <c r="A50" s="103"/>
      <c r="B50" s="104" t="s">
        <v>230</v>
      </c>
      <c r="C50" s="105"/>
      <c r="D50" s="225"/>
      <c r="E50" s="171"/>
      <c r="F50" s="143"/>
      <c r="G50" s="165" t="str">
        <f t="shared" si="1"/>
        <v/>
      </c>
      <c r="H50" s="105"/>
      <c r="I50" s="106" t="s">
        <v>18</v>
      </c>
      <c r="J50" s="107">
        <f>SUM(J52:J77)</f>
        <v>124.05</v>
      </c>
      <c r="K50" s="13"/>
    </row>
    <row r="51" spans="1:11" ht="14.5" customHeight="1" x14ac:dyDescent="0.35">
      <c r="A51" s="111"/>
      <c r="B51" s="126" t="s">
        <v>231</v>
      </c>
      <c r="C51" s="127"/>
      <c r="D51" s="226"/>
      <c r="E51" s="172"/>
      <c r="F51" s="144"/>
      <c r="G51" s="165" t="str">
        <f t="shared" si="1"/>
        <v/>
      </c>
      <c r="H51" s="127"/>
      <c r="I51" s="239"/>
      <c r="J51" s="128"/>
      <c r="K51" s="13"/>
    </row>
    <row r="52" spans="1:11" ht="14.5" hidden="1" customHeight="1" x14ac:dyDescent="0.35">
      <c r="A52" s="103"/>
      <c r="B52" s="12" t="s">
        <v>13</v>
      </c>
      <c r="C52" s="10" t="s">
        <v>78</v>
      </c>
      <c r="D52" s="152"/>
      <c r="E52" s="170"/>
      <c r="F52" s="95"/>
      <c r="G52" s="153" t="str">
        <f t="shared" si="1"/>
        <v/>
      </c>
      <c r="H52" s="10" t="s">
        <v>20</v>
      </c>
      <c r="I52" s="331">
        <v>13</v>
      </c>
      <c r="J52" s="12">
        <f t="shared" ref="J52:J58" si="3">E52*I52</f>
        <v>0</v>
      </c>
      <c r="K52" s="13"/>
    </row>
    <row r="53" spans="1:11" ht="15.75" hidden="1" customHeight="1" x14ac:dyDescent="0.35">
      <c r="A53" s="103"/>
      <c r="B53" s="12" t="s">
        <v>13</v>
      </c>
      <c r="C53" s="10" t="s">
        <v>232</v>
      </c>
      <c r="D53" s="152"/>
      <c r="E53" s="170"/>
      <c r="F53" s="95"/>
      <c r="G53" s="153" t="str">
        <f t="shared" si="1"/>
        <v/>
      </c>
      <c r="H53" s="10" t="s">
        <v>20</v>
      </c>
      <c r="I53" s="331">
        <v>13</v>
      </c>
      <c r="J53" s="12">
        <f t="shared" si="3"/>
        <v>0</v>
      </c>
      <c r="K53" s="134"/>
    </row>
    <row r="54" spans="1:11" hidden="1" x14ac:dyDescent="0.35">
      <c r="A54" s="103"/>
      <c r="B54" s="12" t="s">
        <v>13</v>
      </c>
      <c r="C54" s="10" t="s">
        <v>233</v>
      </c>
      <c r="D54" s="152"/>
      <c r="E54" s="170"/>
      <c r="F54" s="95"/>
      <c r="G54" s="153" t="str">
        <f t="shared" si="1"/>
        <v/>
      </c>
      <c r="H54" s="10" t="s">
        <v>20</v>
      </c>
      <c r="I54" s="331">
        <v>8.9</v>
      </c>
      <c r="J54" s="12">
        <f t="shared" si="3"/>
        <v>0</v>
      </c>
      <c r="K54" s="13"/>
    </row>
    <row r="55" spans="1:11" x14ac:dyDescent="0.35">
      <c r="A55" s="103"/>
      <c r="B55" s="12" t="s">
        <v>13</v>
      </c>
      <c r="C55" s="10" t="s">
        <v>32</v>
      </c>
      <c r="D55" s="152">
        <v>6</v>
      </c>
      <c r="E55" s="170">
        <v>1</v>
      </c>
      <c r="F55" s="95"/>
      <c r="G55" s="153">
        <f t="shared" si="1"/>
        <v>5</v>
      </c>
      <c r="H55" s="10" t="s">
        <v>20</v>
      </c>
      <c r="I55" s="331">
        <v>8.35</v>
      </c>
      <c r="J55" s="12">
        <f t="shared" si="3"/>
        <v>8.35</v>
      </c>
      <c r="K55" s="13"/>
    </row>
    <row r="56" spans="1:11" s="6" customFormat="1" ht="15.65" customHeight="1" x14ac:dyDescent="0.35">
      <c r="A56" s="103"/>
      <c r="B56" s="12" t="s">
        <v>13</v>
      </c>
      <c r="C56" s="10" t="s">
        <v>33</v>
      </c>
      <c r="D56" s="152">
        <v>6</v>
      </c>
      <c r="E56" s="170">
        <v>13</v>
      </c>
      <c r="F56" s="95"/>
      <c r="G56" s="153" t="str">
        <f t="shared" si="1"/>
        <v/>
      </c>
      <c r="H56" s="10" t="s">
        <v>20</v>
      </c>
      <c r="I56" s="331">
        <v>8.9</v>
      </c>
      <c r="J56" s="12">
        <f t="shared" si="3"/>
        <v>115.7</v>
      </c>
    </row>
    <row r="57" spans="1:11" s="6" customFormat="1" ht="15.65" customHeight="1" x14ac:dyDescent="0.35">
      <c r="A57" s="103"/>
      <c r="B57" s="12" t="s">
        <v>13</v>
      </c>
      <c r="C57" s="10" t="s">
        <v>59</v>
      </c>
      <c r="D57" s="152">
        <v>6</v>
      </c>
      <c r="E57" s="170"/>
      <c r="F57" s="95"/>
      <c r="G57" s="153" t="str">
        <f t="shared" si="1"/>
        <v/>
      </c>
      <c r="H57" s="10" t="s">
        <v>20</v>
      </c>
      <c r="I57" s="331">
        <v>8.6999999999999993</v>
      </c>
      <c r="J57" s="12">
        <f t="shared" si="3"/>
        <v>0</v>
      </c>
    </row>
    <row r="58" spans="1:11" ht="14.5" customHeight="1" x14ac:dyDescent="0.35">
      <c r="A58" s="103"/>
      <c r="B58" s="12" t="s">
        <v>13</v>
      </c>
      <c r="C58" s="10" t="s">
        <v>234</v>
      </c>
      <c r="D58" s="152"/>
      <c r="E58" s="170"/>
      <c r="F58" s="95"/>
      <c r="G58" s="153" t="str">
        <f t="shared" si="1"/>
        <v/>
      </c>
      <c r="H58" s="10" t="s">
        <v>20</v>
      </c>
      <c r="I58" s="331">
        <v>12.15</v>
      </c>
      <c r="J58" s="12">
        <f t="shared" si="3"/>
        <v>0</v>
      </c>
      <c r="K58" s="13"/>
    </row>
    <row r="59" spans="1:11" ht="14.5" hidden="1" customHeight="1" x14ac:dyDescent="0.35">
      <c r="A59" s="103"/>
      <c r="B59" s="12" t="s">
        <v>13</v>
      </c>
      <c r="C59" s="10" t="s">
        <v>235</v>
      </c>
      <c r="D59" s="152"/>
      <c r="E59" s="170"/>
      <c r="F59" s="95"/>
      <c r="G59" s="153" t="str">
        <f t="shared" si="1"/>
        <v/>
      </c>
      <c r="H59" s="10" t="s">
        <v>20</v>
      </c>
      <c r="I59" s="331">
        <v>11.35</v>
      </c>
      <c r="J59" s="12">
        <f t="shared" ref="J59:J64" si="4">E59*I59</f>
        <v>0</v>
      </c>
      <c r="K59" s="13"/>
    </row>
    <row r="60" spans="1:11" s="6" customFormat="1" ht="15.65" hidden="1" customHeight="1" x14ac:dyDescent="0.35">
      <c r="A60" s="103"/>
      <c r="B60" s="12" t="s">
        <v>13</v>
      </c>
      <c r="C60" s="10" t="s">
        <v>236</v>
      </c>
      <c r="D60" s="152"/>
      <c r="E60" s="170"/>
      <c r="F60" s="95"/>
      <c r="G60" s="153" t="str">
        <f t="shared" si="1"/>
        <v/>
      </c>
      <c r="H60" s="10" t="s">
        <v>20</v>
      </c>
      <c r="I60" s="331">
        <v>14.65</v>
      </c>
      <c r="J60" s="12">
        <f t="shared" si="4"/>
        <v>0</v>
      </c>
    </row>
    <row r="61" spans="1:11" ht="14.5" hidden="1" customHeight="1" x14ac:dyDescent="0.35">
      <c r="A61" s="103"/>
      <c r="B61" s="12" t="s">
        <v>13</v>
      </c>
      <c r="C61" s="10" t="s">
        <v>237</v>
      </c>
      <c r="D61" s="152"/>
      <c r="E61" s="170"/>
      <c r="F61" s="95"/>
      <c r="G61" s="153" t="str">
        <f t="shared" si="1"/>
        <v/>
      </c>
      <c r="H61" s="10" t="s">
        <v>20</v>
      </c>
      <c r="I61" s="331">
        <v>16.25</v>
      </c>
      <c r="J61" s="12">
        <f t="shared" si="4"/>
        <v>0</v>
      </c>
      <c r="K61" s="13"/>
    </row>
    <row r="62" spans="1:11" s="6" customFormat="1" ht="15.5" hidden="1" x14ac:dyDescent="0.35">
      <c r="A62" s="103"/>
      <c r="B62" s="12" t="s">
        <v>13</v>
      </c>
      <c r="C62" s="10" t="s">
        <v>238</v>
      </c>
      <c r="D62" s="152"/>
      <c r="E62" s="170"/>
      <c r="F62" s="95"/>
      <c r="G62" s="153" t="str">
        <f t="shared" si="1"/>
        <v/>
      </c>
      <c r="H62" s="10" t="s">
        <v>20</v>
      </c>
      <c r="I62" s="331">
        <v>17.899999999999999</v>
      </c>
      <c r="J62" s="12">
        <f t="shared" si="4"/>
        <v>0</v>
      </c>
    </row>
    <row r="63" spans="1:11" hidden="1" x14ac:dyDescent="0.35">
      <c r="A63" s="103"/>
      <c r="B63" s="12" t="s">
        <v>13</v>
      </c>
      <c r="C63" s="10" t="s">
        <v>239</v>
      </c>
      <c r="D63" s="152"/>
      <c r="E63" s="170"/>
      <c r="F63" s="95"/>
      <c r="G63" s="153" t="str">
        <f t="shared" si="1"/>
        <v/>
      </c>
      <c r="H63" s="10" t="s">
        <v>20</v>
      </c>
      <c r="I63" s="331">
        <v>15.95</v>
      </c>
      <c r="J63" s="12">
        <f t="shared" si="4"/>
        <v>0</v>
      </c>
      <c r="K63" s="13"/>
    </row>
    <row r="64" spans="1:11" ht="14.5" hidden="1" customHeight="1" x14ac:dyDescent="0.35">
      <c r="A64" s="103"/>
      <c r="B64" s="12" t="s">
        <v>13</v>
      </c>
      <c r="C64" s="10" t="s">
        <v>240</v>
      </c>
      <c r="D64" s="152"/>
      <c r="E64" s="170"/>
      <c r="F64" s="95"/>
      <c r="G64" s="153" t="str">
        <f t="shared" si="1"/>
        <v/>
      </c>
      <c r="H64" s="10" t="s">
        <v>20</v>
      </c>
      <c r="I64" s="331">
        <v>15.45</v>
      </c>
      <c r="J64" s="12">
        <f t="shared" si="4"/>
        <v>0</v>
      </c>
      <c r="K64" s="13"/>
    </row>
    <row r="65" spans="1:11" s="6" customFormat="1" ht="15.65" hidden="1" customHeight="1" x14ac:dyDescent="0.35">
      <c r="A65" s="111"/>
      <c r="B65" s="126" t="s">
        <v>241</v>
      </c>
      <c r="C65" s="127"/>
      <c r="D65" s="226"/>
      <c r="E65" s="172"/>
      <c r="F65" s="144"/>
      <c r="G65" s="153" t="str">
        <f t="shared" si="1"/>
        <v/>
      </c>
      <c r="H65" s="127"/>
      <c r="I65" s="239"/>
      <c r="J65" s="128"/>
    </row>
    <row r="66" spans="1:11" ht="14.5" hidden="1" customHeight="1" x14ac:dyDescent="0.35">
      <c r="A66" s="103"/>
      <c r="B66" s="12" t="s">
        <v>13</v>
      </c>
      <c r="C66" s="10" t="s">
        <v>242</v>
      </c>
      <c r="D66" s="152"/>
      <c r="E66" s="170"/>
      <c r="F66" s="95"/>
      <c r="G66" s="153" t="str">
        <f t="shared" si="1"/>
        <v/>
      </c>
      <c r="H66" s="10" t="s">
        <v>20</v>
      </c>
      <c r="I66" s="331">
        <v>31.05</v>
      </c>
      <c r="J66" s="12">
        <f t="shared" ref="J66:J72" si="5">E66*I66</f>
        <v>0</v>
      </c>
      <c r="K66" s="13"/>
    </row>
    <row r="67" spans="1:11" ht="14.5" hidden="1" customHeight="1" x14ac:dyDescent="0.35">
      <c r="A67" s="103"/>
      <c r="B67" s="12" t="s">
        <v>13</v>
      </c>
      <c r="C67" s="10" t="s">
        <v>243</v>
      </c>
      <c r="D67" s="152"/>
      <c r="E67" s="170"/>
      <c r="F67" s="95"/>
      <c r="G67" s="153" t="str">
        <f t="shared" si="1"/>
        <v/>
      </c>
      <c r="H67" s="10" t="s">
        <v>20</v>
      </c>
      <c r="I67" s="331">
        <v>60.79</v>
      </c>
      <c r="J67" s="12">
        <f t="shared" si="5"/>
        <v>0</v>
      </c>
      <c r="K67" s="13"/>
    </row>
    <row r="68" spans="1:11" hidden="1" x14ac:dyDescent="0.35">
      <c r="A68" s="103"/>
      <c r="B68" s="12" t="s">
        <v>13</v>
      </c>
      <c r="C68" s="10" t="s">
        <v>244</v>
      </c>
      <c r="D68" s="152"/>
      <c r="E68" s="170"/>
      <c r="F68" s="95"/>
      <c r="G68" s="153" t="str">
        <f t="shared" si="1"/>
        <v/>
      </c>
      <c r="H68" s="10" t="s">
        <v>20</v>
      </c>
      <c r="I68" s="331">
        <v>56.55</v>
      </c>
      <c r="J68" s="12">
        <f t="shared" si="5"/>
        <v>0</v>
      </c>
      <c r="K68" s="13"/>
    </row>
    <row r="69" spans="1:11" hidden="1" x14ac:dyDescent="0.35">
      <c r="A69" s="103"/>
      <c r="B69" s="12" t="s">
        <v>13</v>
      </c>
      <c r="C69" s="10" t="s">
        <v>245</v>
      </c>
      <c r="D69" s="152"/>
      <c r="E69" s="170"/>
      <c r="F69" s="95"/>
      <c r="G69" s="153" t="str">
        <f t="shared" si="1"/>
        <v/>
      </c>
      <c r="H69" s="10" t="s">
        <v>20</v>
      </c>
      <c r="I69" s="331">
        <v>107.44</v>
      </c>
      <c r="J69" s="12">
        <f t="shared" si="5"/>
        <v>0</v>
      </c>
      <c r="K69" s="13"/>
    </row>
    <row r="70" spans="1:11" ht="14.5" hidden="1" customHeight="1" x14ac:dyDescent="0.35">
      <c r="A70" s="103"/>
      <c r="B70" s="12" t="s">
        <v>13</v>
      </c>
      <c r="C70" s="10" t="s">
        <v>246</v>
      </c>
      <c r="D70" s="152"/>
      <c r="E70" s="170"/>
      <c r="F70" s="95"/>
      <c r="G70" s="153" t="str">
        <f t="shared" si="1"/>
        <v/>
      </c>
      <c r="H70" s="10" t="s">
        <v>20</v>
      </c>
      <c r="I70" s="331">
        <v>47.4</v>
      </c>
      <c r="J70" s="12">
        <f t="shared" si="5"/>
        <v>0</v>
      </c>
      <c r="K70" s="13"/>
    </row>
    <row r="71" spans="1:11" ht="15.65" hidden="1" customHeight="1" x14ac:dyDescent="0.35">
      <c r="A71" s="103"/>
      <c r="B71" s="12" t="s">
        <v>13</v>
      </c>
      <c r="C71" s="10" t="s">
        <v>247</v>
      </c>
      <c r="D71" s="152"/>
      <c r="E71" s="170"/>
      <c r="F71" s="95"/>
      <c r="G71" s="153" t="str">
        <f t="shared" si="1"/>
        <v/>
      </c>
      <c r="H71" s="10" t="s">
        <v>20</v>
      </c>
      <c r="I71" s="331">
        <v>87.63</v>
      </c>
      <c r="J71" s="12">
        <f t="shared" si="5"/>
        <v>0</v>
      </c>
      <c r="K71" s="13"/>
    </row>
    <row r="72" spans="1:11" ht="15.65" hidden="1" customHeight="1" x14ac:dyDescent="0.35">
      <c r="A72" s="103"/>
      <c r="B72" s="12" t="s">
        <v>13</v>
      </c>
      <c r="C72" s="10" t="s">
        <v>248</v>
      </c>
      <c r="D72" s="152"/>
      <c r="E72" s="170"/>
      <c r="F72" s="95"/>
      <c r="G72" s="153" t="str">
        <f t="shared" si="1"/>
        <v/>
      </c>
      <c r="H72" s="10" t="s">
        <v>20</v>
      </c>
      <c r="I72" s="331">
        <v>52.31</v>
      </c>
      <c r="J72" s="12">
        <f t="shared" si="5"/>
        <v>0</v>
      </c>
      <c r="K72" s="13"/>
    </row>
    <row r="73" spans="1:11" ht="16.399999999999999" hidden="1" customHeight="1" x14ac:dyDescent="0.35">
      <c r="A73" s="111"/>
      <c r="B73" s="126" t="s">
        <v>249</v>
      </c>
      <c r="C73" s="127"/>
      <c r="D73" s="226"/>
      <c r="E73" s="172"/>
      <c r="F73" s="144"/>
      <c r="G73" s="153" t="str">
        <f t="shared" si="1"/>
        <v/>
      </c>
      <c r="H73" s="127"/>
      <c r="I73" s="239"/>
      <c r="J73" s="128"/>
      <c r="K73" s="13"/>
    </row>
    <row r="74" spans="1:11" ht="14.5" hidden="1" customHeight="1" x14ac:dyDescent="0.35">
      <c r="A74" s="103"/>
      <c r="B74" s="12" t="s">
        <v>13</v>
      </c>
      <c r="C74" s="10" t="s">
        <v>250</v>
      </c>
      <c r="D74" s="152"/>
      <c r="E74" s="170"/>
      <c r="F74" s="95"/>
      <c r="G74" s="153" t="str">
        <f t="shared" si="1"/>
        <v/>
      </c>
      <c r="H74" s="10" t="s">
        <v>20</v>
      </c>
      <c r="I74" s="331">
        <v>10.8</v>
      </c>
      <c r="J74" s="12">
        <f>E74*I74</f>
        <v>0</v>
      </c>
      <c r="K74" s="13"/>
    </row>
    <row r="75" spans="1:11" ht="14.5" hidden="1" customHeight="1" x14ac:dyDescent="0.35">
      <c r="A75" s="103"/>
      <c r="B75" s="12" t="s">
        <v>13</v>
      </c>
      <c r="C75" s="10" t="s">
        <v>251</v>
      </c>
      <c r="D75" s="152"/>
      <c r="E75" s="170"/>
      <c r="F75" s="95"/>
      <c r="G75" s="153" t="str">
        <f t="shared" si="1"/>
        <v/>
      </c>
      <c r="H75" s="10" t="s">
        <v>20</v>
      </c>
      <c r="I75" s="331">
        <v>11.2</v>
      </c>
      <c r="J75" s="12">
        <f>E75*I75</f>
        <v>0</v>
      </c>
      <c r="K75" s="13"/>
    </row>
    <row r="76" spans="1:11" s="24" customFormat="1" ht="15.65" customHeight="1" x14ac:dyDescent="0.35">
      <c r="A76" s="103"/>
      <c r="B76" s="12" t="s">
        <v>13</v>
      </c>
      <c r="C76" s="10" t="s">
        <v>252</v>
      </c>
      <c r="D76" s="152"/>
      <c r="E76" s="170"/>
      <c r="F76" s="95"/>
      <c r="G76" s="153" t="str">
        <f t="shared" si="1"/>
        <v/>
      </c>
      <c r="H76" s="10" t="s">
        <v>23</v>
      </c>
      <c r="I76" s="331">
        <v>4.5599999999999996</v>
      </c>
      <c r="J76" s="12">
        <f>E76*I76</f>
        <v>0</v>
      </c>
    </row>
    <row r="77" spans="1:11" s="6" customFormat="1" ht="15.65" customHeight="1" x14ac:dyDescent="0.35">
      <c r="A77" s="103"/>
      <c r="B77" s="12" t="s">
        <v>13</v>
      </c>
      <c r="C77" s="10" t="s">
        <v>253</v>
      </c>
      <c r="D77" s="152"/>
      <c r="E77" s="170"/>
      <c r="F77" s="95"/>
      <c r="G77" s="153" t="str">
        <f t="shared" si="1"/>
        <v/>
      </c>
      <c r="H77" s="10" t="s">
        <v>23</v>
      </c>
      <c r="I77" s="331">
        <v>37.700000000000003</v>
      </c>
      <c r="J77" s="12">
        <f>E77*I77</f>
        <v>0</v>
      </c>
    </row>
    <row r="78" spans="1:11" ht="14.5" hidden="1" customHeight="1" x14ac:dyDescent="0.35">
      <c r="A78" s="108" t="s">
        <v>254</v>
      </c>
      <c r="B78" s="108"/>
      <c r="C78" s="108"/>
      <c r="D78" s="223"/>
      <c r="E78" s="169"/>
      <c r="F78" s="109"/>
      <c r="G78" s="153" t="str">
        <f t="shared" si="1"/>
        <v/>
      </c>
      <c r="H78" s="108"/>
      <c r="I78" s="110" t="s">
        <v>18</v>
      </c>
      <c r="J78" s="115">
        <f>SUM(J80:J121)</f>
        <v>0</v>
      </c>
    </row>
    <row r="79" spans="1:11" ht="14.5" hidden="1" customHeight="1" x14ac:dyDescent="0.35">
      <c r="A79" s="111"/>
      <c r="B79" s="126" t="s">
        <v>255</v>
      </c>
      <c r="C79" s="127"/>
      <c r="D79" s="226"/>
      <c r="E79" s="172"/>
      <c r="F79" s="144"/>
      <c r="G79" s="153" t="str">
        <f t="shared" si="1"/>
        <v/>
      </c>
      <c r="H79" s="127"/>
      <c r="I79" s="239"/>
      <c r="J79" s="128"/>
      <c r="K79" s="13"/>
    </row>
    <row r="80" spans="1:11" ht="14.5" hidden="1" customHeight="1" x14ac:dyDescent="0.35">
      <c r="A80" s="103"/>
      <c r="B80" s="12" t="s">
        <v>3</v>
      </c>
      <c r="C80" s="10" t="s">
        <v>256</v>
      </c>
      <c r="D80" s="152"/>
      <c r="E80" s="170"/>
      <c r="F80" s="95"/>
      <c r="G80" s="153" t="str">
        <f t="shared" si="1"/>
        <v/>
      </c>
      <c r="H80" s="10" t="s">
        <v>20</v>
      </c>
      <c r="I80" s="331">
        <v>32.950000000000003</v>
      </c>
      <c r="J80" s="12">
        <f t="shared" ref="J80:J86" si="6">E80*I80</f>
        <v>0</v>
      </c>
      <c r="K80" s="13"/>
    </row>
    <row r="81" spans="1:13" ht="14.5" hidden="1" customHeight="1" x14ac:dyDescent="0.35">
      <c r="A81" s="103"/>
      <c r="B81" s="12" t="s">
        <v>3</v>
      </c>
      <c r="C81" s="10" t="s">
        <v>257</v>
      </c>
      <c r="D81" s="152"/>
      <c r="E81" s="170"/>
      <c r="F81" s="95"/>
      <c r="G81" s="153" t="str">
        <f t="shared" si="1"/>
        <v/>
      </c>
      <c r="H81" s="10" t="s">
        <v>20</v>
      </c>
      <c r="I81" s="331">
        <v>56.95</v>
      </c>
      <c r="J81" s="12">
        <f t="shared" si="6"/>
        <v>0</v>
      </c>
      <c r="K81" s="13" t="s">
        <v>47</v>
      </c>
    </row>
    <row r="82" spans="1:13" ht="14.5" hidden="1" customHeight="1" x14ac:dyDescent="0.35">
      <c r="A82" s="103"/>
      <c r="B82" s="12" t="s">
        <v>3</v>
      </c>
      <c r="C82" s="10" t="s">
        <v>258</v>
      </c>
      <c r="D82" s="152"/>
      <c r="E82" s="170"/>
      <c r="F82" s="95"/>
      <c r="G82" s="153" t="str">
        <f t="shared" si="1"/>
        <v/>
      </c>
      <c r="H82" s="10" t="s">
        <v>20</v>
      </c>
      <c r="I82" s="331">
        <v>15.95</v>
      </c>
      <c r="J82" s="12">
        <f t="shared" si="6"/>
        <v>0</v>
      </c>
    </row>
    <row r="83" spans="1:13" ht="14.5" hidden="1" customHeight="1" x14ac:dyDescent="0.35">
      <c r="A83" s="103"/>
      <c r="B83" s="12" t="s">
        <v>3</v>
      </c>
      <c r="C83" s="10" t="s">
        <v>259</v>
      </c>
      <c r="D83" s="152"/>
      <c r="E83" s="170"/>
      <c r="F83" s="95"/>
      <c r="G83" s="153" t="str">
        <f t="shared" si="1"/>
        <v/>
      </c>
      <c r="H83" s="10" t="s">
        <v>20</v>
      </c>
      <c r="I83" s="331">
        <v>19.95</v>
      </c>
      <c r="J83" s="12">
        <f t="shared" si="6"/>
        <v>0</v>
      </c>
      <c r="K83" s="28"/>
    </row>
    <row r="84" spans="1:13" s="6" customFormat="1" ht="15.65" hidden="1" customHeight="1" x14ac:dyDescent="0.35">
      <c r="A84" s="103"/>
      <c r="B84" s="12" t="s">
        <v>3</v>
      </c>
      <c r="C84" s="10" t="s">
        <v>260</v>
      </c>
      <c r="D84" s="152"/>
      <c r="E84" s="170"/>
      <c r="F84" s="95"/>
      <c r="G84" s="153" t="str">
        <f t="shared" si="1"/>
        <v/>
      </c>
      <c r="H84" s="10" t="s">
        <v>20</v>
      </c>
      <c r="I84" s="331">
        <v>46.95</v>
      </c>
      <c r="J84" s="12">
        <f t="shared" si="6"/>
        <v>0</v>
      </c>
      <c r="K84" s="30"/>
    </row>
    <row r="85" spans="1:13" ht="14.5" hidden="1" customHeight="1" x14ac:dyDescent="0.35">
      <c r="A85" s="103"/>
      <c r="B85" s="12" t="s">
        <v>3</v>
      </c>
      <c r="C85" s="10" t="s">
        <v>261</v>
      </c>
      <c r="D85" s="152"/>
      <c r="E85" s="170"/>
      <c r="F85" s="95"/>
      <c r="G85" s="153" t="str">
        <f t="shared" si="1"/>
        <v/>
      </c>
      <c r="H85" s="10" t="s">
        <v>20</v>
      </c>
      <c r="I85" s="331">
        <v>34.950000000000003</v>
      </c>
      <c r="J85" s="12">
        <f t="shared" si="6"/>
        <v>0</v>
      </c>
      <c r="K85" s="28"/>
    </row>
    <row r="86" spans="1:13" s="6" customFormat="1" ht="15.65" hidden="1" customHeight="1" x14ac:dyDescent="0.35">
      <c r="A86" s="103"/>
      <c r="B86" s="12" t="s">
        <v>3</v>
      </c>
      <c r="C86" s="10" t="s">
        <v>262</v>
      </c>
      <c r="D86" s="152"/>
      <c r="E86" s="170"/>
      <c r="F86" s="95"/>
      <c r="G86" s="153" t="str">
        <f t="shared" si="1"/>
        <v/>
      </c>
      <c r="H86" s="10" t="s">
        <v>20</v>
      </c>
      <c r="I86" s="331">
        <v>24.95</v>
      </c>
      <c r="J86" s="12">
        <f t="shared" si="6"/>
        <v>0</v>
      </c>
    </row>
    <row r="87" spans="1:13" ht="15.5" hidden="1" x14ac:dyDescent="0.35">
      <c r="A87" s="111"/>
      <c r="B87" s="126" t="s">
        <v>263</v>
      </c>
      <c r="C87" s="127"/>
      <c r="D87" s="226"/>
      <c r="E87" s="172"/>
      <c r="F87" s="144"/>
      <c r="G87" s="153" t="str">
        <f t="shared" si="1"/>
        <v/>
      </c>
      <c r="H87" s="127"/>
      <c r="I87" s="239"/>
      <c r="J87" s="128"/>
      <c r="K87" s="28"/>
      <c r="M87" t="s">
        <v>47</v>
      </c>
    </row>
    <row r="88" spans="1:13" hidden="1" x14ac:dyDescent="0.35">
      <c r="A88" s="103"/>
      <c r="B88" s="12" t="s">
        <v>3</v>
      </c>
      <c r="C88" s="10" t="s">
        <v>264</v>
      </c>
      <c r="D88" s="152"/>
      <c r="E88" s="170"/>
      <c r="F88" s="95"/>
      <c r="G88" s="153" t="str">
        <f t="shared" si="1"/>
        <v/>
      </c>
      <c r="H88" s="10" t="s">
        <v>20</v>
      </c>
      <c r="I88" s="331">
        <v>19.5</v>
      </c>
      <c r="J88" s="12">
        <f t="shared" ref="J88:J94" si="7">E88*I88</f>
        <v>0</v>
      </c>
      <c r="K88" s="28"/>
    </row>
    <row r="89" spans="1:13" hidden="1" x14ac:dyDescent="0.35">
      <c r="A89" s="103"/>
      <c r="B89" s="12" t="s">
        <v>3</v>
      </c>
      <c r="C89" s="10" t="s">
        <v>265</v>
      </c>
      <c r="D89" s="152"/>
      <c r="E89" s="170"/>
      <c r="F89" s="95"/>
      <c r="G89" s="153" t="str">
        <f t="shared" ref="G89:G152" si="8">IF(E89="","",IF(D89-E89&gt;0,D89-E89,""))</f>
        <v/>
      </c>
      <c r="H89" s="10" t="s">
        <v>20</v>
      </c>
      <c r="I89" s="331">
        <v>16.95</v>
      </c>
      <c r="J89" s="12">
        <f t="shared" si="7"/>
        <v>0</v>
      </c>
      <c r="K89" s="28"/>
    </row>
    <row r="90" spans="1:13" hidden="1" x14ac:dyDescent="0.35">
      <c r="A90" s="103"/>
      <c r="B90" s="12" t="s">
        <v>3</v>
      </c>
      <c r="C90" s="10" t="s">
        <v>266</v>
      </c>
      <c r="D90" s="152"/>
      <c r="E90" s="170"/>
      <c r="F90" s="95"/>
      <c r="G90" s="153" t="str">
        <f t="shared" si="8"/>
        <v/>
      </c>
      <c r="H90" s="10" t="s">
        <v>20</v>
      </c>
      <c r="I90" s="331">
        <v>17.95</v>
      </c>
      <c r="J90" s="12">
        <f t="shared" si="7"/>
        <v>0</v>
      </c>
      <c r="K90" s="28"/>
    </row>
    <row r="91" spans="1:13" hidden="1" x14ac:dyDescent="0.35">
      <c r="A91" s="103"/>
      <c r="B91" s="12" t="s">
        <v>3</v>
      </c>
      <c r="C91" s="10" t="s">
        <v>267</v>
      </c>
      <c r="D91" s="152"/>
      <c r="E91" s="170"/>
      <c r="F91" s="95"/>
      <c r="G91" s="153" t="str">
        <f t="shared" si="8"/>
        <v/>
      </c>
      <c r="H91" s="10" t="s">
        <v>20</v>
      </c>
      <c r="I91" s="331">
        <v>15.95</v>
      </c>
      <c r="J91" s="12">
        <f t="shared" si="7"/>
        <v>0</v>
      </c>
      <c r="K91" s="28"/>
    </row>
    <row r="92" spans="1:13" s="6" customFormat="1" ht="15.5" hidden="1" x14ac:dyDescent="0.35">
      <c r="A92" s="103"/>
      <c r="B92" s="12" t="s">
        <v>3</v>
      </c>
      <c r="C92" s="10" t="s">
        <v>268</v>
      </c>
      <c r="D92" s="152"/>
      <c r="E92" s="170"/>
      <c r="F92" s="95"/>
      <c r="G92" s="153" t="str">
        <f t="shared" si="8"/>
        <v/>
      </c>
      <c r="H92" s="10" t="s">
        <v>20</v>
      </c>
      <c r="I92" s="331">
        <v>20.95</v>
      </c>
      <c r="J92" s="12">
        <f t="shared" si="7"/>
        <v>0</v>
      </c>
      <c r="K92" s="30"/>
    </row>
    <row r="93" spans="1:13" hidden="1" x14ac:dyDescent="0.35">
      <c r="A93" s="103"/>
      <c r="B93" s="12" t="s">
        <v>3</v>
      </c>
      <c r="C93" s="10" t="s">
        <v>269</v>
      </c>
      <c r="D93" s="152"/>
      <c r="E93" s="170"/>
      <c r="F93" s="95"/>
      <c r="G93" s="153" t="str">
        <f t="shared" si="8"/>
        <v/>
      </c>
      <c r="H93" s="10" t="s">
        <v>20</v>
      </c>
      <c r="I93" s="331">
        <v>26.95</v>
      </c>
      <c r="J93" s="12">
        <f t="shared" si="7"/>
        <v>0</v>
      </c>
      <c r="K93" s="31"/>
    </row>
    <row r="94" spans="1:13" hidden="1" x14ac:dyDescent="0.35">
      <c r="A94" s="103"/>
      <c r="B94" s="12" t="s">
        <v>3</v>
      </c>
      <c r="C94" s="10" t="s">
        <v>270</v>
      </c>
      <c r="D94" s="152"/>
      <c r="E94" s="170"/>
      <c r="F94" s="95"/>
      <c r="G94" s="153" t="str">
        <f t="shared" si="8"/>
        <v/>
      </c>
      <c r="H94" s="10" t="s">
        <v>20</v>
      </c>
      <c r="I94" s="331">
        <v>26.95</v>
      </c>
      <c r="J94" s="12">
        <f t="shared" si="7"/>
        <v>0</v>
      </c>
      <c r="K94" s="31"/>
    </row>
    <row r="95" spans="1:13" s="6" customFormat="1" ht="15.5" hidden="1" x14ac:dyDescent="0.35">
      <c r="A95" s="111"/>
      <c r="B95" s="126" t="s">
        <v>271</v>
      </c>
      <c r="C95" s="127"/>
      <c r="D95" s="226"/>
      <c r="E95" s="172"/>
      <c r="F95" s="144"/>
      <c r="G95" s="153" t="str">
        <f t="shared" si="8"/>
        <v/>
      </c>
      <c r="H95" s="127"/>
      <c r="I95" s="239"/>
      <c r="J95" s="128"/>
      <c r="K95" s="30"/>
    </row>
    <row r="96" spans="1:13" ht="14.15" hidden="1" customHeight="1" x14ac:dyDescent="0.35">
      <c r="A96" s="103"/>
      <c r="B96" s="12" t="s">
        <v>3</v>
      </c>
      <c r="C96" s="10" t="s">
        <v>272</v>
      </c>
      <c r="D96" s="152"/>
      <c r="E96" s="170"/>
      <c r="F96" s="95"/>
      <c r="G96" s="153" t="str">
        <f t="shared" si="8"/>
        <v/>
      </c>
      <c r="H96" s="10" t="s">
        <v>20</v>
      </c>
      <c r="I96" s="331">
        <v>20.95</v>
      </c>
      <c r="J96" s="12">
        <f>E96*I96</f>
        <v>0</v>
      </c>
      <c r="K96" s="28"/>
    </row>
    <row r="97" spans="1:11" hidden="1" x14ac:dyDescent="0.35">
      <c r="A97" s="103"/>
      <c r="B97" s="12" t="s">
        <v>3</v>
      </c>
      <c r="C97" s="10" t="s">
        <v>273</v>
      </c>
      <c r="D97" s="152"/>
      <c r="E97" s="170"/>
      <c r="F97" s="95"/>
      <c r="G97" s="153" t="str">
        <f t="shared" si="8"/>
        <v/>
      </c>
      <c r="H97" s="10" t="s">
        <v>20</v>
      </c>
      <c r="I97" s="331">
        <v>23.95</v>
      </c>
      <c r="J97" s="12">
        <f>E97*I97</f>
        <v>0</v>
      </c>
      <c r="K97" s="28"/>
    </row>
    <row r="98" spans="1:11" s="6" customFormat="1" ht="15.65" hidden="1" customHeight="1" x14ac:dyDescent="0.35">
      <c r="A98" s="103"/>
      <c r="B98" s="12" t="s">
        <v>3</v>
      </c>
      <c r="C98" s="10" t="s">
        <v>274</v>
      </c>
      <c r="D98" s="152"/>
      <c r="E98" s="170"/>
      <c r="F98" s="95"/>
      <c r="G98" s="153" t="str">
        <f t="shared" si="8"/>
        <v/>
      </c>
      <c r="H98" s="10" t="s">
        <v>20</v>
      </c>
      <c r="I98" s="331">
        <v>22.5</v>
      </c>
      <c r="J98" s="12">
        <f>E98*I98</f>
        <v>0</v>
      </c>
      <c r="K98" s="30"/>
    </row>
    <row r="99" spans="1:11" ht="14.5" hidden="1" customHeight="1" x14ac:dyDescent="0.35">
      <c r="A99" s="103"/>
      <c r="B99" s="12" t="s">
        <v>3</v>
      </c>
      <c r="C99" s="10" t="s">
        <v>275</v>
      </c>
      <c r="D99" s="152"/>
      <c r="E99" s="170"/>
      <c r="F99" s="95"/>
      <c r="G99" s="153" t="str">
        <f t="shared" si="8"/>
        <v/>
      </c>
      <c r="H99" s="10" t="s">
        <v>20</v>
      </c>
      <c r="I99" s="331">
        <v>29.95</v>
      </c>
      <c r="J99" s="12">
        <f>E99*I99</f>
        <v>0</v>
      </c>
      <c r="K99" s="31"/>
    </row>
    <row r="100" spans="1:11" s="6" customFormat="1" ht="15.65" hidden="1" customHeight="1" x14ac:dyDescent="0.35">
      <c r="A100" s="111"/>
      <c r="B100" s="126" t="s">
        <v>276</v>
      </c>
      <c r="C100" s="127"/>
      <c r="D100" s="226"/>
      <c r="E100" s="172"/>
      <c r="F100" s="144"/>
      <c r="G100" s="153" t="str">
        <f t="shared" si="8"/>
        <v/>
      </c>
      <c r="H100" s="127"/>
      <c r="I100" s="239"/>
      <c r="J100" s="128"/>
    </row>
    <row r="101" spans="1:11" hidden="1" x14ac:dyDescent="0.35">
      <c r="A101" s="103"/>
      <c r="B101" s="12" t="s">
        <v>3</v>
      </c>
      <c r="C101" s="10" t="s">
        <v>277</v>
      </c>
      <c r="D101" s="152"/>
      <c r="E101" s="170"/>
      <c r="F101" s="95"/>
      <c r="G101" s="153" t="str">
        <f t="shared" si="8"/>
        <v/>
      </c>
      <c r="H101" s="10" t="s">
        <v>20</v>
      </c>
      <c r="I101" s="331">
        <v>17.95</v>
      </c>
      <c r="J101" s="12">
        <f>E101*I101</f>
        <v>0</v>
      </c>
      <c r="K101" s="28"/>
    </row>
    <row r="102" spans="1:11" s="6" customFormat="1" ht="15.5" hidden="1" x14ac:dyDescent="0.35">
      <c r="A102" s="103"/>
      <c r="B102" s="12" t="s">
        <v>3</v>
      </c>
      <c r="C102" s="10" t="s">
        <v>278</v>
      </c>
      <c r="D102" s="152"/>
      <c r="E102" s="170"/>
      <c r="F102" s="95"/>
      <c r="G102" s="153" t="str">
        <f t="shared" si="8"/>
        <v/>
      </c>
      <c r="H102" s="10" t="s">
        <v>20</v>
      </c>
      <c r="I102" s="331">
        <v>20.95</v>
      </c>
      <c r="J102" s="12">
        <f>E102*I102</f>
        <v>0</v>
      </c>
    </row>
    <row r="103" spans="1:11" hidden="1" x14ac:dyDescent="0.35">
      <c r="A103" s="103"/>
      <c r="B103" s="12" t="s">
        <v>3</v>
      </c>
      <c r="C103" s="10" t="s">
        <v>279</v>
      </c>
      <c r="D103" s="152"/>
      <c r="E103" s="170"/>
      <c r="F103" s="95"/>
      <c r="G103" s="153" t="str">
        <f t="shared" si="8"/>
        <v/>
      </c>
      <c r="H103" s="10" t="s">
        <v>20</v>
      </c>
      <c r="I103" s="331">
        <v>19.95</v>
      </c>
      <c r="J103" s="12">
        <f>E103*I103</f>
        <v>0</v>
      </c>
      <c r="K103" s="13"/>
    </row>
    <row r="104" spans="1:11" hidden="1" x14ac:dyDescent="0.35">
      <c r="A104" s="103"/>
      <c r="B104" s="40" t="s">
        <v>3</v>
      </c>
      <c r="C104" s="41" t="s">
        <v>280</v>
      </c>
      <c r="D104" s="227"/>
      <c r="E104" s="170"/>
      <c r="F104" s="145"/>
      <c r="G104" s="153" t="str">
        <f t="shared" si="8"/>
        <v/>
      </c>
      <c r="H104" s="41" t="s">
        <v>20</v>
      </c>
      <c r="I104" s="334">
        <v>59.95</v>
      </c>
      <c r="J104" s="40">
        <f>E104*I104</f>
        <v>0</v>
      </c>
      <c r="K104" s="13"/>
    </row>
    <row r="105" spans="1:11" ht="15.65" hidden="1" customHeight="1" x14ac:dyDescent="0.35">
      <c r="A105" s="111"/>
      <c r="B105" s="126" t="s">
        <v>281</v>
      </c>
      <c r="C105" s="127"/>
      <c r="D105" s="226"/>
      <c r="E105" s="172"/>
      <c r="F105" s="144"/>
      <c r="G105" s="153" t="str">
        <f t="shared" si="8"/>
        <v/>
      </c>
      <c r="H105" s="127"/>
      <c r="I105" s="239"/>
      <c r="J105" s="128"/>
      <c r="K105" s="13"/>
    </row>
    <row r="106" spans="1:11" ht="14.5" hidden="1" customHeight="1" x14ac:dyDescent="0.35">
      <c r="A106" s="103"/>
      <c r="B106" s="12" t="s">
        <v>3</v>
      </c>
      <c r="C106" s="10" t="s">
        <v>282</v>
      </c>
      <c r="D106" s="152"/>
      <c r="E106" s="170"/>
      <c r="F106" s="95"/>
      <c r="G106" s="153" t="str">
        <f t="shared" si="8"/>
        <v/>
      </c>
      <c r="H106" s="10" t="s">
        <v>20</v>
      </c>
      <c r="I106" s="331">
        <v>54.95</v>
      </c>
      <c r="J106" s="12">
        <f>E106*I106</f>
        <v>0</v>
      </c>
      <c r="K106" s="13"/>
    </row>
    <row r="107" spans="1:11" ht="14.5" hidden="1" customHeight="1" x14ac:dyDescent="0.35">
      <c r="A107" s="103"/>
      <c r="B107" s="12" t="s">
        <v>3</v>
      </c>
      <c r="C107" s="10" t="s">
        <v>283</v>
      </c>
      <c r="D107" s="152"/>
      <c r="E107" s="170"/>
      <c r="F107" s="95"/>
      <c r="G107" s="153" t="str">
        <f t="shared" si="8"/>
        <v/>
      </c>
      <c r="H107" s="10" t="s">
        <v>20</v>
      </c>
      <c r="I107" s="331">
        <v>49.95</v>
      </c>
      <c r="J107" s="12">
        <f>E107*I107</f>
        <v>0</v>
      </c>
      <c r="K107" s="13"/>
    </row>
    <row r="108" spans="1:11" ht="14.5" hidden="1" customHeight="1" x14ac:dyDescent="0.35">
      <c r="A108" s="111"/>
      <c r="B108" s="126" t="s">
        <v>284</v>
      </c>
      <c r="C108" s="127"/>
      <c r="D108" s="226"/>
      <c r="E108" s="172"/>
      <c r="F108" s="144"/>
      <c r="G108" s="153" t="str">
        <f t="shared" si="8"/>
        <v/>
      </c>
      <c r="H108" s="127"/>
      <c r="I108" s="239"/>
      <c r="J108" s="128"/>
      <c r="K108" s="13"/>
    </row>
    <row r="109" spans="1:11" ht="14.5" hidden="1" customHeight="1" x14ac:dyDescent="0.35">
      <c r="A109" s="103"/>
      <c r="B109" s="12" t="s">
        <v>3</v>
      </c>
      <c r="C109" s="10" t="s">
        <v>285</v>
      </c>
      <c r="D109" s="152"/>
      <c r="E109" s="170"/>
      <c r="F109" s="95"/>
      <c r="G109" s="153" t="str">
        <f t="shared" si="8"/>
        <v/>
      </c>
      <c r="H109" s="10" t="s">
        <v>20</v>
      </c>
      <c r="I109" s="331">
        <v>41.5</v>
      </c>
      <c r="J109" s="12">
        <f t="shared" ref="J109:J114" si="9">E109*I109</f>
        <v>0</v>
      </c>
      <c r="K109" s="13"/>
    </row>
    <row r="110" spans="1:11" ht="15.65" hidden="1" customHeight="1" x14ac:dyDescent="0.35">
      <c r="A110" s="103"/>
      <c r="B110" s="12" t="s">
        <v>3</v>
      </c>
      <c r="C110" s="10" t="s">
        <v>286</v>
      </c>
      <c r="D110" s="152"/>
      <c r="E110" s="170"/>
      <c r="F110" s="95"/>
      <c r="G110" s="153" t="str">
        <f t="shared" si="8"/>
        <v/>
      </c>
      <c r="H110" s="10" t="s">
        <v>20</v>
      </c>
      <c r="I110" s="331">
        <v>36.200000000000003</v>
      </c>
      <c r="J110" s="12">
        <f t="shared" si="9"/>
        <v>0</v>
      </c>
      <c r="K110" s="13"/>
    </row>
    <row r="111" spans="1:11" hidden="1" x14ac:dyDescent="0.35">
      <c r="A111" s="103"/>
      <c r="B111" s="12" t="s">
        <v>3</v>
      </c>
      <c r="C111" s="10" t="s">
        <v>287</v>
      </c>
      <c r="D111" s="152"/>
      <c r="E111" s="170"/>
      <c r="F111" s="95"/>
      <c r="G111" s="153" t="str">
        <f t="shared" si="8"/>
        <v/>
      </c>
      <c r="H111" s="10" t="s">
        <v>20</v>
      </c>
      <c r="I111" s="331">
        <v>25.95</v>
      </c>
      <c r="J111" s="12">
        <f t="shared" si="9"/>
        <v>0</v>
      </c>
      <c r="K111" s="13"/>
    </row>
    <row r="112" spans="1:11" hidden="1" x14ac:dyDescent="0.35">
      <c r="A112" s="103"/>
      <c r="B112" s="12" t="s">
        <v>3</v>
      </c>
      <c r="C112" s="10" t="s">
        <v>288</v>
      </c>
      <c r="D112" s="152"/>
      <c r="E112" s="170"/>
      <c r="F112" s="95"/>
      <c r="G112" s="153" t="str">
        <f t="shared" si="8"/>
        <v/>
      </c>
      <c r="H112" s="10" t="s">
        <v>20</v>
      </c>
      <c r="I112" s="331">
        <v>32.799999999999997</v>
      </c>
      <c r="J112" s="12">
        <f t="shared" si="9"/>
        <v>0</v>
      </c>
      <c r="K112" s="13"/>
    </row>
    <row r="113" spans="1:11" s="6" customFormat="1" ht="15.5" hidden="1" x14ac:dyDescent="0.35">
      <c r="A113" s="103"/>
      <c r="B113" s="12" t="s">
        <v>3</v>
      </c>
      <c r="C113" s="10" t="s">
        <v>289</v>
      </c>
      <c r="D113" s="152"/>
      <c r="E113" s="170"/>
      <c r="F113" s="95"/>
      <c r="G113" s="153" t="str">
        <f t="shared" si="8"/>
        <v/>
      </c>
      <c r="H113" s="10" t="s">
        <v>20</v>
      </c>
      <c r="I113" s="331">
        <v>29.2</v>
      </c>
      <c r="J113" s="12">
        <f t="shared" si="9"/>
        <v>0</v>
      </c>
    </row>
    <row r="114" spans="1:11" hidden="1" x14ac:dyDescent="0.35">
      <c r="A114" s="103"/>
      <c r="B114" s="12" t="s">
        <v>3</v>
      </c>
      <c r="C114" s="10" t="s">
        <v>290</v>
      </c>
      <c r="D114" s="152"/>
      <c r="E114" s="170"/>
      <c r="F114" s="95"/>
      <c r="G114" s="153" t="str">
        <f t="shared" si="8"/>
        <v/>
      </c>
      <c r="H114" s="10" t="s">
        <v>20</v>
      </c>
      <c r="I114" s="331">
        <v>22.95</v>
      </c>
      <c r="J114" s="12">
        <f t="shared" si="9"/>
        <v>0</v>
      </c>
      <c r="K114" s="13"/>
    </row>
    <row r="115" spans="1:11" ht="15.5" hidden="1" x14ac:dyDescent="0.35">
      <c r="A115" s="111"/>
      <c r="B115" s="126" t="s">
        <v>291</v>
      </c>
      <c r="C115" s="127"/>
      <c r="D115" s="226"/>
      <c r="E115" s="172"/>
      <c r="F115" s="144"/>
      <c r="G115" s="153" t="str">
        <f t="shared" si="8"/>
        <v/>
      </c>
      <c r="H115" s="127"/>
      <c r="I115" s="239"/>
      <c r="J115" s="128"/>
      <c r="K115" s="13"/>
    </row>
    <row r="116" spans="1:11" ht="14.5" hidden="1" customHeight="1" x14ac:dyDescent="0.35">
      <c r="A116" s="103"/>
      <c r="B116" s="12" t="s">
        <v>3</v>
      </c>
      <c r="C116" s="10" t="s">
        <v>292</v>
      </c>
      <c r="D116" s="152"/>
      <c r="E116" s="170"/>
      <c r="F116" s="95"/>
      <c r="G116" s="153" t="str">
        <f t="shared" si="8"/>
        <v/>
      </c>
      <c r="H116" s="10" t="s">
        <v>20</v>
      </c>
      <c r="I116" s="331">
        <v>17.95</v>
      </c>
      <c r="J116" s="12">
        <f t="shared" ref="J116:J121" si="10">E116*I116</f>
        <v>0</v>
      </c>
      <c r="K116" s="13"/>
    </row>
    <row r="117" spans="1:11" ht="14.5" hidden="1" customHeight="1" x14ac:dyDescent="0.35">
      <c r="A117" s="103"/>
      <c r="B117" s="12" t="s">
        <v>3</v>
      </c>
      <c r="C117" s="10" t="s">
        <v>293</v>
      </c>
      <c r="D117" s="152"/>
      <c r="E117" s="170"/>
      <c r="F117" s="95"/>
      <c r="G117" s="153" t="str">
        <f t="shared" si="8"/>
        <v/>
      </c>
      <c r="H117" s="10" t="s">
        <v>20</v>
      </c>
      <c r="I117" s="331">
        <v>12.95</v>
      </c>
      <c r="J117" s="12">
        <f t="shared" si="10"/>
        <v>0</v>
      </c>
      <c r="K117" s="13"/>
    </row>
    <row r="118" spans="1:11" ht="14.5" hidden="1" customHeight="1" x14ac:dyDescent="0.35">
      <c r="A118" s="103"/>
      <c r="B118" s="12" t="s">
        <v>3</v>
      </c>
      <c r="C118" s="10" t="s">
        <v>294</v>
      </c>
      <c r="D118" s="152"/>
      <c r="E118" s="170"/>
      <c r="F118" s="95"/>
      <c r="G118" s="153" t="str">
        <f t="shared" si="8"/>
        <v/>
      </c>
      <c r="H118" s="10" t="s">
        <v>20</v>
      </c>
      <c r="I118" s="331">
        <v>21.95</v>
      </c>
      <c r="J118" s="12">
        <f t="shared" si="10"/>
        <v>0</v>
      </c>
      <c r="K118" s="13"/>
    </row>
    <row r="119" spans="1:11" ht="14.5" hidden="1" customHeight="1" x14ac:dyDescent="0.35">
      <c r="A119" s="103"/>
      <c r="B119" s="12" t="s">
        <v>3</v>
      </c>
      <c r="C119" s="10" t="s">
        <v>295</v>
      </c>
      <c r="D119" s="152"/>
      <c r="E119" s="170"/>
      <c r="F119" s="95"/>
      <c r="G119" s="153" t="str">
        <f t="shared" si="8"/>
        <v/>
      </c>
      <c r="H119" s="10" t="s">
        <v>20</v>
      </c>
      <c r="I119" s="331"/>
      <c r="J119" s="12">
        <f t="shared" si="10"/>
        <v>0</v>
      </c>
      <c r="K119" s="13"/>
    </row>
    <row r="120" spans="1:11" ht="15.65" hidden="1" customHeight="1" x14ac:dyDescent="0.35">
      <c r="A120" s="103"/>
      <c r="B120" s="12" t="s">
        <v>3</v>
      </c>
      <c r="C120" s="10" t="s">
        <v>296</v>
      </c>
      <c r="D120" s="152"/>
      <c r="E120" s="170"/>
      <c r="F120" s="95"/>
      <c r="G120" s="153" t="str">
        <f t="shared" si="8"/>
        <v/>
      </c>
      <c r="H120" s="10" t="s">
        <v>20</v>
      </c>
      <c r="I120" s="331"/>
      <c r="J120" s="12">
        <f t="shared" si="10"/>
        <v>0</v>
      </c>
      <c r="K120" s="13"/>
    </row>
    <row r="121" spans="1:11" ht="15.65" hidden="1" customHeight="1" x14ac:dyDescent="0.35">
      <c r="A121" s="103"/>
      <c r="B121" s="12" t="s">
        <v>3</v>
      </c>
      <c r="C121" s="10" t="s">
        <v>297</v>
      </c>
      <c r="D121" s="152"/>
      <c r="E121" s="170"/>
      <c r="F121" s="95"/>
      <c r="G121" s="153" t="str">
        <f t="shared" si="8"/>
        <v/>
      </c>
      <c r="H121" s="10" t="s">
        <v>20</v>
      </c>
      <c r="I121" s="331">
        <v>22.95</v>
      </c>
      <c r="J121" s="12">
        <f t="shared" si="10"/>
        <v>0</v>
      </c>
      <c r="K121" s="13"/>
    </row>
    <row r="122" spans="1:11" ht="14.5" hidden="1" customHeight="1" x14ac:dyDescent="0.35">
      <c r="A122" s="112" t="s">
        <v>298</v>
      </c>
      <c r="B122" s="116"/>
      <c r="C122" s="116"/>
      <c r="D122" s="228"/>
      <c r="E122" s="173"/>
      <c r="F122" s="146"/>
      <c r="G122" s="153" t="str">
        <f t="shared" si="8"/>
        <v/>
      </c>
      <c r="H122" s="117"/>
      <c r="I122" s="106" t="s">
        <v>18</v>
      </c>
      <c r="J122" s="115">
        <f>SUM(J123:J175)</f>
        <v>103.42000000000002</v>
      </c>
      <c r="K122" s="13"/>
    </row>
    <row r="123" spans="1:11" ht="14.5" hidden="1" customHeight="1" x14ac:dyDescent="0.35">
      <c r="A123" s="103"/>
      <c r="B123" s="20" t="s">
        <v>4</v>
      </c>
      <c r="C123" s="18" t="s">
        <v>62</v>
      </c>
      <c r="D123" s="229"/>
      <c r="E123" s="170"/>
      <c r="F123" s="147"/>
      <c r="G123" s="153" t="str">
        <f t="shared" si="8"/>
        <v/>
      </c>
      <c r="H123" s="18" t="s">
        <v>20</v>
      </c>
      <c r="I123" s="335">
        <v>7.35</v>
      </c>
      <c r="J123" s="20">
        <f>E123*I123</f>
        <v>0</v>
      </c>
      <c r="K123" s="13"/>
    </row>
    <row r="124" spans="1:11" ht="14.5" hidden="1" customHeight="1" x14ac:dyDescent="0.35">
      <c r="A124" s="103"/>
      <c r="B124" s="20" t="s">
        <v>4</v>
      </c>
      <c r="C124" s="18" t="s">
        <v>60</v>
      </c>
      <c r="D124" s="229"/>
      <c r="E124" s="170"/>
      <c r="F124" s="147"/>
      <c r="G124" s="153" t="str">
        <f t="shared" si="8"/>
        <v/>
      </c>
      <c r="H124" s="18" t="s">
        <v>20</v>
      </c>
      <c r="I124" s="335">
        <v>10.65</v>
      </c>
      <c r="J124" s="20">
        <f>E124*I124</f>
        <v>0</v>
      </c>
      <c r="K124" s="13"/>
    </row>
    <row r="125" spans="1:11" ht="15.65" hidden="1" customHeight="1" x14ac:dyDescent="0.35">
      <c r="A125" s="113" t="s">
        <v>40</v>
      </c>
      <c r="B125" s="124"/>
      <c r="C125" s="124"/>
      <c r="D125" s="230"/>
      <c r="E125" s="174"/>
      <c r="F125" s="148"/>
      <c r="G125" s="153" t="str">
        <f t="shared" si="8"/>
        <v/>
      </c>
      <c r="H125" s="124"/>
      <c r="I125" s="241"/>
      <c r="J125" s="125"/>
      <c r="K125" s="13"/>
    </row>
    <row r="126" spans="1:11" ht="15.65" hidden="1" customHeight="1" x14ac:dyDescent="0.35">
      <c r="A126" s="103"/>
      <c r="B126" s="20" t="s">
        <v>4</v>
      </c>
      <c r="C126" s="18" t="s">
        <v>299</v>
      </c>
      <c r="D126" s="229"/>
      <c r="E126" s="170"/>
      <c r="F126" s="147"/>
      <c r="G126" s="153" t="str">
        <f t="shared" si="8"/>
        <v/>
      </c>
      <c r="H126" s="18" t="s">
        <v>20</v>
      </c>
      <c r="I126" s="335">
        <v>1.31</v>
      </c>
      <c r="J126" s="12">
        <f t="shared" ref="J126:J137" si="11">E126*I126</f>
        <v>0</v>
      </c>
      <c r="K126" s="13"/>
    </row>
    <row r="127" spans="1:11" ht="14.5" hidden="1" customHeight="1" x14ac:dyDescent="0.35">
      <c r="A127" s="103"/>
      <c r="B127" s="12" t="s">
        <v>4</v>
      </c>
      <c r="C127" s="10" t="s">
        <v>300</v>
      </c>
      <c r="D127" s="152"/>
      <c r="E127" s="170"/>
      <c r="F127" s="95"/>
      <c r="G127" s="153" t="str">
        <f t="shared" si="8"/>
        <v/>
      </c>
      <c r="H127" s="10" t="s">
        <v>20</v>
      </c>
      <c r="I127" s="331">
        <v>1.31</v>
      </c>
      <c r="J127" s="12">
        <f t="shared" si="11"/>
        <v>0</v>
      </c>
    </row>
    <row r="128" spans="1:11" ht="14.5" hidden="1" customHeight="1" x14ac:dyDescent="0.35">
      <c r="A128" s="103"/>
      <c r="B128" s="20" t="s">
        <v>4</v>
      </c>
      <c r="C128" s="18" t="s">
        <v>301</v>
      </c>
      <c r="D128" s="229"/>
      <c r="E128" s="170"/>
      <c r="F128" s="147"/>
      <c r="G128" s="153" t="str">
        <f t="shared" si="8"/>
        <v/>
      </c>
      <c r="H128" s="18" t="s">
        <v>20</v>
      </c>
      <c r="I128" s="335">
        <v>1.4039999999999999</v>
      </c>
      <c r="J128" s="12">
        <f t="shared" si="11"/>
        <v>0</v>
      </c>
    </row>
    <row r="129" spans="1:11" ht="14.5" hidden="1" customHeight="1" x14ac:dyDescent="0.35">
      <c r="A129" s="103"/>
      <c r="B129" s="12" t="s">
        <v>4</v>
      </c>
      <c r="C129" s="10" t="s">
        <v>302</v>
      </c>
      <c r="D129" s="152"/>
      <c r="E129" s="170"/>
      <c r="F129" s="95"/>
      <c r="G129" s="153" t="str">
        <f t="shared" si="8"/>
        <v/>
      </c>
      <c r="H129" s="10" t="s">
        <v>20</v>
      </c>
      <c r="I129" s="331">
        <v>1.4039999999999999</v>
      </c>
      <c r="J129" s="12">
        <f t="shared" si="11"/>
        <v>0</v>
      </c>
    </row>
    <row r="130" spans="1:11" ht="14.5" hidden="1" customHeight="1" x14ac:dyDescent="0.35">
      <c r="A130" s="103"/>
      <c r="B130" s="12" t="s">
        <v>4</v>
      </c>
      <c r="C130" s="10" t="s">
        <v>303</v>
      </c>
      <c r="D130" s="152"/>
      <c r="E130" s="170"/>
      <c r="F130" s="95"/>
      <c r="G130" s="153" t="str">
        <f t="shared" si="8"/>
        <v/>
      </c>
      <c r="H130" s="10" t="s">
        <v>20</v>
      </c>
      <c r="I130" s="331">
        <v>1.53</v>
      </c>
      <c r="J130" s="12">
        <f t="shared" si="11"/>
        <v>0</v>
      </c>
    </row>
    <row r="131" spans="1:11" ht="14.5" hidden="1" customHeight="1" x14ac:dyDescent="0.35">
      <c r="A131" s="103"/>
      <c r="B131" s="12" t="s">
        <v>4</v>
      </c>
      <c r="C131" s="10" t="s">
        <v>304</v>
      </c>
      <c r="D131" s="152"/>
      <c r="E131" s="170"/>
      <c r="F131" s="95"/>
      <c r="G131" s="153" t="str">
        <f t="shared" si="8"/>
        <v/>
      </c>
      <c r="H131" s="10" t="s">
        <v>20</v>
      </c>
      <c r="I131" s="331">
        <v>1.65</v>
      </c>
      <c r="J131" s="12">
        <f t="shared" si="11"/>
        <v>0</v>
      </c>
    </row>
    <row r="132" spans="1:11" ht="14.5" hidden="1" customHeight="1" x14ac:dyDescent="0.35">
      <c r="A132" s="103"/>
      <c r="B132" s="12" t="s">
        <v>4</v>
      </c>
      <c r="C132" s="10" t="s">
        <v>83</v>
      </c>
      <c r="D132" s="152"/>
      <c r="E132" s="170"/>
      <c r="F132" s="95"/>
      <c r="G132" s="153" t="str">
        <f t="shared" si="8"/>
        <v/>
      </c>
      <c r="H132" s="10" t="s">
        <v>20</v>
      </c>
      <c r="I132" s="331">
        <v>1.04</v>
      </c>
      <c r="J132" s="12">
        <f t="shared" si="11"/>
        <v>0</v>
      </c>
    </row>
    <row r="133" spans="1:11" ht="14.5" hidden="1" customHeight="1" x14ac:dyDescent="0.35">
      <c r="A133" s="103"/>
      <c r="B133" s="12" t="s">
        <v>4</v>
      </c>
      <c r="C133" s="10" t="s">
        <v>305</v>
      </c>
      <c r="D133" s="152"/>
      <c r="E133" s="170"/>
      <c r="F133" s="95"/>
      <c r="G133" s="153" t="str">
        <f t="shared" si="8"/>
        <v/>
      </c>
      <c r="H133" s="10" t="s">
        <v>20</v>
      </c>
      <c r="I133" s="331">
        <v>1.04</v>
      </c>
      <c r="J133" s="12">
        <f t="shared" si="11"/>
        <v>0</v>
      </c>
    </row>
    <row r="134" spans="1:11" ht="14.5" hidden="1" customHeight="1" x14ac:dyDescent="0.35">
      <c r="A134" s="103"/>
      <c r="B134" s="12" t="s">
        <v>4</v>
      </c>
      <c r="C134" s="10" t="s">
        <v>306</v>
      </c>
      <c r="D134" s="152"/>
      <c r="E134" s="170"/>
      <c r="F134" s="95"/>
      <c r="G134" s="153" t="str">
        <f t="shared" si="8"/>
        <v/>
      </c>
      <c r="H134" s="10" t="s">
        <v>20</v>
      </c>
      <c r="I134" s="331">
        <v>1.06</v>
      </c>
      <c r="J134" s="12">
        <f t="shared" si="11"/>
        <v>0</v>
      </c>
    </row>
    <row r="135" spans="1:11" ht="14.5" hidden="1" customHeight="1" x14ac:dyDescent="0.35">
      <c r="A135" s="103"/>
      <c r="B135" s="12" t="s">
        <v>4</v>
      </c>
      <c r="C135" s="10" t="s">
        <v>307</v>
      </c>
      <c r="D135" s="152"/>
      <c r="E135" s="170"/>
      <c r="F135" s="95"/>
      <c r="G135" s="153" t="str">
        <f t="shared" si="8"/>
        <v/>
      </c>
      <c r="H135" s="10" t="s">
        <v>20</v>
      </c>
      <c r="I135" s="331">
        <v>1.06</v>
      </c>
      <c r="J135" s="12">
        <f t="shared" si="11"/>
        <v>0</v>
      </c>
    </row>
    <row r="136" spans="1:11" ht="14.5" hidden="1" customHeight="1" x14ac:dyDescent="0.35">
      <c r="A136" s="103"/>
      <c r="B136" s="12" t="s">
        <v>4</v>
      </c>
      <c r="C136" s="10" t="s">
        <v>308</v>
      </c>
      <c r="D136" s="152"/>
      <c r="E136" s="170"/>
      <c r="F136" s="95"/>
      <c r="G136" s="153" t="str">
        <f t="shared" si="8"/>
        <v/>
      </c>
      <c r="H136" s="10" t="s">
        <v>20</v>
      </c>
      <c r="I136" s="331">
        <v>1.2869999999999999</v>
      </c>
      <c r="J136" s="12">
        <f t="shared" si="11"/>
        <v>0</v>
      </c>
    </row>
    <row r="137" spans="1:11" ht="15.65" hidden="1" customHeight="1" x14ac:dyDescent="0.35">
      <c r="A137" s="103"/>
      <c r="B137" s="12" t="s">
        <v>4</v>
      </c>
      <c r="C137" s="10" t="s">
        <v>309</v>
      </c>
      <c r="D137" s="152"/>
      <c r="E137" s="170"/>
      <c r="F137" s="95"/>
      <c r="G137" s="153" t="str">
        <f t="shared" si="8"/>
        <v/>
      </c>
      <c r="H137" s="10" t="s">
        <v>20</v>
      </c>
      <c r="I137" s="331">
        <v>1.59</v>
      </c>
      <c r="J137" s="12">
        <f t="shared" si="11"/>
        <v>0</v>
      </c>
      <c r="K137" s="13"/>
    </row>
    <row r="138" spans="1:11" ht="15.65" hidden="1" customHeight="1" x14ac:dyDescent="0.35">
      <c r="A138" s="113" t="s">
        <v>310</v>
      </c>
      <c r="B138" s="124"/>
      <c r="C138" s="124"/>
      <c r="D138" s="230"/>
      <c r="E138" s="174"/>
      <c r="F138" s="148"/>
      <c r="G138" s="153" t="str">
        <f t="shared" si="8"/>
        <v/>
      </c>
      <c r="H138" s="124"/>
      <c r="I138" s="241"/>
      <c r="J138" s="125"/>
    </row>
    <row r="139" spans="1:11" ht="14.5" hidden="1" customHeight="1" x14ac:dyDescent="0.35">
      <c r="A139" s="103"/>
      <c r="B139" s="12" t="s">
        <v>4</v>
      </c>
      <c r="C139" s="10" t="s">
        <v>311</v>
      </c>
      <c r="D139" s="152"/>
      <c r="E139" s="170"/>
      <c r="F139" s="95"/>
      <c r="G139" s="153" t="str">
        <f t="shared" si="8"/>
        <v/>
      </c>
      <c r="H139" s="10" t="s">
        <v>20</v>
      </c>
      <c r="I139" s="331">
        <v>1.1000000000000001</v>
      </c>
      <c r="J139" s="12">
        <f t="shared" ref="J139:J149" si="12">E139*I139</f>
        <v>0</v>
      </c>
    </row>
    <row r="140" spans="1:11" ht="14.5" hidden="1" customHeight="1" x14ac:dyDescent="0.35">
      <c r="A140" s="103"/>
      <c r="B140" s="12" t="s">
        <v>4</v>
      </c>
      <c r="C140" s="10" t="s">
        <v>312</v>
      </c>
      <c r="D140" s="152"/>
      <c r="E140" s="170"/>
      <c r="F140" s="95"/>
      <c r="G140" s="153" t="str">
        <f t="shared" si="8"/>
        <v/>
      </c>
      <c r="H140" s="10" t="s">
        <v>20</v>
      </c>
      <c r="I140" s="331">
        <v>1.1000000000000001</v>
      </c>
      <c r="J140" s="12">
        <f t="shared" si="12"/>
        <v>0</v>
      </c>
    </row>
    <row r="141" spans="1:11" ht="14.5" hidden="1" customHeight="1" x14ac:dyDescent="0.35">
      <c r="A141" s="103"/>
      <c r="B141" s="12" t="s">
        <v>4</v>
      </c>
      <c r="C141" s="10" t="s">
        <v>313</v>
      </c>
      <c r="D141" s="152"/>
      <c r="E141" s="170"/>
      <c r="F141" s="95"/>
      <c r="G141" s="153" t="str">
        <f t="shared" si="8"/>
        <v/>
      </c>
      <c r="H141" s="10" t="s">
        <v>20</v>
      </c>
      <c r="I141" s="331">
        <v>1.3</v>
      </c>
      <c r="J141" s="12">
        <f t="shared" si="12"/>
        <v>0</v>
      </c>
    </row>
    <row r="142" spans="1:11" ht="14.5" hidden="1" customHeight="1" x14ac:dyDescent="0.35">
      <c r="A142" s="103"/>
      <c r="B142" s="12" t="s">
        <v>4</v>
      </c>
      <c r="C142" s="10" t="s">
        <v>314</v>
      </c>
      <c r="D142" s="152"/>
      <c r="E142" s="170"/>
      <c r="F142" s="95"/>
      <c r="G142" s="153" t="str">
        <f t="shared" si="8"/>
        <v/>
      </c>
      <c r="H142" s="10" t="s">
        <v>20</v>
      </c>
      <c r="I142" s="331">
        <v>1.36</v>
      </c>
      <c r="J142" s="12">
        <f t="shared" si="12"/>
        <v>0</v>
      </c>
    </row>
    <row r="143" spans="1:11" ht="14.5" hidden="1" customHeight="1" x14ac:dyDescent="0.35">
      <c r="A143" s="103"/>
      <c r="B143" s="12" t="s">
        <v>4</v>
      </c>
      <c r="C143" s="10" t="s">
        <v>315</v>
      </c>
      <c r="D143" s="152"/>
      <c r="E143" s="170"/>
      <c r="F143" s="95"/>
      <c r="G143" s="153" t="str">
        <f t="shared" si="8"/>
        <v/>
      </c>
      <c r="H143" s="10" t="s">
        <v>20</v>
      </c>
      <c r="I143" s="331">
        <v>1.3</v>
      </c>
      <c r="J143" s="12">
        <f t="shared" si="12"/>
        <v>0</v>
      </c>
    </row>
    <row r="144" spans="1:11" ht="15.65" hidden="1" customHeight="1" x14ac:dyDescent="0.35">
      <c r="A144" s="103"/>
      <c r="B144" s="12" t="s">
        <v>4</v>
      </c>
      <c r="C144" s="10" t="s">
        <v>316</v>
      </c>
      <c r="D144" s="152"/>
      <c r="E144" s="170"/>
      <c r="F144" s="95"/>
      <c r="G144" s="153" t="str">
        <f t="shared" si="8"/>
        <v/>
      </c>
      <c r="H144" s="10" t="s">
        <v>20</v>
      </c>
      <c r="I144" s="331">
        <v>1.35</v>
      </c>
      <c r="J144" s="12">
        <f t="shared" si="12"/>
        <v>0</v>
      </c>
      <c r="K144" s="13"/>
    </row>
    <row r="145" spans="1:11" ht="15.65" hidden="1" customHeight="1" x14ac:dyDescent="0.35">
      <c r="A145" s="103"/>
      <c r="B145" s="12" t="s">
        <v>4</v>
      </c>
      <c r="C145" s="10" t="s">
        <v>317</v>
      </c>
      <c r="D145" s="152"/>
      <c r="E145" s="170"/>
      <c r="F145" s="95"/>
      <c r="G145" s="153" t="str">
        <f t="shared" si="8"/>
        <v/>
      </c>
      <c r="H145" s="10" t="s">
        <v>20</v>
      </c>
      <c r="I145" s="331">
        <v>1.28</v>
      </c>
      <c r="J145" s="12">
        <f t="shared" si="12"/>
        <v>0</v>
      </c>
    </row>
    <row r="146" spans="1:11" ht="14.5" hidden="1" customHeight="1" x14ac:dyDescent="0.35">
      <c r="A146" s="103"/>
      <c r="B146" s="12" t="s">
        <v>4</v>
      </c>
      <c r="C146" s="10" t="s">
        <v>318</v>
      </c>
      <c r="D146" s="152"/>
      <c r="E146" s="170"/>
      <c r="F146" s="95"/>
      <c r="G146" s="153" t="str">
        <f t="shared" si="8"/>
        <v/>
      </c>
      <c r="H146" s="10" t="s">
        <v>20</v>
      </c>
      <c r="I146" s="331">
        <v>1.1000000000000001</v>
      </c>
      <c r="J146" s="12">
        <f t="shared" si="12"/>
        <v>0</v>
      </c>
    </row>
    <row r="147" spans="1:11" ht="14.5" hidden="1" customHeight="1" x14ac:dyDescent="0.35">
      <c r="A147" s="103"/>
      <c r="B147" s="12" t="s">
        <v>4</v>
      </c>
      <c r="C147" s="10" t="s">
        <v>319</v>
      </c>
      <c r="D147" s="152"/>
      <c r="E147" s="170"/>
      <c r="F147" s="95"/>
      <c r="G147" s="153" t="str">
        <f t="shared" si="8"/>
        <v/>
      </c>
      <c r="H147" s="10" t="s">
        <v>20</v>
      </c>
      <c r="I147" s="331">
        <v>1.1000000000000001</v>
      </c>
      <c r="J147" s="12">
        <f t="shared" si="12"/>
        <v>0</v>
      </c>
    </row>
    <row r="148" spans="1:11" ht="14.5" hidden="1" customHeight="1" x14ac:dyDescent="0.35">
      <c r="A148" s="103"/>
      <c r="B148" s="12" t="s">
        <v>4</v>
      </c>
      <c r="C148" s="10" t="s">
        <v>320</v>
      </c>
      <c r="D148" s="152"/>
      <c r="E148" s="170"/>
      <c r="F148" s="95"/>
      <c r="G148" s="153" t="str">
        <f t="shared" si="8"/>
        <v/>
      </c>
      <c r="H148" s="10" t="s">
        <v>20</v>
      </c>
      <c r="I148" s="331">
        <v>1.1000000000000001</v>
      </c>
      <c r="J148" s="12">
        <f t="shared" si="12"/>
        <v>0</v>
      </c>
    </row>
    <row r="149" spans="1:11" ht="14.5" hidden="1" customHeight="1" x14ac:dyDescent="0.35">
      <c r="A149" s="103"/>
      <c r="B149" s="12" t="s">
        <v>4</v>
      </c>
      <c r="C149" s="10" t="s">
        <v>321</v>
      </c>
      <c r="D149" s="152"/>
      <c r="E149" s="170"/>
      <c r="F149" s="95"/>
      <c r="G149" s="153" t="str">
        <f t="shared" si="8"/>
        <v/>
      </c>
      <c r="H149" s="10" t="s">
        <v>20</v>
      </c>
      <c r="I149" s="331">
        <v>1.1000000000000001</v>
      </c>
      <c r="J149" s="12">
        <f t="shared" si="12"/>
        <v>0</v>
      </c>
    </row>
    <row r="150" spans="1:11" ht="14.5" customHeight="1" x14ac:dyDescent="0.35">
      <c r="A150" s="113" t="s">
        <v>41</v>
      </c>
      <c r="B150" s="124"/>
      <c r="C150" s="124"/>
      <c r="D150" s="230"/>
      <c r="E150" s="174"/>
      <c r="F150" s="148"/>
      <c r="G150" s="165" t="str">
        <f t="shared" si="8"/>
        <v/>
      </c>
      <c r="H150" s="124"/>
      <c r="I150" s="241"/>
      <c r="J150" s="125"/>
    </row>
    <row r="151" spans="1:11" ht="14.5" customHeight="1" x14ac:dyDescent="0.35">
      <c r="A151" s="103"/>
      <c r="B151" s="12" t="s">
        <v>4</v>
      </c>
      <c r="C151" s="10" t="s">
        <v>24</v>
      </c>
      <c r="D151" s="152">
        <v>20</v>
      </c>
      <c r="E151" s="170">
        <v>7</v>
      </c>
      <c r="F151" s="95"/>
      <c r="G151" s="153">
        <f t="shared" si="8"/>
        <v>13</v>
      </c>
      <c r="H151" s="10" t="s">
        <v>20</v>
      </c>
      <c r="I151" s="331">
        <v>3.04</v>
      </c>
      <c r="J151" s="12">
        <f t="shared" ref="J151:J164" si="13">E151*I151</f>
        <v>21.28</v>
      </c>
      <c r="K151" s="13"/>
    </row>
    <row r="152" spans="1:11" ht="15.65" customHeight="1" x14ac:dyDescent="0.35">
      <c r="A152" s="103"/>
      <c r="B152" s="12" t="s">
        <v>4</v>
      </c>
      <c r="C152" s="10" t="s">
        <v>80</v>
      </c>
      <c r="D152" s="152">
        <v>40</v>
      </c>
      <c r="E152" s="170">
        <v>8</v>
      </c>
      <c r="F152" s="95"/>
      <c r="G152" s="153">
        <f t="shared" si="8"/>
        <v>32</v>
      </c>
      <c r="H152" s="10" t="s">
        <v>20</v>
      </c>
      <c r="I152" s="331">
        <v>2.31</v>
      </c>
      <c r="J152" s="12">
        <f t="shared" si="13"/>
        <v>18.48</v>
      </c>
    </row>
    <row r="153" spans="1:11" ht="15.65" customHeight="1" x14ac:dyDescent="0.35">
      <c r="A153" s="103"/>
      <c r="B153" s="12" t="s">
        <v>4</v>
      </c>
      <c r="C153" s="10" t="s">
        <v>84</v>
      </c>
      <c r="D153" s="152">
        <v>20</v>
      </c>
      <c r="E153" s="170">
        <v>8</v>
      </c>
      <c r="F153" s="95"/>
      <c r="G153" s="153">
        <f t="shared" ref="G153:G223" si="14">IF(E153="","",IF(D153-E153&gt;0,D153-E153,""))</f>
        <v>12</v>
      </c>
      <c r="H153" s="10" t="s">
        <v>20</v>
      </c>
      <c r="I153" s="331">
        <v>2.31</v>
      </c>
      <c r="J153" s="12">
        <f t="shared" si="13"/>
        <v>18.48</v>
      </c>
    </row>
    <row r="154" spans="1:11" ht="14.5" hidden="1" customHeight="1" x14ac:dyDescent="0.35">
      <c r="A154" s="103"/>
      <c r="B154" s="12" t="s">
        <v>4</v>
      </c>
      <c r="C154" s="10" t="s">
        <v>394</v>
      </c>
      <c r="D154" s="152"/>
      <c r="E154" s="170"/>
      <c r="F154" s="95"/>
      <c r="G154" s="153" t="str">
        <f t="shared" si="14"/>
        <v/>
      </c>
      <c r="H154" s="10" t="s">
        <v>20</v>
      </c>
      <c r="I154" s="331">
        <v>2.54</v>
      </c>
      <c r="J154" s="12">
        <f t="shared" si="13"/>
        <v>0</v>
      </c>
    </row>
    <row r="155" spans="1:11" ht="14.5" hidden="1" customHeight="1" x14ac:dyDescent="0.35">
      <c r="A155" s="103"/>
      <c r="B155" s="12" t="s">
        <v>4</v>
      </c>
      <c r="C155" s="10" t="s">
        <v>394</v>
      </c>
      <c r="D155" s="152"/>
      <c r="E155" s="170"/>
      <c r="F155" s="95"/>
      <c r="G155" s="153" t="str">
        <f t="shared" si="14"/>
        <v/>
      </c>
      <c r="H155" s="10" t="s">
        <v>20</v>
      </c>
      <c r="I155" s="331">
        <v>2.54</v>
      </c>
      <c r="J155" s="12">
        <f t="shared" si="13"/>
        <v>0</v>
      </c>
    </row>
    <row r="156" spans="1:11" ht="14.5" customHeight="1" x14ac:dyDescent="0.35">
      <c r="A156" s="103"/>
      <c r="B156" s="12" t="s">
        <v>4</v>
      </c>
      <c r="C156" s="10" t="s">
        <v>25</v>
      </c>
      <c r="D156" s="152">
        <v>20</v>
      </c>
      <c r="E156" s="170"/>
      <c r="F156" s="95"/>
      <c r="G156" s="153" t="str">
        <f t="shared" si="14"/>
        <v/>
      </c>
      <c r="H156" s="10" t="s">
        <v>20</v>
      </c>
      <c r="I156" s="331">
        <v>1.79</v>
      </c>
      <c r="J156" s="12">
        <f t="shared" si="13"/>
        <v>0</v>
      </c>
      <c r="K156" s="13"/>
    </row>
    <row r="157" spans="1:11" ht="15.65" hidden="1" customHeight="1" x14ac:dyDescent="0.35">
      <c r="A157" s="103"/>
      <c r="B157" s="12" t="s">
        <v>4</v>
      </c>
      <c r="C157" s="10" t="s">
        <v>322</v>
      </c>
      <c r="D157" s="152"/>
      <c r="E157" s="170"/>
      <c r="F157" s="95"/>
      <c r="G157" s="153" t="str">
        <f t="shared" si="14"/>
        <v/>
      </c>
      <c r="H157" s="10" t="s">
        <v>20</v>
      </c>
      <c r="I157" s="331">
        <v>2.46</v>
      </c>
      <c r="J157" s="12">
        <f t="shared" si="13"/>
        <v>0</v>
      </c>
    </row>
    <row r="158" spans="1:11" ht="15.65" customHeight="1" x14ac:dyDescent="0.35">
      <c r="A158" s="103"/>
      <c r="B158" s="12" t="s">
        <v>4</v>
      </c>
      <c r="C158" s="10" t="s">
        <v>393</v>
      </c>
      <c r="D158" s="152">
        <v>40</v>
      </c>
      <c r="E158" s="170">
        <v>11</v>
      </c>
      <c r="F158" s="95"/>
      <c r="G158" s="153">
        <f t="shared" si="14"/>
        <v>29</v>
      </c>
      <c r="H158" s="10" t="s">
        <v>20</v>
      </c>
      <c r="I158" s="331">
        <v>2.46</v>
      </c>
      <c r="J158" s="12">
        <f t="shared" si="13"/>
        <v>27.06</v>
      </c>
    </row>
    <row r="159" spans="1:11" ht="14.5" hidden="1" customHeight="1" x14ac:dyDescent="0.35">
      <c r="A159" s="103"/>
      <c r="B159" s="12" t="s">
        <v>4</v>
      </c>
      <c r="C159" s="10" t="s">
        <v>43</v>
      </c>
      <c r="D159" s="152"/>
      <c r="E159" s="170"/>
      <c r="F159" s="95"/>
      <c r="G159" s="153" t="str">
        <f t="shared" si="14"/>
        <v/>
      </c>
      <c r="H159" s="10" t="s">
        <v>20</v>
      </c>
      <c r="I159" s="331">
        <v>2.5499999999999998</v>
      </c>
      <c r="J159" s="12">
        <f t="shared" si="13"/>
        <v>0</v>
      </c>
    </row>
    <row r="160" spans="1:11" ht="14.5" customHeight="1" x14ac:dyDescent="0.35">
      <c r="A160" s="103"/>
      <c r="B160" s="12" t="s">
        <v>4</v>
      </c>
      <c r="C160" s="10" t="s">
        <v>81</v>
      </c>
      <c r="D160" s="152">
        <v>40</v>
      </c>
      <c r="E160" s="170">
        <v>6</v>
      </c>
      <c r="F160" s="95"/>
      <c r="G160" s="153">
        <f t="shared" si="14"/>
        <v>34</v>
      </c>
      <c r="H160" s="10" t="s">
        <v>20</v>
      </c>
      <c r="I160" s="331">
        <v>1.51</v>
      </c>
      <c r="J160" s="12">
        <f t="shared" si="13"/>
        <v>9.06</v>
      </c>
      <c r="K160" s="13"/>
    </row>
    <row r="161" spans="1:11" ht="15.65" customHeight="1" x14ac:dyDescent="0.35">
      <c r="A161" s="103"/>
      <c r="B161" s="12" t="s">
        <v>4</v>
      </c>
      <c r="C161" s="10" t="s">
        <v>82</v>
      </c>
      <c r="D161" s="152">
        <v>40</v>
      </c>
      <c r="E161" s="170">
        <v>6</v>
      </c>
      <c r="F161" s="95"/>
      <c r="G161" s="153">
        <f t="shared" si="14"/>
        <v>34</v>
      </c>
      <c r="H161" s="10" t="s">
        <v>20</v>
      </c>
      <c r="I161" s="331">
        <v>1.51</v>
      </c>
      <c r="J161" s="12">
        <f t="shared" si="13"/>
        <v>9.06</v>
      </c>
    </row>
    <row r="162" spans="1:11" ht="15.65" hidden="1" customHeight="1" x14ac:dyDescent="0.35">
      <c r="A162" s="103"/>
      <c r="B162" s="12" t="s">
        <v>4</v>
      </c>
      <c r="C162" s="10" t="s">
        <v>323</v>
      </c>
      <c r="D162" s="152"/>
      <c r="E162" s="170"/>
      <c r="F162" s="95"/>
      <c r="G162" s="153" t="str">
        <f t="shared" si="14"/>
        <v/>
      </c>
      <c r="H162" s="10" t="s">
        <v>20</v>
      </c>
      <c r="I162" s="331">
        <v>1.54</v>
      </c>
      <c r="J162" s="12">
        <f t="shared" si="13"/>
        <v>0</v>
      </c>
    </row>
    <row r="163" spans="1:11" ht="14.5" hidden="1" customHeight="1" x14ac:dyDescent="0.35">
      <c r="A163" s="103"/>
      <c r="B163" s="12" t="s">
        <v>4</v>
      </c>
      <c r="C163" s="10" t="s">
        <v>324</v>
      </c>
      <c r="D163" s="152"/>
      <c r="E163" s="170"/>
      <c r="F163" s="95"/>
      <c r="G163" s="153" t="str">
        <f t="shared" si="14"/>
        <v/>
      </c>
      <c r="H163" s="10" t="s">
        <v>20</v>
      </c>
      <c r="I163" s="331">
        <v>1.6</v>
      </c>
      <c r="J163" s="12">
        <f t="shared" si="13"/>
        <v>0</v>
      </c>
    </row>
    <row r="164" spans="1:11" ht="14.5" hidden="1" customHeight="1" x14ac:dyDescent="0.35">
      <c r="A164" s="103"/>
      <c r="B164" s="12" t="s">
        <v>4</v>
      </c>
      <c r="C164" s="78" t="s">
        <v>325</v>
      </c>
      <c r="D164" s="224"/>
      <c r="E164" s="170"/>
      <c r="F164" s="142"/>
      <c r="G164" s="153" t="str">
        <f t="shared" si="14"/>
        <v/>
      </c>
      <c r="H164" s="10" t="s">
        <v>20</v>
      </c>
      <c r="I164" s="333">
        <v>49.95</v>
      </c>
      <c r="J164" s="12">
        <f t="shared" si="13"/>
        <v>0</v>
      </c>
    </row>
    <row r="165" spans="1:11" ht="14.5" customHeight="1" x14ac:dyDescent="0.35">
      <c r="A165" s="113" t="s">
        <v>44</v>
      </c>
      <c r="B165" s="124"/>
      <c r="C165" s="124"/>
      <c r="D165" s="230"/>
      <c r="E165" s="174"/>
      <c r="F165" s="148"/>
      <c r="G165" s="165" t="str">
        <f t="shared" si="14"/>
        <v/>
      </c>
      <c r="H165" s="124"/>
      <c r="I165" s="241"/>
      <c r="J165" s="125"/>
    </row>
    <row r="166" spans="1:11" ht="14.5" customHeight="1" x14ac:dyDescent="0.35">
      <c r="A166" s="103"/>
      <c r="B166" s="12" t="s">
        <v>4</v>
      </c>
      <c r="C166" s="10" t="s">
        <v>48</v>
      </c>
      <c r="D166" s="152"/>
      <c r="E166" s="170"/>
      <c r="F166" s="95"/>
      <c r="G166" s="153" t="str">
        <f t="shared" si="14"/>
        <v/>
      </c>
      <c r="H166" s="10" t="s">
        <v>20</v>
      </c>
      <c r="I166" s="331">
        <v>1.94</v>
      </c>
      <c r="J166" s="12">
        <f t="shared" ref="J166:J175" si="15">E166*I166</f>
        <v>0</v>
      </c>
    </row>
    <row r="167" spans="1:11" ht="14.5" customHeight="1" x14ac:dyDescent="0.35">
      <c r="A167" s="103"/>
      <c r="B167" s="12" t="s">
        <v>4</v>
      </c>
      <c r="C167" s="10" t="s">
        <v>49</v>
      </c>
      <c r="D167" s="152"/>
      <c r="E167" s="170"/>
      <c r="F167" s="95"/>
      <c r="G167" s="153" t="str">
        <f t="shared" si="14"/>
        <v/>
      </c>
      <c r="H167" s="10" t="s">
        <v>20</v>
      </c>
      <c r="I167" s="331">
        <v>1.94</v>
      </c>
      <c r="J167" s="12">
        <f t="shared" si="15"/>
        <v>0</v>
      </c>
    </row>
    <row r="168" spans="1:11" ht="14.5" customHeight="1" x14ac:dyDescent="0.35">
      <c r="A168" s="103"/>
      <c r="B168" s="12" t="s">
        <v>4</v>
      </c>
      <c r="C168" s="10" t="s">
        <v>50</v>
      </c>
      <c r="D168" s="152"/>
      <c r="E168" s="170"/>
      <c r="F168" s="95"/>
      <c r="G168" s="153" t="str">
        <f t="shared" si="14"/>
        <v/>
      </c>
      <c r="H168" s="10" t="s">
        <v>20</v>
      </c>
      <c r="I168" s="331">
        <v>1.94</v>
      </c>
      <c r="J168" s="12">
        <f t="shared" si="15"/>
        <v>0</v>
      </c>
    </row>
    <row r="169" spans="1:11" ht="14.5" hidden="1" customHeight="1" x14ac:dyDescent="0.35">
      <c r="A169" s="103"/>
      <c r="B169" s="12" t="s">
        <v>4</v>
      </c>
      <c r="C169" s="10" t="s">
        <v>415</v>
      </c>
      <c r="D169" s="152"/>
      <c r="E169" s="170"/>
      <c r="F169" s="95"/>
      <c r="G169" s="153" t="str">
        <f t="shared" si="14"/>
        <v/>
      </c>
      <c r="H169" s="10" t="s">
        <v>20</v>
      </c>
      <c r="I169" s="331">
        <v>1.98</v>
      </c>
      <c r="J169" s="12">
        <f t="shared" si="15"/>
        <v>0</v>
      </c>
    </row>
    <row r="170" spans="1:11" ht="14.5" hidden="1" customHeight="1" x14ac:dyDescent="0.35">
      <c r="A170" s="103"/>
      <c r="B170" s="12" t="s">
        <v>4</v>
      </c>
      <c r="C170" s="10" t="s">
        <v>414</v>
      </c>
      <c r="D170" s="152"/>
      <c r="E170" s="170"/>
      <c r="F170" s="95"/>
      <c r="G170" s="153" t="str">
        <f t="shared" si="14"/>
        <v/>
      </c>
      <c r="H170" s="10" t="s">
        <v>20</v>
      </c>
      <c r="I170" s="331">
        <v>1.98</v>
      </c>
      <c r="J170" s="12">
        <f t="shared" si="15"/>
        <v>0</v>
      </c>
    </row>
    <row r="171" spans="1:11" ht="14.5" hidden="1" customHeight="1" x14ac:dyDescent="0.35">
      <c r="A171" s="103"/>
      <c r="B171" s="12" t="s">
        <v>4</v>
      </c>
      <c r="C171" s="10" t="s">
        <v>328</v>
      </c>
      <c r="D171" s="152"/>
      <c r="E171" s="170"/>
      <c r="F171" s="95"/>
      <c r="G171" s="153" t="str">
        <f t="shared" si="14"/>
        <v/>
      </c>
      <c r="H171" s="10" t="s">
        <v>20</v>
      </c>
      <c r="I171" s="331">
        <v>1.98</v>
      </c>
      <c r="J171" s="12">
        <f t="shared" si="15"/>
        <v>0</v>
      </c>
    </row>
    <row r="172" spans="1:11" ht="14.5" hidden="1" customHeight="1" x14ac:dyDescent="0.35">
      <c r="A172" s="103"/>
      <c r="B172" s="12" t="s">
        <v>4</v>
      </c>
      <c r="C172" s="10" t="s">
        <v>329</v>
      </c>
      <c r="D172" s="152"/>
      <c r="E172" s="170"/>
      <c r="F172" s="95"/>
      <c r="G172" s="153" t="str">
        <f t="shared" si="14"/>
        <v/>
      </c>
      <c r="H172" s="10" t="s">
        <v>20</v>
      </c>
      <c r="I172" s="331">
        <v>1.98</v>
      </c>
      <c r="J172" s="12">
        <f t="shared" si="15"/>
        <v>0</v>
      </c>
    </row>
    <row r="173" spans="1:11" ht="14.5" hidden="1" customHeight="1" x14ac:dyDescent="0.35">
      <c r="A173" s="103"/>
      <c r="B173" s="40" t="s">
        <v>4</v>
      </c>
      <c r="C173" s="41" t="s">
        <v>330</v>
      </c>
      <c r="D173" s="227"/>
      <c r="E173" s="170"/>
      <c r="F173" s="145"/>
      <c r="G173" s="153" t="str">
        <f t="shared" si="14"/>
        <v/>
      </c>
      <c r="H173" s="10" t="s">
        <v>20</v>
      </c>
      <c r="I173" s="331">
        <v>1.98</v>
      </c>
      <c r="J173" s="12">
        <f t="shared" si="15"/>
        <v>0</v>
      </c>
    </row>
    <row r="174" spans="1:11" ht="14.5" hidden="1" customHeight="1" x14ac:dyDescent="0.35">
      <c r="A174" s="103"/>
      <c r="B174" s="40" t="s">
        <v>4</v>
      </c>
      <c r="C174" s="41" t="s">
        <v>331</v>
      </c>
      <c r="D174" s="227"/>
      <c r="E174" s="170"/>
      <c r="F174" s="145"/>
      <c r="G174" s="153" t="str">
        <f t="shared" si="14"/>
        <v/>
      </c>
      <c r="H174" s="10" t="s">
        <v>20</v>
      </c>
      <c r="I174" s="331">
        <v>1.98</v>
      </c>
      <c r="J174" s="12">
        <f t="shared" si="15"/>
        <v>0</v>
      </c>
    </row>
    <row r="175" spans="1:11" ht="14.5" hidden="1" customHeight="1" x14ac:dyDescent="0.35">
      <c r="A175" s="103"/>
      <c r="B175" s="40" t="s">
        <v>4</v>
      </c>
      <c r="C175" s="41" t="s">
        <v>413</v>
      </c>
      <c r="D175" s="227"/>
      <c r="E175" s="170"/>
      <c r="F175" s="145"/>
      <c r="G175" s="153" t="str">
        <f t="shared" si="14"/>
        <v/>
      </c>
      <c r="H175" s="41" t="s">
        <v>20</v>
      </c>
      <c r="I175" s="334">
        <v>1.98</v>
      </c>
      <c r="J175" s="12">
        <f t="shared" si="15"/>
        <v>0</v>
      </c>
    </row>
    <row r="176" spans="1:11" ht="14.5" hidden="1" customHeight="1" x14ac:dyDescent="0.35">
      <c r="A176" s="114" t="s">
        <v>333</v>
      </c>
      <c r="B176" s="120"/>
      <c r="C176" s="120"/>
      <c r="D176" s="228"/>
      <c r="E176" s="175"/>
      <c r="F176" s="149"/>
      <c r="G176" s="153" t="str">
        <f t="shared" si="14"/>
        <v/>
      </c>
      <c r="H176" s="121"/>
      <c r="I176" s="122" t="s">
        <v>18</v>
      </c>
      <c r="J176" s="123">
        <f>SUM(J177:J186)</f>
        <v>0</v>
      </c>
      <c r="K176" s="13"/>
    </row>
    <row r="177" spans="1:14" ht="15.65" hidden="1" customHeight="1" x14ac:dyDescent="0.35">
      <c r="A177" s="103"/>
      <c r="B177" s="12" t="s">
        <v>26</v>
      </c>
      <c r="C177" s="10" t="s">
        <v>334</v>
      </c>
      <c r="D177" s="152"/>
      <c r="E177" s="170"/>
      <c r="F177" s="95"/>
      <c r="G177" s="153" t="str">
        <f t="shared" si="14"/>
        <v/>
      </c>
      <c r="H177" s="10" t="s">
        <v>335</v>
      </c>
      <c r="I177" s="331">
        <v>20</v>
      </c>
      <c r="J177" s="12">
        <f t="shared" ref="J177:J186" si="16">E177*I177</f>
        <v>0</v>
      </c>
    </row>
    <row r="178" spans="1:14" hidden="1" x14ac:dyDescent="0.35">
      <c r="A178" s="103"/>
      <c r="B178" s="20" t="s">
        <v>26</v>
      </c>
      <c r="C178" s="18" t="s">
        <v>53</v>
      </c>
      <c r="D178" s="229"/>
      <c r="E178" s="170"/>
      <c r="F178" s="147"/>
      <c r="G178" s="153" t="str">
        <f t="shared" si="14"/>
        <v/>
      </c>
      <c r="H178" s="18" t="s">
        <v>20</v>
      </c>
      <c r="I178" s="335">
        <v>0.43</v>
      </c>
      <c r="J178" s="20">
        <f t="shared" si="16"/>
        <v>0</v>
      </c>
      <c r="N178" t="s">
        <v>47</v>
      </c>
    </row>
    <row r="179" spans="1:14" hidden="1" x14ac:dyDescent="0.35">
      <c r="A179" s="103"/>
      <c r="B179" s="20" t="s">
        <v>26</v>
      </c>
      <c r="C179" s="18" t="s">
        <v>336</v>
      </c>
      <c r="D179" s="229"/>
      <c r="E179" s="170"/>
      <c r="F179" s="147"/>
      <c r="G179" s="153" t="str">
        <f t="shared" si="14"/>
        <v/>
      </c>
      <c r="H179" s="18" t="s">
        <v>20</v>
      </c>
      <c r="I179" s="335">
        <v>0.43</v>
      </c>
      <c r="J179" s="20">
        <f t="shared" si="16"/>
        <v>0</v>
      </c>
    </row>
    <row r="180" spans="1:14" ht="16.399999999999999" hidden="1" customHeight="1" x14ac:dyDescent="0.35">
      <c r="A180" s="103"/>
      <c r="B180" s="12" t="s">
        <v>26</v>
      </c>
      <c r="C180" s="10" t="s">
        <v>337</v>
      </c>
      <c r="D180" s="152"/>
      <c r="E180" s="170"/>
      <c r="F180" s="95"/>
      <c r="G180" s="153" t="str">
        <f t="shared" si="14"/>
        <v/>
      </c>
      <c r="H180" s="10" t="s">
        <v>20</v>
      </c>
      <c r="I180" s="331">
        <v>0.43</v>
      </c>
      <c r="J180" s="12">
        <f t="shared" si="16"/>
        <v>0</v>
      </c>
    </row>
    <row r="181" spans="1:14" hidden="1" x14ac:dyDescent="0.35">
      <c r="A181" s="103"/>
      <c r="B181" s="12" t="s">
        <v>26</v>
      </c>
      <c r="C181" s="10" t="s">
        <v>51</v>
      </c>
      <c r="D181" s="152"/>
      <c r="E181" s="170"/>
      <c r="F181" s="95"/>
      <c r="G181" s="153" t="str">
        <f t="shared" si="14"/>
        <v/>
      </c>
      <c r="H181" s="10" t="s">
        <v>61</v>
      </c>
      <c r="I181" s="331">
        <v>14</v>
      </c>
      <c r="J181" s="12">
        <f t="shared" si="16"/>
        <v>0</v>
      </c>
    </row>
    <row r="182" spans="1:14" hidden="1" x14ac:dyDescent="0.35">
      <c r="A182" s="103"/>
      <c r="B182" s="12" t="s">
        <v>26</v>
      </c>
      <c r="C182" s="10" t="s">
        <v>338</v>
      </c>
      <c r="D182" s="152"/>
      <c r="E182" s="170"/>
      <c r="F182" s="95"/>
      <c r="G182" s="153" t="str">
        <f t="shared" si="14"/>
        <v/>
      </c>
      <c r="H182" s="10" t="s">
        <v>61</v>
      </c>
      <c r="I182" s="331">
        <v>14.78</v>
      </c>
      <c r="J182" s="12">
        <f t="shared" si="16"/>
        <v>0</v>
      </c>
    </row>
    <row r="183" spans="1:14" hidden="1" x14ac:dyDescent="0.35">
      <c r="A183" s="103"/>
      <c r="B183" s="12" t="s">
        <v>26</v>
      </c>
      <c r="C183" s="10" t="s">
        <v>339</v>
      </c>
      <c r="D183" s="152"/>
      <c r="E183" s="170"/>
      <c r="F183" s="95"/>
      <c r="G183" s="153" t="str">
        <f t="shared" si="14"/>
        <v/>
      </c>
      <c r="H183" s="10" t="s">
        <v>61</v>
      </c>
      <c r="I183" s="331">
        <v>14.78</v>
      </c>
      <c r="J183" s="12">
        <f t="shared" si="16"/>
        <v>0</v>
      </c>
    </row>
    <row r="184" spans="1:14" ht="14.5" hidden="1" customHeight="1" x14ac:dyDescent="0.35">
      <c r="A184" s="103"/>
      <c r="B184" s="12" t="s">
        <v>26</v>
      </c>
      <c r="C184" s="10" t="s">
        <v>340</v>
      </c>
      <c r="D184" s="152"/>
      <c r="E184" s="170"/>
      <c r="F184" s="95"/>
      <c r="G184" s="153" t="str">
        <f t="shared" si="14"/>
        <v/>
      </c>
      <c r="H184" s="10" t="s">
        <v>61</v>
      </c>
      <c r="I184" s="331">
        <v>14.78</v>
      </c>
      <c r="J184" s="12">
        <f t="shared" si="16"/>
        <v>0</v>
      </c>
    </row>
    <row r="185" spans="1:14" hidden="1" x14ac:dyDescent="0.35">
      <c r="A185" s="103"/>
      <c r="B185" s="12" t="s">
        <v>26</v>
      </c>
      <c r="C185" s="10" t="s">
        <v>341</v>
      </c>
      <c r="D185" s="152"/>
      <c r="E185" s="170"/>
      <c r="F185" s="95"/>
      <c r="G185" s="153" t="str">
        <f t="shared" si="14"/>
        <v/>
      </c>
      <c r="H185" s="10" t="s">
        <v>61</v>
      </c>
      <c r="I185" s="331">
        <v>14.78</v>
      </c>
      <c r="J185" s="12">
        <f t="shared" si="16"/>
        <v>0</v>
      </c>
    </row>
    <row r="186" spans="1:14" ht="14.5" hidden="1" customHeight="1" x14ac:dyDescent="0.35">
      <c r="A186" s="103"/>
      <c r="B186" s="12" t="s">
        <v>26</v>
      </c>
      <c r="C186" s="10" t="s">
        <v>342</v>
      </c>
      <c r="D186" s="152"/>
      <c r="E186" s="170"/>
      <c r="F186" s="95"/>
      <c r="G186" s="153" t="str">
        <f t="shared" si="14"/>
        <v/>
      </c>
      <c r="H186" s="10" t="s">
        <v>61</v>
      </c>
      <c r="I186" s="331">
        <v>14.78</v>
      </c>
      <c r="J186" s="10">
        <f t="shared" si="16"/>
        <v>0</v>
      </c>
    </row>
    <row r="187" spans="1:14" ht="15.5" x14ac:dyDescent="0.35">
      <c r="A187" s="108" t="s">
        <v>343</v>
      </c>
      <c r="B187" s="108"/>
      <c r="C187" s="108"/>
      <c r="D187" s="223"/>
      <c r="E187" s="169"/>
      <c r="F187" s="109"/>
      <c r="G187" s="165" t="str">
        <f t="shared" si="14"/>
        <v/>
      </c>
      <c r="H187" s="108"/>
      <c r="I187" s="106" t="s">
        <v>18</v>
      </c>
      <c r="J187" s="107">
        <f>SUM(J188:J192)</f>
        <v>0</v>
      </c>
    </row>
    <row r="188" spans="1:14" ht="14.5" hidden="1" customHeight="1" x14ac:dyDescent="0.35">
      <c r="A188" s="103"/>
      <c r="B188" s="7" t="s">
        <v>6</v>
      </c>
      <c r="C188" s="14" t="s">
        <v>344</v>
      </c>
      <c r="D188" s="152"/>
      <c r="E188" s="170"/>
      <c r="F188" s="95"/>
      <c r="G188" s="153" t="str">
        <f t="shared" si="14"/>
        <v/>
      </c>
      <c r="H188" s="14" t="s">
        <v>20</v>
      </c>
      <c r="I188" s="336">
        <v>0.79</v>
      </c>
      <c r="J188" s="7">
        <f>E188*I188</f>
        <v>0</v>
      </c>
    </row>
    <row r="189" spans="1:14" ht="15.65" customHeight="1" x14ac:dyDescent="0.35">
      <c r="A189" s="103"/>
      <c r="B189" s="7" t="s">
        <v>6</v>
      </c>
      <c r="C189" s="14" t="s">
        <v>345</v>
      </c>
      <c r="D189" s="152">
        <v>10</v>
      </c>
      <c r="E189" s="170"/>
      <c r="F189" s="95"/>
      <c r="G189" s="153" t="str">
        <f t="shared" si="14"/>
        <v/>
      </c>
      <c r="H189" s="14" t="s">
        <v>20</v>
      </c>
      <c r="I189" s="336">
        <v>2.76</v>
      </c>
      <c r="J189" s="7">
        <f>E189*I189</f>
        <v>0</v>
      </c>
    </row>
    <row r="190" spans="1:14" ht="14.5" customHeight="1" x14ac:dyDescent="0.35">
      <c r="A190" s="103"/>
      <c r="B190" s="7" t="s">
        <v>6</v>
      </c>
      <c r="C190" s="14" t="s">
        <v>346</v>
      </c>
      <c r="D190" s="152"/>
      <c r="E190" s="170"/>
      <c r="F190" s="95"/>
      <c r="G190" s="153" t="str">
        <f t="shared" si="14"/>
        <v/>
      </c>
      <c r="H190" s="14" t="s">
        <v>20</v>
      </c>
      <c r="I190" s="336">
        <v>1</v>
      </c>
      <c r="J190" s="7">
        <f>E190*I190</f>
        <v>0</v>
      </c>
    </row>
    <row r="191" spans="1:14" x14ac:dyDescent="0.35">
      <c r="A191" s="103"/>
      <c r="B191" s="7" t="s">
        <v>6</v>
      </c>
      <c r="C191" s="14" t="s">
        <v>34</v>
      </c>
      <c r="D191" s="152">
        <v>10</v>
      </c>
      <c r="E191" s="170"/>
      <c r="F191" s="95"/>
      <c r="G191" s="153" t="str">
        <f t="shared" si="14"/>
        <v/>
      </c>
      <c r="H191" s="14" t="s">
        <v>20</v>
      </c>
      <c r="I191" s="336">
        <v>1.8</v>
      </c>
      <c r="J191" s="7">
        <f>E191*I191</f>
        <v>0</v>
      </c>
    </row>
    <row r="192" spans="1:14" x14ac:dyDescent="0.35">
      <c r="A192" s="103"/>
      <c r="B192" s="7" t="s">
        <v>6</v>
      </c>
      <c r="C192" s="14" t="s">
        <v>35</v>
      </c>
      <c r="D192" s="152">
        <v>10</v>
      </c>
      <c r="E192" s="170"/>
      <c r="F192" s="95"/>
      <c r="G192" s="153" t="str">
        <f t="shared" si="14"/>
        <v/>
      </c>
      <c r="H192" s="14" t="s">
        <v>20</v>
      </c>
      <c r="I192" s="336">
        <v>1.8</v>
      </c>
      <c r="J192" s="7">
        <f>E192*I192</f>
        <v>0</v>
      </c>
    </row>
    <row r="193" spans="1:10" ht="15.5" hidden="1" x14ac:dyDescent="0.35">
      <c r="A193" s="112" t="s">
        <v>347</v>
      </c>
      <c r="B193" s="116"/>
      <c r="C193" s="116"/>
      <c r="D193" s="228"/>
      <c r="E193" s="173"/>
      <c r="F193" s="146"/>
      <c r="G193" s="165" t="str">
        <f t="shared" si="14"/>
        <v/>
      </c>
      <c r="H193" s="117"/>
      <c r="I193" s="118" t="s">
        <v>18</v>
      </c>
      <c r="J193" s="119">
        <f>SUM(J194)</f>
        <v>0</v>
      </c>
    </row>
    <row r="194" spans="1:10" hidden="1" x14ac:dyDescent="0.35">
      <c r="A194" s="103"/>
      <c r="B194" s="12" t="s">
        <v>5</v>
      </c>
      <c r="C194" s="10" t="s">
        <v>55</v>
      </c>
      <c r="D194" s="152"/>
      <c r="E194" s="170"/>
      <c r="F194" s="95"/>
      <c r="G194" s="153" t="str">
        <f t="shared" si="14"/>
        <v/>
      </c>
      <c r="H194" s="10" t="s">
        <v>20</v>
      </c>
      <c r="I194" s="331">
        <v>1.01</v>
      </c>
      <c r="J194" s="12">
        <f>E194*I194</f>
        <v>0</v>
      </c>
    </row>
    <row r="195" spans="1:10" ht="15.5" hidden="1" x14ac:dyDescent="0.35">
      <c r="A195" s="112" t="s">
        <v>348</v>
      </c>
      <c r="B195" s="116"/>
      <c r="C195" s="116"/>
      <c r="D195" s="228"/>
      <c r="E195" s="173"/>
      <c r="F195" s="146"/>
      <c r="G195" s="165" t="str">
        <f t="shared" si="14"/>
        <v/>
      </c>
      <c r="H195" s="117"/>
      <c r="I195" s="118" t="s">
        <v>18</v>
      </c>
      <c r="J195" s="119">
        <f>SUM(J196:J207)</f>
        <v>0</v>
      </c>
    </row>
    <row r="196" spans="1:10" hidden="1" x14ac:dyDescent="0.35">
      <c r="A196" s="103"/>
      <c r="B196" s="20" t="s">
        <v>8</v>
      </c>
      <c r="C196" s="18" t="s">
        <v>349</v>
      </c>
      <c r="D196" s="229"/>
      <c r="E196" s="170"/>
      <c r="F196" s="147"/>
      <c r="G196" s="153" t="str">
        <f t="shared" si="14"/>
        <v/>
      </c>
      <c r="H196" s="18" t="s">
        <v>27</v>
      </c>
      <c r="I196" s="337">
        <v>28.62</v>
      </c>
      <c r="J196" s="12">
        <f t="shared" ref="J196:J207" si="17">E196*I196</f>
        <v>0</v>
      </c>
    </row>
    <row r="197" spans="1:10" hidden="1" x14ac:dyDescent="0.35">
      <c r="A197" s="103"/>
      <c r="B197" s="12" t="s">
        <v>8</v>
      </c>
      <c r="C197" s="10" t="s">
        <v>350</v>
      </c>
      <c r="D197" s="152"/>
      <c r="E197" s="170"/>
      <c r="F197" s="95"/>
      <c r="G197" s="153" t="str">
        <f t="shared" si="14"/>
        <v/>
      </c>
      <c r="H197" s="10" t="s">
        <v>335</v>
      </c>
      <c r="I197" s="338">
        <v>30</v>
      </c>
      <c r="J197" s="12">
        <f t="shared" si="17"/>
        <v>0</v>
      </c>
    </row>
    <row r="198" spans="1:10" hidden="1" x14ac:dyDescent="0.35">
      <c r="A198" s="103"/>
      <c r="B198" s="12" t="s">
        <v>8</v>
      </c>
      <c r="C198" s="10" t="s">
        <v>351</v>
      </c>
      <c r="D198" s="152"/>
      <c r="E198" s="170"/>
      <c r="F198" s="95"/>
      <c r="G198" s="153" t="str">
        <f t="shared" si="14"/>
        <v/>
      </c>
      <c r="H198" s="10" t="s">
        <v>335</v>
      </c>
      <c r="I198" s="331">
        <v>1.1499999999999999</v>
      </c>
      <c r="J198" s="12">
        <f t="shared" si="17"/>
        <v>0</v>
      </c>
    </row>
    <row r="199" spans="1:10" hidden="1" x14ac:dyDescent="0.35">
      <c r="A199" s="103"/>
      <c r="B199" s="12" t="s">
        <v>8</v>
      </c>
      <c r="C199" s="10" t="s">
        <v>352</v>
      </c>
      <c r="D199" s="152"/>
      <c r="E199" s="170"/>
      <c r="F199" s="95"/>
      <c r="G199" s="153" t="str">
        <f t="shared" si="14"/>
        <v/>
      </c>
      <c r="H199" s="10" t="s">
        <v>27</v>
      </c>
      <c r="I199" s="331">
        <v>23.83</v>
      </c>
      <c r="J199" s="12">
        <f t="shared" si="17"/>
        <v>0</v>
      </c>
    </row>
    <row r="200" spans="1:10" hidden="1" x14ac:dyDescent="0.35">
      <c r="A200" s="103"/>
      <c r="B200" s="12" t="s">
        <v>8</v>
      </c>
      <c r="C200" s="10" t="s">
        <v>353</v>
      </c>
      <c r="D200" s="152"/>
      <c r="E200" s="170"/>
      <c r="F200" s="95"/>
      <c r="G200" s="153" t="str">
        <f t="shared" si="14"/>
        <v/>
      </c>
      <c r="H200" s="10" t="s">
        <v>27</v>
      </c>
      <c r="I200" s="331">
        <v>28.89</v>
      </c>
      <c r="J200" s="12">
        <f t="shared" si="17"/>
        <v>0</v>
      </c>
    </row>
    <row r="201" spans="1:10" hidden="1" x14ac:dyDescent="0.35">
      <c r="A201" s="103"/>
      <c r="B201" s="12" t="s">
        <v>8</v>
      </c>
      <c r="C201" s="10" t="s">
        <v>354</v>
      </c>
      <c r="D201" s="152"/>
      <c r="E201" s="170"/>
      <c r="F201" s="95"/>
      <c r="G201" s="153" t="str">
        <f>IF(E201="","",IF(D201-E201&gt;0,D201-E201,""))</f>
        <v/>
      </c>
      <c r="H201" s="10" t="s">
        <v>27</v>
      </c>
      <c r="I201" s="331">
        <v>19.37</v>
      </c>
      <c r="J201" s="12">
        <f>E201*I201</f>
        <v>0</v>
      </c>
    </row>
    <row r="202" spans="1:10" hidden="1" x14ac:dyDescent="0.35">
      <c r="A202" s="103"/>
      <c r="B202" s="12" t="s">
        <v>8</v>
      </c>
      <c r="C202" s="10" t="s">
        <v>429</v>
      </c>
      <c r="D202" s="152"/>
      <c r="E202" s="170"/>
      <c r="F202" s="95"/>
      <c r="G202" s="153"/>
      <c r="H202" s="10" t="s">
        <v>27</v>
      </c>
      <c r="I202" s="331">
        <v>14.07</v>
      </c>
      <c r="J202" s="12"/>
    </row>
    <row r="203" spans="1:10" hidden="1" x14ac:dyDescent="0.35">
      <c r="A203" s="103"/>
      <c r="B203" s="12" t="s">
        <v>8</v>
      </c>
      <c r="C203" s="10" t="s">
        <v>430</v>
      </c>
      <c r="D203" s="152"/>
      <c r="E203" s="170"/>
      <c r="F203" s="95"/>
      <c r="G203" s="153"/>
      <c r="H203" s="10" t="s">
        <v>27</v>
      </c>
      <c r="I203" s="331">
        <v>16.07</v>
      </c>
      <c r="J203" s="12"/>
    </row>
    <row r="204" spans="1:10" hidden="1" x14ac:dyDescent="0.35">
      <c r="A204" s="103"/>
      <c r="B204" s="12" t="s">
        <v>8</v>
      </c>
      <c r="C204" s="10" t="s">
        <v>431</v>
      </c>
      <c r="D204" s="152"/>
      <c r="G204" s="153"/>
      <c r="H204" s="10" t="s">
        <v>27</v>
      </c>
      <c r="I204" s="339">
        <v>14.62</v>
      </c>
      <c r="J204" s="12"/>
    </row>
    <row r="205" spans="1:10" hidden="1" x14ac:dyDescent="0.35">
      <c r="A205" s="103"/>
      <c r="B205" s="12" t="s">
        <v>8</v>
      </c>
      <c r="C205" s="10" t="s">
        <v>355</v>
      </c>
      <c r="D205" s="152"/>
      <c r="E205" s="170"/>
      <c r="F205" s="95"/>
      <c r="G205" s="153" t="str">
        <f t="shared" si="14"/>
        <v/>
      </c>
      <c r="H205" s="10" t="s">
        <v>61</v>
      </c>
      <c r="I205" s="331">
        <v>17.11</v>
      </c>
      <c r="J205" s="12">
        <f t="shared" si="17"/>
        <v>0</v>
      </c>
    </row>
    <row r="206" spans="1:10" hidden="1" x14ac:dyDescent="0.35">
      <c r="A206" s="103"/>
      <c r="B206" s="12" t="s">
        <v>8</v>
      </c>
      <c r="C206" s="10" t="s">
        <v>356</v>
      </c>
      <c r="D206" s="152"/>
      <c r="E206" s="170"/>
      <c r="F206" s="95"/>
      <c r="G206" s="153" t="str">
        <f t="shared" si="14"/>
        <v/>
      </c>
      <c r="H206" s="10" t="s">
        <v>61</v>
      </c>
      <c r="I206" s="331">
        <v>22.13</v>
      </c>
      <c r="J206" s="12">
        <f t="shared" si="17"/>
        <v>0</v>
      </c>
    </row>
    <row r="207" spans="1:10" hidden="1" x14ac:dyDescent="0.35">
      <c r="A207" s="103"/>
      <c r="B207" s="40" t="s">
        <v>8</v>
      </c>
      <c r="C207" s="41" t="s">
        <v>357</v>
      </c>
      <c r="D207" s="227"/>
      <c r="E207" s="170"/>
      <c r="F207" s="145"/>
      <c r="G207" s="153" t="str">
        <f t="shared" si="14"/>
        <v/>
      </c>
      <c r="H207" s="41" t="s">
        <v>61</v>
      </c>
      <c r="I207" s="334">
        <v>18.8</v>
      </c>
      <c r="J207" s="40">
        <f t="shared" si="17"/>
        <v>0</v>
      </c>
    </row>
    <row r="208" spans="1:10" ht="15.5" hidden="1" x14ac:dyDescent="0.35">
      <c r="A208" s="112" t="s">
        <v>358</v>
      </c>
      <c r="B208" s="116"/>
      <c r="C208" s="116"/>
      <c r="D208" s="228"/>
      <c r="E208" s="173"/>
      <c r="F208" s="146"/>
      <c r="G208" s="165" t="str">
        <f t="shared" si="14"/>
        <v/>
      </c>
      <c r="H208" s="117"/>
      <c r="I208" s="118" t="s">
        <v>18</v>
      </c>
      <c r="J208" s="119">
        <f>J209+J210+J211+J212+J213</f>
        <v>0</v>
      </c>
    </row>
    <row r="209" spans="1:10" hidden="1" x14ac:dyDescent="0.35">
      <c r="A209" s="103"/>
      <c r="B209" s="13" t="s">
        <v>11</v>
      </c>
      <c r="C209" s="298" t="s">
        <v>359</v>
      </c>
      <c r="D209" s="299"/>
      <c r="E209" s="300"/>
      <c r="F209" s="301"/>
      <c r="G209" s="302" t="str">
        <f t="shared" si="14"/>
        <v/>
      </c>
      <c r="H209" s="41" t="s">
        <v>52</v>
      </c>
      <c r="I209" s="334">
        <v>11.63</v>
      </c>
      <c r="J209" s="40">
        <f>E209*I209</f>
        <v>0</v>
      </c>
    </row>
    <row r="210" spans="1:10" hidden="1" x14ac:dyDescent="0.35">
      <c r="A210" s="103"/>
      <c r="B210" s="12" t="s">
        <v>11</v>
      </c>
      <c r="C210" s="10" t="s">
        <v>436</v>
      </c>
      <c r="D210" s="152"/>
      <c r="E210" s="170"/>
      <c r="F210" s="95"/>
      <c r="G210" s="153"/>
      <c r="H210" s="10" t="s">
        <v>52</v>
      </c>
      <c r="I210" s="331">
        <v>16.8</v>
      </c>
      <c r="J210" s="40">
        <f t="shared" ref="J210:J213" si="18">E210*I210</f>
        <v>0</v>
      </c>
    </row>
    <row r="211" spans="1:10" hidden="1" x14ac:dyDescent="0.35">
      <c r="A211" s="103"/>
      <c r="B211" s="12" t="s">
        <v>11</v>
      </c>
      <c r="C211" s="10" t="s">
        <v>437</v>
      </c>
      <c r="D211" s="152"/>
      <c r="E211" s="170"/>
      <c r="F211" s="95"/>
      <c r="G211" s="153"/>
      <c r="H211" s="10" t="s">
        <v>440</v>
      </c>
      <c r="I211" s="331">
        <v>9.35</v>
      </c>
      <c r="J211" s="40">
        <f>E211*I211</f>
        <v>0</v>
      </c>
    </row>
    <row r="212" spans="1:10" hidden="1" x14ac:dyDescent="0.35">
      <c r="A212" s="103"/>
      <c r="B212" s="12" t="s">
        <v>11</v>
      </c>
      <c r="C212" s="10" t="s">
        <v>438</v>
      </c>
      <c r="D212" s="152"/>
      <c r="E212" s="170"/>
      <c r="F212" s="95"/>
      <c r="G212" s="153"/>
      <c r="H212" s="10" t="s">
        <v>52</v>
      </c>
      <c r="I212" s="331">
        <v>87</v>
      </c>
      <c r="J212" s="40">
        <f t="shared" si="18"/>
        <v>0</v>
      </c>
    </row>
    <row r="213" spans="1:10" hidden="1" x14ac:dyDescent="0.35">
      <c r="A213" s="103"/>
      <c r="B213" s="12" t="s">
        <v>11</v>
      </c>
      <c r="C213" s="10" t="s">
        <v>439</v>
      </c>
      <c r="D213" s="152"/>
      <c r="E213" s="170"/>
      <c r="F213" s="95"/>
      <c r="G213" s="153"/>
      <c r="H213" s="10" t="s">
        <v>52</v>
      </c>
      <c r="I213" s="331">
        <v>55</v>
      </c>
      <c r="J213" s="40">
        <f t="shared" si="18"/>
        <v>0</v>
      </c>
    </row>
    <row r="214" spans="1:10" ht="15.5" hidden="1" x14ac:dyDescent="0.35">
      <c r="A214" s="108" t="s">
        <v>360</v>
      </c>
      <c r="B214" s="108"/>
      <c r="C214" s="108"/>
      <c r="D214" s="223"/>
      <c r="E214" s="169"/>
      <c r="F214" s="109"/>
      <c r="G214" s="310" t="str">
        <f t="shared" si="14"/>
        <v/>
      </c>
      <c r="H214" s="108"/>
      <c r="I214" s="106" t="s">
        <v>18</v>
      </c>
      <c r="J214" s="107">
        <f>SUM(J215:J216)</f>
        <v>0</v>
      </c>
    </row>
    <row r="215" spans="1:10" hidden="1" x14ac:dyDescent="0.35">
      <c r="A215" s="103"/>
      <c r="B215" s="12" t="s">
        <v>12</v>
      </c>
      <c r="C215" s="10" t="s">
        <v>70</v>
      </c>
      <c r="D215" s="152"/>
      <c r="E215" s="170"/>
      <c r="F215" s="95"/>
      <c r="G215" s="153" t="str">
        <f t="shared" si="14"/>
        <v/>
      </c>
      <c r="H215" s="10" t="s">
        <v>27</v>
      </c>
      <c r="I215" s="331">
        <v>20.7</v>
      </c>
      <c r="J215" s="12">
        <f>+E215*I215</f>
        <v>0</v>
      </c>
    </row>
    <row r="216" spans="1:10" hidden="1" x14ac:dyDescent="0.35">
      <c r="A216" s="103"/>
      <c r="B216" s="12" t="s">
        <v>12</v>
      </c>
      <c r="C216" s="10" t="s">
        <v>71</v>
      </c>
      <c r="D216" s="152"/>
      <c r="E216" s="170"/>
      <c r="F216" s="95"/>
      <c r="G216" s="153" t="str">
        <f t="shared" si="14"/>
        <v/>
      </c>
      <c r="H216" s="10" t="s">
        <v>27</v>
      </c>
      <c r="I216" s="331">
        <v>13.7</v>
      </c>
      <c r="J216" s="12">
        <f>+E216*I216</f>
        <v>0</v>
      </c>
    </row>
    <row r="217" spans="1:10" ht="15.5" hidden="1" x14ac:dyDescent="0.35">
      <c r="A217" s="108" t="s">
        <v>361</v>
      </c>
      <c r="B217" s="108"/>
      <c r="C217" s="108"/>
      <c r="D217" s="223"/>
      <c r="E217" s="169"/>
      <c r="F217" s="109"/>
      <c r="G217" s="153" t="str">
        <f t="shared" si="14"/>
        <v/>
      </c>
      <c r="H217" s="108"/>
      <c r="I217" s="106" t="s">
        <v>18</v>
      </c>
      <c r="J217" s="107">
        <f>SUM(J218:J221)</f>
        <v>0</v>
      </c>
    </row>
    <row r="218" spans="1:10" hidden="1" x14ac:dyDescent="0.35">
      <c r="A218" s="103"/>
      <c r="B218" s="12" t="s">
        <v>10</v>
      </c>
      <c r="C218" s="10" t="s">
        <v>362</v>
      </c>
      <c r="D218" s="152"/>
      <c r="E218" s="170"/>
      <c r="F218" s="95"/>
      <c r="G218" s="153" t="str">
        <f t="shared" si="14"/>
        <v/>
      </c>
      <c r="H218" s="10" t="s">
        <v>20</v>
      </c>
      <c r="I218" s="331">
        <v>11.08</v>
      </c>
      <c r="J218" s="12">
        <f>E218*I218</f>
        <v>0</v>
      </c>
    </row>
    <row r="219" spans="1:10" hidden="1" x14ac:dyDescent="0.35">
      <c r="A219" s="103"/>
      <c r="B219" s="12" t="s">
        <v>10</v>
      </c>
      <c r="C219" s="10" t="s">
        <v>363</v>
      </c>
      <c r="D219" s="152"/>
      <c r="E219" s="170"/>
      <c r="F219" s="95"/>
      <c r="G219" s="153" t="str">
        <f t="shared" si="14"/>
        <v/>
      </c>
      <c r="H219" s="10" t="s">
        <v>27</v>
      </c>
      <c r="I219" s="331">
        <v>16.21</v>
      </c>
      <c r="J219" s="12">
        <f>E219*I219</f>
        <v>0</v>
      </c>
    </row>
    <row r="220" spans="1:10" hidden="1" x14ac:dyDescent="0.35">
      <c r="A220" s="103"/>
      <c r="B220" s="12" t="s">
        <v>10</v>
      </c>
      <c r="C220" s="10" t="s">
        <v>364</v>
      </c>
      <c r="D220" s="152"/>
      <c r="E220" s="170"/>
      <c r="F220" s="95"/>
      <c r="G220" s="153" t="str">
        <f t="shared" si="14"/>
        <v/>
      </c>
      <c r="H220" s="10" t="s">
        <v>27</v>
      </c>
      <c r="I220" s="331">
        <v>19.350000000000001</v>
      </c>
      <c r="J220" s="12">
        <f>E220*I220</f>
        <v>0</v>
      </c>
    </row>
    <row r="221" spans="1:10" hidden="1" x14ac:dyDescent="0.35">
      <c r="A221" s="103"/>
      <c r="B221" s="12" t="s">
        <v>10</v>
      </c>
      <c r="C221" s="10" t="s">
        <v>365</v>
      </c>
      <c r="D221" s="152"/>
      <c r="E221" s="170"/>
      <c r="F221" s="95"/>
      <c r="G221" s="153" t="str">
        <f t="shared" si="14"/>
        <v/>
      </c>
      <c r="H221" s="10" t="s">
        <v>27</v>
      </c>
      <c r="I221" s="331">
        <v>19.809999999999999</v>
      </c>
      <c r="J221" s="12">
        <f>E221*I221</f>
        <v>0</v>
      </c>
    </row>
    <row r="222" spans="1:10" ht="15.5" hidden="1" x14ac:dyDescent="0.35">
      <c r="A222" s="108" t="s">
        <v>366</v>
      </c>
      <c r="B222" s="108"/>
      <c r="C222" s="108"/>
      <c r="D222" s="223"/>
      <c r="E222" s="169"/>
      <c r="F222" s="109"/>
      <c r="G222" s="165" t="str">
        <f t="shared" si="14"/>
        <v/>
      </c>
      <c r="H222" s="108"/>
      <c r="I222" s="106" t="s">
        <v>18</v>
      </c>
      <c r="J222" s="107">
        <f>J223</f>
        <v>0</v>
      </c>
    </row>
    <row r="223" spans="1:10" hidden="1" x14ac:dyDescent="0.35">
      <c r="A223" s="103"/>
      <c r="B223" s="12" t="s">
        <v>28</v>
      </c>
      <c r="C223" s="10" t="s">
        <v>29</v>
      </c>
      <c r="D223" s="152"/>
      <c r="E223" s="170"/>
      <c r="F223" s="150"/>
      <c r="G223" s="153" t="str">
        <f t="shared" si="14"/>
        <v/>
      </c>
      <c r="H223" s="10" t="s">
        <v>54</v>
      </c>
      <c r="I223" s="331">
        <v>104</v>
      </c>
      <c r="J223" s="12">
        <f>I223*E223</f>
        <v>0</v>
      </c>
    </row>
    <row r="224" spans="1:10" ht="15.5" x14ac:dyDescent="0.35">
      <c r="A224" s="108" t="s">
        <v>367</v>
      </c>
      <c r="B224" s="108"/>
      <c r="C224" s="108"/>
      <c r="D224" s="223"/>
      <c r="E224" s="169"/>
      <c r="F224" s="109"/>
      <c r="G224" s="165" t="str">
        <f t="shared" ref="G224:G257" si="19">IF(E224="","",IF(D224-E224&gt;0,D224-E224,""))</f>
        <v/>
      </c>
      <c r="H224" s="108"/>
      <c r="I224" s="106" t="s">
        <v>18</v>
      </c>
      <c r="J224" s="115">
        <f>SUM(J225:J244)</f>
        <v>0</v>
      </c>
    </row>
    <row r="225" spans="1:10" x14ac:dyDescent="0.35">
      <c r="A225" s="103"/>
      <c r="B225" s="12" t="s">
        <v>9</v>
      </c>
      <c r="C225" s="10" t="s">
        <v>423</v>
      </c>
      <c r="D225" s="152"/>
      <c r="E225" s="170"/>
      <c r="F225" s="95"/>
      <c r="G225" s="153" t="str">
        <f t="shared" si="19"/>
        <v/>
      </c>
      <c r="H225" s="10" t="s">
        <v>20</v>
      </c>
      <c r="I225" s="331">
        <v>78</v>
      </c>
      <c r="J225" s="50">
        <f t="shared" ref="J225:J244" si="20">E225*I225</f>
        <v>0</v>
      </c>
    </row>
    <row r="226" spans="1:10" x14ac:dyDescent="0.35">
      <c r="A226" s="103"/>
      <c r="B226" s="12" t="s">
        <v>9</v>
      </c>
      <c r="C226" s="10" t="s">
        <v>424</v>
      </c>
      <c r="D226" s="152"/>
      <c r="E226" s="170"/>
      <c r="F226" s="95"/>
      <c r="G226" s="153" t="str">
        <f t="shared" si="19"/>
        <v/>
      </c>
      <c r="H226" s="10" t="s">
        <v>61</v>
      </c>
      <c r="I226" s="340">
        <v>107.12</v>
      </c>
      <c r="J226" s="50">
        <f t="shared" si="20"/>
        <v>0</v>
      </c>
    </row>
    <row r="227" spans="1:10" x14ac:dyDescent="0.35">
      <c r="A227" s="103"/>
      <c r="B227" s="12" t="s">
        <v>9</v>
      </c>
      <c r="C227" s="10" t="s">
        <v>369</v>
      </c>
      <c r="D227" s="152"/>
      <c r="E227" s="170"/>
      <c r="F227" s="95"/>
      <c r="G227" s="153" t="str">
        <f t="shared" si="19"/>
        <v/>
      </c>
      <c r="H227" s="10" t="s">
        <v>20</v>
      </c>
      <c r="I227" s="331">
        <v>0.04</v>
      </c>
      <c r="J227" s="50">
        <f t="shared" si="20"/>
        <v>0</v>
      </c>
    </row>
    <row r="228" spans="1:10" x14ac:dyDescent="0.35">
      <c r="A228" s="103"/>
      <c r="B228" s="12" t="s">
        <v>9</v>
      </c>
      <c r="C228" s="10" t="s">
        <v>370</v>
      </c>
      <c r="D228" s="152"/>
      <c r="E228" s="170"/>
      <c r="F228" s="95"/>
      <c r="G228" s="153" t="str">
        <f t="shared" si="19"/>
        <v/>
      </c>
      <c r="H228" s="10" t="s">
        <v>20</v>
      </c>
      <c r="I228" s="331">
        <v>7.0999999999999994E-2</v>
      </c>
      <c r="J228" s="50">
        <f t="shared" si="20"/>
        <v>0</v>
      </c>
    </row>
    <row r="229" spans="1:10" hidden="1" x14ac:dyDescent="0.35">
      <c r="A229" s="103"/>
      <c r="B229" s="12" t="s">
        <v>9</v>
      </c>
      <c r="C229" s="10" t="s">
        <v>411</v>
      </c>
      <c r="D229" s="152"/>
      <c r="E229" s="170"/>
      <c r="F229" s="95"/>
      <c r="G229" s="153"/>
      <c r="H229" s="10" t="s">
        <v>20</v>
      </c>
      <c r="I229" s="331">
        <v>1.97</v>
      </c>
      <c r="J229" s="50"/>
    </row>
    <row r="230" spans="1:10" hidden="1" x14ac:dyDescent="0.35">
      <c r="A230" s="103"/>
      <c r="B230" s="12" t="s">
        <v>9</v>
      </c>
      <c r="C230" s="10" t="s">
        <v>371</v>
      </c>
      <c r="D230" s="152"/>
      <c r="E230" s="170"/>
      <c r="F230" s="95"/>
      <c r="G230" s="153" t="str">
        <f t="shared" si="19"/>
        <v/>
      </c>
      <c r="H230" s="10" t="s">
        <v>61</v>
      </c>
      <c r="I230" s="331">
        <v>163.80000000000001</v>
      </c>
      <c r="J230" s="50">
        <f t="shared" si="20"/>
        <v>0</v>
      </c>
    </row>
    <row r="231" spans="1:10" hidden="1" x14ac:dyDescent="0.35">
      <c r="A231" s="103"/>
      <c r="B231" s="12" t="s">
        <v>9</v>
      </c>
      <c r="C231" s="10" t="s">
        <v>410</v>
      </c>
      <c r="D231" s="152"/>
      <c r="E231" s="170"/>
      <c r="F231" s="151"/>
      <c r="G231" s="153" t="str">
        <f t="shared" si="19"/>
        <v/>
      </c>
      <c r="H231" s="10" t="s">
        <v>61</v>
      </c>
      <c r="I231" s="331">
        <v>49.33</v>
      </c>
      <c r="J231" s="50">
        <f t="shared" si="20"/>
        <v>0</v>
      </c>
    </row>
    <row r="232" spans="1:10" hidden="1" x14ac:dyDescent="0.35">
      <c r="A232" s="103"/>
      <c r="B232" s="12" t="s">
        <v>9</v>
      </c>
      <c r="C232" s="10" t="s">
        <v>373</v>
      </c>
      <c r="D232" s="152"/>
      <c r="E232" s="170"/>
      <c r="F232" s="151"/>
      <c r="G232" s="153" t="str">
        <f t="shared" si="19"/>
        <v/>
      </c>
      <c r="H232" s="10" t="s">
        <v>61</v>
      </c>
      <c r="I232" s="331">
        <v>105.6</v>
      </c>
      <c r="J232" s="50">
        <f t="shared" si="20"/>
        <v>0</v>
      </c>
    </row>
    <row r="233" spans="1:10" hidden="1" x14ac:dyDescent="0.35">
      <c r="A233" s="103"/>
      <c r="B233" s="12" t="s">
        <v>9</v>
      </c>
      <c r="C233" s="10" t="s">
        <v>374</v>
      </c>
      <c r="D233" s="152"/>
      <c r="E233" s="170"/>
      <c r="F233" s="151"/>
      <c r="G233" s="153" t="str">
        <f t="shared" si="19"/>
        <v/>
      </c>
      <c r="H233" s="10" t="s">
        <v>61</v>
      </c>
      <c r="I233" s="331">
        <v>114.75</v>
      </c>
      <c r="J233" s="50">
        <f t="shared" si="20"/>
        <v>0</v>
      </c>
    </row>
    <row r="234" spans="1:10" hidden="1" x14ac:dyDescent="0.35">
      <c r="A234" s="103"/>
      <c r="B234" s="12" t="s">
        <v>9</v>
      </c>
      <c r="C234" s="10" t="s">
        <v>375</v>
      </c>
      <c r="D234" s="152"/>
      <c r="E234" s="170"/>
      <c r="F234" s="95"/>
      <c r="G234" s="153" t="str">
        <f t="shared" si="19"/>
        <v/>
      </c>
      <c r="H234" s="10" t="s">
        <v>61</v>
      </c>
      <c r="I234" s="331">
        <v>105.55</v>
      </c>
      <c r="J234" s="50">
        <f t="shared" si="20"/>
        <v>0</v>
      </c>
    </row>
    <row r="235" spans="1:10" hidden="1" x14ac:dyDescent="0.35">
      <c r="A235" s="103"/>
      <c r="B235" s="12" t="s">
        <v>9</v>
      </c>
      <c r="C235" s="10" t="s">
        <v>376</v>
      </c>
      <c r="D235" s="152"/>
      <c r="E235" s="170"/>
      <c r="F235" s="95"/>
      <c r="G235" s="153" t="str">
        <f t="shared" si="19"/>
        <v/>
      </c>
      <c r="H235" s="10" t="s">
        <v>61</v>
      </c>
      <c r="I235" s="331">
        <v>33.25</v>
      </c>
      <c r="J235" s="50">
        <f t="shared" si="20"/>
        <v>0</v>
      </c>
    </row>
    <row r="236" spans="1:10" hidden="1" x14ac:dyDescent="0.35">
      <c r="A236" s="103"/>
      <c r="B236" s="12" t="s">
        <v>9</v>
      </c>
      <c r="C236" s="10" t="s">
        <v>377</v>
      </c>
      <c r="D236" s="152"/>
      <c r="E236" s="170"/>
      <c r="F236" s="95"/>
      <c r="G236" s="153" t="str">
        <f t="shared" si="19"/>
        <v/>
      </c>
      <c r="H236" s="10" t="s">
        <v>20</v>
      </c>
      <c r="I236" s="331">
        <v>0.28999999999999998</v>
      </c>
      <c r="J236" s="50">
        <f t="shared" si="20"/>
        <v>0</v>
      </c>
    </row>
    <row r="237" spans="1:10" hidden="1" x14ac:dyDescent="0.35">
      <c r="A237" s="103"/>
      <c r="B237" s="12" t="s">
        <v>9</v>
      </c>
      <c r="C237" s="10" t="s">
        <v>378</v>
      </c>
      <c r="D237" s="152"/>
      <c r="E237" s="170"/>
      <c r="F237" s="95"/>
      <c r="G237" s="153" t="str">
        <f t="shared" si="19"/>
        <v/>
      </c>
      <c r="H237" s="10" t="s">
        <v>61</v>
      </c>
      <c r="I237" s="336">
        <v>37.85</v>
      </c>
      <c r="J237" s="50">
        <f t="shared" si="20"/>
        <v>0</v>
      </c>
    </row>
    <row r="238" spans="1:10" x14ac:dyDescent="0.35">
      <c r="A238" s="103"/>
      <c r="B238" s="12" t="s">
        <v>9</v>
      </c>
      <c r="C238" s="10" t="s">
        <v>425</v>
      </c>
      <c r="D238" s="152">
        <v>1</v>
      </c>
      <c r="E238" s="170"/>
      <c r="F238" s="95"/>
      <c r="G238" s="153" t="str">
        <f t="shared" si="19"/>
        <v/>
      </c>
      <c r="H238" s="10" t="s">
        <v>61</v>
      </c>
      <c r="I238" s="336">
        <v>111.47</v>
      </c>
      <c r="J238" s="50">
        <f t="shared" si="20"/>
        <v>0</v>
      </c>
    </row>
    <row r="239" spans="1:10" hidden="1" x14ac:dyDescent="0.35">
      <c r="A239" s="103"/>
      <c r="B239" s="12" t="s">
        <v>9</v>
      </c>
      <c r="C239" s="10" t="s">
        <v>379</v>
      </c>
      <c r="D239" s="152"/>
      <c r="E239" s="170"/>
      <c r="F239" s="95"/>
      <c r="G239" s="153" t="str">
        <f t="shared" si="19"/>
        <v/>
      </c>
      <c r="H239" s="10" t="s">
        <v>61</v>
      </c>
      <c r="I239" s="336">
        <v>174.97</v>
      </c>
      <c r="J239" s="50">
        <f t="shared" si="20"/>
        <v>0</v>
      </c>
    </row>
    <row r="240" spans="1:10" hidden="1" x14ac:dyDescent="0.35">
      <c r="A240" s="103"/>
      <c r="B240" s="12" t="s">
        <v>9</v>
      </c>
      <c r="C240" s="10" t="s">
        <v>380</v>
      </c>
      <c r="D240" s="152"/>
      <c r="E240" s="170"/>
      <c r="F240" s="95"/>
      <c r="G240" s="153" t="str">
        <f t="shared" si="19"/>
        <v/>
      </c>
      <c r="H240" s="10" t="s">
        <v>61</v>
      </c>
      <c r="I240" s="336">
        <v>44.93</v>
      </c>
      <c r="J240" s="50">
        <f t="shared" si="20"/>
        <v>0</v>
      </c>
    </row>
    <row r="241" spans="1:10" hidden="1" x14ac:dyDescent="0.35">
      <c r="A241" s="103"/>
      <c r="B241" s="12" t="s">
        <v>9</v>
      </c>
      <c r="C241" s="10" t="s">
        <v>426</v>
      </c>
      <c r="D241" s="152"/>
      <c r="E241" s="170"/>
      <c r="F241" s="95"/>
      <c r="G241" s="153" t="str">
        <f t="shared" si="19"/>
        <v/>
      </c>
      <c r="H241" s="10" t="s">
        <v>20</v>
      </c>
      <c r="I241" s="336">
        <v>29.2</v>
      </c>
      <c r="J241" s="50">
        <f t="shared" si="20"/>
        <v>0</v>
      </c>
    </row>
    <row r="242" spans="1:10" hidden="1" x14ac:dyDescent="0.35">
      <c r="A242" s="103"/>
      <c r="B242" s="12" t="s">
        <v>9</v>
      </c>
      <c r="C242" s="10" t="s">
        <v>427</v>
      </c>
      <c r="D242" s="152"/>
      <c r="E242" s="170"/>
      <c r="F242" s="95"/>
      <c r="G242" s="153" t="str">
        <f t="shared" si="19"/>
        <v/>
      </c>
      <c r="H242" s="10" t="s">
        <v>20</v>
      </c>
      <c r="I242" s="336">
        <v>19.03</v>
      </c>
      <c r="J242" s="50">
        <f t="shared" si="20"/>
        <v>0</v>
      </c>
    </row>
    <row r="243" spans="1:10" hidden="1" x14ac:dyDescent="0.35">
      <c r="A243" s="103"/>
      <c r="B243" s="12" t="s">
        <v>9</v>
      </c>
      <c r="C243" s="10" t="s">
        <v>428</v>
      </c>
      <c r="D243" s="152"/>
      <c r="E243" s="170"/>
      <c r="F243" s="95"/>
      <c r="G243" s="153" t="str">
        <f t="shared" si="19"/>
        <v/>
      </c>
      <c r="H243" s="10" t="s">
        <v>20</v>
      </c>
      <c r="I243" s="336">
        <v>8.4600000000000009</v>
      </c>
      <c r="J243" s="50">
        <f t="shared" si="20"/>
        <v>0</v>
      </c>
    </row>
    <row r="244" spans="1:10" hidden="1" x14ac:dyDescent="0.35">
      <c r="A244" s="103"/>
      <c r="B244" s="12" t="s">
        <v>9</v>
      </c>
      <c r="C244" s="10" t="s">
        <v>381</v>
      </c>
      <c r="D244" s="152"/>
      <c r="E244" s="170"/>
      <c r="F244" s="95"/>
      <c r="G244" s="153" t="str">
        <f t="shared" si="19"/>
        <v/>
      </c>
      <c r="H244" s="10" t="s">
        <v>20</v>
      </c>
      <c r="I244" s="336">
        <v>0.02</v>
      </c>
      <c r="J244" s="50">
        <f t="shared" si="20"/>
        <v>0</v>
      </c>
    </row>
    <row r="245" spans="1:10" ht="15.5" x14ac:dyDescent="0.35">
      <c r="A245" s="108" t="s">
        <v>382</v>
      </c>
      <c r="B245" s="108"/>
      <c r="C245" s="108"/>
      <c r="D245" s="223"/>
      <c r="E245" s="169"/>
      <c r="F245" s="109"/>
      <c r="G245" s="165" t="str">
        <f t="shared" si="19"/>
        <v/>
      </c>
      <c r="H245" s="108"/>
      <c r="I245" s="106" t="s">
        <v>18</v>
      </c>
      <c r="J245" s="107">
        <f>SUM(J246:J256)</f>
        <v>29.849999999999998</v>
      </c>
    </row>
    <row r="246" spans="1:10" x14ac:dyDescent="0.35">
      <c r="A246" s="103"/>
      <c r="B246" s="12" t="s">
        <v>31</v>
      </c>
      <c r="C246" s="10" t="s">
        <v>383</v>
      </c>
      <c r="D246" s="152"/>
      <c r="E246" s="170"/>
      <c r="F246" s="95"/>
      <c r="G246" s="153" t="str">
        <f t="shared" si="19"/>
        <v/>
      </c>
      <c r="H246" s="10" t="s">
        <v>20</v>
      </c>
      <c r="I246" s="331">
        <v>5.5</v>
      </c>
      <c r="J246" s="12">
        <f t="shared" ref="J246:J256" si="21">E246*I246</f>
        <v>0</v>
      </c>
    </row>
    <row r="247" spans="1:10" x14ac:dyDescent="0.35">
      <c r="A247" s="103"/>
      <c r="B247" s="12" t="s">
        <v>31</v>
      </c>
      <c r="C247" s="10" t="s">
        <v>39</v>
      </c>
      <c r="D247" s="152">
        <v>1</v>
      </c>
      <c r="E247" s="170">
        <v>3</v>
      </c>
      <c r="F247" s="95"/>
      <c r="G247" s="153" t="str">
        <f t="shared" si="19"/>
        <v/>
      </c>
      <c r="H247" s="10" t="s">
        <v>20</v>
      </c>
      <c r="I247" s="331">
        <v>4.55</v>
      </c>
      <c r="J247" s="12">
        <f t="shared" si="21"/>
        <v>13.649999999999999</v>
      </c>
    </row>
    <row r="248" spans="1:10" x14ac:dyDescent="0.35">
      <c r="A248" s="103"/>
      <c r="B248" s="12" t="s">
        <v>31</v>
      </c>
      <c r="C248" s="10" t="s">
        <v>422</v>
      </c>
      <c r="D248" s="152">
        <v>1</v>
      </c>
      <c r="E248" s="170">
        <v>2</v>
      </c>
      <c r="F248" s="95"/>
      <c r="G248" s="153" t="str">
        <f t="shared" si="19"/>
        <v/>
      </c>
      <c r="H248" s="10" t="s">
        <v>20</v>
      </c>
      <c r="I248" s="331">
        <v>3.7</v>
      </c>
      <c r="J248" s="12">
        <f t="shared" si="21"/>
        <v>7.4</v>
      </c>
    </row>
    <row r="249" spans="1:10" x14ac:dyDescent="0.35">
      <c r="A249" s="103"/>
      <c r="B249" s="12" t="s">
        <v>31</v>
      </c>
      <c r="C249" s="10" t="s">
        <v>67</v>
      </c>
      <c r="D249" s="152"/>
      <c r="E249" s="170"/>
      <c r="F249" s="95"/>
      <c r="G249" s="153" t="str">
        <f t="shared" si="19"/>
        <v/>
      </c>
      <c r="H249" s="10" t="s">
        <v>20</v>
      </c>
      <c r="I249" s="331">
        <v>15.56</v>
      </c>
      <c r="J249" s="12">
        <f t="shared" si="21"/>
        <v>0</v>
      </c>
    </row>
    <row r="250" spans="1:10" hidden="1" x14ac:dyDescent="0.35">
      <c r="A250" s="103"/>
      <c r="B250" s="12" t="s">
        <v>31</v>
      </c>
      <c r="C250" s="10" t="s">
        <v>384</v>
      </c>
      <c r="D250" s="152"/>
      <c r="E250" s="170"/>
      <c r="F250" s="95"/>
      <c r="G250" s="153" t="str">
        <f t="shared" si="19"/>
        <v/>
      </c>
      <c r="H250" s="10" t="s">
        <v>20</v>
      </c>
      <c r="I250" s="331">
        <v>0.8</v>
      </c>
      <c r="J250" s="12">
        <f t="shared" si="21"/>
        <v>0</v>
      </c>
    </row>
    <row r="251" spans="1:10" hidden="1" x14ac:dyDescent="0.35">
      <c r="A251" s="103"/>
      <c r="B251" s="12" t="s">
        <v>31</v>
      </c>
      <c r="C251" s="10" t="s">
        <v>385</v>
      </c>
      <c r="D251" s="152"/>
      <c r="E251" s="170"/>
      <c r="F251" s="95"/>
      <c r="G251" s="153" t="str">
        <f t="shared" si="19"/>
        <v/>
      </c>
      <c r="H251" s="10" t="s">
        <v>20</v>
      </c>
      <c r="I251" s="331">
        <v>1.83</v>
      </c>
      <c r="J251" s="12">
        <f t="shared" si="21"/>
        <v>0</v>
      </c>
    </row>
    <row r="252" spans="1:10" x14ac:dyDescent="0.35">
      <c r="A252" s="103"/>
      <c r="B252" s="12" t="s">
        <v>31</v>
      </c>
      <c r="C252" s="10" t="s">
        <v>386</v>
      </c>
      <c r="D252" s="152">
        <v>1</v>
      </c>
      <c r="E252" s="170">
        <v>2</v>
      </c>
      <c r="F252" s="95"/>
      <c r="G252" s="153" t="str">
        <f t="shared" si="19"/>
        <v/>
      </c>
      <c r="H252" s="10" t="s">
        <v>20</v>
      </c>
      <c r="I252" s="331">
        <v>2.65</v>
      </c>
      <c r="J252" s="12">
        <f t="shared" si="21"/>
        <v>5.3</v>
      </c>
    </row>
    <row r="253" spans="1:10" x14ac:dyDescent="0.35">
      <c r="A253" s="103"/>
      <c r="B253" s="12" t="s">
        <v>31</v>
      </c>
      <c r="C253" s="10" t="s">
        <v>65</v>
      </c>
      <c r="D253" s="152">
        <v>1</v>
      </c>
      <c r="E253" s="170"/>
      <c r="F253" s="95"/>
      <c r="G253" s="153" t="str">
        <f t="shared" si="19"/>
        <v/>
      </c>
      <c r="H253" s="10" t="s">
        <v>20</v>
      </c>
      <c r="I253" s="331">
        <v>13.43</v>
      </c>
      <c r="J253" s="12">
        <f t="shared" si="21"/>
        <v>0</v>
      </c>
    </row>
    <row r="254" spans="1:10" hidden="1" x14ac:dyDescent="0.35">
      <c r="A254" s="103"/>
      <c r="B254" s="12" t="s">
        <v>31</v>
      </c>
      <c r="C254" s="10" t="s">
        <v>66</v>
      </c>
      <c r="D254" s="152"/>
      <c r="E254" s="170"/>
      <c r="F254" s="95"/>
      <c r="G254" s="153" t="str">
        <f t="shared" si="19"/>
        <v/>
      </c>
      <c r="H254" s="10" t="s">
        <v>20</v>
      </c>
      <c r="I254" s="331">
        <v>75.38</v>
      </c>
      <c r="J254" s="12">
        <f t="shared" si="21"/>
        <v>0</v>
      </c>
    </row>
    <row r="255" spans="1:10" x14ac:dyDescent="0.35">
      <c r="A255" s="103"/>
      <c r="B255" s="12" t="s">
        <v>31</v>
      </c>
      <c r="C255" s="10" t="s">
        <v>412</v>
      </c>
      <c r="D255" s="152"/>
      <c r="E255" s="170"/>
      <c r="F255" s="95"/>
      <c r="G255" s="153" t="str">
        <f t="shared" si="19"/>
        <v/>
      </c>
      <c r="H255" s="10" t="s">
        <v>20</v>
      </c>
      <c r="I255" s="331">
        <v>8.43</v>
      </c>
      <c r="J255" s="12">
        <f t="shared" si="21"/>
        <v>0</v>
      </c>
    </row>
    <row r="256" spans="1:10" x14ac:dyDescent="0.35">
      <c r="A256" s="103"/>
      <c r="B256" s="12" t="s">
        <v>31</v>
      </c>
      <c r="C256" s="10" t="s">
        <v>69</v>
      </c>
      <c r="D256" s="152">
        <v>1</v>
      </c>
      <c r="E256" s="170">
        <v>1</v>
      </c>
      <c r="F256" s="95"/>
      <c r="G256" s="153" t="str">
        <f t="shared" si="19"/>
        <v/>
      </c>
      <c r="H256" s="10" t="s">
        <v>63</v>
      </c>
      <c r="I256" s="331">
        <v>3.5</v>
      </c>
      <c r="J256" s="12">
        <f t="shared" si="21"/>
        <v>3.5</v>
      </c>
    </row>
    <row r="257" spans="1:10" ht="15.5" hidden="1" x14ac:dyDescent="0.35">
      <c r="A257" s="108" t="s">
        <v>57</v>
      </c>
      <c r="B257" s="108"/>
      <c r="C257" s="108"/>
      <c r="D257" s="108"/>
      <c r="E257" s="162"/>
      <c r="F257" s="108"/>
      <c r="G257" s="165" t="str">
        <f t="shared" si="19"/>
        <v/>
      </c>
      <c r="H257" s="108"/>
      <c r="I257" s="106" t="s">
        <v>18</v>
      </c>
      <c r="J257" s="107">
        <f>SUM(J258:J259)</f>
        <v>0</v>
      </c>
    </row>
    <row r="258" spans="1:10" hidden="1" x14ac:dyDescent="0.35">
      <c r="A258" s="103"/>
      <c r="B258" s="12" t="s">
        <v>56</v>
      </c>
      <c r="C258" s="10" t="s">
        <v>58</v>
      </c>
      <c r="D258" s="94"/>
      <c r="E258" s="170"/>
      <c r="F258" s="94"/>
      <c r="G258" s="94" t="str">
        <f t="shared" ref="G258:G259" si="22">IF(D258-E258&gt;0,D258-E258,"")</f>
        <v/>
      </c>
      <c r="H258" s="10" t="s">
        <v>20</v>
      </c>
      <c r="I258" s="331">
        <v>54.05</v>
      </c>
      <c r="J258" s="12">
        <f>E258*I258</f>
        <v>0</v>
      </c>
    </row>
    <row r="259" spans="1:10" hidden="1" x14ac:dyDescent="0.35">
      <c r="A259" s="103"/>
      <c r="B259" s="12" t="s">
        <v>56</v>
      </c>
      <c r="C259" s="10" t="s">
        <v>388</v>
      </c>
      <c r="D259" s="94"/>
      <c r="E259" s="170"/>
      <c r="F259" s="94"/>
      <c r="G259" s="94" t="str">
        <f t="shared" si="22"/>
        <v/>
      </c>
      <c r="H259" s="10" t="s">
        <v>20</v>
      </c>
      <c r="I259" s="331">
        <v>0</v>
      </c>
      <c r="J259" s="12">
        <f>E259*I259</f>
        <v>0</v>
      </c>
    </row>
  </sheetData>
  <mergeCells count="2">
    <mergeCell ref="B1:C1"/>
    <mergeCell ref="B2:C2"/>
  </mergeCells>
  <pageMargins left="0.7" right="0.7" top="0.75" bottom="0.75" header="0.3" footer="0.3"/>
  <pageSetup paperSize="9" scale="73" fitToHeight="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FD6D5-A74A-4F46-8AA5-3CA120BE64D3}">
  <sheetPr codeName="Feuil15">
    <tabColor theme="8" tint="0.39997558519241921"/>
    <pageSetUpPr fitToPage="1"/>
  </sheetPr>
  <dimension ref="A1:N259"/>
  <sheetViews>
    <sheetView topLeftCell="A192" zoomScaleNormal="100" workbookViewId="0">
      <selection activeCell="J209" sqref="J209"/>
    </sheetView>
  </sheetViews>
  <sheetFormatPr baseColWidth="10" defaultColWidth="8.453125" defaultRowHeight="14.5" x14ac:dyDescent="0.35"/>
  <cols>
    <col min="1" max="1" width="2.54296875" customWidth="1"/>
    <col min="2" max="2" width="32.26953125" customWidth="1"/>
    <col min="3" max="3" width="44.54296875" bestFit="1" customWidth="1"/>
    <col min="4" max="4" width="19.7265625" bestFit="1" customWidth="1"/>
    <col min="5" max="5" width="18.81640625" style="34" bestFit="1" customWidth="1"/>
    <col min="6" max="6" width="18.26953125" hidden="1" customWidth="1"/>
    <col min="7" max="7" width="14" bestFit="1" customWidth="1"/>
    <col min="8" max="8" width="6.81640625" bestFit="1" customWidth="1"/>
    <col min="9" max="9" width="8.453125" style="86" bestFit="1" customWidth="1"/>
    <col min="10" max="10" width="7.1796875" customWidth="1"/>
  </cols>
  <sheetData>
    <row r="1" spans="2:7" ht="15" thickBot="1" x14ac:dyDescent="0.4">
      <c r="B1" s="321" t="s">
        <v>198</v>
      </c>
      <c r="C1" s="322"/>
      <c r="F1" s="89"/>
      <c r="G1" s="89"/>
    </row>
    <row r="2" spans="2:7" ht="15" thickBot="1" x14ac:dyDescent="0.4">
      <c r="B2" s="319"/>
      <c r="C2" s="320"/>
      <c r="F2" s="90"/>
      <c r="G2" s="90"/>
    </row>
    <row r="3" spans="2:7" x14ac:dyDescent="0.35">
      <c r="B3" s="75"/>
      <c r="C3" s="75"/>
      <c r="F3" s="75"/>
      <c r="G3" s="75"/>
    </row>
    <row r="4" spans="2:7" ht="15.5" x14ac:dyDescent="0.35">
      <c r="B4" s="70" t="s">
        <v>0</v>
      </c>
      <c r="C4" s="70" t="s">
        <v>1</v>
      </c>
      <c r="F4" s="91"/>
      <c r="G4" s="91"/>
    </row>
    <row r="5" spans="2:7" x14ac:dyDescent="0.35">
      <c r="B5" s="71" t="s">
        <v>2</v>
      </c>
      <c r="C5" s="72">
        <f>J23</f>
        <v>2977.8500000000004</v>
      </c>
      <c r="F5" s="92"/>
      <c r="G5" s="92"/>
    </row>
    <row r="6" spans="2:7" x14ac:dyDescent="0.35">
      <c r="B6" s="71" t="s">
        <v>7</v>
      </c>
      <c r="C6" s="72">
        <f>J4</f>
        <v>0</v>
      </c>
      <c r="F6" s="92"/>
      <c r="G6" s="92"/>
    </row>
    <row r="7" spans="2:7" x14ac:dyDescent="0.35">
      <c r="B7" s="71" t="s">
        <v>13</v>
      </c>
      <c r="C7" s="72">
        <f>J50</f>
        <v>0</v>
      </c>
      <c r="F7" s="92"/>
      <c r="G7" s="92"/>
    </row>
    <row r="8" spans="2:7" x14ac:dyDescent="0.35">
      <c r="B8" s="71" t="s">
        <v>3</v>
      </c>
      <c r="C8" s="72">
        <f>J78</f>
        <v>0</v>
      </c>
      <c r="F8" s="92"/>
      <c r="G8" s="92"/>
    </row>
    <row r="9" spans="2:7" x14ac:dyDescent="0.35">
      <c r="B9" s="71" t="s">
        <v>4</v>
      </c>
      <c r="C9" s="72">
        <f>J122</f>
        <v>129.01</v>
      </c>
      <c r="F9" s="92"/>
      <c r="G9" s="92"/>
    </row>
    <row r="10" spans="2:7" x14ac:dyDescent="0.35">
      <c r="B10" s="71" t="s">
        <v>199</v>
      </c>
      <c r="C10" s="72">
        <f>J176</f>
        <v>0</v>
      </c>
      <c r="F10" s="92"/>
      <c r="G10" s="92"/>
    </row>
    <row r="11" spans="2:7" x14ac:dyDescent="0.35">
      <c r="B11" s="71" t="s">
        <v>200</v>
      </c>
      <c r="C11" s="72">
        <f>J187</f>
        <v>0</v>
      </c>
      <c r="F11" s="92"/>
      <c r="G11" s="92"/>
    </row>
    <row r="12" spans="2:7" x14ac:dyDescent="0.35">
      <c r="B12" s="71" t="s">
        <v>201</v>
      </c>
      <c r="C12" s="72">
        <f>J193</f>
        <v>0</v>
      </c>
      <c r="F12" s="92"/>
      <c r="G12" s="92"/>
    </row>
    <row r="13" spans="2:7" x14ac:dyDescent="0.35">
      <c r="B13" s="71" t="s">
        <v>202</v>
      </c>
      <c r="C13" s="72">
        <f>J195</f>
        <v>0</v>
      </c>
      <c r="F13" s="92"/>
      <c r="G13" s="92"/>
    </row>
    <row r="14" spans="2:7" x14ac:dyDescent="0.35">
      <c r="B14" s="71" t="s">
        <v>203</v>
      </c>
      <c r="C14" s="72">
        <f>J208</f>
        <v>0</v>
      </c>
      <c r="F14" s="92"/>
      <c r="G14" s="92"/>
    </row>
    <row r="15" spans="2:7" x14ac:dyDescent="0.35">
      <c r="B15" s="71" t="s">
        <v>12</v>
      </c>
      <c r="C15" s="72">
        <f>J214</f>
        <v>0</v>
      </c>
      <c r="F15" s="92"/>
      <c r="G15" s="92"/>
    </row>
    <row r="16" spans="2:7" x14ac:dyDescent="0.35">
      <c r="B16" s="71" t="s">
        <v>204</v>
      </c>
      <c r="C16" s="72">
        <f>J222</f>
        <v>0</v>
      </c>
      <c r="F16" s="92"/>
      <c r="G16" s="92"/>
    </row>
    <row r="17" spans="1:11" x14ac:dyDescent="0.35">
      <c r="B17" s="71" t="s">
        <v>9</v>
      </c>
      <c r="C17" s="72">
        <f>J224</f>
        <v>0</v>
      </c>
      <c r="F17" s="92"/>
      <c r="G17" s="92"/>
    </row>
    <row r="18" spans="1:11" x14ac:dyDescent="0.35">
      <c r="B18" s="71" t="s">
        <v>205</v>
      </c>
      <c r="C18" s="72">
        <f>J245</f>
        <v>22.450000000000003</v>
      </c>
      <c r="F18" s="92"/>
      <c r="G18" s="92"/>
    </row>
    <row r="19" spans="1:11" x14ac:dyDescent="0.35">
      <c r="B19" s="71" t="s">
        <v>56</v>
      </c>
      <c r="C19" s="72">
        <f>J257</f>
        <v>0</v>
      </c>
      <c r="F19" s="92"/>
      <c r="G19" s="92"/>
    </row>
    <row r="20" spans="1:11" x14ac:dyDescent="0.35">
      <c r="B20" s="73" t="s">
        <v>14</v>
      </c>
      <c r="C20" s="74">
        <f>C5+C6+C7+C8+C9+C10+C11+C12+C13+C14+C15+C16+C17+C18+C19</f>
        <v>3129.3100000000004</v>
      </c>
      <c r="F20" s="93"/>
      <c r="G20" s="93"/>
    </row>
    <row r="21" spans="1:11" ht="18.75" customHeight="1" x14ac:dyDescent="0.45">
      <c r="A21" s="76" t="s">
        <v>207</v>
      </c>
      <c r="B21" s="76"/>
      <c r="C21" s="76"/>
      <c r="D21" s="76"/>
      <c r="E21" s="167"/>
      <c r="F21" s="76"/>
      <c r="G21" s="76"/>
      <c r="H21" s="76"/>
      <c r="I21" s="262"/>
      <c r="J21" s="76"/>
    </row>
    <row r="22" spans="1:11" ht="14.25" customHeight="1" x14ac:dyDescent="0.35">
      <c r="A22" s="129"/>
      <c r="B22" s="129" t="s">
        <v>15</v>
      </c>
      <c r="C22" s="129" t="s">
        <v>16</v>
      </c>
      <c r="D22" s="130" t="s">
        <v>398</v>
      </c>
      <c r="E22" s="168" t="s">
        <v>401</v>
      </c>
      <c r="F22" s="130" t="s">
        <v>399</v>
      </c>
      <c r="G22" s="164" t="s">
        <v>400</v>
      </c>
      <c r="H22" s="132" t="s">
        <v>406</v>
      </c>
      <c r="I22" s="341" t="s">
        <v>45</v>
      </c>
      <c r="J22" s="132" t="s">
        <v>402</v>
      </c>
    </row>
    <row r="23" spans="1:11" s="6" customFormat="1" ht="15.5" x14ac:dyDescent="0.35">
      <c r="A23" s="108" t="s">
        <v>208</v>
      </c>
      <c r="B23" s="108"/>
      <c r="C23" s="108"/>
      <c r="D23" s="108"/>
      <c r="E23" s="169" t="s">
        <v>421</v>
      </c>
      <c r="F23" s="108"/>
      <c r="G23" s="108"/>
      <c r="H23" s="108"/>
      <c r="I23" s="110" t="s">
        <v>18</v>
      </c>
      <c r="J23" s="107">
        <f>SUM(J24:J40)</f>
        <v>2977.8500000000004</v>
      </c>
    </row>
    <row r="24" spans="1:11" x14ac:dyDescent="0.35">
      <c r="A24" s="103"/>
      <c r="B24" s="7" t="s">
        <v>2</v>
      </c>
      <c r="C24" s="14" t="s">
        <v>19</v>
      </c>
      <c r="D24" s="152">
        <v>2</v>
      </c>
      <c r="E24" s="170">
        <v>3</v>
      </c>
      <c r="F24" s="95"/>
      <c r="G24" s="153" t="str">
        <f>IF(E24="","",IF(D24-E24&gt;0,D24-E24,""))</f>
        <v/>
      </c>
      <c r="H24" s="10" t="s">
        <v>20</v>
      </c>
      <c r="I24" s="331">
        <v>55.95</v>
      </c>
      <c r="J24" s="12">
        <f t="shared" ref="J24:J40" si="0">E24*I24</f>
        <v>167.85000000000002</v>
      </c>
      <c r="K24" s="13"/>
    </row>
    <row r="25" spans="1:11" hidden="1" x14ac:dyDescent="0.35">
      <c r="A25" s="103"/>
      <c r="B25" s="7" t="s">
        <v>2</v>
      </c>
      <c r="C25" s="14" t="s">
        <v>209</v>
      </c>
      <c r="D25" s="152"/>
      <c r="E25" s="170"/>
      <c r="F25" s="95"/>
      <c r="G25" s="153" t="str">
        <f t="shared" ref="G25:G88" si="1">IF(E25="","",IF(D25-E25&gt;0,D25-E25,""))</f>
        <v/>
      </c>
      <c r="H25" s="10" t="s">
        <v>20</v>
      </c>
      <c r="I25" s="331">
        <v>173.1</v>
      </c>
      <c r="J25" s="12">
        <f t="shared" si="0"/>
        <v>0</v>
      </c>
      <c r="K25" s="13"/>
    </row>
    <row r="26" spans="1:11" x14ac:dyDescent="0.35">
      <c r="A26" s="103"/>
      <c r="B26" s="12" t="s">
        <v>2</v>
      </c>
      <c r="C26" s="10" t="s">
        <v>21</v>
      </c>
      <c r="D26" s="152">
        <v>15</v>
      </c>
      <c r="E26" s="170">
        <v>17</v>
      </c>
      <c r="F26" s="95"/>
      <c r="G26" s="153" t="str">
        <f t="shared" si="1"/>
        <v/>
      </c>
      <c r="H26" s="10" t="s">
        <v>20</v>
      </c>
      <c r="I26" s="331">
        <v>75.400000000000006</v>
      </c>
      <c r="J26" s="12">
        <f t="shared" si="0"/>
        <v>1281.8000000000002</v>
      </c>
      <c r="K26" s="13"/>
    </row>
    <row r="27" spans="1:11" ht="14.5" customHeight="1" x14ac:dyDescent="0.35">
      <c r="A27" s="103"/>
      <c r="B27" s="12" t="s">
        <v>2</v>
      </c>
      <c r="C27" s="10" t="s">
        <v>210</v>
      </c>
      <c r="D27" s="152">
        <v>15</v>
      </c>
      <c r="E27" s="170">
        <v>18</v>
      </c>
      <c r="F27" s="95"/>
      <c r="G27" s="153" t="str">
        <f t="shared" si="1"/>
        <v/>
      </c>
      <c r="H27" s="10" t="s">
        <v>20</v>
      </c>
      <c r="I27" s="331">
        <v>84.9</v>
      </c>
      <c r="J27" s="12">
        <f t="shared" si="0"/>
        <v>1528.2</v>
      </c>
      <c r="K27" s="13"/>
    </row>
    <row r="28" spans="1:11" ht="14.5" hidden="1" customHeight="1" x14ac:dyDescent="0.35">
      <c r="A28" s="103"/>
      <c r="B28" s="12" t="s">
        <v>2</v>
      </c>
      <c r="C28" s="10" t="s">
        <v>211</v>
      </c>
      <c r="D28" s="152"/>
      <c r="E28" s="170"/>
      <c r="F28" s="95"/>
      <c r="G28" s="153" t="str">
        <f t="shared" si="1"/>
        <v/>
      </c>
      <c r="H28" s="10" t="s">
        <v>20</v>
      </c>
      <c r="I28" s="331">
        <v>2.96</v>
      </c>
      <c r="J28" s="12">
        <f t="shared" si="0"/>
        <v>0</v>
      </c>
      <c r="K28" s="13"/>
    </row>
    <row r="29" spans="1:11" ht="14.5" hidden="1" customHeight="1" x14ac:dyDescent="0.35">
      <c r="A29" s="103"/>
      <c r="B29" s="12" t="s">
        <v>2</v>
      </c>
      <c r="C29" s="10" t="s">
        <v>212</v>
      </c>
      <c r="D29" s="152"/>
      <c r="E29" s="170"/>
      <c r="F29" s="95"/>
      <c r="G29" s="153" t="str">
        <f t="shared" si="1"/>
        <v/>
      </c>
      <c r="H29" s="10" t="s">
        <v>20</v>
      </c>
      <c r="I29" s="331">
        <v>2.96</v>
      </c>
      <c r="J29" s="12">
        <f t="shared" si="0"/>
        <v>0</v>
      </c>
      <c r="K29" s="13"/>
    </row>
    <row r="30" spans="1:11" hidden="1" x14ac:dyDescent="0.35">
      <c r="A30" s="103"/>
      <c r="B30" s="12" t="s">
        <v>2</v>
      </c>
      <c r="C30" s="10" t="s">
        <v>213</v>
      </c>
      <c r="D30" s="152"/>
      <c r="E30" s="170"/>
      <c r="F30" s="95"/>
      <c r="G30" s="153" t="str">
        <f t="shared" si="1"/>
        <v/>
      </c>
      <c r="H30" s="10" t="s">
        <v>20</v>
      </c>
      <c r="I30" s="331">
        <v>2.96</v>
      </c>
      <c r="J30" s="12">
        <f t="shared" si="0"/>
        <v>0</v>
      </c>
      <c r="K30" s="13"/>
    </row>
    <row r="31" spans="1:11" hidden="1" x14ac:dyDescent="0.35">
      <c r="A31" s="103"/>
      <c r="B31" s="7" t="s">
        <v>2</v>
      </c>
      <c r="C31" s="14" t="s">
        <v>22</v>
      </c>
      <c r="D31" s="152"/>
      <c r="E31" s="170"/>
      <c r="F31" s="95"/>
      <c r="G31" s="153" t="str">
        <f t="shared" si="1"/>
        <v/>
      </c>
      <c r="H31" s="10" t="s">
        <v>20</v>
      </c>
      <c r="I31" s="331">
        <v>107.2</v>
      </c>
      <c r="J31" s="12">
        <f t="shared" si="0"/>
        <v>0</v>
      </c>
      <c r="K31" s="13"/>
    </row>
    <row r="32" spans="1:11" ht="14.5" hidden="1" customHeight="1" x14ac:dyDescent="0.35">
      <c r="A32" s="103"/>
      <c r="B32" s="7" t="s">
        <v>2</v>
      </c>
      <c r="C32" s="14" t="s">
        <v>214</v>
      </c>
      <c r="D32" s="152"/>
      <c r="E32" s="170"/>
      <c r="F32" s="95"/>
      <c r="G32" s="153" t="str">
        <f t="shared" si="1"/>
        <v/>
      </c>
      <c r="H32" s="10" t="s">
        <v>20</v>
      </c>
      <c r="I32" s="331">
        <v>170.7</v>
      </c>
      <c r="J32" s="12">
        <f t="shared" si="0"/>
        <v>0</v>
      </c>
      <c r="K32" s="13"/>
    </row>
    <row r="33" spans="1:11" ht="14.5" hidden="1" customHeight="1" x14ac:dyDescent="0.35">
      <c r="A33" s="103"/>
      <c r="B33" s="12" t="s">
        <v>2</v>
      </c>
      <c r="C33" s="10" t="s">
        <v>215</v>
      </c>
      <c r="D33" s="152"/>
      <c r="E33" s="170"/>
      <c r="F33" s="95"/>
      <c r="G33" s="153" t="str">
        <f t="shared" si="1"/>
        <v/>
      </c>
      <c r="H33" s="10" t="s">
        <v>216</v>
      </c>
      <c r="I33" s="331">
        <v>3.77</v>
      </c>
      <c r="J33" s="12">
        <f t="shared" si="0"/>
        <v>0</v>
      </c>
      <c r="K33" s="13"/>
    </row>
    <row r="34" spans="1:11" s="6" customFormat="1" ht="15.65" hidden="1" customHeight="1" x14ac:dyDescent="0.35">
      <c r="A34" s="103"/>
      <c r="B34" s="12" t="s">
        <v>2</v>
      </c>
      <c r="C34" s="10" t="s">
        <v>217</v>
      </c>
      <c r="D34" s="152"/>
      <c r="E34" s="170"/>
      <c r="F34" s="95"/>
      <c r="G34" s="153" t="str">
        <f t="shared" si="1"/>
        <v/>
      </c>
      <c r="H34" s="10" t="s">
        <v>20</v>
      </c>
      <c r="I34" s="331">
        <v>2.56</v>
      </c>
      <c r="J34" s="12">
        <f t="shared" si="0"/>
        <v>0</v>
      </c>
    </row>
    <row r="35" spans="1:11" ht="14.5" hidden="1" customHeight="1" x14ac:dyDescent="0.35">
      <c r="A35" s="103"/>
      <c r="B35" s="12" t="s">
        <v>2</v>
      </c>
      <c r="C35" s="10" t="s">
        <v>218</v>
      </c>
      <c r="D35" s="152"/>
      <c r="E35" s="170"/>
      <c r="F35" s="95"/>
      <c r="G35" s="153" t="str">
        <f t="shared" si="1"/>
        <v/>
      </c>
      <c r="H35" s="10" t="s">
        <v>20</v>
      </c>
      <c r="I35" s="331">
        <v>3.08</v>
      </c>
      <c r="J35" s="12">
        <f t="shared" si="0"/>
        <v>0</v>
      </c>
      <c r="K35" s="13"/>
    </row>
    <row r="36" spans="1:11" ht="14.5" hidden="1" customHeight="1" x14ac:dyDescent="0.35">
      <c r="A36" s="103"/>
      <c r="B36" s="12" t="s">
        <v>2</v>
      </c>
      <c r="C36" s="10" t="s">
        <v>219</v>
      </c>
      <c r="D36" s="152"/>
      <c r="E36" s="170"/>
      <c r="F36" s="95"/>
      <c r="G36" s="153" t="str">
        <f t="shared" si="1"/>
        <v/>
      </c>
      <c r="H36" s="10" t="s">
        <v>20</v>
      </c>
      <c r="I36" s="331">
        <v>2.56</v>
      </c>
      <c r="J36" s="12">
        <f t="shared" si="0"/>
        <v>0</v>
      </c>
      <c r="K36" s="13"/>
    </row>
    <row r="37" spans="1:11" hidden="1" x14ac:dyDescent="0.35">
      <c r="A37" s="103"/>
      <c r="B37" s="12" t="s">
        <v>2</v>
      </c>
      <c r="C37" s="10" t="s">
        <v>220</v>
      </c>
      <c r="D37" s="152"/>
      <c r="E37" s="170"/>
      <c r="F37" s="95"/>
      <c r="G37" s="153" t="str">
        <f t="shared" si="1"/>
        <v/>
      </c>
      <c r="H37" s="10" t="s">
        <v>20</v>
      </c>
      <c r="I37" s="331">
        <v>1.41</v>
      </c>
      <c r="J37" s="12">
        <f t="shared" si="0"/>
        <v>0</v>
      </c>
      <c r="K37" s="13"/>
    </row>
    <row r="38" spans="1:11" hidden="1" x14ac:dyDescent="0.35">
      <c r="A38" s="103"/>
      <c r="B38" s="12" t="s">
        <v>2</v>
      </c>
      <c r="C38" s="10" t="s">
        <v>221</v>
      </c>
      <c r="D38" s="152"/>
      <c r="E38" s="170"/>
      <c r="F38" s="95"/>
      <c r="G38" s="153" t="str">
        <f t="shared" si="1"/>
        <v/>
      </c>
      <c r="H38" s="10" t="s">
        <v>20</v>
      </c>
      <c r="I38" s="331">
        <v>1.73</v>
      </c>
      <c r="J38" s="12">
        <f t="shared" si="0"/>
        <v>0</v>
      </c>
      <c r="K38" s="13"/>
    </row>
    <row r="39" spans="1:11" hidden="1" x14ac:dyDescent="0.35">
      <c r="A39" s="103"/>
      <c r="B39" s="12" t="s">
        <v>2</v>
      </c>
      <c r="C39" s="10" t="s">
        <v>222</v>
      </c>
      <c r="D39" s="152"/>
      <c r="E39" s="170"/>
      <c r="F39" s="95"/>
      <c r="G39" s="153" t="str">
        <f t="shared" si="1"/>
        <v/>
      </c>
      <c r="H39" s="10" t="s">
        <v>20</v>
      </c>
      <c r="I39" s="331">
        <v>1.46</v>
      </c>
      <c r="J39" s="12">
        <f t="shared" si="0"/>
        <v>0</v>
      </c>
      <c r="K39" s="13"/>
    </row>
    <row r="40" spans="1:11" ht="14.5" hidden="1" customHeight="1" x14ac:dyDescent="0.35">
      <c r="A40" s="103"/>
      <c r="B40" s="12" t="s">
        <v>2</v>
      </c>
      <c r="C40" s="10" t="s">
        <v>223</v>
      </c>
      <c r="D40" s="222"/>
      <c r="E40" s="170"/>
      <c r="F40" s="141"/>
      <c r="G40" s="153" t="str">
        <f t="shared" si="1"/>
        <v/>
      </c>
      <c r="H40" s="10" t="s">
        <v>20</v>
      </c>
      <c r="I40" s="332">
        <v>3.45</v>
      </c>
      <c r="J40" s="12">
        <f t="shared" si="0"/>
        <v>0</v>
      </c>
      <c r="K40" s="13"/>
    </row>
    <row r="41" spans="1:11" s="6" customFormat="1" ht="15.65" customHeight="1" x14ac:dyDescent="0.35">
      <c r="A41" s="108" t="s">
        <v>119</v>
      </c>
      <c r="B41" s="108"/>
      <c r="C41" s="108"/>
      <c r="D41" s="223"/>
      <c r="E41" s="169"/>
      <c r="F41" s="109"/>
      <c r="G41" s="165" t="str">
        <f t="shared" si="1"/>
        <v/>
      </c>
      <c r="H41" s="108"/>
      <c r="I41" s="106" t="s">
        <v>18</v>
      </c>
      <c r="J41" s="107">
        <f>SUM(J42:J49)</f>
        <v>2060</v>
      </c>
    </row>
    <row r="42" spans="1:11" ht="14.5" customHeight="1" x14ac:dyDescent="0.35">
      <c r="A42" s="103"/>
      <c r="B42" s="12" t="s">
        <v>7</v>
      </c>
      <c r="C42" s="10" t="s">
        <v>224</v>
      </c>
      <c r="D42" s="152"/>
      <c r="E42" s="166">
        <f>E24</f>
        <v>3</v>
      </c>
      <c r="F42" s="95"/>
      <c r="G42" s="153" t="str">
        <f t="shared" si="1"/>
        <v/>
      </c>
      <c r="H42" s="10" t="s">
        <v>20</v>
      </c>
      <c r="I42" s="331">
        <v>100</v>
      </c>
      <c r="J42" s="12">
        <f t="shared" ref="J42:J49" si="2">E42*I42</f>
        <v>300</v>
      </c>
      <c r="K42" s="13"/>
    </row>
    <row r="43" spans="1:11" hidden="1" x14ac:dyDescent="0.35">
      <c r="A43" s="103"/>
      <c r="B43" s="12" t="s">
        <v>7</v>
      </c>
      <c r="C43" s="10" t="s">
        <v>225</v>
      </c>
      <c r="D43" s="152"/>
      <c r="E43" s="170"/>
      <c r="F43" s="95"/>
      <c r="G43" s="153" t="str">
        <f t="shared" si="1"/>
        <v/>
      </c>
      <c r="H43" s="10" t="s">
        <v>20</v>
      </c>
      <c r="I43" s="331">
        <v>12.2</v>
      </c>
      <c r="J43" s="12">
        <f t="shared" si="2"/>
        <v>0</v>
      </c>
      <c r="K43" s="13"/>
    </row>
    <row r="44" spans="1:11" ht="14.5" hidden="1" customHeight="1" x14ac:dyDescent="0.35">
      <c r="A44" s="103"/>
      <c r="B44" s="12" t="s">
        <v>7</v>
      </c>
      <c r="C44" s="10" t="s">
        <v>226</v>
      </c>
      <c r="D44" s="152"/>
      <c r="E44" s="170"/>
      <c r="F44" s="95"/>
      <c r="G44" s="153" t="str">
        <f t="shared" si="1"/>
        <v/>
      </c>
      <c r="H44" s="10" t="s">
        <v>20</v>
      </c>
      <c r="I44" s="331">
        <v>11</v>
      </c>
      <c r="J44" s="12">
        <f t="shared" si="2"/>
        <v>0</v>
      </c>
      <c r="K44" s="88"/>
    </row>
    <row r="45" spans="1:11" hidden="1" x14ac:dyDescent="0.35">
      <c r="A45" s="103"/>
      <c r="B45" s="12" t="s">
        <v>7</v>
      </c>
      <c r="C45" s="10" t="s">
        <v>227</v>
      </c>
      <c r="D45" s="152"/>
      <c r="E45" s="170"/>
      <c r="F45" s="95"/>
      <c r="G45" s="153" t="str">
        <f t="shared" si="1"/>
        <v/>
      </c>
      <c r="H45" s="10" t="s">
        <v>20</v>
      </c>
      <c r="I45" s="331">
        <v>5</v>
      </c>
      <c r="J45" s="12">
        <f t="shared" si="2"/>
        <v>0</v>
      </c>
      <c r="K45" s="13" t="s">
        <v>47</v>
      </c>
    </row>
    <row r="46" spans="1:11" x14ac:dyDescent="0.35">
      <c r="A46" s="103"/>
      <c r="B46" s="12" t="s">
        <v>7</v>
      </c>
      <c r="C46" s="10" t="s">
        <v>46</v>
      </c>
      <c r="D46" s="152"/>
      <c r="E46" s="170">
        <v>2</v>
      </c>
      <c r="F46" s="95"/>
      <c r="G46" s="153" t="str">
        <f t="shared" si="1"/>
        <v/>
      </c>
      <c r="H46" s="10" t="s">
        <v>20</v>
      </c>
      <c r="I46" s="331">
        <v>5</v>
      </c>
      <c r="J46" s="12">
        <f t="shared" si="2"/>
        <v>10</v>
      </c>
      <c r="K46" s="13"/>
    </row>
    <row r="47" spans="1:11" ht="14.5" hidden="1" customHeight="1" x14ac:dyDescent="0.35">
      <c r="A47" s="103"/>
      <c r="B47" s="12" t="s">
        <v>7</v>
      </c>
      <c r="C47" s="10" t="s">
        <v>228</v>
      </c>
      <c r="D47" s="152"/>
      <c r="E47" s="170"/>
      <c r="F47" s="95"/>
      <c r="G47" s="153" t="str">
        <f t="shared" si="1"/>
        <v/>
      </c>
      <c r="H47" s="10" t="s">
        <v>20</v>
      </c>
      <c r="I47" s="331">
        <v>11</v>
      </c>
      <c r="J47" s="12">
        <f t="shared" si="2"/>
        <v>0</v>
      </c>
      <c r="K47" s="13"/>
    </row>
    <row r="48" spans="1:11" ht="16.399999999999999" customHeight="1" x14ac:dyDescent="0.35">
      <c r="A48" s="103"/>
      <c r="B48" s="12" t="s">
        <v>7</v>
      </c>
      <c r="C48" s="10" t="s">
        <v>229</v>
      </c>
      <c r="D48" s="152"/>
      <c r="E48" s="166">
        <f>E26+E27</f>
        <v>35</v>
      </c>
      <c r="F48" s="95"/>
      <c r="G48" s="153" t="str">
        <f t="shared" si="1"/>
        <v/>
      </c>
      <c r="H48" s="10" t="s">
        <v>20</v>
      </c>
      <c r="I48" s="331">
        <v>50</v>
      </c>
      <c r="J48" s="12">
        <f t="shared" si="2"/>
        <v>1750</v>
      </c>
      <c r="K48" s="13"/>
    </row>
    <row r="49" spans="1:11" hidden="1" x14ac:dyDescent="0.35">
      <c r="A49" s="103"/>
      <c r="B49" s="12" t="s">
        <v>7</v>
      </c>
      <c r="C49" s="78" t="s">
        <v>206</v>
      </c>
      <c r="D49" s="224"/>
      <c r="E49" s="170"/>
      <c r="F49" s="142"/>
      <c r="G49" s="153" t="str">
        <f t="shared" si="1"/>
        <v/>
      </c>
      <c r="H49" s="10" t="s">
        <v>20</v>
      </c>
      <c r="I49" s="333">
        <v>5</v>
      </c>
      <c r="J49" s="12">
        <f t="shared" si="2"/>
        <v>0</v>
      </c>
      <c r="K49" s="13"/>
    </row>
    <row r="50" spans="1:11" ht="14.5" customHeight="1" x14ac:dyDescent="0.35">
      <c r="A50" s="103"/>
      <c r="B50" s="104" t="s">
        <v>230</v>
      </c>
      <c r="C50" s="105"/>
      <c r="D50" s="225"/>
      <c r="E50" s="171"/>
      <c r="F50" s="143"/>
      <c r="G50" s="165" t="str">
        <f t="shared" si="1"/>
        <v/>
      </c>
      <c r="H50" s="105"/>
      <c r="I50" s="106" t="s">
        <v>18</v>
      </c>
      <c r="J50" s="107">
        <f>SUM(J52:J77)</f>
        <v>0</v>
      </c>
      <c r="K50" s="13"/>
    </row>
    <row r="51" spans="1:11" ht="14.5" customHeight="1" x14ac:dyDescent="0.35">
      <c r="A51" s="111"/>
      <c r="B51" s="126" t="s">
        <v>231</v>
      </c>
      <c r="C51" s="127"/>
      <c r="D51" s="226"/>
      <c r="E51" s="172"/>
      <c r="F51" s="144"/>
      <c r="G51" s="165" t="str">
        <f t="shared" si="1"/>
        <v/>
      </c>
      <c r="H51" s="127"/>
      <c r="I51" s="239"/>
      <c r="J51" s="128"/>
      <c r="K51" s="13"/>
    </row>
    <row r="52" spans="1:11" ht="14.5" hidden="1" customHeight="1" x14ac:dyDescent="0.35">
      <c r="A52" s="103"/>
      <c r="B52" s="12" t="s">
        <v>13</v>
      </c>
      <c r="C52" s="10" t="s">
        <v>78</v>
      </c>
      <c r="D52" s="152"/>
      <c r="E52" s="170"/>
      <c r="F52" s="95"/>
      <c r="G52" s="153" t="str">
        <f t="shared" si="1"/>
        <v/>
      </c>
      <c r="H52" s="10" t="s">
        <v>20</v>
      </c>
      <c r="I52" s="331">
        <v>13</v>
      </c>
      <c r="J52" s="12">
        <f t="shared" ref="J52:J58" si="3">E52*I52</f>
        <v>0</v>
      </c>
      <c r="K52" s="13"/>
    </row>
    <row r="53" spans="1:11" ht="15.75" hidden="1" customHeight="1" x14ac:dyDescent="0.35">
      <c r="A53" s="103"/>
      <c r="B53" s="12" t="s">
        <v>13</v>
      </c>
      <c r="C53" s="10" t="s">
        <v>232</v>
      </c>
      <c r="D53" s="152"/>
      <c r="E53" s="170"/>
      <c r="F53" s="95"/>
      <c r="G53" s="153" t="str">
        <f t="shared" si="1"/>
        <v/>
      </c>
      <c r="H53" s="10" t="s">
        <v>20</v>
      </c>
      <c r="I53" s="331">
        <v>13</v>
      </c>
      <c r="J53" s="12">
        <f t="shared" si="3"/>
        <v>0</v>
      </c>
      <c r="K53" s="134"/>
    </row>
    <row r="54" spans="1:11" hidden="1" x14ac:dyDescent="0.35">
      <c r="A54" s="103"/>
      <c r="B54" s="12" t="s">
        <v>13</v>
      </c>
      <c r="C54" s="10" t="s">
        <v>233</v>
      </c>
      <c r="D54" s="152"/>
      <c r="E54" s="170"/>
      <c r="F54" s="95"/>
      <c r="G54" s="153" t="str">
        <f t="shared" si="1"/>
        <v/>
      </c>
      <c r="H54" s="10" t="s">
        <v>20</v>
      </c>
      <c r="I54" s="331">
        <v>8.9</v>
      </c>
      <c r="J54" s="12">
        <f t="shared" si="3"/>
        <v>0</v>
      </c>
      <c r="K54" s="13"/>
    </row>
    <row r="55" spans="1:11" x14ac:dyDescent="0.35">
      <c r="A55" s="103"/>
      <c r="B55" s="12" t="s">
        <v>13</v>
      </c>
      <c r="C55" s="10" t="s">
        <v>32</v>
      </c>
      <c r="D55" s="152">
        <v>6</v>
      </c>
      <c r="E55" s="170"/>
      <c r="F55" s="95"/>
      <c r="G55" s="153" t="str">
        <f t="shared" si="1"/>
        <v/>
      </c>
      <c r="H55" s="10" t="s">
        <v>20</v>
      </c>
      <c r="I55" s="331">
        <v>8.35</v>
      </c>
      <c r="J55" s="12">
        <f t="shared" si="3"/>
        <v>0</v>
      </c>
      <c r="K55" s="13"/>
    </row>
    <row r="56" spans="1:11" s="6" customFormat="1" ht="15.65" customHeight="1" x14ac:dyDescent="0.35">
      <c r="A56" s="103"/>
      <c r="B56" s="12" t="s">
        <v>13</v>
      </c>
      <c r="C56" s="10" t="s">
        <v>33</v>
      </c>
      <c r="D56" s="152">
        <v>6</v>
      </c>
      <c r="E56" s="170"/>
      <c r="F56" s="95"/>
      <c r="G56" s="153" t="str">
        <f t="shared" si="1"/>
        <v/>
      </c>
      <c r="H56" s="10" t="s">
        <v>20</v>
      </c>
      <c r="I56" s="331">
        <v>8.9</v>
      </c>
      <c r="J56" s="12">
        <f t="shared" si="3"/>
        <v>0</v>
      </c>
    </row>
    <row r="57" spans="1:11" s="6" customFormat="1" ht="15.65" customHeight="1" x14ac:dyDescent="0.35">
      <c r="A57" s="103"/>
      <c r="B57" s="12" t="s">
        <v>13</v>
      </c>
      <c r="C57" s="10" t="s">
        <v>59</v>
      </c>
      <c r="D57" s="152">
        <v>6</v>
      </c>
      <c r="E57" s="170"/>
      <c r="F57" s="95"/>
      <c r="G57" s="153" t="str">
        <f t="shared" si="1"/>
        <v/>
      </c>
      <c r="H57" s="10" t="s">
        <v>20</v>
      </c>
      <c r="I57" s="331">
        <v>8.6999999999999993</v>
      </c>
      <c r="J57" s="12">
        <f t="shared" si="3"/>
        <v>0</v>
      </c>
    </row>
    <row r="58" spans="1:11" ht="14.5" customHeight="1" x14ac:dyDescent="0.35">
      <c r="A58" s="103"/>
      <c r="B58" s="12" t="s">
        <v>13</v>
      </c>
      <c r="C58" s="10" t="s">
        <v>234</v>
      </c>
      <c r="D58" s="152"/>
      <c r="E58" s="170"/>
      <c r="F58" s="95"/>
      <c r="G58" s="153" t="str">
        <f t="shared" si="1"/>
        <v/>
      </c>
      <c r="H58" s="10" t="s">
        <v>20</v>
      </c>
      <c r="I58" s="331">
        <v>12.15</v>
      </c>
      <c r="J58" s="12">
        <f t="shared" si="3"/>
        <v>0</v>
      </c>
      <c r="K58" s="13"/>
    </row>
    <row r="59" spans="1:11" ht="14.5" hidden="1" customHeight="1" x14ac:dyDescent="0.35">
      <c r="A59" s="103"/>
      <c r="B59" s="12" t="s">
        <v>13</v>
      </c>
      <c r="C59" s="10" t="s">
        <v>235</v>
      </c>
      <c r="D59" s="152"/>
      <c r="E59" s="170"/>
      <c r="F59" s="95"/>
      <c r="G59" s="153" t="str">
        <f t="shared" si="1"/>
        <v/>
      </c>
      <c r="H59" s="10" t="s">
        <v>20</v>
      </c>
      <c r="I59" s="331">
        <v>11.35</v>
      </c>
      <c r="J59" s="12">
        <f t="shared" ref="J59:J64" si="4">E59*I59</f>
        <v>0</v>
      </c>
      <c r="K59" s="13"/>
    </row>
    <row r="60" spans="1:11" s="6" customFormat="1" ht="15.65" hidden="1" customHeight="1" x14ac:dyDescent="0.35">
      <c r="A60" s="103"/>
      <c r="B60" s="12" t="s">
        <v>13</v>
      </c>
      <c r="C60" s="10" t="s">
        <v>236</v>
      </c>
      <c r="D60" s="152"/>
      <c r="E60" s="170"/>
      <c r="F60" s="95"/>
      <c r="G60" s="153" t="str">
        <f t="shared" si="1"/>
        <v/>
      </c>
      <c r="H60" s="10" t="s">
        <v>20</v>
      </c>
      <c r="I60" s="331">
        <v>14.65</v>
      </c>
      <c r="J60" s="12">
        <f t="shared" si="4"/>
        <v>0</v>
      </c>
    </row>
    <row r="61" spans="1:11" ht="14.5" hidden="1" customHeight="1" x14ac:dyDescent="0.35">
      <c r="A61" s="103"/>
      <c r="B61" s="12" t="s">
        <v>13</v>
      </c>
      <c r="C61" s="10" t="s">
        <v>237</v>
      </c>
      <c r="D61" s="152"/>
      <c r="E61" s="170"/>
      <c r="F61" s="95"/>
      <c r="G61" s="153" t="str">
        <f t="shared" si="1"/>
        <v/>
      </c>
      <c r="H61" s="10" t="s">
        <v>20</v>
      </c>
      <c r="I61" s="331">
        <v>16.25</v>
      </c>
      <c r="J61" s="12">
        <f t="shared" si="4"/>
        <v>0</v>
      </c>
      <c r="K61" s="13"/>
    </row>
    <row r="62" spans="1:11" s="6" customFormat="1" ht="15.5" hidden="1" x14ac:dyDescent="0.35">
      <c r="A62" s="103"/>
      <c r="B62" s="12" t="s">
        <v>13</v>
      </c>
      <c r="C62" s="10" t="s">
        <v>238</v>
      </c>
      <c r="D62" s="152"/>
      <c r="E62" s="170"/>
      <c r="F62" s="95"/>
      <c r="G62" s="153" t="str">
        <f t="shared" si="1"/>
        <v/>
      </c>
      <c r="H62" s="10" t="s">
        <v>20</v>
      </c>
      <c r="I62" s="331">
        <v>17.899999999999999</v>
      </c>
      <c r="J62" s="12">
        <f t="shared" si="4"/>
        <v>0</v>
      </c>
    </row>
    <row r="63" spans="1:11" hidden="1" x14ac:dyDescent="0.35">
      <c r="A63" s="103"/>
      <c r="B63" s="12" t="s">
        <v>13</v>
      </c>
      <c r="C63" s="10" t="s">
        <v>239</v>
      </c>
      <c r="D63" s="152"/>
      <c r="E63" s="170"/>
      <c r="F63" s="95"/>
      <c r="G63" s="153" t="str">
        <f t="shared" si="1"/>
        <v/>
      </c>
      <c r="H63" s="10" t="s">
        <v>20</v>
      </c>
      <c r="I63" s="331">
        <v>15.95</v>
      </c>
      <c r="J63" s="12">
        <f t="shared" si="4"/>
        <v>0</v>
      </c>
      <c r="K63" s="13"/>
    </row>
    <row r="64" spans="1:11" ht="14.5" hidden="1" customHeight="1" x14ac:dyDescent="0.35">
      <c r="A64" s="103"/>
      <c r="B64" s="12" t="s">
        <v>13</v>
      </c>
      <c r="C64" s="10" t="s">
        <v>240</v>
      </c>
      <c r="D64" s="152"/>
      <c r="E64" s="170"/>
      <c r="F64" s="95"/>
      <c r="G64" s="153" t="str">
        <f t="shared" si="1"/>
        <v/>
      </c>
      <c r="H64" s="10" t="s">
        <v>20</v>
      </c>
      <c r="I64" s="331">
        <v>15.45</v>
      </c>
      <c r="J64" s="12">
        <f t="shared" si="4"/>
        <v>0</v>
      </c>
      <c r="K64" s="13"/>
    </row>
    <row r="65" spans="1:11" s="6" customFormat="1" ht="15.65" hidden="1" customHeight="1" x14ac:dyDescent="0.35">
      <c r="A65" s="111"/>
      <c r="B65" s="126" t="s">
        <v>241</v>
      </c>
      <c r="C65" s="127"/>
      <c r="D65" s="226"/>
      <c r="E65" s="172"/>
      <c r="F65" s="144"/>
      <c r="G65" s="153" t="str">
        <f t="shared" si="1"/>
        <v/>
      </c>
      <c r="H65" s="127"/>
      <c r="I65" s="239"/>
      <c r="J65" s="128"/>
    </row>
    <row r="66" spans="1:11" ht="14.5" hidden="1" customHeight="1" x14ac:dyDescent="0.35">
      <c r="A66" s="103"/>
      <c r="B66" s="12" t="s">
        <v>13</v>
      </c>
      <c r="C66" s="10" t="s">
        <v>242</v>
      </c>
      <c r="D66" s="152"/>
      <c r="E66" s="170"/>
      <c r="F66" s="95"/>
      <c r="G66" s="153" t="str">
        <f t="shared" si="1"/>
        <v/>
      </c>
      <c r="H66" s="10" t="s">
        <v>20</v>
      </c>
      <c r="I66" s="331">
        <v>31.05</v>
      </c>
      <c r="J66" s="12">
        <f t="shared" ref="J66:J72" si="5">E66*I66</f>
        <v>0</v>
      </c>
      <c r="K66" s="13"/>
    </row>
    <row r="67" spans="1:11" ht="14.5" hidden="1" customHeight="1" x14ac:dyDescent="0.35">
      <c r="A67" s="103"/>
      <c r="B67" s="12" t="s">
        <v>13</v>
      </c>
      <c r="C67" s="10" t="s">
        <v>243</v>
      </c>
      <c r="D67" s="152"/>
      <c r="E67" s="170"/>
      <c r="F67" s="95"/>
      <c r="G67" s="153" t="str">
        <f t="shared" si="1"/>
        <v/>
      </c>
      <c r="H67" s="10" t="s">
        <v>20</v>
      </c>
      <c r="I67" s="331">
        <v>60.79</v>
      </c>
      <c r="J67" s="12">
        <f t="shared" si="5"/>
        <v>0</v>
      </c>
      <c r="K67" s="13"/>
    </row>
    <row r="68" spans="1:11" hidden="1" x14ac:dyDescent="0.35">
      <c r="A68" s="103"/>
      <c r="B68" s="12" t="s">
        <v>13</v>
      </c>
      <c r="C68" s="10" t="s">
        <v>244</v>
      </c>
      <c r="D68" s="152"/>
      <c r="E68" s="170"/>
      <c r="F68" s="95"/>
      <c r="G68" s="153" t="str">
        <f t="shared" si="1"/>
        <v/>
      </c>
      <c r="H68" s="10" t="s">
        <v>20</v>
      </c>
      <c r="I68" s="331">
        <v>56.55</v>
      </c>
      <c r="J68" s="12">
        <f t="shared" si="5"/>
        <v>0</v>
      </c>
      <c r="K68" s="13"/>
    </row>
    <row r="69" spans="1:11" ht="14.5" hidden="1" customHeight="1" x14ac:dyDescent="0.35">
      <c r="A69" s="103"/>
      <c r="B69" s="12" t="s">
        <v>13</v>
      </c>
      <c r="C69" s="10" t="s">
        <v>245</v>
      </c>
      <c r="D69" s="152"/>
      <c r="E69" s="170"/>
      <c r="F69" s="95"/>
      <c r="G69" s="153" t="str">
        <f t="shared" si="1"/>
        <v/>
      </c>
      <c r="H69" s="10" t="s">
        <v>20</v>
      </c>
      <c r="I69" s="331">
        <v>107.44</v>
      </c>
      <c r="J69" s="12">
        <f t="shared" si="5"/>
        <v>0</v>
      </c>
      <c r="K69" s="13"/>
    </row>
    <row r="70" spans="1:11" ht="14.5" hidden="1" customHeight="1" x14ac:dyDescent="0.35">
      <c r="A70" s="103"/>
      <c r="B70" s="12" t="s">
        <v>13</v>
      </c>
      <c r="C70" s="10" t="s">
        <v>246</v>
      </c>
      <c r="D70" s="152"/>
      <c r="E70" s="170"/>
      <c r="F70" s="95"/>
      <c r="G70" s="153" t="str">
        <f t="shared" si="1"/>
        <v/>
      </c>
      <c r="H70" s="10" t="s">
        <v>20</v>
      </c>
      <c r="I70" s="331">
        <v>47.4</v>
      </c>
      <c r="J70" s="12">
        <f t="shared" si="5"/>
        <v>0</v>
      </c>
      <c r="K70" s="13"/>
    </row>
    <row r="71" spans="1:11" ht="15.65" hidden="1" customHeight="1" x14ac:dyDescent="0.35">
      <c r="A71" s="103"/>
      <c r="B71" s="12" t="s">
        <v>13</v>
      </c>
      <c r="C71" s="10" t="s">
        <v>247</v>
      </c>
      <c r="D71" s="152"/>
      <c r="E71" s="170"/>
      <c r="F71" s="95"/>
      <c r="G71" s="153" t="str">
        <f t="shared" si="1"/>
        <v/>
      </c>
      <c r="H71" s="10" t="s">
        <v>20</v>
      </c>
      <c r="I71" s="331">
        <v>87.63</v>
      </c>
      <c r="J71" s="12">
        <f t="shared" si="5"/>
        <v>0</v>
      </c>
      <c r="K71" s="13"/>
    </row>
    <row r="72" spans="1:11" ht="15.65" hidden="1" customHeight="1" x14ac:dyDescent="0.35">
      <c r="A72" s="103"/>
      <c r="B72" s="12" t="s">
        <v>13</v>
      </c>
      <c r="C72" s="10" t="s">
        <v>248</v>
      </c>
      <c r="D72" s="152"/>
      <c r="E72" s="170"/>
      <c r="F72" s="95"/>
      <c r="G72" s="153" t="str">
        <f t="shared" si="1"/>
        <v/>
      </c>
      <c r="H72" s="10" t="s">
        <v>20</v>
      </c>
      <c r="I72" s="331">
        <v>52.31</v>
      </c>
      <c r="J72" s="12">
        <f t="shared" si="5"/>
        <v>0</v>
      </c>
      <c r="K72" s="13"/>
    </row>
    <row r="73" spans="1:11" ht="16.399999999999999" hidden="1" customHeight="1" x14ac:dyDescent="0.35">
      <c r="A73" s="111"/>
      <c r="B73" s="126" t="s">
        <v>249</v>
      </c>
      <c r="C73" s="127"/>
      <c r="D73" s="226"/>
      <c r="E73" s="172"/>
      <c r="F73" s="144"/>
      <c r="G73" s="153" t="str">
        <f t="shared" si="1"/>
        <v/>
      </c>
      <c r="H73" s="127"/>
      <c r="I73" s="239"/>
      <c r="J73" s="128"/>
      <c r="K73" s="13"/>
    </row>
    <row r="74" spans="1:11" ht="14.5" hidden="1" customHeight="1" x14ac:dyDescent="0.35">
      <c r="A74" s="103"/>
      <c r="B74" s="12" t="s">
        <v>13</v>
      </c>
      <c r="C74" s="10" t="s">
        <v>250</v>
      </c>
      <c r="D74" s="152"/>
      <c r="E74" s="170"/>
      <c r="F74" s="95"/>
      <c r="G74" s="153" t="str">
        <f t="shared" si="1"/>
        <v/>
      </c>
      <c r="H74" s="10" t="s">
        <v>20</v>
      </c>
      <c r="I74" s="331">
        <v>10.8</v>
      </c>
      <c r="J74" s="12">
        <f>E74*I74</f>
        <v>0</v>
      </c>
      <c r="K74" s="13"/>
    </row>
    <row r="75" spans="1:11" ht="14.5" hidden="1" customHeight="1" x14ac:dyDescent="0.35">
      <c r="A75" s="103"/>
      <c r="B75" s="12" t="s">
        <v>13</v>
      </c>
      <c r="C75" s="10" t="s">
        <v>251</v>
      </c>
      <c r="D75" s="152"/>
      <c r="E75" s="170"/>
      <c r="F75" s="95"/>
      <c r="G75" s="153" t="str">
        <f t="shared" si="1"/>
        <v/>
      </c>
      <c r="H75" s="10" t="s">
        <v>20</v>
      </c>
      <c r="I75" s="331">
        <v>11.2</v>
      </c>
      <c r="J75" s="12">
        <f>E75*I75</f>
        <v>0</v>
      </c>
      <c r="K75" s="13"/>
    </row>
    <row r="76" spans="1:11" s="24" customFormat="1" ht="15.65" customHeight="1" x14ac:dyDescent="0.35">
      <c r="A76" s="103"/>
      <c r="B76" s="12" t="s">
        <v>13</v>
      </c>
      <c r="C76" s="10" t="s">
        <v>252</v>
      </c>
      <c r="D76" s="152"/>
      <c r="E76" s="170"/>
      <c r="F76" s="95"/>
      <c r="G76" s="153" t="str">
        <f t="shared" si="1"/>
        <v/>
      </c>
      <c r="H76" s="10" t="s">
        <v>23</v>
      </c>
      <c r="I76" s="331">
        <v>4.5599999999999996</v>
      </c>
      <c r="J76" s="12">
        <f>E76*I76</f>
        <v>0</v>
      </c>
    </row>
    <row r="77" spans="1:11" s="6" customFormat="1" ht="15.65" customHeight="1" x14ac:dyDescent="0.35">
      <c r="A77" s="103"/>
      <c r="B77" s="12" t="s">
        <v>13</v>
      </c>
      <c r="C77" s="10" t="s">
        <v>253</v>
      </c>
      <c r="D77" s="152"/>
      <c r="E77" s="170"/>
      <c r="F77" s="95"/>
      <c r="G77" s="153" t="str">
        <f t="shared" si="1"/>
        <v/>
      </c>
      <c r="H77" s="10" t="s">
        <v>23</v>
      </c>
      <c r="I77" s="331">
        <v>37.700000000000003</v>
      </c>
      <c r="J77" s="12">
        <f>E77*I77</f>
        <v>0</v>
      </c>
    </row>
    <row r="78" spans="1:11" ht="14.5" hidden="1" customHeight="1" x14ac:dyDescent="0.35">
      <c r="A78" s="108" t="s">
        <v>254</v>
      </c>
      <c r="B78" s="108"/>
      <c r="C78" s="108"/>
      <c r="D78" s="223"/>
      <c r="E78" s="169"/>
      <c r="F78" s="109"/>
      <c r="G78" s="153" t="str">
        <f t="shared" si="1"/>
        <v/>
      </c>
      <c r="H78" s="108"/>
      <c r="I78" s="110" t="s">
        <v>18</v>
      </c>
      <c r="J78" s="115">
        <f>SUM(J80:J121)</f>
        <v>0</v>
      </c>
    </row>
    <row r="79" spans="1:11" ht="14.5" hidden="1" customHeight="1" x14ac:dyDescent="0.35">
      <c r="A79" s="111"/>
      <c r="B79" s="126" t="s">
        <v>255</v>
      </c>
      <c r="C79" s="127"/>
      <c r="D79" s="226"/>
      <c r="E79" s="172"/>
      <c r="F79" s="144"/>
      <c r="G79" s="153" t="str">
        <f t="shared" si="1"/>
        <v/>
      </c>
      <c r="H79" s="127"/>
      <c r="I79" s="239"/>
      <c r="J79" s="128"/>
      <c r="K79" s="13"/>
    </row>
    <row r="80" spans="1:11" ht="14.5" hidden="1" customHeight="1" x14ac:dyDescent="0.35">
      <c r="A80" s="103"/>
      <c r="B80" s="12" t="s">
        <v>3</v>
      </c>
      <c r="C80" s="10" t="s">
        <v>256</v>
      </c>
      <c r="D80" s="152"/>
      <c r="E80" s="170"/>
      <c r="F80" s="95"/>
      <c r="G80" s="153" t="str">
        <f t="shared" si="1"/>
        <v/>
      </c>
      <c r="H80" s="10" t="s">
        <v>20</v>
      </c>
      <c r="I80" s="331">
        <v>32.950000000000003</v>
      </c>
      <c r="J80" s="12">
        <f t="shared" ref="J80:J86" si="6">E80*I80</f>
        <v>0</v>
      </c>
      <c r="K80" s="13"/>
    </row>
    <row r="81" spans="1:13" ht="14.5" hidden="1" customHeight="1" x14ac:dyDescent="0.35">
      <c r="A81" s="103"/>
      <c r="B81" s="12" t="s">
        <v>3</v>
      </c>
      <c r="C81" s="10" t="s">
        <v>257</v>
      </c>
      <c r="D81" s="152"/>
      <c r="E81" s="170"/>
      <c r="F81" s="95"/>
      <c r="G81" s="153" t="str">
        <f t="shared" si="1"/>
        <v/>
      </c>
      <c r="H81" s="10" t="s">
        <v>20</v>
      </c>
      <c r="I81" s="331">
        <v>56.95</v>
      </c>
      <c r="J81" s="12">
        <f t="shared" si="6"/>
        <v>0</v>
      </c>
      <c r="K81" s="13" t="s">
        <v>47</v>
      </c>
    </row>
    <row r="82" spans="1:13" ht="14.5" hidden="1" customHeight="1" x14ac:dyDescent="0.35">
      <c r="A82" s="103"/>
      <c r="B82" s="12" t="s">
        <v>3</v>
      </c>
      <c r="C82" s="10" t="s">
        <v>258</v>
      </c>
      <c r="D82" s="152"/>
      <c r="E82" s="170"/>
      <c r="F82" s="95"/>
      <c r="G82" s="153" t="str">
        <f t="shared" si="1"/>
        <v/>
      </c>
      <c r="H82" s="10" t="s">
        <v>20</v>
      </c>
      <c r="I82" s="331">
        <v>15.95</v>
      </c>
      <c r="J82" s="12">
        <f t="shared" si="6"/>
        <v>0</v>
      </c>
    </row>
    <row r="83" spans="1:13" ht="14.5" hidden="1" customHeight="1" x14ac:dyDescent="0.35">
      <c r="A83" s="103"/>
      <c r="B83" s="12" t="s">
        <v>3</v>
      </c>
      <c r="C83" s="10" t="s">
        <v>259</v>
      </c>
      <c r="D83" s="152"/>
      <c r="E83" s="170"/>
      <c r="F83" s="95"/>
      <c r="G83" s="153" t="str">
        <f t="shared" si="1"/>
        <v/>
      </c>
      <c r="H83" s="10" t="s">
        <v>20</v>
      </c>
      <c r="I83" s="331">
        <v>19.95</v>
      </c>
      <c r="J83" s="12">
        <f t="shared" si="6"/>
        <v>0</v>
      </c>
      <c r="K83" s="28"/>
    </row>
    <row r="84" spans="1:13" s="6" customFormat="1" ht="15.65" hidden="1" customHeight="1" x14ac:dyDescent="0.35">
      <c r="A84" s="103"/>
      <c r="B84" s="12" t="s">
        <v>3</v>
      </c>
      <c r="C84" s="10" t="s">
        <v>260</v>
      </c>
      <c r="D84" s="152"/>
      <c r="E84" s="170"/>
      <c r="F84" s="95"/>
      <c r="G84" s="153" t="str">
        <f t="shared" si="1"/>
        <v/>
      </c>
      <c r="H84" s="10" t="s">
        <v>20</v>
      </c>
      <c r="I84" s="331">
        <v>46.95</v>
      </c>
      <c r="J84" s="12">
        <f t="shared" si="6"/>
        <v>0</v>
      </c>
      <c r="K84" s="30"/>
    </row>
    <row r="85" spans="1:13" ht="14.5" hidden="1" customHeight="1" x14ac:dyDescent="0.35">
      <c r="A85" s="103"/>
      <c r="B85" s="12" t="s">
        <v>3</v>
      </c>
      <c r="C85" s="10" t="s">
        <v>261</v>
      </c>
      <c r="D85" s="152"/>
      <c r="E85" s="170"/>
      <c r="F85" s="95"/>
      <c r="G85" s="153" t="str">
        <f t="shared" si="1"/>
        <v/>
      </c>
      <c r="H85" s="10" t="s">
        <v>20</v>
      </c>
      <c r="I85" s="331">
        <v>34.950000000000003</v>
      </c>
      <c r="J85" s="12">
        <f t="shared" si="6"/>
        <v>0</v>
      </c>
      <c r="K85" s="28"/>
    </row>
    <row r="86" spans="1:13" s="6" customFormat="1" ht="15.65" hidden="1" customHeight="1" x14ac:dyDescent="0.35">
      <c r="A86" s="103"/>
      <c r="B86" s="12" t="s">
        <v>3</v>
      </c>
      <c r="C86" s="10" t="s">
        <v>262</v>
      </c>
      <c r="D86" s="152"/>
      <c r="E86" s="170"/>
      <c r="F86" s="95"/>
      <c r="G86" s="153" t="str">
        <f t="shared" si="1"/>
        <v/>
      </c>
      <c r="H86" s="10" t="s">
        <v>20</v>
      </c>
      <c r="I86" s="331">
        <v>24.95</v>
      </c>
      <c r="J86" s="12">
        <f t="shared" si="6"/>
        <v>0</v>
      </c>
    </row>
    <row r="87" spans="1:13" ht="15.5" hidden="1" x14ac:dyDescent="0.35">
      <c r="A87" s="111"/>
      <c r="B87" s="126" t="s">
        <v>263</v>
      </c>
      <c r="C87" s="127"/>
      <c r="D87" s="226"/>
      <c r="E87" s="172"/>
      <c r="F87" s="144"/>
      <c r="G87" s="153" t="str">
        <f t="shared" si="1"/>
        <v/>
      </c>
      <c r="H87" s="127"/>
      <c r="I87" s="239"/>
      <c r="J87" s="128"/>
      <c r="K87" s="28"/>
      <c r="M87" t="s">
        <v>47</v>
      </c>
    </row>
    <row r="88" spans="1:13" ht="14.5" hidden="1" customHeight="1" x14ac:dyDescent="0.35">
      <c r="A88" s="103"/>
      <c r="B88" s="12" t="s">
        <v>3</v>
      </c>
      <c r="C88" s="10" t="s">
        <v>264</v>
      </c>
      <c r="D88" s="152"/>
      <c r="E88" s="170"/>
      <c r="F88" s="95"/>
      <c r="G88" s="153" t="str">
        <f t="shared" si="1"/>
        <v/>
      </c>
      <c r="H88" s="10" t="s">
        <v>20</v>
      </c>
      <c r="I88" s="331">
        <v>19.5</v>
      </c>
      <c r="J88" s="12">
        <f t="shared" ref="J88:J94" si="7">E88*I88</f>
        <v>0</v>
      </c>
      <c r="K88" s="28"/>
    </row>
    <row r="89" spans="1:13" hidden="1" x14ac:dyDescent="0.35">
      <c r="A89" s="103"/>
      <c r="B89" s="12" t="s">
        <v>3</v>
      </c>
      <c r="C89" s="10" t="s">
        <v>265</v>
      </c>
      <c r="D89" s="152"/>
      <c r="E89" s="170"/>
      <c r="F89" s="95"/>
      <c r="G89" s="153" t="str">
        <f t="shared" ref="G89:G152" si="8">IF(E89="","",IF(D89-E89&gt;0,D89-E89,""))</f>
        <v/>
      </c>
      <c r="H89" s="10" t="s">
        <v>20</v>
      </c>
      <c r="I89" s="331">
        <v>16.95</v>
      </c>
      <c r="J89" s="12">
        <f t="shared" si="7"/>
        <v>0</v>
      </c>
      <c r="K89" s="28"/>
    </row>
    <row r="90" spans="1:13" hidden="1" x14ac:dyDescent="0.35">
      <c r="A90" s="103"/>
      <c r="B90" s="12" t="s">
        <v>3</v>
      </c>
      <c r="C90" s="10" t="s">
        <v>266</v>
      </c>
      <c r="D90" s="152"/>
      <c r="E90" s="170"/>
      <c r="F90" s="95"/>
      <c r="G90" s="153" t="str">
        <f t="shared" si="8"/>
        <v/>
      </c>
      <c r="H90" s="10" t="s">
        <v>20</v>
      </c>
      <c r="I90" s="331">
        <v>17.95</v>
      </c>
      <c r="J90" s="12">
        <f t="shared" si="7"/>
        <v>0</v>
      </c>
      <c r="K90" s="28"/>
    </row>
    <row r="91" spans="1:13" hidden="1" x14ac:dyDescent="0.35">
      <c r="A91" s="103"/>
      <c r="B91" s="12" t="s">
        <v>3</v>
      </c>
      <c r="C91" s="10" t="s">
        <v>267</v>
      </c>
      <c r="D91" s="152"/>
      <c r="E91" s="170"/>
      <c r="F91" s="95"/>
      <c r="G91" s="153" t="str">
        <f t="shared" si="8"/>
        <v/>
      </c>
      <c r="H91" s="10" t="s">
        <v>20</v>
      </c>
      <c r="I91" s="331">
        <v>15.95</v>
      </c>
      <c r="J91" s="12">
        <f t="shared" si="7"/>
        <v>0</v>
      </c>
      <c r="K91" s="28"/>
    </row>
    <row r="92" spans="1:13" s="6" customFormat="1" ht="15.5" hidden="1" x14ac:dyDescent="0.35">
      <c r="A92" s="103"/>
      <c r="B92" s="12" t="s">
        <v>3</v>
      </c>
      <c r="C92" s="10" t="s">
        <v>268</v>
      </c>
      <c r="D92" s="152"/>
      <c r="E92" s="170"/>
      <c r="F92" s="95"/>
      <c r="G92" s="153" t="str">
        <f t="shared" si="8"/>
        <v/>
      </c>
      <c r="H92" s="10" t="s">
        <v>20</v>
      </c>
      <c r="I92" s="331">
        <v>20.95</v>
      </c>
      <c r="J92" s="12">
        <f t="shared" si="7"/>
        <v>0</v>
      </c>
      <c r="K92" s="30"/>
    </row>
    <row r="93" spans="1:13" hidden="1" x14ac:dyDescent="0.35">
      <c r="A93" s="103"/>
      <c r="B93" s="12" t="s">
        <v>3</v>
      </c>
      <c r="C93" s="10" t="s">
        <v>269</v>
      </c>
      <c r="D93" s="152"/>
      <c r="E93" s="170"/>
      <c r="F93" s="95"/>
      <c r="G93" s="153" t="str">
        <f t="shared" si="8"/>
        <v/>
      </c>
      <c r="H93" s="10" t="s">
        <v>20</v>
      </c>
      <c r="I93" s="331">
        <v>26.95</v>
      </c>
      <c r="J93" s="12">
        <f t="shared" si="7"/>
        <v>0</v>
      </c>
      <c r="K93" s="31"/>
    </row>
    <row r="94" spans="1:13" hidden="1" x14ac:dyDescent="0.35">
      <c r="A94" s="103"/>
      <c r="B94" s="12" t="s">
        <v>3</v>
      </c>
      <c r="C94" s="10" t="s">
        <v>270</v>
      </c>
      <c r="D94" s="152"/>
      <c r="E94" s="170"/>
      <c r="F94" s="95"/>
      <c r="G94" s="153" t="str">
        <f t="shared" si="8"/>
        <v/>
      </c>
      <c r="H94" s="10" t="s">
        <v>20</v>
      </c>
      <c r="I94" s="331">
        <v>26.95</v>
      </c>
      <c r="J94" s="12">
        <f t="shared" si="7"/>
        <v>0</v>
      </c>
      <c r="K94" s="31"/>
    </row>
    <row r="95" spans="1:13" s="6" customFormat="1" ht="15.5" hidden="1" x14ac:dyDescent="0.35">
      <c r="A95" s="111"/>
      <c r="B95" s="126" t="s">
        <v>271</v>
      </c>
      <c r="C95" s="127"/>
      <c r="D95" s="226"/>
      <c r="E95" s="172"/>
      <c r="F95" s="144"/>
      <c r="G95" s="153" t="str">
        <f t="shared" si="8"/>
        <v/>
      </c>
      <c r="H95" s="127"/>
      <c r="I95" s="239"/>
      <c r="J95" s="128"/>
      <c r="K95" s="30"/>
    </row>
    <row r="96" spans="1:13" ht="14.15" hidden="1" customHeight="1" x14ac:dyDescent="0.35">
      <c r="A96" s="103"/>
      <c r="B96" s="12" t="s">
        <v>3</v>
      </c>
      <c r="C96" s="10" t="s">
        <v>272</v>
      </c>
      <c r="D96" s="152"/>
      <c r="E96" s="170"/>
      <c r="F96" s="95"/>
      <c r="G96" s="153" t="str">
        <f t="shared" si="8"/>
        <v/>
      </c>
      <c r="H96" s="10" t="s">
        <v>20</v>
      </c>
      <c r="I96" s="331">
        <v>20.95</v>
      </c>
      <c r="J96" s="12">
        <f>E96*I96</f>
        <v>0</v>
      </c>
      <c r="K96" s="28"/>
    </row>
    <row r="97" spans="1:11" hidden="1" x14ac:dyDescent="0.35">
      <c r="A97" s="103"/>
      <c r="B97" s="12" t="s">
        <v>3</v>
      </c>
      <c r="C97" s="10" t="s">
        <v>273</v>
      </c>
      <c r="D97" s="152"/>
      <c r="E97" s="170"/>
      <c r="F97" s="95"/>
      <c r="G97" s="153" t="str">
        <f t="shared" si="8"/>
        <v/>
      </c>
      <c r="H97" s="10" t="s">
        <v>20</v>
      </c>
      <c r="I97" s="331">
        <v>23.95</v>
      </c>
      <c r="J97" s="12">
        <f>E97*I97</f>
        <v>0</v>
      </c>
      <c r="K97" s="28"/>
    </row>
    <row r="98" spans="1:11" ht="14.5" hidden="1" customHeight="1" x14ac:dyDescent="0.35">
      <c r="A98" s="103"/>
      <c r="B98" s="12" t="s">
        <v>3</v>
      </c>
      <c r="C98" s="10" t="s">
        <v>274</v>
      </c>
      <c r="D98" s="152"/>
      <c r="E98" s="170"/>
      <c r="F98" s="95"/>
      <c r="G98" s="153" t="str">
        <f t="shared" si="8"/>
        <v/>
      </c>
      <c r="H98" s="10" t="s">
        <v>20</v>
      </c>
      <c r="I98" s="331">
        <v>22.5</v>
      </c>
      <c r="J98" s="12">
        <f>E98*I98</f>
        <v>0</v>
      </c>
      <c r="K98" s="28"/>
    </row>
    <row r="99" spans="1:11" ht="14.5" hidden="1" customHeight="1" x14ac:dyDescent="0.35">
      <c r="A99" s="103"/>
      <c r="B99" s="12" t="s">
        <v>3</v>
      </c>
      <c r="C99" s="10" t="s">
        <v>275</v>
      </c>
      <c r="D99" s="152"/>
      <c r="E99" s="170"/>
      <c r="F99" s="95"/>
      <c r="G99" s="153" t="str">
        <f t="shared" si="8"/>
        <v/>
      </c>
      <c r="H99" s="10" t="s">
        <v>20</v>
      </c>
      <c r="I99" s="331">
        <v>29.95</v>
      </c>
      <c r="J99" s="12">
        <f>E99*I99</f>
        <v>0</v>
      </c>
      <c r="K99" s="28"/>
    </row>
    <row r="100" spans="1:11" ht="14.5" hidden="1" customHeight="1" x14ac:dyDescent="0.35">
      <c r="A100" s="111"/>
      <c r="B100" s="126" t="s">
        <v>276</v>
      </c>
      <c r="C100" s="127"/>
      <c r="D100" s="226"/>
      <c r="E100" s="172"/>
      <c r="F100" s="144"/>
      <c r="G100" s="153" t="str">
        <f t="shared" si="8"/>
        <v/>
      </c>
      <c r="H100" s="127"/>
      <c r="I100" s="239"/>
      <c r="J100" s="128"/>
      <c r="K100" s="28"/>
    </row>
    <row r="101" spans="1:11" hidden="1" x14ac:dyDescent="0.35">
      <c r="A101" s="103"/>
      <c r="B101" s="12" t="s">
        <v>3</v>
      </c>
      <c r="C101" s="10" t="s">
        <v>277</v>
      </c>
      <c r="D101" s="152"/>
      <c r="E101" s="170"/>
      <c r="F101" s="95"/>
      <c r="G101" s="153" t="str">
        <f t="shared" si="8"/>
        <v/>
      </c>
      <c r="H101" s="10" t="s">
        <v>20</v>
      </c>
      <c r="I101" s="331">
        <v>17.95</v>
      </c>
      <c r="J101" s="12">
        <f>E101*I101</f>
        <v>0</v>
      </c>
      <c r="K101" s="28"/>
    </row>
    <row r="102" spans="1:11" s="6" customFormat="1" ht="15.5" hidden="1" x14ac:dyDescent="0.35">
      <c r="A102" s="103"/>
      <c r="B102" s="12" t="s">
        <v>3</v>
      </c>
      <c r="C102" s="10" t="s">
        <v>278</v>
      </c>
      <c r="D102" s="152"/>
      <c r="E102" s="170"/>
      <c r="F102" s="95"/>
      <c r="G102" s="153" t="str">
        <f t="shared" si="8"/>
        <v/>
      </c>
      <c r="H102" s="10" t="s">
        <v>20</v>
      </c>
      <c r="I102" s="331">
        <v>20.95</v>
      </c>
      <c r="J102" s="12">
        <f>E102*I102</f>
        <v>0</v>
      </c>
    </row>
    <row r="103" spans="1:11" hidden="1" x14ac:dyDescent="0.35">
      <c r="A103" s="103"/>
      <c r="B103" s="12" t="s">
        <v>3</v>
      </c>
      <c r="C103" s="10" t="s">
        <v>279</v>
      </c>
      <c r="D103" s="152"/>
      <c r="E103" s="170"/>
      <c r="F103" s="95"/>
      <c r="G103" s="153" t="str">
        <f t="shared" si="8"/>
        <v/>
      </c>
      <c r="H103" s="10" t="s">
        <v>20</v>
      </c>
      <c r="I103" s="331">
        <v>19.95</v>
      </c>
      <c r="J103" s="12">
        <f>E103*I103</f>
        <v>0</v>
      </c>
      <c r="K103" s="13"/>
    </row>
    <row r="104" spans="1:11" hidden="1" x14ac:dyDescent="0.35">
      <c r="A104" s="103"/>
      <c r="B104" s="40" t="s">
        <v>3</v>
      </c>
      <c r="C104" s="41" t="s">
        <v>280</v>
      </c>
      <c r="D104" s="227"/>
      <c r="E104" s="170"/>
      <c r="F104" s="145"/>
      <c r="G104" s="153" t="str">
        <f t="shared" si="8"/>
        <v/>
      </c>
      <c r="H104" s="41" t="s">
        <v>20</v>
      </c>
      <c r="I104" s="334">
        <v>59.95</v>
      </c>
      <c r="J104" s="40">
        <f>E104*I104</f>
        <v>0</v>
      </c>
      <c r="K104" s="13"/>
    </row>
    <row r="105" spans="1:11" ht="15.65" hidden="1" customHeight="1" x14ac:dyDescent="0.35">
      <c r="A105" s="111"/>
      <c r="B105" s="126" t="s">
        <v>281</v>
      </c>
      <c r="C105" s="127"/>
      <c r="D105" s="226"/>
      <c r="E105" s="172"/>
      <c r="F105" s="144"/>
      <c r="G105" s="153" t="str">
        <f t="shared" si="8"/>
        <v/>
      </c>
      <c r="H105" s="127"/>
      <c r="I105" s="239"/>
      <c r="J105" s="128"/>
      <c r="K105" s="13"/>
    </row>
    <row r="106" spans="1:11" ht="14.5" hidden="1" customHeight="1" x14ac:dyDescent="0.35">
      <c r="A106" s="103"/>
      <c r="B106" s="12" t="s">
        <v>3</v>
      </c>
      <c r="C106" s="10" t="s">
        <v>282</v>
      </c>
      <c r="D106" s="152"/>
      <c r="E106" s="170"/>
      <c r="F106" s="95"/>
      <c r="G106" s="153" t="str">
        <f t="shared" si="8"/>
        <v/>
      </c>
      <c r="H106" s="10" t="s">
        <v>20</v>
      </c>
      <c r="I106" s="331">
        <v>54.95</v>
      </c>
      <c r="J106" s="12">
        <f>E106*I106</f>
        <v>0</v>
      </c>
      <c r="K106" s="13"/>
    </row>
    <row r="107" spans="1:11" ht="14.5" hidden="1" customHeight="1" x14ac:dyDescent="0.35">
      <c r="A107" s="103"/>
      <c r="B107" s="12" t="s">
        <v>3</v>
      </c>
      <c r="C107" s="10" t="s">
        <v>283</v>
      </c>
      <c r="D107" s="152"/>
      <c r="E107" s="170"/>
      <c r="F107" s="95"/>
      <c r="G107" s="153" t="str">
        <f t="shared" si="8"/>
        <v/>
      </c>
      <c r="H107" s="10" t="s">
        <v>20</v>
      </c>
      <c r="I107" s="331">
        <v>49.95</v>
      </c>
      <c r="J107" s="12">
        <f>E107*I107</f>
        <v>0</v>
      </c>
      <c r="K107" s="13"/>
    </row>
    <row r="108" spans="1:11" ht="14.5" hidden="1" customHeight="1" x14ac:dyDescent="0.35">
      <c r="A108" s="111"/>
      <c r="B108" s="126" t="s">
        <v>284</v>
      </c>
      <c r="C108" s="127"/>
      <c r="D108" s="226"/>
      <c r="E108" s="172"/>
      <c r="F108" s="144"/>
      <c r="G108" s="153" t="str">
        <f t="shared" si="8"/>
        <v/>
      </c>
      <c r="H108" s="127"/>
      <c r="I108" s="239"/>
      <c r="J108" s="128"/>
      <c r="K108" s="13"/>
    </row>
    <row r="109" spans="1:11" ht="14.5" hidden="1" customHeight="1" x14ac:dyDescent="0.35">
      <c r="A109" s="103"/>
      <c r="B109" s="12" t="s">
        <v>3</v>
      </c>
      <c r="C109" s="10" t="s">
        <v>285</v>
      </c>
      <c r="D109" s="152"/>
      <c r="E109" s="170"/>
      <c r="F109" s="95"/>
      <c r="G109" s="153" t="str">
        <f t="shared" si="8"/>
        <v/>
      </c>
      <c r="H109" s="10" t="s">
        <v>20</v>
      </c>
      <c r="I109" s="331">
        <v>41.5</v>
      </c>
      <c r="J109" s="12">
        <f t="shared" ref="J109:J114" si="9">E109*I109</f>
        <v>0</v>
      </c>
      <c r="K109" s="13"/>
    </row>
    <row r="110" spans="1:11" ht="15.65" hidden="1" customHeight="1" x14ac:dyDescent="0.35">
      <c r="A110" s="103"/>
      <c r="B110" s="12" t="s">
        <v>3</v>
      </c>
      <c r="C110" s="10" t="s">
        <v>286</v>
      </c>
      <c r="D110" s="152"/>
      <c r="E110" s="170"/>
      <c r="F110" s="95"/>
      <c r="G110" s="153" t="str">
        <f t="shared" si="8"/>
        <v/>
      </c>
      <c r="H110" s="10" t="s">
        <v>20</v>
      </c>
      <c r="I110" s="331">
        <v>36.200000000000003</v>
      </c>
      <c r="J110" s="12">
        <f t="shared" si="9"/>
        <v>0</v>
      </c>
      <c r="K110" s="13"/>
    </row>
    <row r="111" spans="1:11" hidden="1" x14ac:dyDescent="0.35">
      <c r="A111" s="103"/>
      <c r="B111" s="12" t="s">
        <v>3</v>
      </c>
      <c r="C111" s="10" t="s">
        <v>287</v>
      </c>
      <c r="D111" s="152"/>
      <c r="E111" s="170"/>
      <c r="F111" s="95"/>
      <c r="G111" s="153" t="str">
        <f t="shared" si="8"/>
        <v/>
      </c>
      <c r="H111" s="10" t="s">
        <v>20</v>
      </c>
      <c r="I111" s="331">
        <v>25.95</v>
      </c>
      <c r="J111" s="12">
        <f t="shared" si="9"/>
        <v>0</v>
      </c>
      <c r="K111" s="13"/>
    </row>
    <row r="112" spans="1:11" hidden="1" x14ac:dyDescent="0.35">
      <c r="A112" s="103"/>
      <c r="B112" s="12" t="s">
        <v>3</v>
      </c>
      <c r="C112" s="10" t="s">
        <v>288</v>
      </c>
      <c r="D112" s="152"/>
      <c r="E112" s="170"/>
      <c r="F112" s="95"/>
      <c r="G112" s="153" t="str">
        <f t="shared" si="8"/>
        <v/>
      </c>
      <c r="H112" s="10" t="s">
        <v>20</v>
      </c>
      <c r="I112" s="331">
        <v>32.799999999999997</v>
      </c>
      <c r="J112" s="12">
        <f t="shared" si="9"/>
        <v>0</v>
      </c>
      <c r="K112" s="13"/>
    </row>
    <row r="113" spans="1:11" s="6" customFormat="1" ht="15.5" hidden="1" x14ac:dyDescent="0.35">
      <c r="A113" s="103"/>
      <c r="B113" s="12" t="s">
        <v>3</v>
      </c>
      <c r="C113" s="10" t="s">
        <v>289</v>
      </c>
      <c r="D113" s="152"/>
      <c r="E113" s="170"/>
      <c r="F113" s="95"/>
      <c r="G113" s="153" t="str">
        <f t="shared" si="8"/>
        <v/>
      </c>
      <c r="H113" s="10" t="s">
        <v>20</v>
      </c>
      <c r="I113" s="331">
        <v>29.2</v>
      </c>
      <c r="J113" s="12">
        <f t="shared" si="9"/>
        <v>0</v>
      </c>
    </row>
    <row r="114" spans="1:11" hidden="1" x14ac:dyDescent="0.35">
      <c r="A114" s="103"/>
      <c r="B114" s="12" t="s">
        <v>3</v>
      </c>
      <c r="C114" s="10" t="s">
        <v>290</v>
      </c>
      <c r="D114" s="152"/>
      <c r="E114" s="170"/>
      <c r="F114" s="95"/>
      <c r="G114" s="153" t="str">
        <f t="shared" si="8"/>
        <v/>
      </c>
      <c r="H114" s="10" t="s">
        <v>20</v>
      </c>
      <c r="I114" s="331">
        <v>22.95</v>
      </c>
      <c r="J114" s="12">
        <f t="shared" si="9"/>
        <v>0</v>
      </c>
      <c r="K114" s="13"/>
    </row>
    <row r="115" spans="1:11" ht="15.5" hidden="1" x14ac:dyDescent="0.35">
      <c r="A115" s="111"/>
      <c r="B115" s="126" t="s">
        <v>291</v>
      </c>
      <c r="C115" s="127"/>
      <c r="D115" s="226"/>
      <c r="E115" s="172"/>
      <c r="F115" s="144"/>
      <c r="G115" s="153" t="str">
        <f t="shared" si="8"/>
        <v/>
      </c>
      <c r="H115" s="127"/>
      <c r="I115" s="239"/>
      <c r="J115" s="128"/>
      <c r="K115" s="13"/>
    </row>
    <row r="116" spans="1:11" ht="14.5" hidden="1" customHeight="1" x14ac:dyDescent="0.35">
      <c r="A116" s="103"/>
      <c r="B116" s="12" t="s">
        <v>3</v>
      </c>
      <c r="C116" s="10" t="s">
        <v>292</v>
      </c>
      <c r="D116" s="152"/>
      <c r="E116" s="170"/>
      <c r="F116" s="95"/>
      <c r="G116" s="153" t="str">
        <f t="shared" si="8"/>
        <v/>
      </c>
      <c r="H116" s="10" t="s">
        <v>20</v>
      </c>
      <c r="I116" s="331">
        <v>17.95</v>
      </c>
      <c r="J116" s="12">
        <f t="shared" ref="J116:J121" si="10">E116*I116</f>
        <v>0</v>
      </c>
      <c r="K116" s="13"/>
    </row>
    <row r="117" spans="1:11" ht="14.5" hidden="1" customHeight="1" x14ac:dyDescent="0.35">
      <c r="A117" s="103"/>
      <c r="B117" s="12" t="s">
        <v>3</v>
      </c>
      <c r="C117" s="10" t="s">
        <v>293</v>
      </c>
      <c r="D117" s="152"/>
      <c r="E117" s="170"/>
      <c r="F117" s="95"/>
      <c r="G117" s="153" t="str">
        <f t="shared" si="8"/>
        <v/>
      </c>
      <c r="H117" s="10" t="s">
        <v>20</v>
      </c>
      <c r="I117" s="331">
        <v>12.95</v>
      </c>
      <c r="J117" s="12">
        <f t="shared" si="10"/>
        <v>0</v>
      </c>
      <c r="K117" s="13"/>
    </row>
    <row r="118" spans="1:11" ht="14.5" hidden="1" customHeight="1" x14ac:dyDescent="0.35">
      <c r="A118" s="103"/>
      <c r="B118" s="12" t="s">
        <v>3</v>
      </c>
      <c r="C118" s="10" t="s">
        <v>294</v>
      </c>
      <c r="D118" s="152"/>
      <c r="E118" s="170"/>
      <c r="F118" s="95"/>
      <c r="G118" s="153" t="str">
        <f t="shared" si="8"/>
        <v/>
      </c>
      <c r="H118" s="10" t="s">
        <v>20</v>
      </c>
      <c r="I118" s="331">
        <v>21.95</v>
      </c>
      <c r="J118" s="12">
        <f t="shared" si="10"/>
        <v>0</v>
      </c>
      <c r="K118" s="13"/>
    </row>
    <row r="119" spans="1:11" ht="14.5" hidden="1" customHeight="1" x14ac:dyDescent="0.35">
      <c r="A119" s="103"/>
      <c r="B119" s="12" t="s">
        <v>3</v>
      </c>
      <c r="C119" s="10" t="s">
        <v>295</v>
      </c>
      <c r="D119" s="152"/>
      <c r="E119" s="170"/>
      <c r="F119" s="95"/>
      <c r="G119" s="153" t="str">
        <f t="shared" si="8"/>
        <v/>
      </c>
      <c r="H119" s="10" t="s">
        <v>20</v>
      </c>
      <c r="I119" s="331"/>
      <c r="J119" s="12">
        <f t="shared" si="10"/>
        <v>0</v>
      </c>
      <c r="K119" s="13"/>
    </row>
    <row r="120" spans="1:11" ht="15.65" hidden="1" customHeight="1" x14ac:dyDescent="0.35">
      <c r="A120" s="103"/>
      <c r="B120" s="12" t="s">
        <v>3</v>
      </c>
      <c r="C120" s="10" t="s">
        <v>296</v>
      </c>
      <c r="D120" s="152"/>
      <c r="E120" s="170"/>
      <c r="F120" s="95"/>
      <c r="G120" s="153" t="str">
        <f t="shared" si="8"/>
        <v/>
      </c>
      <c r="H120" s="10" t="s">
        <v>20</v>
      </c>
      <c r="I120" s="331"/>
      <c r="J120" s="12">
        <f t="shared" si="10"/>
        <v>0</v>
      </c>
      <c r="K120" s="13"/>
    </row>
    <row r="121" spans="1:11" ht="15.65" hidden="1" customHeight="1" x14ac:dyDescent="0.35">
      <c r="A121" s="103"/>
      <c r="B121" s="12" t="s">
        <v>3</v>
      </c>
      <c r="C121" s="10" t="s">
        <v>297</v>
      </c>
      <c r="D121" s="152"/>
      <c r="E121" s="170"/>
      <c r="F121" s="95"/>
      <c r="G121" s="153" t="str">
        <f t="shared" si="8"/>
        <v/>
      </c>
      <c r="H121" s="10" t="s">
        <v>20</v>
      </c>
      <c r="I121" s="331">
        <v>22.95</v>
      </c>
      <c r="J121" s="12">
        <f t="shared" si="10"/>
        <v>0</v>
      </c>
      <c r="K121" s="13"/>
    </row>
    <row r="122" spans="1:11" ht="14.5" hidden="1" customHeight="1" x14ac:dyDescent="0.35">
      <c r="A122" s="112" t="s">
        <v>298</v>
      </c>
      <c r="B122" s="116"/>
      <c r="C122" s="116"/>
      <c r="D122" s="228"/>
      <c r="E122" s="173"/>
      <c r="F122" s="146"/>
      <c r="G122" s="153" t="str">
        <f t="shared" si="8"/>
        <v/>
      </c>
      <c r="H122" s="117"/>
      <c r="I122" s="106" t="s">
        <v>18</v>
      </c>
      <c r="J122" s="115">
        <f>SUM(J123:J175)</f>
        <v>129.01</v>
      </c>
      <c r="K122" s="13"/>
    </row>
    <row r="123" spans="1:11" ht="14.5" hidden="1" customHeight="1" x14ac:dyDescent="0.35">
      <c r="A123" s="103"/>
      <c r="B123" s="20" t="s">
        <v>4</v>
      </c>
      <c r="C123" s="18" t="s">
        <v>62</v>
      </c>
      <c r="D123" s="229"/>
      <c r="E123" s="170"/>
      <c r="F123" s="147"/>
      <c r="G123" s="153" t="str">
        <f t="shared" si="8"/>
        <v/>
      </c>
      <c r="H123" s="18" t="s">
        <v>20</v>
      </c>
      <c r="I123" s="335">
        <v>7.35</v>
      </c>
      <c r="J123" s="20">
        <f>E123*I123</f>
        <v>0</v>
      </c>
      <c r="K123" s="13"/>
    </row>
    <row r="124" spans="1:11" ht="14.5" hidden="1" customHeight="1" x14ac:dyDescent="0.35">
      <c r="A124" s="103"/>
      <c r="B124" s="20" t="s">
        <v>4</v>
      </c>
      <c r="C124" s="18" t="s">
        <v>60</v>
      </c>
      <c r="D124" s="229"/>
      <c r="E124" s="170"/>
      <c r="F124" s="147"/>
      <c r="G124" s="153" t="str">
        <f t="shared" si="8"/>
        <v/>
      </c>
      <c r="H124" s="18" t="s">
        <v>20</v>
      </c>
      <c r="I124" s="335">
        <v>10.65</v>
      </c>
      <c r="J124" s="20">
        <f>E124*I124</f>
        <v>0</v>
      </c>
      <c r="K124" s="13"/>
    </row>
    <row r="125" spans="1:11" ht="15.65" hidden="1" customHeight="1" x14ac:dyDescent="0.35">
      <c r="A125" s="113" t="s">
        <v>40</v>
      </c>
      <c r="B125" s="124"/>
      <c r="C125" s="124"/>
      <c r="D125" s="230"/>
      <c r="E125" s="174"/>
      <c r="F125" s="148"/>
      <c r="G125" s="153" t="str">
        <f t="shared" si="8"/>
        <v/>
      </c>
      <c r="H125" s="124"/>
      <c r="I125" s="241"/>
      <c r="J125" s="125"/>
      <c r="K125" s="13"/>
    </row>
    <row r="126" spans="1:11" ht="15.65" hidden="1" customHeight="1" x14ac:dyDescent="0.35">
      <c r="A126" s="103"/>
      <c r="B126" s="20" t="s">
        <v>4</v>
      </c>
      <c r="C126" s="18" t="s">
        <v>299</v>
      </c>
      <c r="D126" s="229"/>
      <c r="E126" s="170"/>
      <c r="F126" s="147"/>
      <c r="G126" s="153" t="str">
        <f t="shared" si="8"/>
        <v/>
      </c>
      <c r="H126" s="18" t="s">
        <v>20</v>
      </c>
      <c r="I126" s="335">
        <v>1.31</v>
      </c>
      <c r="J126" s="12">
        <f t="shared" ref="J126:J137" si="11">E126*I126</f>
        <v>0</v>
      </c>
      <c r="K126" s="13"/>
    </row>
    <row r="127" spans="1:11" ht="14.5" hidden="1" customHeight="1" x14ac:dyDescent="0.35">
      <c r="A127" s="103"/>
      <c r="B127" s="12" t="s">
        <v>4</v>
      </c>
      <c r="C127" s="10" t="s">
        <v>300</v>
      </c>
      <c r="D127" s="152"/>
      <c r="E127" s="170"/>
      <c r="F127" s="95"/>
      <c r="G127" s="153" t="str">
        <f t="shared" si="8"/>
        <v/>
      </c>
      <c r="H127" s="10" t="s">
        <v>20</v>
      </c>
      <c r="I127" s="331">
        <v>1.31</v>
      </c>
      <c r="J127" s="12">
        <f t="shared" si="11"/>
        <v>0</v>
      </c>
    </row>
    <row r="128" spans="1:11" ht="14.5" hidden="1" customHeight="1" x14ac:dyDescent="0.35">
      <c r="A128" s="103"/>
      <c r="B128" s="20" t="s">
        <v>4</v>
      </c>
      <c r="C128" s="18" t="s">
        <v>301</v>
      </c>
      <c r="D128" s="229"/>
      <c r="E128" s="170"/>
      <c r="F128" s="147"/>
      <c r="G128" s="153" t="str">
        <f t="shared" si="8"/>
        <v/>
      </c>
      <c r="H128" s="18" t="s">
        <v>20</v>
      </c>
      <c r="I128" s="335">
        <v>1.4039999999999999</v>
      </c>
      <c r="J128" s="12">
        <f t="shared" si="11"/>
        <v>0</v>
      </c>
    </row>
    <row r="129" spans="1:11" ht="14.5" hidden="1" customHeight="1" x14ac:dyDescent="0.35">
      <c r="A129" s="103"/>
      <c r="B129" s="12" t="s">
        <v>4</v>
      </c>
      <c r="C129" s="10" t="s">
        <v>302</v>
      </c>
      <c r="D129" s="152"/>
      <c r="E129" s="170"/>
      <c r="F129" s="95"/>
      <c r="G129" s="153" t="str">
        <f t="shared" si="8"/>
        <v/>
      </c>
      <c r="H129" s="10" t="s">
        <v>20</v>
      </c>
      <c r="I129" s="331">
        <v>1.4039999999999999</v>
      </c>
      <c r="J129" s="12">
        <f t="shared" si="11"/>
        <v>0</v>
      </c>
    </row>
    <row r="130" spans="1:11" ht="14.5" hidden="1" customHeight="1" x14ac:dyDescent="0.35">
      <c r="A130" s="103"/>
      <c r="B130" s="12" t="s">
        <v>4</v>
      </c>
      <c r="C130" s="10" t="s">
        <v>303</v>
      </c>
      <c r="D130" s="152"/>
      <c r="E130" s="170"/>
      <c r="F130" s="95"/>
      <c r="G130" s="153" t="str">
        <f t="shared" si="8"/>
        <v/>
      </c>
      <c r="H130" s="10" t="s">
        <v>20</v>
      </c>
      <c r="I130" s="331">
        <v>1.53</v>
      </c>
      <c r="J130" s="12">
        <f t="shared" si="11"/>
        <v>0</v>
      </c>
    </row>
    <row r="131" spans="1:11" ht="14.5" hidden="1" customHeight="1" x14ac:dyDescent="0.35">
      <c r="A131" s="103"/>
      <c r="B131" s="12" t="s">
        <v>4</v>
      </c>
      <c r="C131" s="10" t="s">
        <v>304</v>
      </c>
      <c r="D131" s="152"/>
      <c r="E131" s="170"/>
      <c r="F131" s="95"/>
      <c r="G131" s="153" t="str">
        <f t="shared" si="8"/>
        <v/>
      </c>
      <c r="H131" s="10" t="s">
        <v>20</v>
      </c>
      <c r="I131" s="331">
        <v>1.65</v>
      </c>
      <c r="J131" s="12">
        <f t="shared" si="11"/>
        <v>0</v>
      </c>
    </row>
    <row r="132" spans="1:11" ht="14.5" hidden="1" customHeight="1" x14ac:dyDescent="0.35">
      <c r="A132" s="103"/>
      <c r="B132" s="12" t="s">
        <v>4</v>
      </c>
      <c r="C132" s="10" t="s">
        <v>83</v>
      </c>
      <c r="D132" s="152"/>
      <c r="E132" s="170"/>
      <c r="F132" s="95"/>
      <c r="G132" s="153" t="str">
        <f t="shared" si="8"/>
        <v/>
      </c>
      <c r="H132" s="10" t="s">
        <v>20</v>
      </c>
      <c r="I132" s="331">
        <v>1.04</v>
      </c>
      <c r="J132" s="12">
        <f t="shared" si="11"/>
        <v>0</v>
      </c>
    </row>
    <row r="133" spans="1:11" ht="14.5" hidden="1" customHeight="1" x14ac:dyDescent="0.35">
      <c r="A133" s="103"/>
      <c r="B133" s="12" t="s">
        <v>4</v>
      </c>
      <c r="C133" s="10" t="s">
        <v>305</v>
      </c>
      <c r="D133" s="152"/>
      <c r="E133" s="170"/>
      <c r="F133" s="95"/>
      <c r="G133" s="153" t="str">
        <f t="shared" si="8"/>
        <v/>
      </c>
      <c r="H133" s="10" t="s">
        <v>20</v>
      </c>
      <c r="I133" s="331">
        <v>1.04</v>
      </c>
      <c r="J133" s="12">
        <f t="shared" si="11"/>
        <v>0</v>
      </c>
    </row>
    <row r="134" spans="1:11" ht="14.5" hidden="1" customHeight="1" x14ac:dyDescent="0.35">
      <c r="A134" s="103"/>
      <c r="B134" s="12" t="s">
        <v>4</v>
      </c>
      <c r="C134" s="10" t="s">
        <v>306</v>
      </c>
      <c r="D134" s="152"/>
      <c r="E134" s="170"/>
      <c r="F134" s="95"/>
      <c r="G134" s="153" t="str">
        <f t="shared" si="8"/>
        <v/>
      </c>
      <c r="H134" s="10" t="s">
        <v>20</v>
      </c>
      <c r="I134" s="331">
        <v>1.06</v>
      </c>
      <c r="J134" s="12">
        <f t="shared" si="11"/>
        <v>0</v>
      </c>
    </row>
    <row r="135" spans="1:11" ht="14.5" hidden="1" customHeight="1" x14ac:dyDescent="0.35">
      <c r="A135" s="103"/>
      <c r="B135" s="12" t="s">
        <v>4</v>
      </c>
      <c r="C135" s="10" t="s">
        <v>307</v>
      </c>
      <c r="D135" s="152"/>
      <c r="E135" s="170"/>
      <c r="F135" s="95"/>
      <c r="G135" s="153" t="str">
        <f t="shared" si="8"/>
        <v/>
      </c>
      <c r="H135" s="10" t="s">
        <v>20</v>
      </c>
      <c r="I135" s="331">
        <v>1.06</v>
      </c>
      <c r="J135" s="12">
        <f t="shared" si="11"/>
        <v>0</v>
      </c>
    </row>
    <row r="136" spans="1:11" ht="14.5" hidden="1" customHeight="1" x14ac:dyDescent="0.35">
      <c r="A136" s="103"/>
      <c r="B136" s="12" t="s">
        <v>4</v>
      </c>
      <c r="C136" s="10" t="s">
        <v>308</v>
      </c>
      <c r="D136" s="152"/>
      <c r="E136" s="170"/>
      <c r="F136" s="95"/>
      <c r="G136" s="153" t="str">
        <f t="shared" si="8"/>
        <v/>
      </c>
      <c r="H136" s="10" t="s">
        <v>20</v>
      </c>
      <c r="I136" s="331">
        <v>1.2869999999999999</v>
      </c>
      <c r="J136" s="12">
        <f t="shared" si="11"/>
        <v>0</v>
      </c>
    </row>
    <row r="137" spans="1:11" ht="15.65" hidden="1" customHeight="1" x14ac:dyDescent="0.35">
      <c r="A137" s="103"/>
      <c r="B137" s="12" t="s">
        <v>4</v>
      </c>
      <c r="C137" s="10" t="s">
        <v>309</v>
      </c>
      <c r="D137" s="152"/>
      <c r="E137" s="170"/>
      <c r="F137" s="95"/>
      <c r="G137" s="153" t="str">
        <f t="shared" si="8"/>
        <v/>
      </c>
      <c r="H137" s="10" t="s">
        <v>20</v>
      </c>
      <c r="I137" s="331">
        <v>1.59</v>
      </c>
      <c r="J137" s="12">
        <f t="shared" si="11"/>
        <v>0</v>
      </c>
      <c r="K137" s="13"/>
    </row>
    <row r="138" spans="1:11" ht="15.65" hidden="1" customHeight="1" x14ac:dyDescent="0.35">
      <c r="A138" s="113" t="s">
        <v>310</v>
      </c>
      <c r="B138" s="124"/>
      <c r="C138" s="124"/>
      <c r="D138" s="230"/>
      <c r="E138" s="174"/>
      <c r="F138" s="148"/>
      <c r="G138" s="153" t="str">
        <f t="shared" si="8"/>
        <v/>
      </c>
      <c r="H138" s="124"/>
      <c r="I138" s="241"/>
      <c r="J138" s="125"/>
    </row>
    <row r="139" spans="1:11" ht="14.5" hidden="1" customHeight="1" x14ac:dyDescent="0.35">
      <c r="A139" s="103"/>
      <c r="B139" s="12" t="s">
        <v>4</v>
      </c>
      <c r="C139" s="10" t="s">
        <v>311</v>
      </c>
      <c r="D139" s="152"/>
      <c r="E139" s="170"/>
      <c r="F139" s="95"/>
      <c r="G139" s="153" t="str">
        <f t="shared" si="8"/>
        <v/>
      </c>
      <c r="H139" s="10" t="s">
        <v>20</v>
      </c>
      <c r="I139" s="331">
        <v>1.1000000000000001</v>
      </c>
      <c r="J139" s="12">
        <f t="shared" ref="J139:J149" si="12">E139*I139</f>
        <v>0</v>
      </c>
    </row>
    <row r="140" spans="1:11" ht="14.5" hidden="1" customHeight="1" x14ac:dyDescent="0.35">
      <c r="A140" s="103"/>
      <c r="B140" s="12" t="s">
        <v>4</v>
      </c>
      <c r="C140" s="10" t="s">
        <v>312</v>
      </c>
      <c r="D140" s="152"/>
      <c r="E140" s="170"/>
      <c r="F140" s="95"/>
      <c r="G140" s="153" t="str">
        <f t="shared" si="8"/>
        <v/>
      </c>
      <c r="H140" s="10" t="s">
        <v>20</v>
      </c>
      <c r="I140" s="331">
        <v>1.1000000000000001</v>
      </c>
      <c r="J140" s="12">
        <f t="shared" si="12"/>
        <v>0</v>
      </c>
    </row>
    <row r="141" spans="1:11" ht="14.5" hidden="1" customHeight="1" x14ac:dyDescent="0.35">
      <c r="A141" s="103"/>
      <c r="B141" s="12" t="s">
        <v>4</v>
      </c>
      <c r="C141" s="10" t="s">
        <v>313</v>
      </c>
      <c r="D141" s="152"/>
      <c r="E141" s="170"/>
      <c r="F141" s="95"/>
      <c r="G141" s="153" t="str">
        <f t="shared" si="8"/>
        <v/>
      </c>
      <c r="H141" s="10" t="s">
        <v>20</v>
      </c>
      <c r="I141" s="331">
        <v>1.3</v>
      </c>
      <c r="J141" s="12">
        <f t="shared" si="12"/>
        <v>0</v>
      </c>
    </row>
    <row r="142" spans="1:11" ht="14.5" hidden="1" customHeight="1" x14ac:dyDescent="0.35">
      <c r="A142" s="103"/>
      <c r="B142" s="12" t="s">
        <v>4</v>
      </c>
      <c r="C142" s="10" t="s">
        <v>314</v>
      </c>
      <c r="D142" s="152"/>
      <c r="E142" s="170"/>
      <c r="F142" s="95"/>
      <c r="G142" s="153" t="str">
        <f t="shared" si="8"/>
        <v/>
      </c>
      <c r="H142" s="10" t="s">
        <v>20</v>
      </c>
      <c r="I142" s="331">
        <v>1.36</v>
      </c>
      <c r="J142" s="12">
        <f t="shared" si="12"/>
        <v>0</v>
      </c>
    </row>
    <row r="143" spans="1:11" ht="14.5" hidden="1" customHeight="1" x14ac:dyDescent="0.35">
      <c r="A143" s="103"/>
      <c r="B143" s="12" t="s">
        <v>4</v>
      </c>
      <c r="C143" s="10" t="s">
        <v>315</v>
      </c>
      <c r="D143" s="152"/>
      <c r="E143" s="170"/>
      <c r="F143" s="95"/>
      <c r="G143" s="153" t="str">
        <f t="shared" si="8"/>
        <v/>
      </c>
      <c r="H143" s="10" t="s">
        <v>20</v>
      </c>
      <c r="I143" s="331">
        <v>1.3</v>
      </c>
      <c r="J143" s="12">
        <f t="shared" si="12"/>
        <v>0</v>
      </c>
    </row>
    <row r="144" spans="1:11" ht="15.65" hidden="1" customHeight="1" x14ac:dyDescent="0.35">
      <c r="A144" s="103"/>
      <c r="B144" s="12" t="s">
        <v>4</v>
      </c>
      <c r="C144" s="10" t="s">
        <v>316</v>
      </c>
      <c r="D144" s="152"/>
      <c r="E144" s="170"/>
      <c r="F144" s="95"/>
      <c r="G144" s="153" t="str">
        <f t="shared" si="8"/>
        <v/>
      </c>
      <c r="H144" s="10" t="s">
        <v>20</v>
      </c>
      <c r="I144" s="331">
        <v>1.35</v>
      </c>
      <c r="J144" s="12">
        <f t="shared" si="12"/>
        <v>0</v>
      </c>
      <c r="K144" s="13"/>
    </row>
    <row r="145" spans="1:11" ht="15.65" hidden="1" customHeight="1" x14ac:dyDescent="0.35">
      <c r="A145" s="103"/>
      <c r="B145" s="12" t="s">
        <v>4</v>
      </c>
      <c r="C145" s="10" t="s">
        <v>317</v>
      </c>
      <c r="D145" s="152"/>
      <c r="E145" s="170"/>
      <c r="F145" s="95"/>
      <c r="G145" s="153" t="str">
        <f t="shared" si="8"/>
        <v/>
      </c>
      <c r="H145" s="10" t="s">
        <v>20</v>
      </c>
      <c r="I145" s="331">
        <v>1.28</v>
      </c>
      <c r="J145" s="12">
        <f t="shared" si="12"/>
        <v>0</v>
      </c>
    </row>
    <row r="146" spans="1:11" ht="14.5" hidden="1" customHeight="1" x14ac:dyDescent="0.35">
      <c r="A146" s="103"/>
      <c r="B146" s="12" t="s">
        <v>4</v>
      </c>
      <c r="C146" s="10" t="s">
        <v>318</v>
      </c>
      <c r="D146" s="152"/>
      <c r="E146" s="170"/>
      <c r="F146" s="95"/>
      <c r="G146" s="153" t="str">
        <f t="shared" si="8"/>
        <v/>
      </c>
      <c r="H146" s="10" t="s">
        <v>20</v>
      </c>
      <c r="I146" s="331">
        <v>1.1000000000000001</v>
      </c>
      <c r="J146" s="12">
        <f t="shared" si="12"/>
        <v>0</v>
      </c>
    </row>
    <row r="147" spans="1:11" ht="14.5" hidden="1" customHeight="1" x14ac:dyDescent="0.35">
      <c r="A147" s="103"/>
      <c r="B147" s="12" t="s">
        <v>4</v>
      </c>
      <c r="C147" s="10" t="s">
        <v>319</v>
      </c>
      <c r="D147" s="152"/>
      <c r="E147" s="170"/>
      <c r="F147" s="95"/>
      <c r="G147" s="153" t="str">
        <f t="shared" si="8"/>
        <v/>
      </c>
      <c r="H147" s="10" t="s">
        <v>20</v>
      </c>
      <c r="I147" s="331">
        <v>1.1000000000000001</v>
      </c>
      <c r="J147" s="12">
        <f t="shared" si="12"/>
        <v>0</v>
      </c>
    </row>
    <row r="148" spans="1:11" ht="14.5" hidden="1" customHeight="1" x14ac:dyDescent="0.35">
      <c r="A148" s="103"/>
      <c r="B148" s="12" t="s">
        <v>4</v>
      </c>
      <c r="C148" s="10" t="s">
        <v>320</v>
      </c>
      <c r="D148" s="152"/>
      <c r="E148" s="170"/>
      <c r="F148" s="95"/>
      <c r="G148" s="153" t="str">
        <f t="shared" si="8"/>
        <v/>
      </c>
      <c r="H148" s="10" t="s">
        <v>20</v>
      </c>
      <c r="I148" s="331">
        <v>1.1000000000000001</v>
      </c>
      <c r="J148" s="12">
        <f t="shared" si="12"/>
        <v>0</v>
      </c>
    </row>
    <row r="149" spans="1:11" ht="14.5" hidden="1" customHeight="1" x14ac:dyDescent="0.35">
      <c r="A149" s="103"/>
      <c r="B149" s="12" t="s">
        <v>4</v>
      </c>
      <c r="C149" s="10" t="s">
        <v>321</v>
      </c>
      <c r="D149" s="152"/>
      <c r="E149" s="170"/>
      <c r="F149" s="95"/>
      <c r="G149" s="153" t="str">
        <f t="shared" si="8"/>
        <v/>
      </c>
      <c r="H149" s="10" t="s">
        <v>20</v>
      </c>
      <c r="I149" s="331">
        <v>1.1000000000000001</v>
      </c>
      <c r="J149" s="12">
        <f t="shared" si="12"/>
        <v>0</v>
      </c>
    </row>
    <row r="150" spans="1:11" ht="14.5" customHeight="1" x14ac:dyDescent="0.35">
      <c r="A150" s="113" t="s">
        <v>41</v>
      </c>
      <c r="B150" s="124"/>
      <c r="C150" s="124"/>
      <c r="D150" s="230"/>
      <c r="E150" s="174"/>
      <c r="F150" s="148"/>
      <c r="G150" s="165" t="str">
        <f t="shared" si="8"/>
        <v/>
      </c>
      <c r="H150" s="124"/>
      <c r="I150" s="241"/>
      <c r="J150" s="125"/>
    </row>
    <row r="151" spans="1:11" ht="14.5" customHeight="1" x14ac:dyDescent="0.35">
      <c r="A151" s="103"/>
      <c r="B151" s="12" t="s">
        <v>4</v>
      </c>
      <c r="C151" s="10" t="s">
        <v>24</v>
      </c>
      <c r="D151" s="152">
        <v>20</v>
      </c>
      <c r="E151" s="170">
        <v>8</v>
      </c>
      <c r="F151" s="95"/>
      <c r="G151" s="153">
        <f t="shared" si="8"/>
        <v>12</v>
      </c>
      <c r="H151" s="10" t="s">
        <v>20</v>
      </c>
      <c r="I151" s="331">
        <v>3.04</v>
      </c>
      <c r="J151" s="12">
        <f t="shared" ref="J151:J164" si="13">E151*I151</f>
        <v>24.32</v>
      </c>
      <c r="K151" s="13"/>
    </row>
    <row r="152" spans="1:11" ht="15.65" customHeight="1" x14ac:dyDescent="0.35">
      <c r="A152" s="103"/>
      <c r="B152" s="12" t="s">
        <v>4</v>
      </c>
      <c r="C152" s="10" t="s">
        <v>80</v>
      </c>
      <c r="D152" s="152">
        <v>40</v>
      </c>
      <c r="E152" s="170">
        <v>12</v>
      </c>
      <c r="F152" s="95"/>
      <c r="G152" s="153">
        <f t="shared" si="8"/>
        <v>28</v>
      </c>
      <c r="H152" s="10" t="s">
        <v>20</v>
      </c>
      <c r="I152" s="331">
        <v>2.31</v>
      </c>
      <c r="J152" s="12">
        <f t="shared" si="13"/>
        <v>27.72</v>
      </c>
    </row>
    <row r="153" spans="1:11" ht="15.65" customHeight="1" x14ac:dyDescent="0.35">
      <c r="A153" s="103"/>
      <c r="B153" s="12" t="s">
        <v>4</v>
      </c>
      <c r="C153" s="10" t="s">
        <v>84</v>
      </c>
      <c r="D153" s="152">
        <v>20</v>
      </c>
      <c r="E153" s="170">
        <v>8</v>
      </c>
      <c r="F153" s="95"/>
      <c r="G153" s="153">
        <f t="shared" ref="G153:G223" si="14">IF(E153="","",IF(D153-E153&gt;0,D153-E153,""))</f>
        <v>12</v>
      </c>
      <c r="H153" s="10" t="s">
        <v>20</v>
      </c>
      <c r="I153" s="331">
        <v>2.31</v>
      </c>
      <c r="J153" s="12">
        <f t="shared" si="13"/>
        <v>18.48</v>
      </c>
    </row>
    <row r="154" spans="1:11" ht="14.5" hidden="1" customHeight="1" x14ac:dyDescent="0.35">
      <c r="A154" s="103"/>
      <c r="B154" s="12" t="s">
        <v>4</v>
      </c>
      <c r="C154" s="10" t="s">
        <v>394</v>
      </c>
      <c r="D154" s="152"/>
      <c r="E154" s="170"/>
      <c r="F154" s="95"/>
      <c r="G154" s="153" t="str">
        <f t="shared" si="14"/>
        <v/>
      </c>
      <c r="H154" s="10" t="s">
        <v>20</v>
      </c>
      <c r="I154" s="331">
        <v>2.54</v>
      </c>
      <c r="J154" s="12">
        <f t="shared" si="13"/>
        <v>0</v>
      </c>
    </row>
    <row r="155" spans="1:11" ht="14.5" hidden="1" customHeight="1" x14ac:dyDescent="0.35">
      <c r="A155" s="103"/>
      <c r="B155" s="12" t="s">
        <v>4</v>
      </c>
      <c r="C155" s="10" t="s">
        <v>394</v>
      </c>
      <c r="D155" s="152"/>
      <c r="E155" s="170"/>
      <c r="F155" s="95"/>
      <c r="G155" s="153" t="str">
        <f t="shared" si="14"/>
        <v/>
      </c>
      <c r="H155" s="10" t="s">
        <v>20</v>
      </c>
      <c r="I155" s="331">
        <v>2.54</v>
      </c>
      <c r="J155" s="12">
        <f t="shared" si="13"/>
        <v>0</v>
      </c>
    </row>
    <row r="156" spans="1:11" ht="14.5" customHeight="1" x14ac:dyDescent="0.35">
      <c r="A156" s="103"/>
      <c r="B156" s="12" t="s">
        <v>4</v>
      </c>
      <c r="C156" s="10" t="s">
        <v>25</v>
      </c>
      <c r="D156" s="152">
        <v>20</v>
      </c>
      <c r="E156" s="170">
        <v>1</v>
      </c>
      <c r="F156" s="95"/>
      <c r="G156" s="153">
        <f t="shared" si="14"/>
        <v>19</v>
      </c>
      <c r="H156" s="10" t="s">
        <v>20</v>
      </c>
      <c r="I156" s="331">
        <v>1.79</v>
      </c>
      <c r="J156" s="12">
        <f t="shared" si="13"/>
        <v>1.79</v>
      </c>
      <c r="K156" s="13"/>
    </row>
    <row r="157" spans="1:11" ht="15.65" hidden="1" customHeight="1" x14ac:dyDescent="0.35">
      <c r="A157" s="103"/>
      <c r="B157" s="12" t="s">
        <v>4</v>
      </c>
      <c r="C157" s="10" t="s">
        <v>322</v>
      </c>
      <c r="D157" s="152"/>
      <c r="E157" s="170"/>
      <c r="F157" s="95"/>
      <c r="G157" s="153" t="str">
        <f t="shared" si="14"/>
        <v/>
      </c>
      <c r="H157" s="10" t="s">
        <v>20</v>
      </c>
      <c r="I157" s="331">
        <v>2.46</v>
      </c>
      <c r="J157" s="12">
        <f t="shared" si="13"/>
        <v>0</v>
      </c>
    </row>
    <row r="158" spans="1:11" ht="15.65" customHeight="1" x14ac:dyDescent="0.35">
      <c r="A158" s="103"/>
      <c r="B158" s="12" t="s">
        <v>4</v>
      </c>
      <c r="C158" s="10" t="s">
        <v>393</v>
      </c>
      <c r="D158" s="152">
        <v>40</v>
      </c>
      <c r="E158" s="170">
        <v>12</v>
      </c>
      <c r="F158" s="95"/>
      <c r="G158" s="153">
        <f t="shared" si="14"/>
        <v>28</v>
      </c>
      <c r="H158" s="10" t="s">
        <v>20</v>
      </c>
      <c r="I158" s="331">
        <v>2.46</v>
      </c>
      <c r="J158" s="12">
        <f t="shared" si="13"/>
        <v>29.52</v>
      </c>
    </row>
    <row r="159" spans="1:11" ht="14.5" hidden="1" customHeight="1" x14ac:dyDescent="0.35">
      <c r="A159" s="103"/>
      <c r="B159" s="12" t="s">
        <v>4</v>
      </c>
      <c r="C159" s="10" t="s">
        <v>43</v>
      </c>
      <c r="D159" s="152"/>
      <c r="E159" s="170"/>
      <c r="F159" s="95"/>
      <c r="G159" s="153" t="str">
        <f t="shared" si="14"/>
        <v/>
      </c>
      <c r="H159" s="10" t="s">
        <v>20</v>
      </c>
      <c r="I159" s="331">
        <v>2.5499999999999998</v>
      </c>
      <c r="J159" s="12">
        <f t="shared" si="13"/>
        <v>0</v>
      </c>
    </row>
    <row r="160" spans="1:11" ht="14.5" customHeight="1" x14ac:dyDescent="0.35">
      <c r="A160" s="103"/>
      <c r="B160" s="12" t="s">
        <v>4</v>
      </c>
      <c r="C160" s="10" t="s">
        <v>81</v>
      </c>
      <c r="D160" s="152">
        <v>40</v>
      </c>
      <c r="E160" s="170">
        <v>6</v>
      </c>
      <c r="F160" s="95"/>
      <c r="G160" s="153">
        <f t="shared" si="14"/>
        <v>34</v>
      </c>
      <c r="H160" s="10" t="s">
        <v>20</v>
      </c>
      <c r="I160" s="331">
        <v>1.51</v>
      </c>
      <c r="J160" s="12">
        <f t="shared" si="13"/>
        <v>9.06</v>
      </c>
      <c r="K160" s="13"/>
    </row>
    <row r="161" spans="1:11" ht="15.65" customHeight="1" x14ac:dyDescent="0.35">
      <c r="A161" s="103"/>
      <c r="B161" s="12" t="s">
        <v>4</v>
      </c>
      <c r="C161" s="10" t="s">
        <v>82</v>
      </c>
      <c r="D161" s="152">
        <v>40</v>
      </c>
      <c r="E161" s="170">
        <v>12</v>
      </c>
      <c r="F161" s="95"/>
      <c r="G161" s="153">
        <f t="shared" si="14"/>
        <v>28</v>
      </c>
      <c r="H161" s="10" t="s">
        <v>20</v>
      </c>
      <c r="I161" s="331">
        <v>1.51</v>
      </c>
      <c r="J161" s="12">
        <f t="shared" si="13"/>
        <v>18.12</v>
      </c>
    </row>
    <row r="162" spans="1:11" ht="15.65" hidden="1" customHeight="1" x14ac:dyDescent="0.35">
      <c r="A162" s="103"/>
      <c r="B162" s="12" t="s">
        <v>4</v>
      </c>
      <c r="C162" s="10" t="s">
        <v>323</v>
      </c>
      <c r="D162" s="152"/>
      <c r="E162" s="170"/>
      <c r="F162" s="95"/>
      <c r="G162" s="153" t="str">
        <f t="shared" si="14"/>
        <v/>
      </c>
      <c r="H162" s="10" t="s">
        <v>20</v>
      </c>
      <c r="I162" s="331">
        <v>1.54</v>
      </c>
      <c r="J162" s="12">
        <f t="shared" si="13"/>
        <v>0</v>
      </c>
    </row>
    <row r="163" spans="1:11" ht="14.5" hidden="1" customHeight="1" x14ac:dyDescent="0.35">
      <c r="A163" s="103"/>
      <c r="B163" s="12" t="s">
        <v>4</v>
      </c>
      <c r="C163" s="10" t="s">
        <v>324</v>
      </c>
      <c r="D163" s="152"/>
      <c r="E163" s="170"/>
      <c r="F163" s="95"/>
      <c r="G163" s="153" t="str">
        <f t="shared" si="14"/>
        <v/>
      </c>
      <c r="H163" s="10" t="s">
        <v>20</v>
      </c>
      <c r="I163" s="331">
        <v>1.6</v>
      </c>
      <c r="J163" s="12">
        <f t="shared" si="13"/>
        <v>0</v>
      </c>
    </row>
    <row r="164" spans="1:11" ht="14.5" hidden="1" customHeight="1" x14ac:dyDescent="0.35">
      <c r="A164" s="103"/>
      <c r="B164" s="12" t="s">
        <v>4</v>
      </c>
      <c r="C164" s="78" t="s">
        <v>325</v>
      </c>
      <c r="D164" s="224"/>
      <c r="E164" s="170"/>
      <c r="F164" s="142"/>
      <c r="G164" s="153" t="str">
        <f t="shared" si="14"/>
        <v/>
      </c>
      <c r="H164" s="10" t="s">
        <v>20</v>
      </c>
      <c r="I164" s="333">
        <v>49.95</v>
      </c>
      <c r="J164" s="12">
        <f t="shared" si="13"/>
        <v>0</v>
      </c>
    </row>
    <row r="165" spans="1:11" ht="14.5" customHeight="1" x14ac:dyDescent="0.35">
      <c r="A165" s="113" t="s">
        <v>44</v>
      </c>
      <c r="B165" s="124"/>
      <c r="C165" s="124"/>
      <c r="D165" s="230"/>
      <c r="E165" s="174"/>
      <c r="F165" s="148"/>
      <c r="G165" s="165" t="str">
        <f t="shared" si="14"/>
        <v/>
      </c>
      <c r="H165" s="124"/>
      <c r="I165" s="241"/>
      <c r="J165" s="125"/>
    </row>
    <row r="166" spans="1:11" ht="14.5" customHeight="1" x14ac:dyDescent="0.35">
      <c r="A166" s="103"/>
      <c r="B166" s="12" t="s">
        <v>4</v>
      </c>
      <c r="C166" s="10" t="s">
        <v>48</v>
      </c>
      <c r="D166" s="152"/>
      <c r="E166" s="170"/>
      <c r="F166" s="95"/>
      <c r="G166" s="153" t="str">
        <f t="shared" si="14"/>
        <v/>
      </c>
      <c r="H166" s="10" t="s">
        <v>20</v>
      </c>
      <c r="I166" s="331">
        <v>1.94</v>
      </c>
      <c r="J166" s="12">
        <f t="shared" ref="J166:J175" si="15">E166*I166</f>
        <v>0</v>
      </c>
    </row>
    <row r="167" spans="1:11" ht="14.5" customHeight="1" x14ac:dyDescent="0.35">
      <c r="A167" s="103"/>
      <c r="B167" s="12" t="s">
        <v>4</v>
      </c>
      <c r="C167" s="10" t="s">
        <v>49</v>
      </c>
      <c r="D167" s="152"/>
      <c r="E167" s="170"/>
      <c r="F167" s="95"/>
      <c r="G167" s="153" t="str">
        <f t="shared" si="14"/>
        <v/>
      </c>
      <c r="H167" s="10" t="s">
        <v>20</v>
      </c>
      <c r="I167" s="331">
        <v>1.94</v>
      </c>
      <c r="J167" s="12">
        <f t="shared" si="15"/>
        <v>0</v>
      </c>
    </row>
    <row r="168" spans="1:11" ht="14.5" customHeight="1" x14ac:dyDescent="0.35">
      <c r="A168" s="103"/>
      <c r="B168" s="12" t="s">
        <v>4</v>
      </c>
      <c r="C168" s="10" t="s">
        <v>50</v>
      </c>
      <c r="D168" s="152"/>
      <c r="E168" s="170"/>
      <c r="F168" s="95"/>
      <c r="G168" s="153" t="str">
        <f t="shared" si="14"/>
        <v/>
      </c>
      <c r="H168" s="10" t="s">
        <v>20</v>
      </c>
      <c r="I168" s="331">
        <v>1.94</v>
      </c>
      <c r="J168" s="12">
        <f t="shared" si="15"/>
        <v>0</v>
      </c>
    </row>
    <row r="169" spans="1:11" ht="14.5" hidden="1" customHeight="1" x14ac:dyDescent="0.35">
      <c r="A169" s="103"/>
      <c r="B169" s="12" t="s">
        <v>4</v>
      </c>
      <c r="C169" s="10" t="s">
        <v>415</v>
      </c>
      <c r="D169" s="152"/>
      <c r="E169" s="170"/>
      <c r="F169" s="95"/>
      <c r="G169" s="153" t="str">
        <f t="shared" si="14"/>
        <v/>
      </c>
      <c r="H169" s="10" t="s">
        <v>20</v>
      </c>
      <c r="I169" s="331">
        <v>1.98</v>
      </c>
      <c r="J169" s="12">
        <f t="shared" si="15"/>
        <v>0</v>
      </c>
    </row>
    <row r="170" spans="1:11" ht="14.5" hidden="1" customHeight="1" x14ac:dyDescent="0.35">
      <c r="A170" s="103"/>
      <c r="B170" s="12" t="s">
        <v>4</v>
      </c>
      <c r="C170" s="10" t="s">
        <v>414</v>
      </c>
      <c r="D170" s="152"/>
      <c r="E170" s="170"/>
      <c r="F170" s="95"/>
      <c r="G170" s="153" t="str">
        <f t="shared" si="14"/>
        <v/>
      </c>
      <c r="H170" s="10" t="s">
        <v>20</v>
      </c>
      <c r="I170" s="331">
        <v>1.98</v>
      </c>
      <c r="J170" s="12">
        <f t="shared" si="15"/>
        <v>0</v>
      </c>
    </row>
    <row r="171" spans="1:11" ht="14.5" hidden="1" customHeight="1" x14ac:dyDescent="0.35">
      <c r="A171" s="103"/>
      <c r="B171" s="12" t="s">
        <v>4</v>
      </c>
      <c r="C171" s="10" t="s">
        <v>328</v>
      </c>
      <c r="D171" s="152"/>
      <c r="E171" s="170"/>
      <c r="F171" s="95"/>
      <c r="G171" s="153" t="str">
        <f t="shared" si="14"/>
        <v/>
      </c>
      <c r="H171" s="10" t="s">
        <v>20</v>
      </c>
      <c r="I171" s="331">
        <v>1.98</v>
      </c>
      <c r="J171" s="12">
        <f t="shared" si="15"/>
        <v>0</v>
      </c>
    </row>
    <row r="172" spans="1:11" ht="14.5" hidden="1" customHeight="1" x14ac:dyDescent="0.35">
      <c r="A172" s="103"/>
      <c r="B172" s="12" t="s">
        <v>4</v>
      </c>
      <c r="C172" s="10" t="s">
        <v>329</v>
      </c>
      <c r="D172" s="152"/>
      <c r="E172" s="170"/>
      <c r="F172" s="95"/>
      <c r="G172" s="153" t="str">
        <f t="shared" si="14"/>
        <v/>
      </c>
      <c r="H172" s="10" t="s">
        <v>20</v>
      </c>
      <c r="I172" s="331">
        <v>1.98</v>
      </c>
      <c r="J172" s="12">
        <f t="shared" si="15"/>
        <v>0</v>
      </c>
    </row>
    <row r="173" spans="1:11" ht="14.5" hidden="1" customHeight="1" x14ac:dyDescent="0.35">
      <c r="A173" s="103"/>
      <c r="B173" s="40" t="s">
        <v>4</v>
      </c>
      <c r="C173" s="41" t="s">
        <v>330</v>
      </c>
      <c r="D173" s="227"/>
      <c r="E173" s="170"/>
      <c r="F173" s="145"/>
      <c r="G173" s="153" t="str">
        <f t="shared" si="14"/>
        <v/>
      </c>
      <c r="H173" s="10" t="s">
        <v>20</v>
      </c>
      <c r="I173" s="331">
        <v>1.98</v>
      </c>
      <c r="J173" s="12">
        <f t="shared" si="15"/>
        <v>0</v>
      </c>
    </row>
    <row r="174" spans="1:11" ht="14.5" hidden="1" customHeight="1" x14ac:dyDescent="0.35">
      <c r="A174" s="103"/>
      <c r="B174" s="40" t="s">
        <v>4</v>
      </c>
      <c r="C174" s="41" t="s">
        <v>331</v>
      </c>
      <c r="D174" s="227"/>
      <c r="E174" s="170"/>
      <c r="F174" s="145"/>
      <c r="G174" s="153" t="str">
        <f t="shared" si="14"/>
        <v/>
      </c>
      <c r="H174" s="10" t="s">
        <v>20</v>
      </c>
      <c r="I174" s="331">
        <v>1.98</v>
      </c>
      <c r="J174" s="12">
        <f t="shared" si="15"/>
        <v>0</v>
      </c>
    </row>
    <row r="175" spans="1:11" ht="14.5" hidden="1" customHeight="1" x14ac:dyDescent="0.35">
      <c r="A175" s="103"/>
      <c r="B175" s="40" t="s">
        <v>4</v>
      </c>
      <c r="C175" s="41" t="s">
        <v>413</v>
      </c>
      <c r="D175" s="227"/>
      <c r="E175" s="170"/>
      <c r="F175" s="145"/>
      <c r="G175" s="153" t="str">
        <f t="shared" si="14"/>
        <v/>
      </c>
      <c r="H175" s="41" t="s">
        <v>20</v>
      </c>
      <c r="I175" s="334">
        <v>1.98</v>
      </c>
      <c r="J175" s="12">
        <f t="shared" si="15"/>
        <v>0</v>
      </c>
    </row>
    <row r="176" spans="1:11" ht="14.5" hidden="1" customHeight="1" x14ac:dyDescent="0.35">
      <c r="A176" s="114" t="s">
        <v>333</v>
      </c>
      <c r="B176" s="120"/>
      <c r="C176" s="120"/>
      <c r="D176" s="228"/>
      <c r="E176" s="175"/>
      <c r="F176" s="149"/>
      <c r="G176" s="153" t="str">
        <f t="shared" si="14"/>
        <v/>
      </c>
      <c r="H176" s="121"/>
      <c r="I176" s="122" t="s">
        <v>18</v>
      </c>
      <c r="J176" s="123">
        <f>SUM(J177:J186)</f>
        <v>0</v>
      </c>
      <c r="K176" s="13"/>
    </row>
    <row r="177" spans="1:14" ht="15.65" hidden="1" customHeight="1" x14ac:dyDescent="0.35">
      <c r="A177" s="103"/>
      <c r="B177" s="12" t="s">
        <v>26</v>
      </c>
      <c r="C177" s="10" t="s">
        <v>334</v>
      </c>
      <c r="D177" s="152"/>
      <c r="E177" s="170"/>
      <c r="F177" s="95"/>
      <c r="G177" s="153" t="str">
        <f t="shared" si="14"/>
        <v/>
      </c>
      <c r="H177" s="10" t="s">
        <v>335</v>
      </c>
      <c r="I177" s="331">
        <v>20</v>
      </c>
      <c r="J177" s="12">
        <f t="shared" ref="J177:J186" si="16">E177*I177</f>
        <v>0</v>
      </c>
    </row>
    <row r="178" spans="1:14" hidden="1" x14ac:dyDescent="0.35">
      <c r="A178" s="103"/>
      <c r="B178" s="20" t="s">
        <v>26</v>
      </c>
      <c r="C178" s="18" t="s">
        <v>53</v>
      </c>
      <c r="D178" s="229"/>
      <c r="E178" s="170"/>
      <c r="F178" s="147"/>
      <c r="G178" s="153" t="str">
        <f t="shared" si="14"/>
        <v/>
      </c>
      <c r="H178" s="18" t="s">
        <v>20</v>
      </c>
      <c r="I178" s="335">
        <v>0.43</v>
      </c>
      <c r="J178" s="20">
        <f t="shared" si="16"/>
        <v>0</v>
      </c>
      <c r="N178" t="s">
        <v>47</v>
      </c>
    </row>
    <row r="179" spans="1:14" hidden="1" x14ac:dyDescent="0.35">
      <c r="A179" s="103"/>
      <c r="B179" s="20" t="s">
        <v>26</v>
      </c>
      <c r="C179" s="18" t="s">
        <v>336</v>
      </c>
      <c r="D179" s="229"/>
      <c r="E179" s="170"/>
      <c r="F179" s="147"/>
      <c r="G179" s="153" t="str">
        <f t="shared" si="14"/>
        <v/>
      </c>
      <c r="H179" s="18" t="s">
        <v>20</v>
      </c>
      <c r="I179" s="335">
        <v>0.43</v>
      </c>
      <c r="J179" s="20">
        <f t="shared" si="16"/>
        <v>0</v>
      </c>
    </row>
    <row r="180" spans="1:14" ht="16.399999999999999" hidden="1" customHeight="1" x14ac:dyDescent="0.35">
      <c r="A180" s="103"/>
      <c r="B180" s="12" t="s">
        <v>26</v>
      </c>
      <c r="C180" s="10" t="s">
        <v>337</v>
      </c>
      <c r="D180" s="152"/>
      <c r="E180" s="170"/>
      <c r="F180" s="95"/>
      <c r="G180" s="153" t="str">
        <f t="shared" si="14"/>
        <v/>
      </c>
      <c r="H180" s="10" t="s">
        <v>20</v>
      </c>
      <c r="I180" s="331">
        <v>0.43</v>
      </c>
      <c r="J180" s="12">
        <f t="shared" si="16"/>
        <v>0</v>
      </c>
    </row>
    <row r="181" spans="1:14" hidden="1" x14ac:dyDescent="0.35">
      <c r="A181" s="103"/>
      <c r="B181" s="12" t="s">
        <v>26</v>
      </c>
      <c r="C181" s="10" t="s">
        <v>51</v>
      </c>
      <c r="D181" s="152"/>
      <c r="E181" s="170"/>
      <c r="F181" s="95"/>
      <c r="G181" s="153" t="str">
        <f t="shared" si="14"/>
        <v/>
      </c>
      <c r="H181" s="10" t="s">
        <v>61</v>
      </c>
      <c r="I181" s="331">
        <v>14</v>
      </c>
      <c r="J181" s="12">
        <f t="shared" si="16"/>
        <v>0</v>
      </c>
    </row>
    <row r="182" spans="1:14" hidden="1" x14ac:dyDescent="0.35">
      <c r="A182" s="103"/>
      <c r="B182" s="12" t="s">
        <v>26</v>
      </c>
      <c r="C182" s="10" t="s">
        <v>338</v>
      </c>
      <c r="D182" s="152"/>
      <c r="E182" s="170"/>
      <c r="F182" s="95"/>
      <c r="G182" s="153" t="str">
        <f t="shared" si="14"/>
        <v/>
      </c>
      <c r="H182" s="10" t="s">
        <v>61</v>
      </c>
      <c r="I182" s="331">
        <v>14.78</v>
      </c>
      <c r="J182" s="12">
        <f t="shared" si="16"/>
        <v>0</v>
      </c>
    </row>
    <row r="183" spans="1:14" hidden="1" x14ac:dyDescent="0.35">
      <c r="A183" s="103"/>
      <c r="B183" s="12" t="s">
        <v>26</v>
      </c>
      <c r="C183" s="10" t="s">
        <v>339</v>
      </c>
      <c r="D183" s="152"/>
      <c r="E183" s="170"/>
      <c r="F183" s="95"/>
      <c r="G183" s="153" t="str">
        <f t="shared" si="14"/>
        <v/>
      </c>
      <c r="H183" s="10" t="s">
        <v>61</v>
      </c>
      <c r="I183" s="331">
        <v>14.78</v>
      </c>
      <c r="J183" s="12">
        <f t="shared" si="16"/>
        <v>0</v>
      </c>
    </row>
    <row r="184" spans="1:14" ht="14.5" hidden="1" customHeight="1" x14ac:dyDescent="0.35">
      <c r="A184" s="103"/>
      <c r="B184" s="12" t="s">
        <v>26</v>
      </c>
      <c r="C184" s="10" t="s">
        <v>340</v>
      </c>
      <c r="D184" s="152"/>
      <c r="E184" s="170"/>
      <c r="F184" s="95"/>
      <c r="G184" s="153" t="str">
        <f t="shared" si="14"/>
        <v/>
      </c>
      <c r="H184" s="10" t="s">
        <v>61</v>
      </c>
      <c r="I184" s="331">
        <v>14.78</v>
      </c>
      <c r="J184" s="12">
        <f t="shared" si="16"/>
        <v>0</v>
      </c>
    </row>
    <row r="185" spans="1:14" hidden="1" x14ac:dyDescent="0.35">
      <c r="A185" s="103"/>
      <c r="B185" s="12" t="s">
        <v>26</v>
      </c>
      <c r="C185" s="10" t="s">
        <v>341</v>
      </c>
      <c r="D185" s="152"/>
      <c r="E185" s="170"/>
      <c r="F185" s="95"/>
      <c r="G185" s="153" t="str">
        <f t="shared" si="14"/>
        <v/>
      </c>
      <c r="H185" s="10" t="s">
        <v>61</v>
      </c>
      <c r="I185" s="331">
        <v>14.78</v>
      </c>
      <c r="J185" s="12">
        <f t="shared" si="16"/>
        <v>0</v>
      </c>
    </row>
    <row r="186" spans="1:14" ht="14.5" hidden="1" customHeight="1" x14ac:dyDescent="0.35">
      <c r="A186" s="103"/>
      <c r="B186" s="12" t="s">
        <v>26</v>
      </c>
      <c r="C186" s="10" t="s">
        <v>342</v>
      </c>
      <c r="D186" s="152"/>
      <c r="E186" s="170"/>
      <c r="F186" s="95"/>
      <c r="G186" s="153" t="str">
        <f t="shared" si="14"/>
        <v/>
      </c>
      <c r="H186" s="10" t="s">
        <v>61</v>
      </c>
      <c r="I186" s="331">
        <v>14.78</v>
      </c>
      <c r="J186" s="10">
        <f t="shared" si="16"/>
        <v>0</v>
      </c>
    </row>
    <row r="187" spans="1:14" ht="15.5" x14ac:dyDescent="0.35">
      <c r="A187" s="108" t="s">
        <v>343</v>
      </c>
      <c r="B187" s="108"/>
      <c r="C187" s="108"/>
      <c r="D187" s="223"/>
      <c r="E187" s="169"/>
      <c r="F187" s="109"/>
      <c r="G187" s="165" t="str">
        <f t="shared" si="14"/>
        <v/>
      </c>
      <c r="H187" s="108"/>
      <c r="I187" s="106" t="s">
        <v>18</v>
      </c>
      <c r="J187" s="107">
        <f>SUM(J188:J192)</f>
        <v>0</v>
      </c>
    </row>
    <row r="188" spans="1:14" ht="14.5" hidden="1" customHeight="1" x14ac:dyDescent="0.35">
      <c r="A188" s="103"/>
      <c r="B188" s="7" t="s">
        <v>6</v>
      </c>
      <c r="C188" s="14" t="s">
        <v>344</v>
      </c>
      <c r="D188" s="152"/>
      <c r="E188" s="170"/>
      <c r="F188" s="95"/>
      <c r="G188" s="153" t="str">
        <f t="shared" si="14"/>
        <v/>
      </c>
      <c r="H188" s="14" t="s">
        <v>20</v>
      </c>
      <c r="I188" s="336">
        <v>0.79</v>
      </c>
      <c r="J188" s="7">
        <f>E188*I188</f>
        <v>0</v>
      </c>
    </row>
    <row r="189" spans="1:14" ht="15.65" customHeight="1" x14ac:dyDescent="0.35">
      <c r="A189" s="103"/>
      <c r="B189" s="7" t="s">
        <v>6</v>
      </c>
      <c r="C189" s="14" t="s">
        <v>345</v>
      </c>
      <c r="D189" s="152">
        <v>10</v>
      </c>
      <c r="E189" s="170"/>
      <c r="F189" s="95"/>
      <c r="G189" s="153" t="str">
        <f t="shared" si="14"/>
        <v/>
      </c>
      <c r="H189" s="14" t="s">
        <v>20</v>
      </c>
      <c r="I189" s="336">
        <v>2.76</v>
      </c>
      <c r="J189" s="7">
        <f>E189*I189</f>
        <v>0</v>
      </c>
    </row>
    <row r="190" spans="1:14" ht="14.5" customHeight="1" x14ac:dyDescent="0.35">
      <c r="A190" s="103"/>
      <c r="B190" s="7" t="s">
        <v>6</v>
      </c>
      <c r="C190" s="14" t="s">
        <v>346</v>
      </c>
      <c r="D190" s="152"/>
      <c r="E190" s="170"/>
      <c r="F190" s="95"/>
      <c r="G190" s="153" t="str">
        <f t="shared" si="14"/>
        <v/>
      </c>
      <c r="H190" s="14" t="s">
        <v>20</v>
      </c>
      <c r="I190" s="336">
        <v>1</v>
      </c>
      <c r="J190" s="7">
        <f>E190*I190</f>
        <v>0</v>
      </c>
    </row>
    <row r="191" spans="1:14" x14ac:dyDescent="0.35">
      <c r="A191" s="103"/>
      <c r="B191" s="7" t="s">
        <v>6</v>
      </c>
      <c r="C191" s="14" t="s">
        <v>34</v>
      </c>
      <c r="D191" s="152">
        <v>10</v>
      </c>
      <c r="E191" s="170"/>
      <c r="F191" s="95"/>
      <c r="G191" s="153" t="str">
        <f t="shared" si="14"/>
        <v/>
      </c>
      <c r="H191" s="14" t="s">
        <v>20</v>
      </c>
      <c r="I191" s="336">
        <v>1.8</v>
      </c>
      <c r="J191" s="7">
        <f>E191*I191</f>
        <v>0</v>
      </c>
    </row>
    <row r="192" spans="1:14" x14ac:dyDescent="0.35">
      <c r="A192" s="103"/>
      <c r="B192" s="7" t="s">
        <v>6</v>
      </c>
      <c r="C192" s="14" t="s">
        <v>35</v>
      </c>
      <c r="D192" s="152">
        <v>10</v>
      </c>
      <c r="E192" s="170"/>
      <c r="F192" s="95"/>
      <c r="G192" s="153" t="str">
        <f t="shared" si="14"/>
        <v/>
      </c>
      <c r="H192" s="14" t="s">
        <v>20</v>
      </c>
      <c r="I192" s="336">
        <v>1.8</v>
      </c>
      <c r="J192" s="7">
        <f>E192*I192</f>
        <v>0</v>
      </c>
    </row>
    <row r="193" spans="1:10" ht="15.5" hidden="1" x14ac:dyDescent="0.35">
      <c r="A193" s="112" t="s">
        <v>347</v>
      </c>
      <c r="B193" s="116"/>
      <c r="C193" s="116"/>
      <c r="D193" s="228"/>
      <c r="E193" s="173"/>
      <c r="F193" s="146"/>
      <c r="G193" s="165" t="str">
        <f t="shared" si="14"/>
        <v/>
      </c>
      <c r="H193" s="117"/>
      <c r="I193" s="118" t="s">
        <v>18</v>
      </c>
      <c r="J193" s="119">
        <f>SUM(J194)</f>
        <v>0</v>
      </c>
    </row>
    <row r="194" spans="1:10" hidden="1" x14ac:dyDescent="0.35">
      <c r="A194" s="103"/>
      <c r="B194" s="12" t="s">
        <v>5</v>
      </c>
      <c r="C194" s="10" t="s">
        <v>55</v>
      </c>
      <c r="D194" s="152"/>
      <c r="E194" s="170"/>
      <c r="F194" s="95"/>
      <c r="G194" s="153" t="str">
        <f t="shared" si="14"/>
        <v/>
      </c>
      <c r="H194" s="10" t="s">
        <v>20</v>
      </c>
      <c r="I194" s="331">
        <v>1.01</v>
      </c>
      <c r="J194" s="12">
        <f>E194*I194</f>
        <v>0</v>
      </c>
    </row>
    <row r="195" spans="1:10" ht="15.5" hidden="1" x14ac:dyDescent="0.35">
      <c r="A195" s="112" t="s">
        <v>348</v>
      </c>
      <c r="B195" s="116"/>
      <c r="C195" s="116"/>
      <c r="D195" s="228"/>
      <c r="E195" s="173"/>
      <c r="F195" s="146"/>
      <c r="G195" s="165" t="str">
        <f t="shared" si="14"/>
        <v/>
      </c>
      <c r="H195" s="117"/>
      <c r="I195" s="118" t="s">
        <v>18</v>
      </c>
      <c r="J195" s="119">
        <f>SUM(J196:J207)</f>
        <v>0</v>
      </c>
    </row>
    <row r="196" spans="1:10" hidden="1" x14ac:dyDescent="0.35">
      <c r="A196" s="103"/>
      <c r="B196" s="20" t="s">
        <v>8</v>
      </c>
      <c r="C196" s="18" t="s">
        <v>349</v>
      </c>
      <c r="D196" s="229"/>
      <c r="E196" s="170"/>
      <c r="F196" s="147"/>
      <c r="G196" s="153" t="str">
        <f t="shared" si="14"/>
        <v/>
      </c>
      <c r="H196" s="18" t="s">
        <v>27</v>
      </c>
      <c r="I196" s="337">
        <v>28.62</v>
      </c>
      <c r="J196" s="12">
        <f t="shared" ref="J196:J207" si="17">E196*I196</f>
        <v>0</v>
      </c>
    </row>
    <row r="197" spans="1:10" hidden="1" x14ac:dyDescent="0.35">
      <c r="A197" s="103"/>
      <c r="B197" s="12" t="s">
        <v>8</v>
      </c>
      <c r="C197" s="10" t="s">
        <v>350</v>
      </c>
      <c r="D197" s="152"/>
      <c r="E197" s="170"/>
      <c r="F197" s="95"/>
      <c r="G197" s="153" t="str">
        <f t="shared" si="14"/>
        <v/>
      </c>
      <c r="H197" s="10" t="s">
        <v>335</v>
      </c>
      <c r="I197" s="338">
        <v>30</v>
      </c>
      <c r="J197" s="12">
        <f t="shared" si="17"/>
        <v>0</v>
      </c>
    </row>
    <row r="198" spans="1:10" hidden="1" x14ac:dyDescent="0.35">
      <c r="A198" s="103"/>
      <c r="B198" s="12" t="s">
        <v>8</v>
      </c>
      <c r="C198" s="10" t="s">
        <v>351</v>
      </c>
      <c r="D198" s="152"/>
      <c r="E198" s="170"/>
      <c r="F198" s="95"/>
      <c r="G198" s="153" t="str">
        <f t="shared" si="14"/>
        <v/>
      </c>
      <c r="H198" s="10" t="s">
        <v>335</v>
      </c>
      <c r="I198" s="331">
        <v>1.1499999999999999</v>
      </c>
      <c r="J198" s="12">
        <f t="shared" si="17"/>
        <v>0</v>
      </c>
    </row>
    <row r="199" spans="1:10" hidden="1" x14ac:dyDescent="0.35">
      <c r="A199" s="103"/>
      <c r="B199" s="12" t="s">
        <v>8</v>
      </c>
      <c r="C199" s="10" t="s">
        <v>352</v>
      </c>
      <c r="D199" s="152"/>
      <c r="E199" s="170"/>
      <c r="F199" s="95"/>
      <c r="G199" s="153" t="str">
        <f t="shared" si="14"/>
        <v/>
      </c>
      <c r="H199" s="10" t="s">
        <v>27</v>
      </c>
      <c r="I199" s="331">
        <v>23.83</v>
      </c>
      <c r="J199" s="12">
        <f t="shared" si="17"/>
        <v>0</v>
      </c>
    </row>
    <row r="200" spans="1:10" hidden="1" x14ac:dyDescent="0.35">
      <c r="A200" s="103"/>
      <c r="B200" s="12" t="s">
        <v>8</v>
      </c>
      <c r="C200" s="10" t="s">
        <v>353</v>
      </c>
      <c r="D200" s="152"/>
      <c r="E200" s="170"/>
      <c r="F200" s="95"/>
      <c r="G200" s="153" t="str">
        <f t="shared" si="14"/>
        <v/>
      </c>
      <c r="H200" s="10" t="s">
        <v>27</v>
      </c>
      <c r="I200" s="331">
        <v>28.89</v>
      </c>
      <c r="J200" s="12">
        <f t="shared" si="17"/>
        <v>0</v>
      </c>
    </row>
    <row r="201" spans="1:10" hidden="1" x14ac:dyDescent="0.35">
      <c r="A201" s="103"/>
      <c r="B201" s="12" t="s">
        <v>8</v>
      </c>
      <c r="C201" s="10" t="s">
        <v>354</v>
      </c>
      <c r="D201" s="152"/>
      <c r="E201" s="170"/>
      <c r="F201" s="95"/>
      <c r="G201" s="153" t="str">
        <f>IF(E201="","",IF(D201-E201&gt;0,D201-E201,""))</f>
        <v/>
      </c>
      <c r="H201" s="10" t="s">
        <v>27</v>
      </c>
      <c r="I201" s="331">
        <v>19.37</v>
      </c>
      <c r="J201" s="12">
        <f>E201*I201</f>
        <v>0</v>
      </c>
    </row>
    <row r="202" spans="1:10" hidden="1" x14ac:dyDescent="0.35">
      <c r="A202" s="103"/>
      <c r="B202" s="12" t="s">
        <v>8</v>
      </c>
      <c r="C202" s="10" t="s">
        <v>429</v>
      </c>
      <c r="D202" s="152"/>
      <c r="E202" s="170"/>
      <c r="F202" s="95"/>
      <c r="G202" s="153"/>
      <c r="H202" s="10" t="s">
        <v>27</v>
      </c>
      <c r="I202" s="331">
        <v>14.07</v>
      </c>
      <c r="J202" s="12"/>
    </row>
    <row r="203" spans="1:10" hidden="1" x14ac:dyDescent="0.35">
      <c r="A203" s="103"/>
      <c r="B203" s="12" t="s">
        <v>8</v>
      </c>
      <c r="C203" s="10" t="s">
        <v>430</v>
      </c>
      <c r="D203" s="152"/>
      <c r="E203" s="170"/>
      <c r="F203" s="95"/>
      <c r="G203" s="153"/>
      <c r="H203" s="10" t="s">
        <v>27</v>
      </c>
      <c r="I203" s="331">
        <v>16.07</v>
      </c>
      <c r="J203" s="12"/>
    </row>
    <row r="204" spans="1:10" hidden="1" x14ac:dyDescent="0.35">
      <c r="A204" s="103"/>
      <c r="B204" s="12" t="s">
        <v>8</v>
      </c>
      <c r="C204" s="10" t="s">
        <v>431</v>
      </c>
      <c r="D204" s="152"/>
      <c r="G204" s="153"/>
      <c r="H204" s="10" t="s">
        <v>27</v>
      </c>
      <c r="I204" s="339">
        <v>14.62</v>
      </c>
      <c r="J204" s="12"/>
    </row>
    <row r="205" spans="1:10" hidden="1" x14ac:dyDescent="0.35">
      <c r="A205" s="103"/>
      <c r="B205" s="12" t="s">
        <v>8</v>
      </c>
      <c r="C205" s="10" t="s">
        <v>355</v>
      </c>
      <c r="D205" s="152"/>
      <c r="E205" s="170"/>
      <c r="F205" s="95"/>
      <c r="G205" s="153" t="str">
        <f t="shared" si="14"/>
        <v/>
      </c>
      <c r="H205" s="10" t="s">
        <v>61</v>
      </c>
      <c r="I205" s="331">
        <v>17.11</v>
      </c>
      <c r="J205" s="12">
        <f t="shared" si="17"/>
        <v>0</v>
      </c>
    </row>
    <row r="206" spans="1:10" hidden="1" x14ac:dyDescent="0.35">
      <c r="A206" s="103"/>
      <c r="B206" s="12" t="s">
        <v>8</v>
      </c>
      <c r="C206" s="10" t="s">
        <v>356</v>
      </c>
      <c r="D206" s="152"/>
      <c r="E206" s="170"/>
      <c r="F206" s="95"/>
      <c r="G206" s="153" t="str">
        <f t="shared" si="14"/>
        <v/>
      </c>
      <c r="H206" s="10" t="s">
        <v>61</v>
      </c>
      <c r="I206" s="331">
        <v>22.13</v>
      </c>
      <c r="J206" s="12">
        <f t="shared" si="17"/>
        <v>0</v>
      </c>
    </row>
    <row r="207" spans="1:10" hidden="1" x14ac:dyDescent="0.35">
      <c r="A207" s="103"/>
      <c r="B207" s="40" t="s">
        <v>8</v>
      </c>
      <c r="C207" s="41" t="s">
        <v>357</v>
      </c>
      <c r="D207" s="227"/>
      <c r="E207" s="170"/>
      <c r="F207" s="145"/>
      <c r="G207" s="153" t="str">
        <f t="shared" si="14"/>
        <v/>
      </c>
      <c r="H207" s="41" t="s">
        <v>61</v>
      </c>
      <c r="I207" s="334">
        <v>18.8</v>
      </c>
      <c r="J207" s="40">
        <f t="shared" si="17"/>
        <v>0</v>
      </c>
    </row>
    <row r="208" spans="1:10" ht="15.5" hidden="1" x14ac:dyDescent="0.35">
      <c r="A208" s="112" t="s">
        <v>358</v>
      </c>
      <c r="B208" s="116"/>
      <c r="C208" s="116"/>
      <c r="D208" s="228"/>
      <c r="E208" s="173"/>
      <c r="F208" s="146"/>
      <c r="G208" s="165" t="str">
        <f t="shared" si="14"/>
        <v/>
      </c>
      <c r="H208" s="117"/>
      <c r="I208" s="118" t="s">
        <v>18</v>
      </c>
      <c r="J208" s="119">
        <f>J209+J210+J211+J212+J213</f>
        <v>0</v>
      </c>
    </row>
    <row r="209" spans="1:10" hidden="1" x14ac:dyDescent="0.35">
      <c r="A209" s="103"/>
      <c r="B209" s="13" t="s">
        <v>11</v>
      </c>
      <c r="C209" s="298" t="s">
        <v>359</v>
      </c>
      <c r="D209" s="299"/>
      <c r="E209" s="300"/>
      <c r="F209" s="301"/>
      <c r="G209" s="302" t="str">
        <f t="shared" si="14"/>
        <v/>
      </c>
      <c r="H209" s="41" t="s">
        <v>52</v>
      </c>
      <c r="I209" s="334">
        <v>11.63</v>
      </c>
      <c r="J209" s="40">
        <f>E209*I209</f>
        <v>0</v>
      </c>
    </row>
    <row r="210" spans="1:10" hidden="1" x14ac:dyDescent="0.35">
      <c r="A210" s="103"/>
      <c r="B210" s="12" t="s">
        <v>11</v>
      </c>
      <c r="C210" s="10" t="s">
        <v>436</v>
      </c>
      <c r="D210" s="152"/>
      <c r="E210" s="170"/>
      <c r="F210" s="95"/>
      <c r="G210" s="153"/>
      <c r="H210" s="10" t="s">
        <v>52</v>
      </c>
      <c r="I210" s="331">
        <v>16.8</v>
      </c>
      <c r="J210" s="40">
        <f t="shared" ref="J210:J213" si="18">E210*I210</f>
        <v>0</v>
      </c>
    </row>
    <row r="211" spans="1:10" hidden="1" x14ac:dyDescent="0.35">
      <c r="A211" s="103"/>
      <c r="B211" s="12" t="s">
        <v>11</v>
      </c>
      <c r="C211" s="10" t="s">
        <v>437</v>
      </c>
      <c r="D211" s="152"/>
      <c r="E211" s="170"/>
      <c r="F211" s="95"/>
      <c r="G211" s="153"/>
      <c r="H211" s="10" t="s">
        <v>440</v>
      </c>
      <c r="I211" s="331">
        <v>9.35</v>
      </c>
      <c r="J211" s="40">
        <f>E211*I211</f>
        <v>0</v>
      </c>
    </row>
    <row r="212" spans="1:10" hidden="1" x14ac:dyDescent="0.35">
      <c r="A212" s="103"/>
      <c r="B212" s="12" t="s">
        <v>11</v>
      </c>
      <c r="C212" s="10" t="s">
        <v>438</v>
      </c>
      <c r="D212" s="152"/>
      <c r="E212" s="170"/>
      <c r="F212" s="95"/>
      <c r="G212" s="153"/>
      <c r="H212" s="10" t="s">
        <v>52</v>
      </c>
      <c r="I212" s="331">
        <v>87</v>
      </c>
      <c r="J212" s="40">
        <f t="shared" si="18"/>
        <v>0</v>
      </c>
    </row>
    <row r="213" spans="1:10" hidden="1" x14ac:dyDescent="0.35">
      <c r="A213" s="103"/>
      <c r="B213" s="12" t="s">
        <v>11</v>
      </c>
      <c r="C213" s="10" t="s">
        <v>439</v>
      </c>
      <c r="D213" s="152"/>
      <c r="E213" s="170"/>
      <c r="F213" s="95"/>
      <c r="G213" s="153"/>
      <c r="H213" s="10" t="s">
        <v>52</v>
      </c>
      <c r="I213" s="331">
        <v>55</v>
      </c>
      <c r="J213" s="40">
        <f t="shared" si="18"/>
        <v>0</v>
      </c>
    </row>
    <row r="214" spans="1:10" ht="15.5" hidden="1" x14ac:dyDescent="0.35">
      <c r="A214" s="108" t="s">
        <v>360</v>
      </c>
      <c r="B214" s="108"/>
      <c r="C214" s="108"/>
      <c r="D214" s="223"/>
      <c r="E214" s="169"/>
      <c r="F214" s="109"/>
      <c r="G214" s="310" t="str">
        <f t="shared" si="14"/>
        <v/>
      </c>
      <c r="H214" s="108"/>
      <c r="I214" s="106" t="s">
        <v>18</v>
      </c>
      <c r="J214" s="107">
        <f>SUM(J215:J216)</f>
        <v>0</v>
      </c>
    </row>
    <row r="215" spans="1:10" hidden="1" x14ac:dyDescent="0.35">
      <c r="A215" s="103"/>
      <c r="B215" s="12" t="s">
        <v>12</v>
      </c>
      <c r="C215" s="10" t="s">
        <v>70</v>
      </c>
      <c r="D215" s="152"/>
      <c r="E215" s="170"/>
      <c r="F215" s="95"/>
      <c r="G215" s="153" t="str">
        <f t="shared" si="14"/>
        <v/>
      </c>
      <c r="H215" s="10" t="s">
        <v>27</v>
      </c>
      <c r="I215" s="331">
        <v>20.7</v>
      </c>
      <c r="J215" s="12">
        <f>+E215*I215</f>
        <v>0</v>
      </c>
    </row>
    <row r="216" spans="1:10" hidden="1" x14ac:dyDescent="0.35">
      <c r="A216" s="103"/>
      <c r="B216" s="12" t="s">
        <v>12</v>
      </c>
      <c r="C216" s="10" t="s">
        <v>71</v>
      </c>
      <c r="D216" s="152"/>
      <c r="E216" s="170"/>
      <c r="F216" s="95"/>
      <c r="G216" s="153" t="str">
        <f t="shared" si="14"/>
        <v/>
      </c>
      <c r="H216" s="10" t="s">
        <v>27</v>
      </c>
      <c r="I216" s="331">
        <v>13.7</v>
      </c>
      <c r="J216" s="12">
        <f>+E216*I216</f>
        <v>0</v>
      </c>
    </row>
    <row r="217" spans="1:10" ht="15.5" hidden="1" x14ac:dyDescent="0.35">
      <c r="A217" s="108" t="s">
        <v>361</v>
      </c>
      <c r="B217" s="108"/>
      <c r="C217" s="108"/>
      <c r="D217" s="223"/>
      <c r="E217" s="169"/>
      <c r="F217" s="109"/>
      <c r="G217" s="153" t="str">
        <f t="shared" si="14"/>
        <v/>
      </c>
      <c r="H217" s="108"/>
      <c r="I217" s="106" t="s">
        <v>18</v>
      </c>
      <c r="J217" s="107">
        <f>SUM(J218:J221)</f>
        <v>0</v>
      </c>
    </row>
    <row r="218" spans="1:10" hidden="1" x14ac:dyDescent="0.35">
      <c r="A218" s="103"/>
      <c r="B218" s="12" t="s">
        <v>10</v>
      </c>
      <c r="C218" s="10" t="s">
        <v>362</v>
      </c>
      <c r="D218" s="152"/>
      <c r="E218" s="170"/>
      <c r="F218" s="95"/>
      <c r="G218" s="153" t="str">
        <f t="shared" si="14"/>
        <v/>
      </c>
      <c r="H218" s="10" t="s">
        <v>20</v>
      </c>
      <c r="I218" s="331">
        <v>11.08</v>
      </c>
      <c r="J218" s="12">
        <f>E218*I218</f>
        <v>0</v>
      </c>
    </row>
    <row r="219" spans="1:10" hidden="1" x14ac:dyDescent="0.35">
      <c r="A219" s="103"/>
      <c r="B219" s="12" t="s">
        <v>10</v>
      </c>
      <c r="C219" s="10" t="s">
        <v>363</v>
      </c>
      <c r="D219" s="152"/>
      <c r="E219" s="170"/>
      <c r="F219" s="95"/>
      <c r="G219" s="153" t="str">
        <f t="shared" si="14"/>
        <v/>
      </c>
      <c r="H219" s="10" t="s">
        <v>27</v>
      </c>
      <c r="I219" s="331">
        <v>16.21</v>
      </c>
      <c r="J219" s="12">
        <f>E219*I219</f>
        <v>0</v>
      </c>
    </row>
    <row r="220" spans="1:10" hidden="1" x14ac:dyDescent="0.35">
      <c r="A220" s="103"/>
      <c r="B220" s="12" t="s">
        <v>10</v>
      </c>
      <c r="C220" s="10" t="s">
        <v>364</v>
      </c>
      <c r="D220" s="152"/>
      <c r="E220" s="170"/>
      <c r="F220" s="95"/>
      <c r="G220" s="153" t="str">
        <f t="shared" si="14"/>
        <v/>
      </c>
      <c r="H220" s="10" t="s">
        <v>27</v>
      </c>
      <c r="I220" s="331">
        <v>19.350000000000001</v>
      </c>
      <c r="J220" s="12">
        <f>E220*I220</f>
        <v>0</v>
      </c>
    </row>
    <row r="221" spans="1:10" hidden="1" x14ac:dyDescent="0.35">
      <c r="A221" s="103"/>
      <c r="B221" s="12" t="s">
        <v>10</v>
      </c>
      <c r="C221" s="10" t="s">
        <v>365</v>
      </c>
      <c r="D221" s="152"/>
      <c r="E221" s="170"/>
      <c r="F221" s="95"/>
      <c r="G221" s="153" t="str">
        <f t="shared" si="14"/>
        <v/>
      </c>
      <c r="H221" s="10" t="s">
        <v>27</v>
      </c>
      <c r="I221" s="331">
        <v>19.809999999999999</v>
      </c>
      <c r="J221" s="12">
        <f>E221*I221</f>
        <v>0</v>
      </c>
    </row>
    <row r="222" spans="1:10" ht="15.5" hidden="1" x14ac:dyDescent="0.35">
      <c r="A222" s="108" t="s">
        <v>366</v>
      </c>
      <c r="B222" s="108"/>
      <c r="C222" s="108"/>
      <c r="D222" s="223"/>
      <c r="E222" s="169"/>
      <c r="F222" s="109"/>
      <c r="G222" s="165" t="str">
        <f t="shared" si="14"/>
        <v/>
      </c>
      <c r="H222" s="108"/>
      <c r="I222" s="106" t="s">
        <v>18</v>
      </c>
      <c r="J222" s="107">
        <f>J223</f>
        <v>0</v>
      </c>
    </row>
    <row r="223" spans="1:10" hidden="1" x14ac:dyDescent="0.35">
      <c r="A223" s="103"/>
      <c r="B223" s="12" t="s">
        <v>28</v>
      </c>
      <c r="C223" s="10" t="s">
        <v>29</v>
      </c>
      <c r="D223" s="152"/>
      <c r="E223" s="170"/>
      <c r="F223" s="150"/>
      <c r="G223" s="153" t="str">
        <f t="shared" si="14"/>
        <v/>
      </c>
      <c r="H223" s="10" t="s">
        <v>54</v>
      </c>
      <c r="I223" s="331">
        <v>104</v>
      </c>
      <c r="J223" s="12">
        <f>I223*E223</f>
        <v>0</v>
      </c>
    </row>
    <row r="224" spans="1:10" ht="15.5" x14ac:dyDescent="0.35">
      <c r="A224" s="108" t="s">
        <v>367</v>
      </c>
      <c r="B224" s="108"/>
      <c r="C224" s="108"/>
      <c r="D224" s="223"/>
      <c r="E224" s="169"/>
      <c r="F224" s="109"/>
      <c r="G224" s="165" t="str">
        <f t="shared" ref="G224:G257" si="19">IF(E224="","",IF(D224-E224&gt;0,D224-E224,""))</f>
        <v/>
      </c>
      <c r="H224" s="108"/>
      <c r="I224" s="106" t="s">
        <v>18</v>
      </c>
      <c r="J224" s="115">
        <f>SUM(J225:J244)</f>
        <v>0</v>
      </c>
    </row>
    <row r="225" spans="1:10" x14ac:dyDescent="0.35">
      <c r="A225" s="103"/>
      <c r="B225" s="12" t="s">
        <v>9</v>
      </c>
      <c r="C225" s="10" t="s">
        <v>423</v>
      </c>
      <c r="D225" s="152"/>
      <c r="E225" s="170"/>
      <c r="F225" s="95"/>
      <c r="G225" s="153" t="str">
        <f t="shared" si="19"/>
        <v/>
      </c>
      <c r="H225" s="10" t="s">
        <v>20</v>
      </c>
      <c r="I225" s="331">
        <v>78</v>
      </c>
      <c r="J225" s="50">
        <f t="shared" ref="J225:J244" si="20">E225*I225</f>
        <v>0</v>
      </c>
    </row>
    <row r="226" spans="1:10" x14ac:dyDescent="0.35">
      <c r="A226" s="103"/>
      <c r="B226" s="12" t="s">
        <v>9</v>
      </c>
      <c r="C226" s="10" t="s">
        <v>424</v>
      </c>
      <c r="D226" s="152"/>
      <c r="E226" s="170"/>
      <c r="F226" s="95"/>
      <c r="G226" s="153" t="str">
        <f t="shared" si="19"/>
        <v/>
      </c>
      <c r="H226" s="10" t="s">
        <v>61</v>
      </c>
      <c r="I226" s="340">
        <v>107.12</v>
      </c>
      <c r="J226" s="50">
        <f t="shared" si="20"/>
        <v>0</v>
      </c>
    </row>
    <row r="227" spans="1:10" x14ac:dyDescent="0.35">
      <c r="A227" s="103"/>
      <c r="B227" s="12" t="s">
        <v>9</v>
      </c>
      <c r="C227" s="10" t="s">
        <v>369</v>
      </c>
      <c r="D227" s="152"/>
      <c r="E227" s="170"/>
      <c r="F227" s="95"/>
      <c r="G227" s="153" t="str">
        <f t="shared" si="19"/>
        <v/>
      </c>
      <c r="H227" s="10" t="s">
        <v>20</v>
      </c>
      <c r="I227" s="331">
        <v>0.04</v>
      </c>
      <c r="J227" s="50">
        <f t="shared" si="20"/>
        <v>0</v>
      </c>
    </row>
    <row r="228" spans="1:10" x14ac:dyDescent="0.35">
      <c r="A228" s="103"/>
      <c r="B228" s="12" t="s">
        <v>9</v>
      </c>
      <c r="C228" s="10" t="s">
        <v>370</v>
      </c>
      <c r="D228" s="152"/>
      <c r="E228" s="170"/>
      <c r="F228" s="95"/>
      <c r="G228" s="153" t="str">
        <f t="shared" si="19"/>
        <v/>
      </c>
      <c r="H228" s="10" t="s">
        <v>20</v>
      </c>
      <c r="I228" s="331">
        <v>7.0999999999999994E-2</v>
      </c>
      <c r="J228" s="50">
        <f t="shared" si="20"/>
        <v>0</v>
      </c>
    </row>
    <row r="229" spans="1:10" hidden="1" x14ac:dyDescent="0.35">
      <c r="A229" s="103"/>
      <c r="B229" s="12" t="s">
        <v>9</v>
      </c>
      <c r="C229" s="10" t="s">
        <v>411</v>
      </c>
      <c r="D229" s="152"/>
      <c r="E229" s="170"/>
      <c r="F229" s="95"/>
      <c r="G229" s="153"/>
      <c r="H229" s="10" t="s">
        <v>20</v>
      </c>
      <c r="I229" s="331">
        <v>1.97</v>
      </c>
      <c r="J229" s="50"/>
    </row>
    <row r="230" spans="1:10" hidden="1" x14ac:dyDescent="0.35">
      <c r="A230" s="103"/>
      <c r="B230" s="12" t="s">
        <v>9</v>
      </c>
      <c r="C230" s="10" t="s">
        <v>371</v>
      </c>
      <c r="D230" s="152"/>
      <c r="E230" s="170"/>
      <c r="F230" s="95"/>
      <c r="G230" s="153" t="str">
        <f t="shared" si="19"/>
        <v/>
      </c>
      <c r="H230" s="10" t="s">
        <v>61</v>
      </c>
      <c r="I230" s="331">
        <v>163.80000000000001</v>
      </c>
      <c r="J230" s="50">
        <f t="shared" si="20"/>
        <v>0</v>
      </c>
    </row>
    <row r="231" spans="1:10" hidden="1" x14ac:dyDescent="0.35">
      <c r="A231" s="103"/>
      <c r="B231" s="12" t="s">
        <v>9</v>
      </c>
      <c r="C231" s="10" t="s">
        <v>410</v>
      </c>
      <c r="D231" s="152"/>
      <c r="E231" s="170"/>
      <c r="F231" s="151"/>
      <c r="G231" s="153" t="str">
        <f t="shared" si="19"/>
        <v/>
      </c>
      <c r="H231" s="10" t="s">
        <v>61</v>
      </c>
      <c r="I231" s="331">
        <v>49.33</v>
      </c>
      <c r="J231" s="50">
        <f t="shared" si="20"/>
        <v>0</v>
      </c>
    </row>
    <row r="232" spans="1:10" hidden="1" x14ac:dyDescent="0.35">
      <c r="A232" s="103"/>
      <c r="B232" s="12" t="s">
        <v>9</v>
      </c>
      <c r="C232" s="10" t="s">
        <v>373</v>
      </c>
      <c r="D232" s="152"/>
      <c r="E232" s="170"/>
      <c r="F232" s="151"/>
      <c r="G232" s="153" t="str">
        <f t="shared" si="19"/>
        <v/>
      </c>
      <c r="H232" s="10" t="s">
        <v>61</v>
      </c>
      <c r="I232" s="331">
        <v>105.6</v>
      </c>
      <c r="J232" s="50">
        <f t="shared" si="20"/>
        <v>0</v>
      </c>
    </row>
    <row r="233" spans="1:10" hidden="1" x14ac:dyDescent="0.35">
      <c r="A233" s="103"/>
      <c r="B233" s="12" t="s">
        <v>9</v>
      </c>
      <c r="C233" s="10" t="s">
        <v>374</v>
      </c>
      <c r="D233" s="152"/>
      <c r="E233" s="170"/>
      <c r="F233" s="151"/>
      <c r="G233" s="153" t="str">
        <f t="shared" si="19"/>
        <v/>
      </c>
      <c r="H233" s="10" t="s">
        <v>61</v>
      </c>
      <c r="I233" s="331">
        <v>114.75</v>
      </c>
      <c r="J233" s="50">
        <f t="shared" si="20"/>
        <v>0</v>
      </c>
    </row>
    <row r="234" spans="1:10" hidden="1" x14ac:dyDescent="0.35">
      <c r="A234" s="103"/>
      <c r="B234" s="12" t="s">
        <v>9</v>
      </c>
      <c r="C234" s="10" t="s">
        <v>375</v>
      </c>
      <c r="D234" s="152"/>
      <c r="E234" s="170"/>
      <c r="F234" s="95"/>
      <c r="G234" s="153" t="str">
        <f t="shared" si="19"/>
        <v/>
      </c>
      <c r="H234" s="10" t="s">
        <v>61</v>
      </c>
      <c r="I234" s="331">
        <v>105.55</v>
      </c>
      <c r="J234" s="50">
        <f t="shared" si="20"/>
        <v>0</v>
      </c>
    </row>
    <row r="235" spans="1:10" hidden="1" x14ac:dyDescent="0.35">
      <c r="A235" s="103"/>
      <c r="B235" s="12" t="s">
        <v>9</v>
      </c>
      <c r="C235" s="10" t="s">
        <v>376</v>
      </c>
      <c r="D235" s="152"/>
      <c r="E235" s="170"/>
      <c r="F235" s="95"/>
      <c r="G235" s="153" t="str">
        <f t="shared" si="19"/>
        <v/>
      </c>
      <c r="H235" s="10" t="s">
        <v>61</v>
      </c>
      <c r="I235" s="331">
        <v>33.25</v>
      </c>
      <c r="J235" s="50">
        <f t="shared" si="20"/>
        <v>0</v>
      </c>
    </row>
    <row r="236" spans="1:10" hidden="1" x14ac:dyDescent="0.35">
      <c r="A236" s="103"/>
      <c r="B236" s="12" t="s">
        <v>9</v>
      </c>
      <c r="C236" s="10" t="s">
        <v>377</v>
      </c>
      <c r="D236" s="152"/>
      <c r="E236" s="170"/>
      <c r="F236" s="95"/>
      <c r="G236" s="153" t="str">
        <f t="shared" si="19"/>
        <v/>
      </c>
      <c r="H236" s="10" t="s">
        <v>20</v>
      </c>
      <c r="I236" s="331">
        <v>0.28999999999999998</v>
      </c>
      <c r="J236" s="50">
        <f t="shared" si="20"/>
        <v>0</v>
      </c>
    </row>
    <row r="237" spans="1:10" hidden="1" x14ac:dyDescent="0.35">
      <c r="A237" s="103"/>
      <c r="B237" s="12" t="s">
        <v>9</v>
      </c>
      <c r="C237" s="10" t="s">
        <v>378</v>
      </c>
      <c r="D237" s="152"/>
      <c r="E237" s="170"/>
      <c r="F237" s="95"/>
      <c r="G237" s="153" t="str">
        <f t="shared" si="19"/>
        <v/>
      </c>
      <c r="H237" s="10" t="s">
        <v>61</v>
      </c>
      <c r="I237" s="336">
        <v>37.85</v>
      </c>
      <c r="J237" s="50">
        <f t="shared" si="20"/>
        <v>0</v>
      </c>
    </row>
    <row r="238" spans="1:10" x14ac:dyDescent="0.35">
      <c r="A238" s="103"/>
      <c r="B238" s="12" t="s">
        <v>9</v>
      </c>
      <c r="C238" s="10" t="s">
        <v>425</v>
      </c>
      <c r="D238" s="152">
        <v>1</v>
      </c>
      <c r="E238" s="170"/>
      <c r="F238" s="95"/>
      <c r="G238" s="153" t="str">
        <f t="shared" si="19"/>
        <v/>
      </c>
      <c r="H238" s="10" t="s">
        <v>61</v>
      </c>
      <c r="I238" s="336">
        <v>111.47</v>
      </c>
      <c r="J238" s="50">
        <f t="shared" si="20"/>
        <v>0</v>
      </c>
    </row>
    <row r="239" spans="1:10" hidden="1" x14ac:dyDescent="0.35">
      <c r="A239" s="103"/>
      <c r="B239" s="12" t="s">
        <v>9</v>
      </c>
      <c r="C239" s="10" t="s">
        <v>379</v>
      </c>
      <c r="D239" s="152"/>
      <c r="E239" s="170"/>
      <c r="F239" s="95"/>
      <c r="G239" s="153" t="str">
        <f t="shared" si="19"/>
        <v/>
      </c>
      <c r="H239" s="10" t="s">
        <v>61</v>
      </c>
      <c r="I239" s="336">
        <v>174.97</v>
      </c>
      <c r="J239" s="50">
        <f t="shared" si="20"/>
        <v>0</v>
      </c>
    </row>
    <row r="240" spans="1:10" hidden="1" x14ac:dyDescent="0.35">
      <c r="A240" s="103"/>
      <c r="B240" s="12" t="s">
        <v>9</v>
      </c>
      <c r="C240" s="10" t="s">
        <v>380</v>
      </c>
      <c r="D240" s="152"/>
      <c r="E240" s="170"/>
      <c r="F240" s="95"/>
      <c r="G240" s="153" t="str">
        <f t="shared" si="19"/>
        <v/>
      </c>
      <c r="H240" s="10" t="s">
        <v>61</v>
      </c>
      <c r="I240" s="336">
        <v>44.93</v>
      </c>
      <c r="J240" s="50">
        <f t="shared" si="20"/>
        <v>0</v>
      </c>
    </row>
    <row r="241" spans="1:10" hidden="1" x14ac:dyDescent="0.35">
      <c r="A241" s="103"/>
      <c r="B241" s="12" t="s">
        <v>9</v>
      </c>
      <c r="C241" s="10" t="s">
        <v>426</v>
      </c>
      <c r="D241" s="152"/>
      <c r="E241" s="170"/>
      <c r="F241" s="95"/>
      <c r="G241" s="153" t="str">
        <f t="shared" si="19"/>
        <v/>
      </c>
      <c r="H241" s="10" t="s">
        <v>20</v>
      </c>
      <c r="I241" s="336">
        <v>29.2</v>
      </c>
      <c r="J241" s="50">
        <f t="shared" si="20"/>
        <v>0</v>
      </c>
    </row>
    <row r="242" spans="1:10" hidden="1" x14ac:dyDescent="0.35">
      <c r="A242" s="103"/>
      <c r="B242" s="12" t="s">
        <v>9</v>
      </c>
      <c r="C242" s="10" t="s">
        <v>427</v>
      </c>
      <c r="D242" s="152"/>
      <c r="E242" s="170"/>
      <c r="F242" s="95"/>
      <c r="G242" s="153" t="str">
        <f t="shared" si="19"/>
        <v/>
      </c>
      <c r="H242" s="10" t="s">
        <v>20</v>
      </c>
      <c r="I242" s="336">
        <v>19.03</v>
      </c>
      <c r="J242" s="50">
        <f t="shared" si="20"/>
        <v>0</v>
      </c>
    </row>
    <row r="243" spans="1:10" hidden="1" x14ac:dyDescent="0.35">
      <c r="A243" s="103"/>
      <c r="B243" s="12" t="s">
        <v>9</v>
      </c>
      <c r="C243" s="10" t="s">
        <v>428</v>
      </c>
      <c r="D243" s="152"/>
      <c r="E243" s="170"/>
      <c r="F243" s="95"/>
      <c r="G243" s="153" t="str">
        <f t="shared" si="19"/>
        <v/>
      </c>
      <c r="H243" s="10" t="s">
        <v>20</v>
      </c>
      <c r="I243" s="336">
        <v>8.4600000000000009</v>
      </c>
      <c r="J243" s="50">
        <f t="shared" si="20"/>
        <v>0</v>
      </c>
    </row>
    <row r="244" spans="1:10" hidden="1" x14ac:dyDescent="0.35">
      <c r="A244" s="103"/>
      <c r="B244" s="12" t="s">
        <v>9</v>
      </c>
      <c r="C244" s="10" t="s">
        <v>381</v>
      </c>
      <c r="D244" s="152"/>
      <c r="E244" s="170"/>
      <c r="F244" s="95"/>
      <c r="G244" s="153" t="str">
        <f t="shared" si="19"/>
        <v/>
      </c>
      <c r="H244" s="10" t="s">
        <v>20</v>
      </c>
      <c r="I244" s="336">
        <v>0.02</v>
      </c>
      <c r="J244" s="50">
        <f t="shared" si="20"/>
        <v>0</v>
      </c>
    </row>
    <row r="245" spans="1:10" ht="15.5" x14ac:dyDescent="0.35">
      <c r="A245" s="108" t="s">
        <v>382</v>
      </c>
      <c r="B245" s="108"/>
      <c r="C245" s="108"/>
      <c r="D245" s="223"/>
      <c r="E245" s="169"/>
      <c r="F245" s="109"/>
      <c r="G245" s="165" t="str">
        <f t="shared" si="19"/>
        <v/>
      </c>
      <c r="H245" s="108"/>
      <c r="I245" s="106" t="s">
        <v>18</v>
      </c>
      <c r="J245" s="107">
        <f>SUM(J246:J256)</f>
        <v>22.450000000000003</v>
      </c>
    </row>
    <row r="246" spans="1:10" x14ac:dyDescent="0.35">
      <c r="A246" s="103"/>
      <c r="B246" s="12" t="s">
        <v>31</v>
      </c>
      <c r="C246" s="10" t="s">
        <v>383</v>
      </c>
      <c r="D246" s="152"/>
      <c r="E246" s="170"/>
      <c r="F246" s="95"/>
      <c r="G246" s="153" t="str">
        <f t="shared" si="19"/>
        <v/>
      </c>
      <c r="H246" s="10" t="s">
        <v>20</v>
      </c>
      <c r="I246" s="331">
        <v>5.5</v>
      </c>
      <c r="J246" s="12">
        <f t="shared" ref="J246:J256" si="21">E246*I246</f>
        <v>0</v>
      </c>
    </row>
    <row r="247" spans="1:10" x14ac:dyDescent="0.35">
      <c r="A247" s="103"/>
      <c r="B247" s="12" t="s">
        <v>31</v>
      </c>
      <c r="C247" s="10" t="s">
        <v>39</v>
      </c>
      <c r="D247" s="152">
        <v>1</v>
      </c>
      <c r="E247" s="170">
        <v>2</v>
      </c>
      <c r="F247" s="95"/>
      <c r="G247" s="153" t="str">
        <f t="shared" si="19"/>
        <v/>
      </c>
      <c r="H247" s="10" t="s">
        <v>20</v>
      </c>
      <c r="I247" s="331">
        <v>4.55</v>
      </c>
      <c r="J247" s="12">
        <f t="shared" si="21"/>
        <v>9.1</v>
      </c>
    </row>
    <row r="248" spans="1:10" x14ac:dyDescent="0.35">
      <c r="A248" s="103"/>
      <c r="B248" s="12" t="s">
        <v>31</v>
      </c>
      <c r="C248" s="10" t="s">
        <v>422</v>
      </c>
      <c r="D248" s="152">
        <v>1</v>
      </c>
      <c r="E248" s="170">
        <v>1</v>
      </c>
      <c r="F248" s="95"/>
      <c r="G248" s="153" t="str">
        <f t="shared" si="19"/>
        <v/>
      </c>
      <c r="H248" s="10" t="s">
        <v>20</v>
      </c>
      <c r="I248" s="331">
        <v>3.7</v>
      </c>
      <c r="J248" s="12">
        <f t="shared" si="21"/>
        <v>3.7</v>
      </c>
    </row>
    <row r="249" spans="1:10" x14ac:dyDescent="0.35">
      <c r="A249" s="103"/>
      <c r="B249" s="12" t="s">
        <v>31</v>
      </c>
      <c r="C249" s="10" t="s">
        <v>67</v>
      </c>
      <c r="D249" s="152"/>
      <c r="E249" s="170"/>
      <c r="F249" s="95"/>
      <c r="G249" s="153" t="str">
        <f t="shared" si="19"/>
        <v/>
      </c>
      <c r="H249" s="10" t="s">
        <v>20</v>
      </c>
      <c r="I249" s="331">
        <v>15.56</v>
      </c>
      <c r="J249" s="12">
        <f t="shared" si="21"/>
        <v>0</v>
      </c>
    </row>
    <row r="250" spans="1:10" hidden="1" x14ac:dyDescent="0.35">
      <c r="A250" s="103"/>
      <c r="B250" s="12" t="s">
        <v>31</v>
      </c>
      <c r="C250" s="10" t="s">
        <v>384</v>
      </c>
      <c r="D250" s="152"/>
      <c r="E250" s="170"/>
      <c r="F250" s="95"/>
      <c r="G250" s="153" t="str">
        <f t="shared" si="19"/>
        <v/>
      </c>
      <c r="H250" s="10" t="s">
        <v>20</v>
      </c>
      <c r="I250" s="331">
        <v>0.8</v>
      </c>
      <c r="J250" s="12">
        <f t="shared" si="21"/>
        <v>0</v>
      </c>
    </row>
    <row r="251" spans="1:10" hidden="1" x14ac:dyDescent="0.35">
      <c r="A251" s="103"/>
      <c r="B251" s="12" t="s">
        <v>31</v>
      </c>
      <c r="C251" s="10" t="s">
        <v>385</v>
      </c>
      <c r="D251" s="152"/>
      <c r="E251" s="170"/>
      <c r="F251" s="95"/>
      <c r="G251" s="153" t="str">
        <f t="shared" si="19"/>
        <v/>
      </c>
      <c r="H251" s="10" t="s">
        <v>20</v>
      </c>
      <c r="I251" s="331">
        <v>1.83</v>
      </c>
      <c r="J251" s="12">
        <f t="shared" si="21"/>
        <v>0</v>
      </c>
    </row>
    <row r="252" spans="1:10" x14ac:dyDescent="0.35">
      <c r="A252" s="103"/>
      <c r="B252" s="12" t="s">
        <v>31</v>
      </c>
      <c r="C252" s="10" t="s">
        <v>386</v>
      </c>
      <c r="D252" s="152">
        <v>1</v>
      </c>
      <c r="E252" s="170">
        <v>1</v>
      </c>
      <c r="F252" s="95"/>
      <c r="G252" s="153" t="str">
        <f t="shared" si="19"/>
        <v/>
      </c>
      <c r="H252" s="10" t="s">
        <v>20</v>
      </c>
      <c r="I252" s="331">
        <v>2.65</v>
      </c>
      <c r="J252" s="12">
        <f t="shared" si="21"/>
        <v>2.65</v>
      </c>
    </row>
    <row r="253" spans="1:10" x14ac:dyDescent="0.35">
      <c r="A253" s="103"/>
      <c r="B253" s="12" t="s">
        <v>31</v>
      </c>
      <c r="C253" s="10" t="s">
        <v>65</v>
      </c>
      <c r="D253" s="152">
        <v>1</v>
      </c>
      <c r="E253" s="170"/>
      <c r="F253" s="95"/>
      <c r="G253" s="153" t="str">
        <f t="shared" si="19"/>
        <v/>
      </c>
      <c r="H253" s="10" t="s">
        <v>20</v>
      </c>
      <c r="I253" s="331">
        <v>13.43</v>
      </c>
      <c r="J253" s="12">
        <f t="shared" si="21"/>
        <v>0</v>
      </c>
    </row>
    <row r="254" spans="1:10" hidden="1" x14ac:dyDescent="0.35">
      <c r="A254" s="103"/>
      <c r="B254" s="12" t="s">
        <v>31</v>
      </c>
      <c r="C254" s="10" t="s">
        <v>66</v>
      </c>
      <c r="D254" s="152"/>
      <c r="E254" s="170"/>
      <c r="F254" s="95"/>
      <c r="G254" s="153" t="str">
        <f t="shared" si="19"/>
        <v/>
      </c>
      <c r="H254" s="10" t="s">
        <v>20</v>
      </c>
      <c r="I254" s="331">
        <v>75.38</v>
      </c>
      <c r="J254" s="12">
        <f t="shared" si="21"/>
        <v>0</v>
      </c>
    </row>
    <row r="255" spans="1:10" x14ac:dyDescent="0.35">
      <c r="A255" s="103"/>
      <c r="B255" s="12" t="s">
        <v>31</v>
      </c>
      <c r="C255" s="10" t="s">
        <v>412</v>
      </c>
      <c r="D255" s="152"/>
      <c r="E255" s="170"/>
      <c r="F255" s="95"/>
      <c r="G255" s="153" t="str">
        <f t="shared" si="19"/>
        <v/>
      </c>
      <c r="H255" s="10" t="s">
        <v>20</v>
      </c>
      <c r="I255" s="331">
        <v>8.43</v>
      </c>
      <c r="J255" s="12">
        <f t="shared" si="21"/>
        <v>0</v>
      </c>
    </row>
    <row r="256" spans="1:10" x14ac:dyDescent="0.35">
      <c r="A256" s="103"/>
      <c r="B256" s="12" t="s">
        <v>31</v>
      </c>
      <c r="C256" s="10" t="s">
        <v>69</v>
      </c>
      <c r="D256" s="152">
        <v>1</v>
      </c>
      <c r="E256" s="170">
        <v>2</v>
      </c>
      <c r="F256" s="95"/>
      <c r="G256" s="153" t="str">
        <f t="shared" si="19"/>
        <v/>
      </c>
      <c r="H256" s="10" t="s">
        <v>63</v>
      </c>
      <c r="I256" s="331">
        <v>3.5</v>
      </c>
      <c r="J256" s="12">
        <f t="shared" si="21"/>
        <v>7</v>
      </c>
    </row>
    <row r="257" spans="1:10" ht="15.5" hidden="1" x14ac:dyDescent="0.35">
      <c r="A257" s="108" t="s">
        <v>57</v>
      </c>
      <c r="B257" s="108"/>
      <c r="C257" s="108"/>
      <c r="D257" s="108"/>
      <c r="E257" s="162"/>
      <c r="F257" s="108"/>
      <c r="G257" s="165" t="str">
        <f t="shared" si="19"/>
        <v/>
      </c>
      <c r="H257" s="108"/>
      <c r="I257" s="106" t="s">
        <v>18</v>
      </c>
      <c r="J257" s="107">
        <f>SUM(J258:J259)</f>
        <v>0</v>
      </c>
    </row>
    <row r="258" spans="1:10" hidden="1" x14ac:dyDescent="0.35">
      <c r="A258" s="103"/>
      <c r="B258" s="12" t="s">
        <v>56</v>
      </c>
      <c r="C258" s="10" t="s">
        <v>58</v>
      </c>
      <c r="D258" s="94"/>
      <c r="E258" s="170"/>
      <c r="F258" s="94"/>
      <c r="G258" s="94" t="str">
        <f t="shared" ref="G258:G259" si="22">IF(D258-E258&gt;0,D258-E258,"")</f>
        <v/>
      </c>
      <c r="H258" s="10" t="s">
        <v>20</v>
      </c>
      <c r="I258" s="331">
        <v>54.05</v>
      </c>
      <c r="J258" s="12">
        <f>E258*I258</f>
        <v>0</v>
      </c>
    </row>
    <row r="259" spans="1:10" hidden="1" x14ac:dyDescent="0.35">
      <c r="A259" s="103"/>
      <c r="B259" s="12" t="s">
        <v>56</v>
      </c>
      <c r="C259" s="10" t="s">
        <v>388</v>
      </c>
      <c r="D259" s="94"/>
      <c r="E259" s="170"/>
      <c r="F259" s="94"/>
      <c r="G259" s="94" t="str">
        <f t="shared" si="22"/>
        <v/>
      </c>
      <c r="H259" s="10" t="s">
        <v>20</v>
      </c>
      <c r="I259" s="331">
        <v>0</v>
      </c>
      <c r="J259" s="12">
        <f>E259*I259</f>
        <v>0</v>
      </c>
    </row>
  </sheetData>
  <mergeCells count="2">
    <mergeCell ref="B1:C1"/>
    <mergeCell ref="B2:C2"/>
  </mergeCells>
  <pageMargins left="0.7" right="0.7" top="0.75" bottom="0.75" header="0.3" footer="0.3"/>
  <pageSetup paperSize="9" scale="73" fitToHeight="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4D7D0-6281-B141-98D4-78D3BB91C232}">
  <sheetPr codeName="Feuil16">
    <tabColor theme="8" tint="0.39997558519241921"/>
    <pageSetUpPr fitToPage="1"/>
  </sheetPr>
  <dimension ref="A1:N259"/>
  <sheetViews>
    <sheetView topLeftCell="A225" zoomScaleNormal="100" workbookViewId="0">
      <selection activeCell="J209" sqref="J209"/>
    </sheetView>
  </sheetViews>
  <sheetFormatPr baseColWidth="10" defaultColWidth="8.453125" defaultRowHeight="14.5" x14ac:dyDescent="0.35"/>
  <cols>
    <col min="1" max="1" width="2.54296875" customWidth="1"/>
    <col min="2" max="2" width="32.26953125" customWidth="1"/>
    <col min="3" max="3" width="44.54296875" bestFit="1" customWidth="1"/>
    <col min="4" max="4" width="19.7265625" bestFit="1" customWidth="1"/>
    <col min="5" max="5" width="18.81640625" style="34" bestFit="1" customWidth="1"/>
    <col min="6" max="6" width="18.26953125" hidden="1" customWidth="1"/>
    <col min="7" max="7" width="14" bestFit="1" customWidth="1"/>
    <col min="8" max="8" width="6.81640625" bestFit="1" customWidth="1"/>
    <col min="9" max="9" width="8.453125" style="86" bestFit="1" customWidth="1"/>
    <col min="10" max="10" width="7.1796875" customWidth="1"/>
  </cols>
  <sheetData>
    <row r="1" spans="2:7" ht="15" thickBot="1" x14ac:dyDescent="0.4">
      <c r="B1" s="321" t="s">
        <v>198</v>
      </c>
      <c r="C1" s="322"/>
      <c r="F1" s="89"/>
      <c r="G1" s="89"/>
    </row>
    <row r="2" spans="2:7" ht="15" thickBot="1" x14ac:dyDescent="0.4">
      <c r="B2" s="319"/>
      <c r="C2" s="320"/>
      <c r="F2" s="90"/>
      <c r="G2" s="90"/>
    </row>
    <row r="3" spans="2:7" x14ac:dyDescent="0.35">
      <c r="B3" s="75"/>
      <c r="C3" s="75"/>
      <c r="F3" s="75"/>
      <c r="G3" s="75"/>
    </row>
    <row r="4" spans="2:7" ht="15.5" x14ac:dyDescent="0.35">
      <c r="B4" s="70" t="s">
        <v>0</v>
      </c>
      <c r="C4" s="70" t="s">
        <v>1</v>
      </c>
      <c r="F4" s="91"/>
      <c r="G4" s="91"/>
    </row>
    <row r="5" spans="2:7" x14ac:dyDescent="0.35">
      <c r="B5" s="71" t="s">
        <v>2</v>
      </c>
      <c r="C5" s="72">
        <f>J23</f>
        <v>2779.7</v>
      </c>
      <c r="F5" s="92"/>
      <c r="G5" s="92"/>
    </row>
    <row r="6" spans="2:7" x14ac:dyDescent="0.35">
      <c r="B6" s="71" t="s">
        <v>7</v>
      </c>
      <c r="C6" s="72">
        <f>J4</f>
        <v>0</v>
      </c>
      <c r="F6" s="92"/>
      <c r="G6" s="92"/>
    </row>
    <row r="7" spans="2:7" x14ac:dyDescent="0.35">
      <c r="B7" s="71" t="s">
        <v>13</v>
      </c>
      <c r="C7" s="72">
        <f>J50</f>
        <v>410.35</v>
      </c>
      <c r="F7" s="92"/>
      <c r="G7" s="92"/>
    </row>
    <row r="8" spans="2:7" x14ac:dyDescent="0.35">
      <c r="B8" s="71" t="s">
        <v>3</v>
      </c>
      <c r="C8" s="72">
        <f>J78</f>
        <v>0</v>
      </c>
      <c r="F8" s="92"/>
      <c r="G8" s="92"/>
    </row>
    <row r="9" spans="2:7" x14ac:dyDescent="0.35">
      <c r="B9" s="71" t="s">
        <v>4</v>
      </c>
      <c r="C9" s="72">
        <f>J122</f>
        <v>2914.0600000000004</v>
      </c>
      <c r="F9" s="92"/>
      <c r="G9" s="92"/>
    </row>
    <row r="10" spans="2:7" x14ac:dyDescent="0.35">
      <c r="B10" s="71" t="s">
        <v>199</v>
      </c>
      <c r="C10" s="72">
        <f>J176</f>
        <v>0</v>
      </c>
      <c r="F10" s="92"/>
      <c r="G10" s="92"/>
    </row>
    <row r="11" spans="2:7" x14ac:dyDescent="0.35">
      <c r="B11" s="71" t="s">
        <v>200</v>
      </c>
      <c r="C11" s="72">
        <f>J187</f>
        <v>0</v>
      </c>
      <c r="F11" s="92"/>
      <c r="G11" s="92"/>
    </row>
    <row r="12" spans="2:7" x14ac:dyDescent="0.35">
      <c r="B12" s="71" t="s">
        <v>201</v>
      </c>
      <c r="C12" s="72">
        <f>J193</f>
        <v>0</v>
      </c>
      <c r="F12" s="92"/>
      <c r="G12" s="92"/>
    </row>
    <row r="13" spans="2:7" x14ac:dyDescent="0.35">
      <c r="B13" s="71" t="s">
        <v>202</v>
      </c>
      <c r="C13" s="72">
        <f>J195</f>
        <v>377.69</v>
      </c>
      <c r="F13" s="92"/>
      <c r="G13" s="92"/>
    </row>
    <row r="14" spans="2:7" x14ac:dyDescent="0.35">
      <c r="B14" s="71" t="s">
        <v>203</v>
      </c>
      <c r="C14" s="72">
        <f>J208</f>
        <v>2004.4</v>
      </c>
      <c r="F14" s="92"/>
      <c r="G14" s="92"/>
    </row>
    <row r="15" spans="2:7" x14ac:dyDescent="0.35">
      <c r="B15" s="71" t="s">
        <v>12</v>
      </c>
      <c r="C15" s="72">
        <f>J214</f>
        <v>0</v>
      </c>
      <c r="F15" s="92"/>
      <c r="G15" s="92"/>
    </row>
    <row r="16" spans="2:7" x14ac:dyDescent="0.35">
      <c r="B16" s="71" t="s">
        <v>204</v>
      </c>
      <c r="C16" s="72">
        <f>J222</f>
        <v>0</v>
      </c>
      <c r="F16" s="92"/>
      <c r="G16" s="92"/>
    </row>
    <row r="17" spans="1:11" x14ac:dyDescent="0.35">
      <c r="B17" s="71" t="s">
        <v>9</v>
      </c>
      <c r="C17" s="72">
        <f>J224</f>
        <v>285.93</v>
      </c>
      <c r="F17" s="92"/>
      <c r="G17" s="92"/>
    </row>
    <row r="18" spans="1:11" x14ac:dyDescent="0.35">
      <c r="B18" s="71" t="s">
        <v>205</v>
      </c>
      <c r="C18" s="72">
        <f>J245</f>
        <v>294.92</v>
      </c>
      <c r="F18" s="92"/>
      <c r="G18" s="92"/>
    </row>
    <row r="19" spans="1:11" x14ac:dyDescent="0.35">
      <c r="B19" s="71" t="s">
        <v>56</v>
      </c>
      <c r="C19" s="72">
        <f>J257</f>
        <v>0</v>
      </c>
      <c r="F19" s="92"/>
      <c r="G19" s="92"/>
    </row>
    <row r="20" spans="1:11" x14ac:dyDescent="0.35">
      <c r="B20" s="73" t="s">
        <v>14</v>
      </c>
      <c r="C20" s="74">
        <f>C5+C6+C7+C8+C9+C10+C11+C12+C13+C14+C15+C16+C17+C18+C19</f>
        <v>9067.0500000000011</v>
      </c>
      <c r="F20" s="93"/>
      <c r="G20" s="93"/>
    </row>
    <row r="21" spans="1:11" ht="18.75" customHeight="1" x14ac:dyDescent="0.45">
      <c r="A21" s="76" t="s">
        <v>207</v>
      </c>
      <c r="B21" s="76"/>
      <c r="C21" s="76"/>
      <c r="D21" s="76"/>
      <c r="E21" s="167"/>
      <c r="F21" s="76"/>
      <c r="G21" s="76"/>
      <c r="H21" s="76"/>
      <c r="I21" s="262"/>
      <c r="J21" s="76"/>
    </row>
    <row r="22" spans="1:11" ht="14.25" customHeight="1" x14ac:dyDescent="0.35">
      <c r="A22" s="129"/>
      <c r="B22" s="129" t="s">
        <v>15</v>
      </c>
      <c r="C22" s="129" t="s">
        <v>16</v>
      </c>
      <c r="D22" s="130" t="s">
        <v>398</v>
      </c>
      <c r="E22" s="168" t="s">
        <v>401</v>
      </c>
      <c r="F22" s="130" t="s">
        <v>399</v>
      </c>
      <c r="G22" s="164" t="s">
        <v>400</v>
      </c>
      <c r="H22" s="132" t="s">
        <v>406</v>
      </c>
      <c r="I22" s="341" t="s">
        <v>45</v>
      </c>
      <c r="J22" s="132" t="s">
        <v>402</v>
      </c>
    </row>
    <row r="23" spans="1:11" s="6" customFormat="1" ht="15.5" x14ac:dyDescent="0.35">
      <c r="A23" s="108" t="s">
        <v>208</v>
      </c>
      <c r="B23" s="108"/>
      <c r="C23" s="108"/>
      <c r="D23" s="108"/>
      <c r="E23" s="169" t="s">
        <v>421</v>
      </c>
      <c r="F23" s="108"/>
      <c r="G23" s="108"/>
      <c r="H23" s="108"/>
      <c r="I23" s="110" t="s">
        <v>18</v>
      </c>
      <c r="J23" s="107">
        <f>SUM(J24:J40)</f>
        <v>2779.7</v>
      </c>
    </row>
    <row r="24" spans="1:11" x14ac:dyDescent="0.35">
      <c r="A24" s="103"/>
      <c r="B24" s="7" t="s">
        <v>2</v>
      </c>
      <c r="C24" s="14" t="s">
        <v>19</v>
      </c>
      <c r="D24" s="152">
        <v>2</v>
      </c>
      <c r="E24" s="170">
        <v>4</v>
      </c>
      <c r="F24" s="95"/>
      <c r="G24" s="153" t="str">
        <f>IF(E24="","",IF(D24-E24&gt;0,D24-E24,""))</f>
        <v/>
      </c>
      <c r="H24" s="10" t="s">
        <v>20</v>
      </c>
      <c r="I24" s="331">
        <v>55.95</v>
      </c>
      <c r="J24" s="12">
        <f t="shared" ref="J24:J40" si="0">E24*I24</f>
        <v>223.8</v>
      </c>
      <c r="K24" s="13"/>
    </row>
    <row r="25" spans="1:11" hidden="1" x14ac:dyDescent="0.35">
      <c r="A25" s="103"/>
      <c r="B25" s="7" t="s">
        <v>2</v>
      </c>
      <c r="C25" s="14" t="s">
        <v>209</v>
      </c>
      <c r="D25" s="152"/>
      <c r="E25" s="170"/>
      <c r="F25" s="95"/>
      <c r="G25" s="153" t="str">
        <f t="shared" ref="G25:G88" si="1">IF(E25="","",IF(D25-E25&gt;0,D25-E25,""))</f>
        <v/>
      </c>
      <c r="H25" s="10" t="s">
        <v>20</v>
      </c>
      <c r="I25" s="331">
        <v>173.1</v>
      </c>
      <c r="J25" s="12">
        <f t="shared" si="0"/>
        <v>0</v>
      </c>
      <c r="K25" s="13"/>
    </row>
    <row r="26" spans="1:11" x14ac:dyDescent="0.35">
      <c r="A26" s="103"/>
      <c r="B26" s="12" t="s">
        <v>2</v>
      </c>
      <c r="C26" s="10" t="s">
        <v>21</v>
      </c>
      <c r="D26" s="152">
        <v>20</v>
      </c>
      <c r="E26" s="170">
        <v>8</v>
      </c>
      <c r="F26" s="95"/>
      <c r="G26" s="153">
        <f t="shared" si="1"/>
        <v>12</v>
      </c>
      <c r="H26" s="10" t="s">
        <v>20</v>
      </c>
      <c r="I26" s="331">
        <v>75.400000000000006</v>
      </c>
      <c r="J26" s="12">
        <f t="shared" si="0"/>
        <v>603.20000000000005</v>
      </c>
      <c r="K26" s="13"/>
    </row>
    <row r="27" spans="1:11" ht="14.5" customHeight="1" x14ac:dyDescent="0.35">
      <c r="A27" s="103"/>
      <c r="B27" s="12" t="s">
        <v>2</v>
      </c>
      <c r="C27" s="10" t="s">
        <v>210</v>
      </c>
      <c r="D27" s="152">
        <v>20</v>
      </c>
      <c r="E27" s="170">
        <v>23</v>
      </c>
      <c r="F27" s="95"/>
      <c r="G27" s="153" t="str">
        <f t="shared" si="1"/>
        <v/>
      </c>
      <c r="H27" s="10" t="s">
        <v>20</v>
      </c>
      <c r="I27" s="331">
        <v>84.9</v>
      </c>
      <c r="J27" s="12">
        <f t="shared" si="0"/>
        <v>1952.7</v>
      </c>
      <c r="K27" s="13"/>
    </row>
    <row r="28" spans="1:11" ht="14.5" hidden="1" customHeight="1" x14ac:dyDescent="0.35">
      <c r="A28" s="103"/>
      <c r="B28" s="12" t="s">
        <v>2</v>
      </c>
      <c r="C28" s="10" t="s">
        <v>211</v>
      </c>
      <c r="D28" s="152"/>
      <c r="E28" s="170"/>
      <c r="F28" s="95"/>
      <c r="G28" s="153" t="str">
        <f t="shared" si="1"/>
        <v/>
      </c>
      <c r="H28" s="10" t="s">
        <v>20</v>
      </c>
      <c r="I28" s="331">
        <v>2.96</v>
      </c>
      <c r="J28" s="12">
        <f t="shared" si="0"/>
        <v>0</v>
      </c>
      <c r="K28" s="13"/>
    </row>
    <row r="29" spans="1:11" ht="14.5" hidden="1" customHeight="1" x14ac:dyDescent="0.35">
      <c r="A29" s="103"/>
      <c r="B29" s="12" t="s">
        <v>2</v>
      </c>
      <c r="C29" s="10" t="s">
        <v>212</v>
      </c>
      <c r="D29" s="152"/>
      <c r="E29" s="170"/>
      <c r="F29" s="95"/>
      <c r="G29" s="153" t="str">
        <f t="shared" si="1"/>
        <v/>
      </c>
      <c r="H29" s="10" t="s">
        <v>20</v>
      </c>
      <c r="I29" s="331">
        <v>2.96</v>
      </c>
      <c r="J29" s="12">
        <f t="shared" si="0"/>
        <v>0</v>
      </c>
      <c r="K29" s="13"/>
    </row>
    <row r="30" spans="1:11" ht="15.75" hidden="1" customHeight="1" x14ac:dyDescent="0.35">
      <c r="A30" s="103"/>
      <c r="B30" s="12" t="s">
        <v>2</v>
      </c>
      <c r="C30" s="10" t="s">
        <v>213</v>
      </c>
      <c r="D30" s="152"/>
      <c r="E30" s="170"/>
      <c r="F30" s="95"/>
      <c r="G30" s="153" t="str">
        <f t="shared" si="1"/>
        <v/>
      </c>
      <c r="H30" s="10" t="s">
        <v>20</v>
      </c>
      <c r="I30" s="331">
        <v>2.96</v>
      </c>
      <c r="J30" s="12">
        <f t="shared" si="0"/>
        <v>0</v>
      </c>
      <c r="K30" s="13"/>
    </row>
    <row r="31" spans="1:11" hidden="1" x14ac:dyDescent="0.35">
      <c r="A31" s="103"/>
      <c r="B31" s="7" t="s">
        <v>2</v>
      </c>
      <c r="C31" s="14" t="s">
        <v>22</v>
      </c>
      <c r="D31" s="152"/>
      <c r="E31" s="170"/>
      <c r="F31" s="95"/>
      <c r="G31" s="153" t="str">
        <f t="shared" si="1"/>
        <v/>
      </c>
      <c r="H31" s="10" t="s">
        <v>20</v>
      </c>
      <c r="I31" s="331">
        <v>107.2</v>
      </c>
      <c r="J31" s="12">
        <f t="shared" si="0"/>
        <v>0</v>
      </c>
      <c r="K31" s="13"/>
    </row>
    <row r="32" spans="1:11" ht="14.5" hidden="1" customHeight="1" x14ac:dyDescent="0.35">
      <c r="A32" s="103"/>
      <c r="B32" s="7" t="s">
        <v>2</v>
      </c>
      <c r="C32" s="14" t="s">
        <v>214</v>
      </c>
      <c r="D32" s="152"/>
      <c r="E32" s="170"/>
      <c r="F32" s="95"/>
      <c r="G32" s="153" t="str">
        <f t="shared" si="1"/>
        <v/>
      </c>
      <c r="H32" s="10" t="s">
        <v>20</v>
      </c>
      <c r="I32" s="331">
        <v>170.7</v>
      </c>
      <c r="J32" s="12">
        <f t="shared" si="0"/>
        <v>0</v>
      </c>
      <c r="K32" s="13"/>
    </row>
    <row r="33" spans="1:11" ht="14.5" hidden="1" customHeight="1" x14ac:dyDescent="0.35">
      <c r="A33" s="103"/>
      <c r="B33" s="12" t="s">
        <v>2</v>
      </c>
      <c r="C33" s="10" t="s">
        <v>215</v>
      </c>
      <c r="D33" s="152"/>
      <c r="E33" s="170"/>
      <c r="F33" s="95"/>
      <c r="G33" s="153" t="str">
        <f t="shared" si="1"/>
        <v/>
      </c>
      <c r="H33" s="10" t="s">
        <v>216</v>
      </c>
      <c r="I33" s="331">
        <v>3.77</v>
      </c>
      <c r="J33" s="12">
        <f t="shared" si="0"/>
        <v>0</v>
      </c>
      <c r="K33" s="13"/>
    </row>
    <row r="34" spans="1:11" s="6" customFormat="1" ht="15.65" hidden="1" customHeight="1" x14ac:dyDescent="0.35">
      <c r="A34" s="103"/>
      <c r="B34" s="12" t="s">
        <v>2</v>
      </c>
      <c r="C34" s="10" t="s">
        <v>217</v>
      </c>
      <c r="D34" s="152"/>
      <c r="E34" s="170"/>
      <c r="F34" s="95"/>
      <c r="G34" s="153" t="str">
        <f t="shared" si="1"/>
        <v/>
      </c>
      <c r="H34" s="10" t="s">
        <v>20</v>
      </c>
      <c r="I34" s="331">
        <v>2.56</v>
      </c>
      <c r="J34" s="12">
        <f t="shared" si="0"/>
        <v>0</v>
      </c>
    </row>
    <row r="35" spans="1:11" ht="14.5" hidden="1" customHeight="1" x14ac:dyDescent="0.35">
      <c r="A35" s="103"/>
      <c r="B35" s="12" t="s">
        <v>2</v>
      </c>
      <c r="C35" s="10" t="s">
        <v>218</v>
      </c>
      <c r="D35" s="152"/>
      <c r="E35" s="170"/>
      <c r="F35" s="95"/>
      <c r="G35" s="153" t="str">
        <f t="shared" si="1"/>
        <v/>
      </c>
      <c r="H35" s="10" t="s">
        <v>20</v>
      </c>
      <c r="I35" s="331">
        <v>3.08</v>
      </c>
      <c r="J35" s="12">
        <f t="shared" si="0"/>
        <v>0</v>
      </c>
      <c r="K35" s="13"/>
    </row>
    <row r="36" spans="1:11" ht="14.5" hidden="1" customHeight="1" x14ac:dyDescent="0.35">
      <c r="A36" s="103"/>
      <c r="B36" s="12" t="s">
        <v>2</v>
      </c>
      <c r="C36" s="10" t="s">
        <v>219</v>
      </c>
      <c r="D36" s="152"/>
      <c r="E36" s="170"/>
      <c r="F36" s="95"/>
      <c r="G36" s="153" t="str">
        <f t="shared" si="1"/>
        <v/>
      </c>
      <c r="H36" s="10" t="s">
        <v>20</v>
      </c>
      <c r="I36" s="331">
        <v>2.56</v>
      </c>
      <c r="J36" s="12">
        <f t="shared" si="0"/>
        <v>0</v>
      </c>
      <c r="K36" s="13"/>
    </row>
    <row r="37" spans="1:11" hidden="1" x14ac:dyDescent="0.35">
      <c r="A37" s="103"/>
      <c r="B37" s="12" t="s">
        <v>2</v>
      </c>
      <c r="C37" s="10" t="s">
        <v>220</v>
      </c>
      <c r="D37" s="152"/>
      <c r="E37" s="170"/>
      <c r="F37" s="95"/>
      <c r="G37" s="153" t="str">
        <f t="shared" si="1"/>
        <v/>
      </c>
      <c r="H37" s="10" t="s">
        <v>20</v>
      </c>
      <c r="I37" s="331">
        <v>1.41</v>
      </c>
      <c r="J37" s="12">
        <f t="shared" si="0"/>
        <v>0</v>
      </c>
      <c r="K37" s="13"/>
    </row>
    <row r="38" spans="1:11" hidden="1" x14ac:dyDescent="0.35">
      <c r="A38" s="103"/>
      <c r="B38" s="12" t="s">
        <v>2</v>
      </c>
      <c r="C38" s="10" t="s">
        <v>221</v>
      </c>
      <c r="D38" s="152"/>
      <c r="E38" s="170"/>
      <c r="F38" s="95"/>
      <c r="G38" s="153" t="str">
        <f t="shared" si="1"/>
        <v/>
      </c>
      <c r="H38" s="10" t="s">
        <v>20</v>
      </c>
      <c r="I38" s="331">
        <v>1.73</v>
      </c>
      <c r="J38" s="12">
        <f t="shared" si="0"/>
        <v>0</v>
      </c>
      <c r="K38" s="13"/>
    </row>
    <row r="39" spans="1:11" hidden="1" x14ac:dyDescent="0.35">
      <c r="A39" s="103"/>
      <c r="B39" s="12" t="s">
        <v>2</v>
      </c>
      <c r="C39" s="10" t="s">
        <v>222</v>
      </c>
      <c r="D39" s="152"/>
      <c r="E39" s="170"/>
      <c r="F39" s="95"/>
      <c r="G39" s="153" t="str">
        <f t="shared" si="1"/>
        <v/>
      </c>
      <c r="H39" s="10" t="s">
        <v>20</v>
      </c>
      <c r="I39" s="331">
        <v>1.46</v>
      </c>
      <c r="J39" s="12">
        <f t="shared" si="0"/>
        <v>0</v>
      </c>
      <c r="K39" s="13"/>
    </row>
    <row r="40" spans="1:11" ht="14.5" hidden="1" customHeight="1" x14ac:dyDescent="0.35">
      <c r="A40" s="103"/>
      <c r="B40" s="12" t="s">
        <v>2</v>
      </c>
      <c r="C40" s="10" t="s">
        <v>223</v>
      </c>
      <c r="D40" s="222"/>
      <c r="E40" s="170"/>
      <c r="F40" s="141"/>
      <c r="G40" s="153" t="str">
        <f t="shared" si="1"/>
        <v/>
      </c>
      <c r="H40" s="10" t="s">
        <v>20</v>
      </c>
      <c r="I40" s="332">
        <v>3.45</v>
      </c>
      <c r="J40" s="12">
        <f t="shared" si="0"/>
        <v>0</v>
      </c>
      <c r="K40" s="13"/>
    </row>
    <row r="41" spans="1:11" s="6" customFormat="1" ht="15.65" customHeight="1" x14ac:dyDescent="0.35">
      <c r="A41" s="108" t="s">
        <v>119</v>
      </c>
      <c r="B41" s="108"/>
      <c r="C41" s="108"/>
      <c r="D41" s="223"/>
      <c r="E41" s="169"/>
      <c r="F41" s="109"/>
      <c r="G41" s="165" t="str">
        <f t="shared" si="1"/>
        <v/>
      </c>
      <c r="H41" s="108"/>
      <c r="I41" s="106" t="s">
        <v>18</v>
      </c>
      <c r="J41" s="107">
        <f>SUM(J42:J49)</f>
        <v>1950</v>
      </c>
    </row>
    <row r="42" spans="1:11" ht="14.5" customHeight="1" x14ac:dyDescent="0.35">
      <c r="A42" s="103"/>
      <c r="B42" s="12" t="s">
        <v>7</v>
      </c>
      <c r="C42" s="10" t="s">
        <v>224</v>
      </c>
      <c r="D42" s="152"/>
      <c r="E42" s="166">
        <f>E24</f>
        <v>4</v>
      </c>
      <c r="F42" s="95"/>
      <c r="G42" s="153" t="str">
        <f t="shared" si="1"/>
        <v/>
      </c>
      <c r="H42" s="10" t="s">
        <v>20</v>
      </c>
      <c r="I42" s="331">
        <v>100</v>
      </c>
      <c r="J42" s="12">
        <f t="shared" ref="J42:J49" si="2">E42*I42</f>
        <v>400</v>
      </c>
      <c r="K42" s="13"/>
    </row>
    <row r="43" spans="1:11" hidden="1" x14ac:dyDescent="0.35">
      <c r="A43" s="103"/>
      <c r="B43" s="12" t="s">
        <v>7</v>
      </c>
      <c r="C43" s="10" t="s">
        <v>225</v>
      </c>
      <c r="D43" s="152"/>
      <c r="E43" s="170"/>
      <c r="F43" s="95"/>
      <c r="G43" s="153" t="str">
        <f t="shared" si="1"/>
        <v/>
      </c>
      <c r="H43" s="10" t="s">
        <v>20</v>
      </c>
      <c r="I43" s="331">
        <v>12.2</v>
      </c>
      <c r="J43" s="12">
        <f t="shared" si="2"/>
        <v>0</v>
      </c>
      <c r="K43" s="13"/>
    </row>
    <row r="44" spans="1:11" ht="14.5" hidden="1" customHeight="1" x14ac:dyDescent="0.35">
      <c r="A44" s="103"/>
      <c r="B44" s="12" t="s">
        <v>7</v>
      </c>
      <c r="C44" s="10" t="s">
        <v>226</v>
      </c>
      <c r="D44" s="152"/>
      <c r="E44" s="170"/>
      <c r="F44" s="95"/>
      <c r="G44" s="153" t="str">
        <f t="shared" si="1"/>
        <v/>
      </c>
      <c r="H44" s="10" t="s">
        <v>20</v>
      </c>
      <c r="I44" s="331">
        <v>11</v>
      </c>
      <c r="J44" s="12">
        <f t="shared" si="2"/>
        <v>0</v>
      </c>
      <c r="K44" s="88"/>
    </row>
    <row r="45" spans="1:11" hidden="1" x14ac:dyDescent="0.35">
      <c r="A45" s="103"/>
      <c r="B45" s="12" t="s">
        <v>7</v>
      </c>
      <c r="C45" s="10" t="s">
        <v>227</v>
      </c>
      <c r="D45" s="152"/>
      <c r="E45" s="170"/>
      <c r="F45" s="95"/>
      <c r="G45" s="153" t="str">
        <f t="shared" si="1"/>
        <v/>
      </c>
      <c r="H45" s="10" t="s">
        <v>20</v>
      </c>
      <c r="I45" s="331">
        <v>5</v>
      </c>
      <c r="J45" s="12">
        <f t="shared" si="2"/>
        <v>0</v>
      </c>
      <c r="K45" s="13" t="s">
        <v>47</v>
      </c>
    </row>
    <row r="46" spans="1:11" x14ac:dyDescent="0.35">
      <c r="A46" s="103"/>
      <c r="B46" s="12" t="s">
        <v>7</v>
      </c>
      <c r="C46" s="10" t="s">
        <v>46</v>
      </c>
      <c r="D46" s="152"/>
      <c r="E46" s="170"/>
      <c r="F46" s="95"/>
      <c r="G46" s="153" t="str">
        <f t="shared" si="1"/>
        <v/>
      </c>
      <c r="H46" s="10" t="s">
        <v>20</v>
      </c>
      <c r="I46" s="331">
        <v>5</v>
      </c>
      <c r="J46" s="12">
        <f t="shared" si="2"/>
        <v>0</v>
      </c>
      <c r="K46" s="13"/>
    </row>
    <row r="47" spans="1:11" ht="14.5" hidden="1" customHeight="1" x14ac:dyDescent="0.35">
      <c r="A47" s="103"/>
      <c r="B47" s="12" t="s">
        <v>7</v>
      </c>
      <c r="C47" s="10" t="s">
        <v>228</v>
      </c>
      <c r="D47" s="152"/>
      <c r="E47" s="170"/>
      <c r="F47" s="95"/>
      <c r="G47" s="153" t="str">
        <f t="shared" si="1"/>
        <v/>
      </c>
      <c r="H47" s="10" t="s">
        <v>20</v>
      </c>
      <c r="I47" s="331">
        <v>11</v>
      </c>
      <c r="J47" s="12">
        <f t="shared" si="2"/>
        <v>0</v>
      </c>
      <c r="K47" s="13"/>
    </row>
    <row r="48" spans="1:11" ht="16.399999999999999" customHeight="1" x14ac:dyDescent="0.35">
      <c r="A48" s="103"/>
      <c r="B48" s="12" t="s">
        <v>7</v>
      </c>
      <c r="C48" s="10" t="s">
        <v>229</v>
      </c>
      <c r="D48" s="152"/>
      <c r="E48" s="166">
        <f>E27+E26</f>
        <v>31</v>
      </c>
      <c r="F48" s="95"/>
      <c r="G48" s="153" t="str">
        <f t="shared" si="1"/>
        <v/>
      </c>
      <c r="H48" s="10" t="s">
        <v>20</v>
      </c>
      <c r="I48" s="331">
        <v>50</v>
      </c>
      <c r="J48" s="12">
        <f t="shared" si="2"/>
        <v>1550</v>
      </c>
      <c r="K48" s="13"/>
    </row>
    <row r="49" spans="1:11" hidden="1" x14ac:dyDescent="0.35">
      <c r="A49" s="103"/>
      <c r="B49" s="12" t="s">
        <v>7</v>
      </c>
      <c r="C49" s="78" t="s">
        <v>206</v>
      </c>
      <c r="D49" s="224"/>
      <c r="E49" s="170"/>
      <c r="F49" s="142"/>
      <c r="G49" s="153" t="str">
        <f t="shared" si="1"/>
        <v/>
      </c>
      <c r="H49" s="10" t="s">
        <v>20</v>
      </c>
      <c r="I49" s="333">
        <v>5</v>
      </c>
      <c r="J49" s="12">
        <f t="shared" si="2"/>
        <v>0</v>
      </c>
      <c r="K49" s="13"/>
    </row>
    <row r="50" spans="1:11" ht="14.5" customHeight="1" x14ac:dyDescent="0.35">
      <c r="A50" s="103"/>
      <c r="B50" s="104" t="s">
        <v>230</v>
      </c>
      <c r="C50" s="105"/>
      <c r="D50" s="225"/>
      <c r="E50" s="171"/>
      <c r="F50" s="143"/>
      <c r="G50" s="165" t="str">
        <f t="shared" si="1"/>
        <v/>
      </c>
      <c r="H50" s="105"/>
      <c r="I50" s="106" t="s">
        <v>18</v>
      </c>
      <c r="J50" s="107">
        <f>SUM(J52:J77)</f>
        <v>410.35</v>
      </c>
      <c r="K50" s="13"/>
    </row>
    <row r="51" spans="1:11" ht="14.5" customHeight="1" x14ac:dyDescent="0.35">
      <c r="A51" s="111"/>
      <c r="B51" s="126" t="s">
        <v>231</v>
      </c>
      <c r="C51" s="127"/>
      <c r="D51" s="226"/>
      <c r="E51" s="172"/>
      <c r="F51" s="144"/>
      <c r="G51" s="165" t="str">
        <f t="shared" si="1"/>
        <v/>
      </c>
      <c r="H51" s="127"/>
      <c r="I51" s="239"/>
      <c r="J51" s="128"/>
      <c r="K51" s="13"/>
    </row>
    <row r="52" spans="1:11" ht="14.5" hidden="1" customHeight="1" x14ac:dyDescent="0.35">
      <c r="A52" s="103"/>
      <c r="B52" s="12" t="s">
        <v>13</v>
      </c>
      <c r="C52" s="10" t="s">
        <v>78</v>
      </c>
      <c r="D52" s="152"/>
      <c r="E52" s="170"/>
      <c r="F52" s="95"/>
      <c r="G52" s="153" t="str">
        <f t="shared" si="1"/>
        <v/>
      </c>
      <c r="H52" s="10" t="s">
        <v>20</v>
      </c>
      <c r="I52" s="331">
        <v>13</v>
      </c>
      <c r="J52" s="12">
        <f t="shared" ref="J52:J58" si="3">E52*I52</f>
        <v>0</v>
      </c>
      <c r="K52" s="13"/>
    </row>
    <row r="53" spans="1:11" hidden="1" x14ac:dyDescent="0.35">
      <c r="A53" s="103"/>
      <c r="B53" s="12" t="s">
        <v>13</v>
      </c>
      <c r="C53" s="10" t="s">
        <v>232</v>
      </c>
      <c r="D53" s="152"/>
      <c r="E53" s="170"/>
      <c r="F53" s="95"/>
      <c r="G53" s="153" t="str">
        <f t="shared" si="1"/>
        <v/>
      </c>
      <c r="H53" s="10" t="s">
        <v>20</v>
      </c>
      <c r="I53" s="331">
        <v>13</v>
      </c>
      <c r="J53" s="12">
        <f t="shared" si="3"/>
        <v>0</v>
      </c>
      <c r="K53" s="134"/>
    </row>
    <row r="54" spans="1:11" hidden="1" x14ac:dyDescent="0.35">
      <c r="A54" s="103"/>
      <c r="B54" s="12" t="s">
        <v>13</v>
      </c>
      <c r="C54" s="10" t="s">
        <v>233</v>
      </c>
      <c r="D54" s="152"/>
      <c r="E54" s="170"/>
      <c r="F54" s="95"/>
      <c r="G54" s="153" t="str">
        <f t="shared" si="1"/>
        <v/>
      </c>
      <c r="H54" s="10" t="s">
        <v>20</v>
      </c>
      <c r="I54" s="331">
        <v>8.9</v>
      </c>
      <c r="J54" s="12">
        <f t="shared" si="3"/>
        <v>0</v>
      </c>
      <c r="K54" s="13"/>
    </row>
    <row r="55" spans="1:11" x14ac:dyDescent="0.35">
      <c r="A55" s="103"/>
      <c r="B55" s="12" t="s">
        <v>13</v>
      </c>
      <c r="C55" s="10" t="s">
        <v>32</v>
      </c>
      <c r="D55" s="152">
        <v>6</v>
      </c>
      <c r="E55" s="170">
        <v>13</v>
      </c>
      <c r="F55" s="95"/>
      <c r="G55" s="153" t="str">
        <f t="shared" si="1"/>
        <v/>
      </c>
      <c r="H55" s="10" t="s">
        <v>20</v>
      </c>
      <c r="I55" s="331">
        <v>8.35</v>
      </c>
      <c r="J55" s="12">
        <f t="shared" si="3"/>
        <v>108.55</v>
      </c>
      <c r="K55" s="13"/>
    </row>
    <row r="56" spans="1:11" s="6" customFormat="1" ht="15.65" customHeight="1" x14ac:dyDescent="0.35">
      <c r="A56" s="103"/>
      <c r="B56" s="12" t="s">
        <v>13</v>
      </c>
      <c r="C56" s="10" t="s">
        <v>33</v>
      </c>
      <c r="D56" s="152">
        <v>6</v>
      </c>
      <c r="E56" s="170">
        <v>30</v>
      </c>
      <c r="F56" s="95"/>
      <c r="G56" s="153" t="str">
        <f t="shared" si="1"/>
        <v/>
      </c>
      <c r="H56" s="10" t="s">
        <v>20</v>
      </c>
      <c r="I56" s="331">
        <v>8.9</v>
      </c>
      <c r="J56" s="12">
        <f t="shared" si="3"/>
        <v>267</v>
      </c>
    </row>
    <row r="57" spans="1:11" s="6" customFormat="1" ht="15.65" customHeight="1" x14ac:dyDescent="0.35">
      <c r="A57" s="103"/>
      <c r="B57" s="12" t="s">
        <v>13</v>
      </c>
      <c r="C57" s="10" t="s">
        <v>59</v>
      </c>
      <c r="D57" s="152">
        <v>6</v>
      </c>
      <c r="E57" s="170">
        <v>4</v>
      </c>
      <c r="F57" s="95"/>
      <c r="G57" s="153">
        <f t="shared" si="1"/>
        <v>2</v>
      </c>
      <c r="H57" s="10" t="s">
        <v>20</v>
      </c>
      <c r="I57" s="331">
        <v>8.6999999999999993</v>
      </c>
      <c r="J57" s="12">
        <f t="shared" si="3"/>
        <v>34.799999999999997</v>
      </c>
    </row>
    <row r="58" spans="1:11" ht="14.5" hidden="1" customHeight="1" x14ac:dyDescent="0.35">
      <c r="A58" s="103"/>
      <c r="B58" s="12" t="s">
        <v>13</v>
      </c>
      <c r="C58" s="10" t="s">
        <v>234</v>
      </c>
      <c r="D58" s="152"/>
      <c r="E58" s="170"/>
      <c r="F58" s="95"/>
      <c r="G58" s="153" t="str">
        <f t="shared" si="1"/>
        <v/>
      </c>
      <c r="H58" s="10" t="s">
        <v>20</v>
      </c>
      <c r="I58" s="331">
        <v>12.15</v>
      </c>
      <c r="J58" s="12">
        <f t="shared" si="3"/>
        <v>0</v>
      </c>
      <c r="K58" s="13"/>
    </row>
    <row r="59" spans="1:11" ht="14.5" hidden="1" customHeight="1" x14ac:dyDescent="0.35">
      <c r="A59" s="103"/>
      <c r="B59" s="12" t="s">
        <v>13</v>
      </c>
      <c r="C59" s="10" t="s">
        <v>235</v>
      </c>
      <c r="D59" s="152"/>
      <c r="E59" s="170"/>
      <c r="F59" s="95"/>
      <c r="G59" s="153" t="str">
        <f t="shared" si="1"/>
        <v/>
      </c>
      <c r="H59" s="10" t="s">
        <v>20</v>
      </c>
      <c r="I59" s="331">
        <v>11.35</v>
      </c>
      <c r="J59" s="12">
        <f t="shared" ref="J59:J64" si="4">E59*I59</f>
        <v>0</v>
      </c>
      <c r="K59" s="13"/>
    </row>
    <row r="60" spans="1:11" s="6" customFormat="1" ht="15.65" hidden="1" customHeight="1" x14ac:dyDescent="0.35">
      <c r="A60" s="103"/>
      <c r="B60" s="12" t="s">
        <v>13</v>
      </c>
      <c r="C60" s="10" t="s">
        <v>236</v>
      </c>
      <c r="D60" s="152"/>
      <c r="E60" s="170"/>
      <c r="F60" s="95"/>
      <c r="G60" s="153" t="str">
        <f t="shared" si="1"/>
        <v/>
      </c>
      <c r="H60" s="10" t="s">
        <v>20</v>
      </c>
      <c r="I60" s="331">
        <v>14.65</v>
      </c>
      <c r="J60" s="12">
        <f t="shared" si="4"/>
        <v>0</v>
      </c>
    </row>
    <row r="61" spans="1:11" ht="14.5" hidden="1" customHeight="1" x14ac:dyDescent="0.35">
      <c r="A61" s="103"/>
      <c r="B61" s="12" t="s">
        <v>13</v>
      </c>
      <c r="C61" s="10" t="s">
        <v>237</v>
      </c>
      <c r="D61" s="152"/>
      <c r="E61" s="170"/>
      <c r="F61" s="95"/>
      <c r="G61" s="153" t="str">
        <f t="shared" si="1"/>
        <v/>
      </c>
      <c r="H61" s="10" t="s">
        <v>20</v>
      </c>
      <c r="I61" s="331">
        <v>16.25</v>
      </c>
      <c r="J61" s="12">
        <f t="shared" si="4"/>
        <v>0</v>
      </c>
      <c r="K61" s="13"/>
    </row>
    <row r="62" spans="1:11" s="6" customFormat="1" ht="15.5" hidden="1" x14ac:dyDescent="0.35">
      <c r="A62" s="103"/>
      <c r="B62" s="12" t="s">
        <v>13</v>
      </c>
      <c r="C62" s="10" t="s">
        <v>238</v>
      </c>
      <c r="D62" s="152"/>
      <c r="E62" s="170"/>
      <c r="F62" s="95"/>
      <c r="G62" s="153" t="str">
        <f t="shared" si="1"/>
        <v/>
      </c>
      <c r="H62" s="10" t="s">
        <v>20</v>
      </c>
      <c r="I62" s="331">
        <v>17.899999999999999</v>
      </c>
      <c r="J62" s="12">
        <f t="shared" si="4"/>
        <v>0</v>
      </c>
    </row>
    <row r="63" spans="1:11" hidden="1" x14ac:dyDescent="0.35">
      <c r="A63" s="103"/>
      <c r="B63" s="12" t="s">
        <v>13</v>
      </c>
      <c r="C63" s="10" t="s">
        <v>239</v>
      </c>
      <c r="D63" s="152"/>
      <c r="E63" s="170"/>
      <c r="F63" s="95"/>
      <c r="G63" s="153" t="str">
        <f t="shared" si="1"/>
        <v/>
      </c>
      <c r="H63" s="10" t="s">
        <v>20</v>
      </c>
      <c r="I63" s="331">
        <v>15.95</v>
      </c>
      <c r="J63" s="12">
        <f t="shared" si="4"/>
        <v>0</v>
      </c>
      <c r="K63" s="13"/>
    </row>
    <row r="64" spans="1:11" ht="14.5" hidden="1" customHeight="1" x14ac:dyDescent="0.35">
      <c r="A64" s="103"/>
      <c r="B64" s="12" t="s">
        <v>13</v>
      </c>
      <c r="C64" s="10" t="s">
        <v>240</v>
      </c>
      <c r="D64" s="152"/>
      <c r="E64" s="170"/>
      <c r="F64" s="95"/>
      <c r="G64" s="153" t="str">
        <f t="shared" si="1"/>
        <v/>
      </c>
      <c r="H64" s="10" t="s">
        <v>20</v>
      </c>
      <c r="I64" s="331">
        <v>15.45</v>
      </c>
      <c r="J64" s="12">
        <f t="shared" si="4"/>
        <v>0</v>
      </c>
      <c r="K64" s="13"/>
    </row>
    <row r="65" spans="1:11" s="6" customFormat="1" ht="15.65" hidden="1" customHeight="1" x14ac:dyDescent="0.35">
      <c r="A65" s="111"/>
      <c r="B65" s="126" t="s">
        <v>241</v>
      </c>
      <c r="C65" s="127"/>
      <c r="D65" s="226"/>
      <c r="E65" s="172"/>
      <c r="F65" s="144"/>
      <c r="G65" s="153" t="str">
        <f t="shared" si="1"/>
        <v/>
      </c>
      <c r="H65" s="127"/>
      <c r="I65" s="239"/>
      <c r="J65" s="128"/>
    </row>
    <row r="66" spans="1:11" ht="14.5" hidden="1" customHeight="1" x14ac:dyDescent="0.35">
      <c r="A66" s="103"/>
      <c r="B66" s="12" t="s">
        <v>13</v>
      </c>
      <c r="C66" s="10" t="s">
        <v>242</v>
      </c>
      <c r="D66" s="152"/>
      <c r="E66" s="170"/>
      <c r="F66" s="95"/>
      <c r="G66" s="153" t="str">
        <f t="shared" si="1"/>
        <v/>
      </c>
      <c r="H66" s="10" t="s">
        <v>20</v>
      </c>
      <c r="I66" s="331">
        <v>31.05</v>
      </c>
      <c r="J66" s="12">
        <f t="shared" ref="J66:J72" si="5">E66*I66</f>
        <v>0</v>
      </c>
      <c r="K66" s="13"/>
    </row>
    <row r="67" spans="1:11" ht="14.5" hidden="1" customHeight="1" x14ac:dyDescent="0.35">
      <c r="A67" s="103"/>
      <c r="B67" s="12" t="s">
        <v>13</v>
      </c>
      <c r="C67" s="10" t="s">
        <v>243</v>
      </c>
      <c r="D67" s="152"/>
      <c r="E67" s="170"/>
      <c r="F67" s="95"/>
      <c r="G67" s="153" t="str">
        <f t="shared" si="1"/>
        <v/>
      </c>
      <c r="H67" s="10" t="s">
        <v>20</v>
      </c>
      <c r="I67" s="331">
        <v>60.79</v>
      </c>
      <c r="J67" s="12">
        <f t="shared" si="5"/>
        <v>0</v>
      </c>
      <c r="K67" s="13"/>
    </row>
    <row r="68" spans="1:11" hidden="1" x14ac:dyDescent="0.35">
      <c r="A68" s="103"/>
      <c r="B68" s="12" t="s">
        <v>13</v>
      </c>
      <c r="C68" s="10" t="s">
        <v>244</v>
      </c>
      <c r="D68" s="152"/>
      <c r="E68" s="170"/>
      <c r="F68" s="95"/>
      <c r="G68" s="153" t="str">
        <f t="shared" si="1"/>
        <v/>
      </c>
      <c r="H68" s="10" t="s">
        <v>20</v>
      </c>
      <c r="I68" s="331">
        <v>56.55</v>
      </c>
      <c r="J68" s="12">
        <f t="shared" si="5"/>
        <v>0</v>
      </c>
      <c r="K68" s="13"/>
    </row>
    <row r="69" spans="1:11" hidden="1" x14ac:dyDescent="0.35">
      <c r="A69" s="103"/>
      <c r="B69" s="12" t="s">
        <v>13</v>
      </c>
      <c r="C69" s="10" t="s">
        <v>245</v>
      </c>
      <c r="D69" s="152"/>
      <c r="E69" s="170"/>
      <c r="F69" s="95"/>
      <c r="G69" s="153" t="str">
        <f t="shared" si="1"/>
        <v/>
      </c>
      <c r="H69" s="10" t="s">
        <v>20</v>
      </c>
      <c r="I69" s="331">
        <v>107.44</v>
      </c>
      <c r="J69" s="12">
        <f t="shared" si="5"/>
        <v>0</v>
      </c>
      <c r="K69" s="13"/>
    </row>
    <row r="70" spans="1:11" ht="14.5" hidden="1" customHeight="1" x14ac:dyDescent="0.35">
      <c r="A70" s="103"/>
      <c r="B70" s="12" t="s">
        <v>13</v>
      </c>
      <c r="C70" s="10" t="s">
        <v>246</v>
      </c>
      <c r="D70" s="152"/>
      <c r="E70" s="170"/>
      <c r="F70" s="95"/>
      <c r="G70" s="153" t="str">
        <f t="shared" si="1"/>
        <v/>
      </c>
      <c r="H70" s="10" t="s">
        <v>20</v>
      </c>
      <c r="I70" s="331">
        <v>47.4</v>
      </c>
      <c r="J70" s="12">
        <f t="shared" si="5"/>
        <v>0</v>
      </c>
      <c r="K70" s="13"/>
    </row>
    <row r="71" spans="1:11" ht="15.65" hidden="1" customHeight="1" x14ac:dyDescent="0.35">
      <c r="A71" s="103"/>
      <c r="B71" s="12" t="s">
        <v>13</v>
      </c>
      <c r="C71" s="10" t="s">
        <v>247</v>
      </c>
      <c r="D71" s="152"/>
      <c r="E71" s="170"/>
      <c r="F71" s="95"/>
      <c r="G71" s="153" t="str">
        <f t="shared" si="1"/>
        <v/>
      </c>
      <c r="H71" s="10" t="s">
        <v>20</v>
      </c>
      <c r="I71" s="331">
        <v>87.63</v>
      </c>
      <c r="J71" s="12">
        <f t="shared" si="5"/>
        <v>0</v>
      </c>
      <c r="K71" s="13"/>
    </row>
    <row r="72" spans="1:11" hidden="1" x14ac:dyDescent="0.35">
      <c r="A72" s="103"/>
      <c r="B72" s="12" t="s">
        <v>13</v>
      </c>
      <c r="C72" s="10" t="s">
        <v>248</v>
      </c>
      <c r="D72" s="152"/>
      <c r="E72" s="170"/>
      <c r="F72" s="95"/>
      <c r="G72" s="153" t="str">
        <f t="shared" si="1"/>
        <v/>
      </c>
      <c r="H72" s="10" t="s">
        <v>20</v>
      </c>
      <c r="I72" s="331">
        <v>52.31</v>
      </c>
      <c r="J72" s="12">
        <f t="shared" si="5"/>
        <v>0</v>
      </c>
      <c r="K72" s="13"/>
    </row>
    <row r="73" spans="1:11" ht="16.399999999999999" hidden="1" customHeight="1" x14ac:dyDescent="0.35">
      <c r="A73" s="111"/>
      <c r="B73" s="126" t="s">
        <v>249</v>
      </c>
      <c r="C73" s="127"/>
      <c r="D73" s="226"/>
      <c r="E73" s="172"/>
      <c r="F73" s="144"/>
      <c r="G73" s="153" t="str">
        <f t="shared" si="1"/>
        <v/>
      </c>
      <c r="H73" s="127"/>
      <c r="I73" s="239"/>
      <c r="J73" s="128"/>
      <c r="K73" s="13"/>
    </row>
    <row r="74" spans="1:11" ht="14.5" hidden="1" customHeight="1" x14ac:dyDescent="0.35">
      <c r="A74" s="103"/>
      <c r="B74" s="12" t="s">
        <v>13</v>
      </c>
      <c r="C74" s="10" t="s">
        <v>250</v>
      </c>
      <c r="D74" s="152"/>
      <c r="E74" s="170"/>
      <c r="F74" s="95"/>
      <c r="G74" s="153" t="str">
        <f t="shared" si="1"/>
        <v/>
      </c>
      <c r="H74" s="10" t="s">
        <v>20</v>
      </c>
      <c r="I74" s="331">
        <v>10.8</v>
      </c>
      <c r="J74" s="12">
        <f>E74*I74</f>
        <v>0</v>
      </c>
      <c r="K74" s="13"/>
    </row>
    <row r="75" spans="1:11" ht="14.5" hidden="1" customHeight="1" x14ac:dyDescent="0.35">
      <c r="A75" s="103"/>
      <c r="B75" s="12" t="s">
        <v>13</v>
      </c>
      <c r="C75" s="10" t="s">
        <v>251</v>
      </c>
      <c r="D75" s="152"/>
      <c r="E75" s="170"/>
      <c r="F75" s="95"/>
      <c r="G75" s="153" t="str">
        <f t="shared" si="1"/>
        <v/>
      </c>
      <c r="H75" s="10" t="s">
        <v>20</v>
      </c>
      <c r="I75" s="331">
        <v>11.2</v>
      </c>
      <c r="J75" s="12">
        <f>E75*I75</f>
        <v>0</v>
      </c>
      <c r="K75" s="13"/>
    </row>
    <row r="76" spans="1:11" s="24" customFormat="1" ht="15.65" customHeight="1" x14ac:dyDescent="0.35">
      <c r="A76" s="103"/>
      <c r="B76" s="12" t="s">
        <v>13</v>
      </c>
      <c r="C76" s="10" t="s">
        <v>252</v>
      </c>
      <c r="D76" s="152"/>
      <c r="E76" s="170"/>
      <c r="F76" s="95"/>
      <c r="G76" s="153" t="str">
        <f t="shared" si="1"/>
        <v/>
      </c>
      <c r="H76" s="10" t="s">
        <v>23</v>
      </c>
      <c r="I76" s="331">
        <v>4.5599999999999996</v>
      </c>
      <c r="J76" s="12">
        <f>E76*I76</f>
        <v>0</v>
      </c>
    </row>
    <row r="77" spans="1:11" s="6" customFormat="1" ht="15.65" customHeight="1" x14ac:dyDescent="0.35">
      <c r="A77" s="103"/>
      <c r="B77" s="12" t="s">
        <v>13</v>
      </c>
      <c r="C77" s="10" t="s">
        <v>253</v>
      </c>
      <c r="D77" s="152"/>
      <c r="E77" s="170"/>
      <c r="F77" s="95"/>
      <c r="G77" s="153" t="str">
        <f t="shared" si="1"/>
        <v/>
      </c>
      <c r="H77" s="10" t="s">
        <v>23</v>
      </c>
      <c r="I77" s="331">
        <v>37.700000000000003</v>
      </c>
      <c r="J77" s="12">
        <f>E77*I77</f>
        <v>0</v>
      </c>
    </row>
    <row r="78" spans="1:11" ht="14.5" hidden="1" customHeight="1" x14ac:dyDescent="0.35">
      <c r="A78" s="108" t="s">
        <v>254</v>
      </c>
      <c r="B78" s="108"/>
      <c r="C78" s="108"/>
      <c r="D78" s="223"/>
      <c r="E78" s="169"/>
      <c r="F78" s="109"/>
      <c r="G78" s="153" t="str">
        <f t="shared" si="1"/>
        <v/>
      </c>
      <c r="H78" s="108"/>
      <c r="I78" s="110" t="s">
        <v>18</v>
      </c>
      <c r="J78" s="115">
        <f>SUM(J80:J121)</f>
        <v>0</v>
      </c>
    </row>
    <row r="79" spans="1:11" ht="14.5" hidden="1" customHeight="1" x14ac:dyDescent="0.35">
      <c r="A79" s="111"/>
      <c r="B79" s="126" t="s">
        <v>255</v>
      </c>
      <c r="C79" s="127"/>
      <c r="D79" s="226"/>
      <c r="E79" s="172"/>
      <c r="F79" s="144"/>
      <c r="G79" s="153" t="str">
        <f t="shared" si="1"/>
        <v/>
      </c>
      <c r="H79" s="127"/>
      <c r="I79" s="239"/>
      <c r="J79" s="128"/>
      <c r="K79" s="13"/>
    </row>
    <row r="80" spans="1:11" ht="14.5" hidden="1" customHeight="1" x14ac:dyDescent="0.35">
      <c r="A80" s="103"/>
      <c r="B80" s="12" t="s">
        <v>3</v>
      </c>
      <c r="C80" s="10" t="s">
        <v>256</v>
      </c>
      <c r="D80" s="152"/>
      <c r="E80" s="170"/>
      <c r="F80" s="95"/>
      <c r="G80" s="153" t="str">
        <f t="shared" si="1"/>
        <v/>
      </c>
      <c r="H80" s="10" t="s">
        <v>20</v>
      </c>
      <c r="I80" s="331">
        <v>32.950000000000003</v>
      </c>
      <c r="J80" s="12">
        <f t="shared" ref="J80:J86" si="6">E80*I80</f>
        <v>0</v>
      </c>
      <c r="K80" s="13"/>
    </row>
    <row r="81" spans="1:13" ht="14.5" hidden="1" customHeight="1" x14ac:dyDescent="0.35">
      <c r="A81" s="103"/>
      <c r="B81" s="12" t="s">
        <v>3</v>
      </c>
      <c r="C81" s="10" t="s">
        <v>257</v>
      </c>
      <c r="D81" s="152"/>
      <c r="E81" s="170"/>
      <c r="F81" s="95"/>
      <c r="G81" s="153" t="str">
        <f t="shared" si="1"/>
        <v/>
      </c>
      <c r="H81" s="10" t="s">
        <v>20</v>
      </c>
      <c r="I81" s="331">
        <v>56.95</v>
      </c>
      <c r="J81" s="12">
        <f t="shared" si="6"/>
        <v>0</v>
      </c>
      <c r="K81" s="13" t="s">
        <v>47</v>
      </c>
    </row>
    <row r="82" spans="1:13" ht="14.5" hidden="1" customHeight="1" x14ac:dyDescent="0.35">
      <c r="A82" s="103"/>
      <c r="B82" s="12" t="s">
        <v>3</v>
      </c>
      <c r="C82" s="10" t="s">
        <v>258</v>
      </c>
      <c r="D82" s="152"/>
      <c r="E82" s="170"/>
      <c r="F82" s="95"/>
      <c r="G82" s="153" t="str">
        <f t="shared" si="1"/>
        <v/>
      </c>
      <c r="H82" s="10" t="s">
        <v>20</v>
      </c>
      <c r="I82" s="331">
        <v>15.95</v>
      </c>
      <c r="J82" s="12">
        <f t="shared" si="6"/>
        <v>0</v>
      </c>
    </row>
    <row r="83" spans="1:13" ht="14.5" hidden="1" customHeight="1" x14ac:dyDescent="0.35">
      <c r="A83" s="103"/>
      <c r="B83" s="12" t="s">
        <v>3</v>
      </c>
      <c r="C83" s="10" t="s">
        <v>259</v>
      </c>
      <c r="D83" s="152"/>
      <c r="E83" s="170"/>
      <c r="F83" s="95"/>
      <c r="G83" s="153" t="str">
        <f t="shared" si="1"/>
        <v/>
      </c>
      <c r="H83" s="10" t="s">
        <v>20</v>
      </c>
      <c r="I83" s="331">
        <v>19.95</v>
      </c>
      <c r="J83" s="12">
        <f t="shared" si="6"/>
        <v>0</v>
      </c>
      <c r="K83" s="28"/>
    </row>
    <row r="84" spans="1:13" s="6" customFormat="1" ht="15.65" hidden="1" customHeight="1" x14ac:dyDescent="0.35">
      <c r="A84" s="103"/>
      <c r="B84" s="12" t="s">
        <v>3</v>
      </c>
      <c r="C84" s="10" t="s">
        <v>260</v>
      </c>
      <c r="D84" s="152"/>
      <c r="E84" s="170"/>
      <c r="F84" s="95"/>
      <c r="G84" s="153" t="str">
        <f t="shared" si="1"/>
        <v/>
      </c>
      <c r="H84" s="10" t="s">
        <v>20</v>
      </c>
      <c r="I84" s="331">
        <v>46.95</v>
      </c>
      <c r="J84" s="12">
        <f t="shared" si="6"/>
        <v>0</v>
      </c>
      <c r="K84" s="30"/>
    </row>
    <row r="85" spans="1:13" ht="14.5" hidden="1" customHeight="1" x14ac:dyDescent="0.35">
      <c r="A85" s="103"/>
      <c r="B85" s="12" t="s">
        <v>3</v>
      </c>
      <c r="C85" s="10" t="s">
        <v>261</v>
      </c>
      <c r="D85" s="152"/>
      <c r="E85" s="170"/>
      <c r="F85" s="95"/>
      <c r="G85" s="153" t="str">
        <f t="shared" si="1"/>
        <v/>
      </c>
      <c r="H85" s="10" t="s">
        <v>20</v>
      </c>
      <c r="I85" s="331">
        <v>34.950000000000003</v>
      </c>
      <c r="J85" s="12">
        <f t="shared" si="6"/>
        <v>0</v>
      </c>
      <c r="K85" s="28"/>
    </row>
    <row r="86" spans="1:13" s="6" customFormat="1" ht="15.65" hidden="1" customHeight="1" x14ac:dyDescent="0.35">
      <c r="A86" s="103"/>
      <c r="B86" s="12" t="s">
        <v>3</v>
      </c>
      <c r="C86" s="10" t="s">
        <v>262</v>
      </c>
      <c r="D86" s="152"/>
      <c r="E86" s="170"/>
      <c r="F86" s="95"/>
      <c r="G86" s="153" t="str">
        <f t="shared" si="1"/>
        <v/>
      </c>
      <c r="H86" s="10" t="s">
        <v>20</v>
      </c>
      <c r="I86" s="331">
        <v>24.95</v>
      </c>
      <c r="J86" s="12">
        <f t="shared" si="6"/>
        <v>0</v>
      </c>
    </row>
    <row r="87" spans="1:13" ht="15.5" hidden="1" x14ac:dyDescent="0.35">
      <c r="A87" s="111"/>
      <c r="B87" s="126" t="s">
        <v>263</v>
      </c>
      <c r="C87" s="127"/>
      <c r="D87" s="226"/>
      <c r="E87" s="172"/>
      <c r="F87" s="144"/>
      <c r="G87" s="153" t="str">
        <f t="shared" si="1"/>
        <v/>
      </c>
      <c r="H87" s="127"/>
      <c r="I87" s="239"/>
      <c r="J87" s="128"/>
      <c r="K87" s="28"/>
      <c r="M87" t="s">
        <v>47</v>
      </c>
    </row>
    <row r="88" spans="1:13" hidden="1" x14ac:dyDescent="0.35">
      <c r="A88" s="103"/>
      <c r="B88" s="12" t="s">
        <v>3</v>
      </c>
      <c r="C88" s="10" t="s">
        <v>264</v>
      </c>
      <c r="D88" s="152"/>
      <c r="E88" s="170"/>
      <c r="F88" s="95"/>
      <c r="G88" s="153" t="str">
        <f t="shared" si="1"/>
        <v/>
      </c>
      <c r="H88" s="10" t="s">
        <v>20</v>
      </c>
      <c r="I88" s="331">
        <v>19.5</v>
      </c>
      <c r="J88" s="12">
        <f t="shared" ref="J88:J94" si="7">E88*I88</f>
        <v>0</v>
      </c>
      <c r="K88" s="28"/>
    </row>
    <row r="89" spans="1:13" hidden="1" x14ac:dyDescent="0.35">
      <c r="A89" s="103"/>
      <c r="B89" s="12" t="s">
        <v>3</v>
      </c>
      <c r="C89" s="10" t="s">
        <v>265</v>
      </c>
      <c r="D89" s="152"/>
      <c r="E89" s="170"/>
      <c r="F89" s="95"/>
      <c r="G89" s="153" t="str">
        <f t="shared" ref="G89:G152" si="8">IF(E89="","",IF(D89-E89&gt;0,D89-E89,""))</f>
        <v/>
      </c>
      <c r="H89" s="10" t="s">
        <v>20</v>
      </c>
      <c r="I89" s="331">
        <v>16.95</v>
      </c>
      <c r="J89" s="12">
        <f t="shared" si="7"/>
        <v>0</v>
      </c>
      <c r="K89" s="28"/>
    </row>
    <row r="90" spans="1:13" hidden="1" x14ac:dyDescent="0.35">
      <c r="A90" s="103"/>
      <c r="B90" s="12" t="s">
        <v>3</v>
      </c>
      <c r="C90" s="10" t="s">
        <v>266</v>
      </c>
      <c r="D90" s="152"/>
      <c r="E90" s="170"/>
      <c r="F90" s="95"/>
      <c r="G90" s="153" t="str">
        <f t="shared" si="8"/>
        <v/>
      </c>
      <c r="H90" s="10" t="s">
        <v>20</v>
      </c>
      <c r="I90" s="331">
        <v>17.95</v>
      </c>
      <c r="J90" s="12">
        <f t="shared" si="7"/>
        <v>0</v>
      </c>
      <c r="K90" s="28"/>
    </row>
    <row r="91" spans="1:13" hidden="1" x14ac:dyDescent="0.35">
      <c r="A91" s="103"/>
      <c r="B91" s="12" t="s">
        <v>3</v>
      </c>
      <c r="C91" s="10" t="s">
        <v>267</v>
      </c>
      <c r="D91" s="152"/>
      <c r="E91" s="170"/>
      <c r="F91" s="95"/>
      <c r="G91" s="153" t="str">
        <f t="shared" si="8"/>
        <v/>
      </c>
      <c r="H91" s="10" t="s">
        <v>20</v>
      </c>
      <c r="I91" s="331">
        <v>15.95</v>
      </c>
      <c r="J91" s="12">
        <f t="shared" si="7"/>
        <v>0</v>
      </c>
      <c r="K91" s="28"/>
    </row>
    <row r="92" spans="1:13" s="6" customFormat="1" ht="15.5" hidden="1" x14ac:dyDescent="0.35">
      <c r="A92" s="103"/>
      <c r="B92" s="12" t="s">
        <v>3</v>
      </c>
      <c r="C92" s="10" t="s">
        <v>268</v>
      </c>
      <c r="D92" s="152"/>
      <c r="E92" s="170"/>
      <c r="F92" s="95"/>
      <c r="G92" s="153" t="str">
        <f t="shared" si="8"/>
        <v/>
      </c>
      <c r="H92" s="10" t="s">
        <v>20</v>
      </c>
      <c r="I92" s="331">
        <v>20.95</v>
      </c>
      <c r="J92" s="12">
        <f t="shared" si="7"/>
        <v>0</v>
      </c>
      <c r="K92" s="30"/>
    </row>
    <row r="93" spans="1:13" hidden="1" x14ac:dyDescent="0.35">
      <c r="A93" s="103"/>
      <c r="B93" s="12" t="s">
        <v>3</v>
      </c>
      <c r="C93" s="10" t="s">
        <v>269</v>
      </c>
      <c r="D93" s="152"/>
      <c r="E93" s="170"/>
      <c r="F93" s="95"/>
      <c r="G93" s="153" t="str">
        <f t="shared" si="8"/>
        <v/>
      </c>
      <c r="H93" s="10" t="s">
        <v>20</v>
      </c>
      <c r="I93" s="331">
        <v>26.95</v>
      </c>
      <c r="J93" s="12">
        <f t="shared" si="7"/>
        <v>0</v>
      </c>
      <c r="K93" s="31"/>
    </row>
    <row r="94" spans="1:13" hidden="1" x14ac:dyDescent="0.35">
      <c r="A94" s="103"/>
      <c r="B94" s="12" t="s">
        <v>3</v>
      </c>
      <c r="C94" s="10" t="s">
        <v>270</v>
      </c>
      <c r="D94" s="152"/>
      <c r="E94" s="170"/>
      <c r="F94" s="95"/>
      <c r="G94" s="153" t="str">
        <f t="shared" si="8"/>
        <v/>
      </c>
      <c r="H94" s="10" t="s">
        <v>20</v>
      </c>
      <c r="I94" s="331">
        <v>26.95</v>
      </c>
      <c r="J94" s="12">
        <f t="shared" si="7"/>
        <v>0</v>
      </c>
      <c r="K94" s="31"/>
    </row>
    <row r="95" spans="1:13" s="6" customFormat="1" ht="15.5" hidden="1" x14ac:dyDescent="0.35">
      <c r="A95" s="111"/>
      <c r="B95" s="126" t="s">
        <v>271</v>
      </c>
      <c r="C95" s="127"/>
      <c r="D95" s="226"/>
      <c r="E95" s="172"/>
      <c r="F95" s="144"/>
      <c r="G95" s="153" t="str">
        <f t="shared" si="8"/>
        <v/>
      </c>
      <c r="H95" s="127"/>
      <c r="I95" s="239"/>
      <c r="J95" s="128"/>
      <c r="K95" s="30"/>
    </row>
    <row r="96" spans="1:13" ht="14.15" hidden="1" customHeight="1" x14ac:dyDescent="0.35">
      <c r="A96" s="103"/>
      <c r="B96" s="12" t="s">
        <v>3</v>
      </c>
      <c r="C96" s="10" t="s">
        <v>272</v>
      </c>
      <c r="D96" s="152"/>
      <c r="E96" s="170"/>
      <c r="F96" s="95"/>
      <c r="G96" s="153" t="str">
        <f t="shared" si="8"/>
        <v/>
      </c>
      <c r="H96" s="10" t="s">
        <v>20</v>
      </c>
      <c r="I96" s="331">
        <v>20.95</v>
      </c>
      <c r="J96" s="12">
        <f>E96*I96</f>
        <v>0</v>
      </c>
      <c r="K96" s="28"/>
    </row>
    <row r="97" spans="1:11" hidden="1" x14ac:dyDescent="0.35">
      <c r="A97" s="103"/>
      <c r="B97" s="12" t="s">
        <v>3</v>
      </c>
      <c r="C97" s="10" t="s">
        <v>273</v>
      </c>
      <c r="D97" s="152"/>
      <c r="E97" s="170"/>
      <c r="F97" s="95"/>
      <c r="G97" s="153" t="str">
        <f t="shared" si="8"/>
        <v/>
      </c>
      <c r="H97" s="10" t="s">
        <v>20</v>
      </c>
      <c r="I97" s="331">
        <v>23.95</v>
      </c>
      <c r="J97" s="12">
        <f>E97*I97</f>
        <v>0</v>
      </c>
      <c r="K97" s="28"/>
    </row>
    <row r="98" spans="1:11" s="6" customFormat="1" ht="15.65" hidden="1" customHeight="1" x14ac:dyDescent="0.35">
      <c r="A98" s="103"/>
      <c r="B98" s="12" t="s">
        <v>3</v>
      </c>
      <c r="C98" s="10" t="s">
        <v>274</v>
      </c>
      <c r="D98" s="152"/>
      <c r="E98" s="170"/>
      <c r="F98" s="95"/>
      <c r="G98" s="153" t="str">
        <f t="shared" si="8"/>
        <v/>
      </c>
      <c r="H98" s="10" t="s">
        <v>20</v>
      </c>
      <c r="I98" s="331">
        <v>22.5</v>
      </c>
      <c r="J98" s="12">
        <f>E98*I98</f>
        <v>0</v>
      </c>
      <c r="K98" s="30"/>
    </row>
    <row r="99" spans="1:11" ht="14.5" hidden="1" customHeight="1" x14ac:dyDescent="0.35">
      <c r="A99" s="103"/>
      <c r="B99" s="12" t="s">
        <v>3</v>
      </c>
      <c r="C99" s="10" t="s">
        <v>275</v>
      </c>
      <c r="D99" s="152"/>
      <c r="E99" s="170"/>
      <c r="F99" s="95"/>
      <c r="G99" s="153" t="str">
        <f t="shared" si="8"/>
        <v/>
      </c>
      <c r="H99" s="10" t="s">
        <v>20</v>
      </c>
      <c r="I99" s="331">
        <v>29.95</v>
      </c>
      <c r="J99" s="12">
        <f>E99*I99</f>
        <v>0</v>
      </c>
      <c r="K99" s="31"/>
    </row>
    <row r="100" spans="1:11" s="6" customFormat="1" ht="15.65" hidden="1" customHeight="1" x14ac:dyDescent="0.35">
      <c r="A100" s="111"/>
      <c r="B100" s="126" t="s">
        <v>276</v>
      </c>
      <c r="C100" s="127"/>
      <c r="D100" s="226"/>
      <c r="E100" s="172"/>
      <c r="F100" s="144"/>
      <c r="G100" s="153" t="str">
        <f t="shared" si="8"/>
        <v/>
      </c>
      <c r="H100" s="127"/>
      <c r="I100" s="239"/>
      <c r="J100" s="128"/>
    </row>
    <row r="101" spans="1:11" hidden="1" x14ac:dyDescent="0.35">
      <c r="A101" s="103"/>
      <c r="B101" s="12" t="s">
        <v>3</v>
      </c>
      <c r="C101" s="10" t="s">
        <v>277</v>
      </c>
      <c r="D101" s="152"/>
      <c r="E101" s="170"/>
      <c r="F101" s="95"/>
      <c r="G101" s="153" t="str">
        <f t="shared" si="8"/>
        <v/>
      </c>
      <c r="H101" s="10" t="s">
        <v>20</v>
      </c>
      <c r="I101" s="331">
        <v>17.95</v>
      </c>
      <c r="J101" s="12">
        <f>E101*I101</f>
        <v>0</v>
      </c>
      <c r="K101" s="28"/>
    </row>
    <row r="102" spans="1:11" s="6" customFormat="1" ht="15.5" hidden="1" x14ac:dyDescent="0.35">
      <c r="A102" s="103"/>
      <c r="B102" s="12" t="s">
        <v>3</v>
      </c>
      <c r="C102" s="10" t="s">
        <v>278</v>
      </c>
      <c r="D102" s="152"/>
      <c r="E102" s="170"/>
      <c r="F102" s="95"/>
      <c r="G102" s="153" t="str">
        <f t="shared" si="8"/>
        <v/>
      </c>
      <c r="H102" s="10" t="s">
        <v>20</v>
      </c>
      <c r="I102" s="331">
        <v>20.95</v>
      </c>
      <c r="J102" s="12">
        <f>E102*I102</f>
        <v>0</v>
      </c>
    </row>
    <row r="103" spans="1:11" hidden="1" x14ac:dyDescent="0.35">
      <c r="A103" s="103"/>
      <c r="B103" s="12" t="s">
        <v>3</v>
      </c>
      <c r="C103" s="10" t="s">
        <v>279</v>
      </c>
      <c r="D103" s="152"/>
      <c r="E103" s="170"/>
      <c r="F103" s="95"/>
      <c r="G103" s="153" t="str">
        <f t="shared" si="8"/>
        <v/>
      </c>
      <c r="H103" s="10" t="s">
        <v>20</v>
      </c>
      <c r="I103" s="331">
        <v>19.95</v>
      </c>
      <c r="J103" s="12">
        <f>E103*I103</f>
        <v>0</v>
      </c>
      <c r="K103" s="13"/>
    </row>
    <row r="104" spans="1:11" hidden="1" x14ac:dyDescent="0.35">
      <c r="A104" s="103"/>
      <c r="B104" s="40" t="s">
        <v>3</v>
      </c>
      <c r="C104" s="41" t="s">
        <v>280</v>
      </c>
      <c r="D104" s="227"/>
      <c r="E104" s="170"/>
      <c r="F104" s="145"/>
      <c r="G104" s="153" t="str">
        <f t="shared" si="8"/>
        <v/>
      </c>
      <c r="H104" s="41" t="s">
        <v>20</v>
      </c>
      <c r="I104" s="334">
        <v>59.95</v>
      </c>
      <c r="J104" s="40">
        <f>E104*I104</f>
        <v>0</v>
      </c>
      <c r="K104" s="13"/>
    </row>
    <row r="105" spans="1:11" ht="15.5" hidden="1" x14ac:dyDescent="0.35">
      <c r="A105" s="111"/>
      <c r="B105" s="126" t="s">
        <v>281</v>
      </c>
      <c r="C105" s="127"/>
      <c r="D105" s="226"/>
      <c r="E105" s="172"/>
      <c r="F105" s="144"/>
      <c r="G105" s="153" t="str">
        <f t="shared" si="8"/>
        <v/>
      </c>
      <c r="H105" s="127"/>
      <c r="I105" s="239"/>
      <c r="J105" s="128"/>
      <c r="K105" s="13"/>
    </row>
    <row r="106" spans="1:11" hidden="1" x14ac:dyDescent="0.35">
      <c r="A106" s="103"/>
      <c r="B106" s="12" t="s">
        <v>3</v>
      </c>
      <c r="C106" s="10" t="s">
        <v>282</v>
      </c>
      <c r="D106" s="152"/>
      <c r="E106" s="170"/>
      <c r="F106" s="95"/>
      <c r="G106" s="153" t="str">
        <f t="shared" si="8"/>
        <v/>
      </c>
      <c r="H106" s="10" t="s">
        <v>20</v>
      </c>
      <c r="I106" s="331">
        <v>54.95</v>
      </c>
      <c r="J106" s="12">
        <f>E106*I106</f>
        <v>0</v>
      </c>
      <c r="K106" s="13"/>
    </row>
    <row r="107" spans="1:11" ht="14.5" hidden="1" customHeight="1" x14ac:dyDescent="0.35">
      <c r="A107" s="103"/>
      <c r="B107" s="12" t="s">
        <v>3</v>
      </c>
      <c r="C107" s="10" t="s">
        <v>283</v>
      </c>
      <c r="D107" s="152"/>
      <c r="E107" s="170"/>
      <c r="F107" s="95"/>
      <c r="G107" s="153" t="str">
        <f t="shared" si="8"/>
        <v/>
      </c>
      <c r="H107" s="10" t="s">
        <v>20</v>
      </c>
      <c r="I107" s="331">
        <v>49.95</v>
      </c>
      <c r="J107" s="12">
        <f>E107*I107</f>
        <v>0</v>
      </c>
      <c r="K107" s="13"/>
    </row>
    <row r="108" spans="1:11" ht="14.5" hidden="1" customHeight="1" x14ac:dyDescent="0.35">
      <c r="A108" s="111"/>
      <c r="B108" s="126" t="s">
        <v>284</v>
      </c>
      <c r="C108" s="127"/>
      <c r="D108" s="226"/>
      <c r="E108" s="172"/>
      <c r="F108" s="144"/>
      <c r="G108" s="153" t="str">
        <f t="shared" si="8"/>
        <v/>
      </c>
      <c r="H108" s="127"/>
      <c r="I108" s="239"/>
      <c r="J108" s="128"/>
      <c r="K108" s="13"/>
    </row>
    <row r="109" spans="1:11" ht="14.5" hidden="1" customHeight="1" x14ac:dyDescent="0.35">
      <c r="A109" s="103"/>
      <c r="B109" s="12" t="s">
        <v>3</v>
      </c>
      <c r="C109" s="10" t="s">
        <v>285</v>
      </c>
      <c r="D109" s="152"/>
      <c r="E109" s="170"/>
      <c r="F109" s="95"/>
      <c r="G109" s="153" t="str">
        <f t="shared" si="8"/>
        <v/>
      </c>
      <c r="H109" s="10" t="s">
        <v>20</v>
      </c>
      <c r="I109" s="331">
        <v>41.5</v>
      </c>
      <c r="J109" s="12">
        <f t="shared" ref="J109:J114" si="9">E109*I109</f>
        <v>0</v>
      </c>
      <c r="K109" s="13"/>
    </row>
    <row r="110" spans="1:11" ht="15.65" hidden="1" customHeight="1" x14ac:dyDescent="0.35">
      <c r="A110" s="103"/>
      <c r="B110" s="12" t="s">
        <v>3</v>
      </c>
      <c r="C110" s="10" t="s">
        <v>286</v>
      </c>
      <c r="D110" s="152"/>
      <c r="E110" s="170"/>
      <c r="F110" s="95"/>
      <c r="G110" s="153" t="str">
        <f t="shared" si="8"/>
        <v/>
      </c>
      <c r="H110" s="10" t="s">
        <v>20</v>
      </c>
      <c r="I110" s="331">
        <v>36.200000000000003</v>
      </c>
      <c r="J110" s="12">
        <f t="shared" si="9"/>
        <v>0</v>
      </c>
      <c r="K110" s="13"/>
    </row>
    <row r="111" spans="1:11" hidden="1" x14ac:dyDescent="0.35">
      <c r="A111" s="103"/>
      <c r="B111" s="12" t="s">
        <v>3</v>
      </c>
      <c r="C111" s="10" t="s">
        <v>287</v>
      </c>
      <c r="D111" s="152"/>
      <c r="E111" s="170"/>
      <c r="F111" s="95"/>
      <c r="G111" s="153" t="str">
        <f t="shared" si="8"/>
        <v/>
      </c>
      <c r="H111" s="10" t="s">
        <v>20</v>
      </c>
      <c r="I111" s="331">
        <v>25.95</v>
      </c>
      <c r="J111" s="12">
        <f t="shared" si="9"/>
        <v>0</v>
      </c>
      <c r="K111" s="13"/>
    </row>
    <row r="112" spans="1:11" hidden="1" x14ac:dyDescent="0.35">
      <c r="A112" s="103"/>
      <c r="B112" s="12" t="s">
        <v>3</v>
      </c>
      <c r="C112" s="10" t="s">
        <v>288</v>
      </c>
      <c r="D112" s="152"/>
      <c r="E112" s="170"/>
      <c r="F112" s="95"/>
      <c r="G112" s="153" t="str">
        <f t="shared" si="8"/>
        <v/>
      </c>
      <c r="H112" s="10" t="s">
        <v>20</v>
      </c>
      <c r="I112" s="331">
        <v>32.799999999999997</v>
      </c>
      <c r="J112" s="12">
        <f t="shared" si="9"/>
        <v>0</v>
      </c>
      <c r="K112" s="13"/>
    </row>
    <row r="113" spans="1:11" s="6" customFormat="1" ht="15.5" hidden="1" x14ac:dyDescent="0.35">
      <c r="A113" s="103"/>
      <c r="B113" s="12" t="s">
        <v>3</v>
      </c>
      <c r="C113" s="10" t="s">
        <v>289</v>
      </c>
      <c r="D113" s="152"/>
      <c r="E113" s="170"/>
      <c r="F113" s="95"/>
      <c r="G113" s="153" t="str">
        <f t="shared" si="8"/>
        <v/>
      </c>
      <c r="H113" s="10" t="s">
        <v>20</v>
      </c>
      <c r="I113" s="331">
        <v>29.2</v>
      </c>
      <c r="J113" s="12">
        <f t="shared" si="9"/>
        <v>0</v>
      </c>
    </row>
    <row r="114" spans="1:11" hidden="1" x14ac:dyDescent="0.35">
      <c r="A114" s="103"/>
      <c r="B114" s="12" t="s">
        <v>3</v>
      </c>
      <c r="C114" s="10" t="s">
        <v>290</v>
      </c>
      <c r="D114" s="152"/>
      <c r="E114" s="170"/>
      <c r="F114" s="95"/>
      <c r="G114" s="153" t="str">
        <f t="shared" si="8"/>
        <v/>
      </c>
      <c r="H114" s="10" t="s">
        <v>20</v>
      </c>
      <c r="I114" s="331">
        <v>22.95</v>
      </c>
      <c r="J114" s="12">
        <f t="shared" si="9"/>
        <v>0</v>
      </c>
      <c r="K114" s="13"/>
    </row>
    <row r="115" spans="1:11" ht="15.5" hidden="1" x14ac:dyDescent="0.35">
      <c r="A115" s="111"/>
      <c r="B115" s="126" t="s">
        <v>291</v>
      </c>
      <c r="C115" s="127"/>
      <c r="D115" s="226"/>
      <c r="E115" s="172"/>
      <c r="F115" s="144"/>
      <c r="G115" s="153" t="str">
        <f t="shared" si="8"/>
        <v/>
      </c>
      <c r="H115" s="127"/>
      <c r="I115" s="239"/>
      <c r="J115" s="128"/>
      <c r="K115" s="13"/>
    </row>
    <row r="116" spans="1:11" ht="14.5" hidden="1" customHeight="1" x14ac:dyDescent="0.35">
      <c r="A116" s="103"/>
      <c r="B116" s="12" t="s">
        <v>3</v>
      </c>
      <c r="C116" s="10" t="s">
        <v>292</v>
      </c>
      <c r="D116" s="152"/>
      <c r="E116" s="170"/>
      <c r="F116" s="95"/>
      <c r="G116" s="153" t="str">
        <f t="shared" si="8"/>
        <v/>
      </c>
      <c r="H116" s="10" t="s">
        <v>20</v>
      </c>
      <c r="I116" s="331">
        <v>17.95</v>
      </c>
      <c r="J116" s="12">
        <f t="shared" ref="J116:J121" si="10">E116*I116</f>
        <v>0</v>
      </c>
      <c r="K116" s="13"/>
    </row>
    <row r="117" spans="1:11" ht="14.5" hidden="1" customHeight="1" x14ac:dyDescent="0.35">
      <c r="A117" s="103"/>
      <c r="B117" s="12" t="s">
        <v>3</v>
      </c>
      <c r="C117" s="10" t="s">
        <v>293</v>
      </c>
      <c r="D117" s="152"/>
      <c r="E117" s="170"/>
      <c r="F117" s="95"/>
      <c r="G117" s="153" t="str">
        <f t="shared" si="8"/>
        <v/>
      </c>
      <c r="H117" s="10" t="s">
        <v>20</v>
      </c>
      <c r="I117" s="331">
        <v>12.95</v>
      </c>
      <c r="J117" s="12">
        <f t="shared" si="10"/>
        <v>0</v>
      </c>
      <c r="K117" s="13"/>
    </row>
    <row r="118" spans="1:11" ht="14.5" hidden="1" customHeight="1" x14ac:dyDescent="0.35">
      <c r="A118" s="103"/>
      <c r="B118" s="12" t="s">
        <v>3</v>
      </c>
      <c r="C118" s="10" t="s">
        <v>294</v>
      </c>
      <c r="D118" s="152"/>
      <c r="E118" s="170"/>
      <c r="F118" s="95"/>
      <c r="G118" s="153" t="str">
        <f t="shared" si="8"/>
        <v/>
      </c>
      <c r="H118" s="10" t="s">
        <v>20</v>
      </c>
      <c r="I118" s="331">
        <v>21.95</v>
      </c>
      <c r="J118" s="12">
        <f t="shared" si="10"/>
        <v>0</v>
      </c>
      <c r="K118" s="13"/>
    </row>
    <row r="119" spans="1:11" ht="14.5" hidden="1" customHeight="1" x14ac:dyDescent="0.35">
      <c r="A119" s="103"/>
      <c r="B119" s="12" t="s">
        <v>3</v>
      </c>
      <c r="C119" s="10" t="s">
        <v>295</v>
      </c>
      <c r="D119" s="152"/>
      <c r="E119" s="170"/>
      <c r="F119" s="95"/>
      <c r="G119" s="153" t="str">
        <f t="shared" si="8"/>
        <v/>
      </c>
      <c r="H119" s="10" t="s">
        <v>20</v>
      </c>
      <c r="I119" s="331"/>
      <c r="J119" s="12">
        <f t="shared" si="10"/>
        <v>0</v>
      </c>
      <c r="K119" s="13"/>
    </row>
    <row r="120" spans="1:11" ht="15.65" hidden="1" customHeight="1" x14ac:dyDescent="0.35">
      <c r="A120" s="103"/>
      <c r="B120" s="12" t="s">
        <v>3</v>
      </c>
      <c r="C120" s="10" t="s">
        <v>296</v>
      </c>
      <c r="D120" s="152"/>
      <c r="E120" s="170"/>
      <c r="F120" s="95"/>
      <c r="G120" s="153" t="str">
        <f t="shared" si="8"/>
        <v/>
      </c>
      <c r="H120" s="10" t="s">
        <v>20</v>
      </c>
      <c r="I120" s="331"/>
      <c r="J120" s="12">
        <f t="shared" si="10"/>
        <v>0</v>
      </c>
      <c r="K120" s="13"/>
    </row>
    <row r="121" spans="1:11" ht="15.65" hidden="1" customHeight="1" x14ac:dyDescent="0.35">
      <c r="A121" s="103"/>
      <c r="B121" s="12" t="s">
        <v>3</v>
      </c>
      <c r="C121" s="10" t="s">
        <v>297</v>
      </c>
      <c r="D121" s="152"/>
      <c r="E121" s="170"/>
      <c r="F121" s="95"/>
      <c r="G121" s="153" t="str">
        <f t="shared" si="8"/>
        <v/>
      </c>
      <c r="H121" s="10" t="s">
        <v>20</v>
      </c>
      <c r="I121" s="331">
        <v>22.95</v>
      </c>
      <c r="J121" s="12">
        <f t="shared" si="10"/>
        <v>0</v>
      </c>
      <c r="K121" s="13"/>
    </row>
    <row r="122" spans="1:11" ht="14.5" hidden="1" customHeight="1" x14ac:dyDescent="0.35">
      <c r="A122" s="112" t="s">
        <v>298</v>
      </c>
      <c r="B122" s="116"/>
      <c r="C122" s="116"/>
      <c r="D122" s="228"/>
      <c r="E122" s="173"/>
      <c r="F122" s="146"/>
      <c r="G122" s="153" t="str">
        <f t="shared" si="8"/>
        <v/>
      </c>
      <c r="H122" s="117"/>
      <c r="I122" s="106" t="s">
        <v>18</v>
      </c>
      <c r="J122" s="115">
        <f>SUM(J123:J175)</f>
        <v>2914.0600000000004</v>
      </c>
      <c r="K122" s="13"/>
    </row>
    <row r="123" spans="1:11" ht="14.5" hidden="1" customHeight="1" x14ac:dyDescent="0.35">
      <c r="A123" s="103"/>
      <c r="B123" s="20" t="s">
        <v>4</v>
      </c>
      <c r="C123" s="18" t="s">
        <v>62</v>
      </c>
      <c r="D123" s="229"/>
      <c r="E123" s="170"/>
      <c r="F123" s="147"/>
      <c r="G123" s="153" t="str">
        <f t="shared" si="8"/>
        <v/>
      </c>
      <c r="H123" s="18" t="s">
        <v>20</v>
      </c>
      <c r="I123" s="335">
        <v>7.35</v>
      </c>
      <c r="J123" s="20">
        <f>E123*I123</f>
        <v>0</v>
      </c>
      <c r="K123" s="13"/>
    </row>
    <row r="124" spans="1:11" ht="14.5" hidden="1" customHeight="1" x14ac:dyDescent="0.35">
      <c r="A124" s="103"/>
      <c r="B124" s="20" t="s">
        <v>4</v>
      </c>
      <c r="C124" s="18" t="s">
        <v>60</v>
      </c>
      <c r="D124" s="229"/>
      <c r="E124" s="170"/>
      <c r="F124" s="147"/>
      <c r="G124" s="153" t="str">
        <f t="shared" si="8"/>
        <v/>
      </c>
      <c r="H124" s="18" t="s">
        <v>20</v>
      </c>
      <c r="I124" s="335">
        <v>10.65</v>
      </c>
      <c r="J124" s="20">
        <f>E124*I124</f>
        <v>0</v>
      </c>
      <c r="K124" s="13"/>
    </row>
    <row r="125" spans="1:11" ht="15.65" hidden="1" customHeight="1" x14ac:dyDescent="0.35">
      <c r="A125" s="113" t="s">
        <v>40</v>
      </c>
      <c r="B125" s="124"/>
      <c r="C125" s="124"/>
      <c r="D125" s="230"/>
      <c r="E125" s="174"/>
      <c r="F125" s="148"/>
      <c r="G125" s="153" t="str">
        <f t="shared" si="8"/>
        <v/>
      </c>
      <c r="H125" s="124"/>
      <c r="I125" s="241"/>
      <c r="J125" s="125"/>
      <c r="K125" s="13"/>
    </row>
    <row r="126" spans="1:11" hidden="1" x14ac:dyDescent="0.35">
      <c r="A126" s="103"/>
      <c r="B126" s="20" t="s">
        <v>4</v>
      </c>
      <c r="C126" s="18" t="s">
        <v>299</v>
      </c>
      <c r="D126" s="229"/>
      <c r="E126" s="170"/>
      <c r="F126" s="147"/>
      <c r="G126" s="153" t="str">
        <f t="shared" si="8"/>
        <v/>
      </c>
      <c r="H126" s="18" t="s">
        <v>20</v>
      </c>
      <c r="I126" s="335">
        <v>1.31</v>
      </c>
      <c r="J126" s="12">
        <f t="shared" ref="J126:J137" si="11">E126*I126</f>
        <v>0</v>
      </c>
      <c r="K126" s="13"/>
    </row>
    <row r="127" spans="1:11" hidden="1" x14ac:dyDescent="0.35">
      <c r="A127" s="103"/>
      <c r="B127" s="12" t="s">
        <v>4</v>
      </c>
      <c r="C127" s="10" t="s">
        <v>300</v>
      </c>
      <c r="D127" s="152"/>
      <c r="E127" s="170"/>
      <c r="F127" s="95"/>
      <c r="G127" s="153" t="str">
        <f t="shared" si="8"/>
        <v/>
      </c>
      <c r="H127" s="10" t="s">
        <v>20</v>
      </c>
      <c r="I127" s="331">
        <v>1.31</v>
      </c>
      <c r="J127" s="12">
        <f t="shared" si="11"/>
        <v>0</v>
      </c>
    </row>
    <row r="128" spans="1:11" hidden="1" x14ac:dyDescent="0.35">
      <c r="A128" s="103"/>
      <c r="B128" s="20" t="s">
        <v>4</v>
      </c>
      <c r="C128" s="18" t="s">
        <v>301</v>
      </c>
      <c r="D128" s="229"/>
      <c r="E128" s="170"/>
      <c r="F128" s="147"/>
      <c r="G128" s="153" t="str">
        <f t="shared" si="8"/>
        <v/>
      </c>
      <c r="H128" s="18" t="s">
        <v>20</v>
      </c>
      <c r="I128" s="335">
        <v>1.4039999999999999</v>
      </c>
      <c r="J128" s="12">
        <f t="shared" si="11"/>
        <v>0</v>
      </c>
    </row>
    <row r="129" spans="1:11" hidden="1" x14ac:dyDescent="0.35">
      <c r="A129" s="103"/>
      <c r="B129" s="12" t="s">
        <v>4</v>
      </c>
      <c r="C129" s="10" t="s">
        <v>302</v>
      </c>
      <c r="D129" s="152"/>
      <c r="E129" s="170"/>
      <c r="F129" s="95"/>
      <c r="G129" s="153" t="str">
        <f t="shared" si="8"/>
        <v/>
      </c>
      <c r="H129" s="10" t="s">
        <v>20</v>
      </c>
      <c r="I129" s="331">
        <v>1.4039999999999999</v>
      </c>
      <c r="J129" s="12">
        <f t="shared" si="11"/>
        <v>0</v>
      </c>
    </row>
    <row r="130" spans="1:11" hidden="1" x14ac:dyDescent="0.35">
      <c r="A130" s="103"/>
      <c r="B130" s="12" t="s">
        <v>4</v>
      </c>
      <c r="C130" s="10" t="s">
        <v>303</v>
      </c>
      <c r="D130" s="152"/>
      <c r="E130" s="170"/>
      <c r="F130" s="95"/>
      <c r="G130" s="153" t="str">
        <f t="shared" si="8"/>
        <v/>
      </c>
      <c r="H130" s="10" t="s">
        <v>20</v>
      </c>
      <c r="I130" s="331">
        <v>1.53</v>
      </c>
      <c r="J130" s="12">
        <f t="shared" si="11"/>
        <v>0</v>
      </c>
    </row>
    <row r="131" spans="1:11" hidden="1" x14ac:dyDescent="0.35">
      <c r="A131" s="103"/>
      <c r="B131" s="12" t="s">
        <v>4</v>
      </c>
      <c r="C131" s="10" t="s">
        <v>304</v>
      </c>
      <c r="D131" s="152"/>
      <c r="E131" s="170"/>
      <c r="F131" s="95"/>
      <c r="G131" s="153" t="str">
        <f t="shared" si="8"/>
        <v/>
      </c>
      <c r="H131" s="10" t="s">
        <v>20</v>
      </c>
      <c r="I131" s="331">
        <v>1.65</v>
      </c>
      <c r="J131" s="12">
        <f t="shared" si="11"/>
        <v>0</v>
      </c>
    </row>
    <row r="132" spans="1:11" hidden="1" x14ac:dyDescent="0.35">
      <c r="A132" s="103"/>
      <c r="B132" s="12" t="s">
        <v>4</v>
      </c>
      <c r="C132" s="10" t="s">
        <v>83</v>
      </c>
      <c r="D132" s="152"/>
      <c r="E132" s="170"/>
      <c r="F132" s="95"/>
      <c r="G132" s="153" t="str">
        <f t="shared" si="8"/>
        <v/>
      </c>
      <c r="H132" s="10" t="s">
        <v>20</v>
      </c>
      <c r="I132" s="331">
        <v>1.04</v>
      </c>
      <c r="J132" s="12">
        <f t="shared" si="11"/>
        <v>0</v>
      </c>
    </row>
    <row r="133" spans="1:11" hidden="1" x14ac:dyDescent="0.35">
      <c r="A133" s="103"/>
      <c r="B133" s="12" t="s">
        <v>4</v>
      </c>
      <c r="C133" s="10" t="s">
        <v>305</v>
      </c>
      <c r="D133" s="152"/>
      <c r="E133" s="170"/>
      <c r="F133" s="95"/>
      <c r="G133" s="153" t="str">
        <f t="shared" si="8"/>
        <v/>
      </c>
      <c r="H133" s="10" t="s">
        <v>20</v>
      </c>
      <c r="I133" s="331">
        <v>1.04</v>
      </c>
      <c r="J133" s="12">
        <f t="shared" si="11"/>
        <v>0</v>
      </c>
    </row>
    <row r="134" spans="1:11" ht="14.5" hidden="1" customHeight="1" x14ac:dyDescent="0.35">
      <c r="A134" s="103"/>
      <c r="B134" s="12" t="s">
        <v>4</v>
      </c>
      <c r="C134" s="10" t="s">
        <v>306</v>
      </c>
      <c r="D134" s="152"/>
      <c r="E134" s="170"/>
      <c r="F134" s="95"/>
      <c r="G134" s="153" t="str">
        <f t="shared" si="8"/>
        <v/>
      </c>
      <c r="H134" s="10" t="s">
        <v>20</v>
      </c>
      <c r="I134" s="331">
        <v>1.06</v>
      </c>
      <c r="J134" s="12">
        <f t="shared" si="11"/>
        <v>0</v>
      </c>
    </row>
    <row r="135" spans="1:11" ht="14.5" hidden="1" customHeight="1" x14ac:dyDescent="0.35">
      <c r="A135" s="103"/>
      <c r="B135" s="12" t="s">
        <v>4</v>
      </c>
      <c r="C135" s="10" t="s">
        <v>307</v>
      </c>
      <c r="D135" s="152"/>
      <c r="E135" s="170"/>
      <c r="F135" s="95"/>
      <c r="G135" s="153" t="str">
        <f t="shared" si="8"/>
        <v/>
      </c>
      <c r="H135" s="10" t="s">
        <v>20</v>
      </c>
      <c r="I135" s="331">
        <v>1.06</v>
      </c>
      <c r="J135" s="12">
        <f t="shared" si="11"/>
        <v>0</v>
      </c>
    </row>
    <row r="136" spans="1:11" ht="14.5" hidden="1" customHeight="1" x14ac:dyDescent="0.35">
      <c r="A136" s="103"/>
      <c r="B136" s="12" t="s">
        <v>4</v>
      </c>
      <c r="C136" s="10" t="s">
        <v>308</v>
      </c>
      <c r="D136" s="152"/>
      <c r="E136" s="170"/>
      <c r="F136" s="95"/>
      <c r="G136" s="153" t="str">
        <f t="shared" si="8"/>
        <v/>
      </c>
      <c r="H136" s="10" t="s">
        <v>20</v>
      </c>
      <c r="I136" s="331">
        <v>1.2869999999999999</v>
      </c>
      <c r="J136" s="12">
        <f t="shared" si="11"/>
        <v>0</v>
      </c>
    </row>
    <row r="137" spans="1:11" ht="15.65" hidden="1" customHeight="1" x14ac:dyDescent="0.35">
      <c r="A137" s="103"/>
      <c r="B137" s="12" t="s">
        <v>4</v>
      </c>
      <c r="C137" s="10" t="s">
        <v>309</v>
      </c>
      <c r="D137" s="152"/>
      <c r="E137" s="170"/>
      <c r="F137" s="95"/>
      <c r="G137" s="153" t="str">
        <f t="shared" si="8"/>
        <v/>
      </c>
      <c r="H137" s="10" t="s">
        <v>20</v>
      </c>
      <c r="I137" s="331">
        <v>1.59</v>
      </c>
      <c r="J137" s="12">
        <f t="shared" si="11"/>
        <v>0</v>
      </c>
      <c r="K137" s="13"/>
    </row>
    <row r="138" spans="1:11" hidden="1" x14ac:dyDescent="0.35">
      <c r="A138" s="113" t="s">
        <v>310</v>
      </c>
      <c r="B138" s="124"/>
      <c r="C138" s="124"/>
      <c r="D138" s="230"/>
      <c r="E138" s="174"/>
      <c r="F138" s="148"/>
      <c r="G138" s="153" t="str">
        <f t="shared" si="8"/>
        <v/>
      </c>
      <c r="H138" s="124"/>
      <c r="I138" s="241"/>
      <c r="J138" s="125"/>
    </row>
    <row r="139" spans="1:11" hidden="1" x14ac:dyDescent="0.35">
      <c r="A139" s="103"/>
      <c r="B139" s="12" t="s">
        <v>4</v>
      </c>
      <c r="C139" s="10" t="s">
        <v>311</v>
      </c>
      <c r="D139" s="152"/>
      <c r="E139" s="170"/>
      <c r="F139" s="95"/>
      <c r="G139" s="153" t="str">
        <f t="shared" si="8"/>
        <v/>
      </c>
      <c r="H139" s="10" t="s">
        <v>20</v>
      </c>
      <c r="I139" s="331">
        <v>1.1000000000000001</v>
      </c>
      <c r="J139" s="12">
        <f t="shared" ref="J139:J149" si="12">E139*I139</f>
        <v>0</v>
      </c>
    </row>
    <row r="140" spans="1:11" hidden="1" x14ac:dyDescent="0.35">
      <c r="A140" s="103"/>
      <c r="B140" s="12" t="s">
        <v>4</v>
      </c>
      <c r="C140" s="10" t="s">
        <v>312</v>
      </c>
      <c r="D140" s="152"/>
      <c r="E140" s="170"/>
      <c r="F140" s="95"/>
      <c r="G140" s="153" t="str">
        <f t="shared" si="8"/>
        <v/>
      </c>
      <c r="H140" s="10" t="s">
        <v>20</v>
      </c>
      <c r="I140" s="331">
        <v>1.1000000000000001</v>
      </c>
      <c r="J140" s="12">
        <f t="shared" si="12"/>
        <v>0</v>
      </c>
    </row>
    <row r="141" spans="1:11" hidden="1" x14ac:dyDescent="0.35">
      <c r="A141" s="103"/>
      <c r="B141" s="12" t="s">
        <v>4</v>
      </c>
      <c r="C141" s="10" t="s">
        <v>313</v>
      </c>
      <c r="D141" s="152"/>
      <c r="E141" s="170"/>
      <c r="F141" s="95"/>
      <c r="G141" s="153" t="str">
        <f t="shared" si="8"/>
        <v/>
      </c>
      <c r="H141" s="10" t="s">
        <v>20</v>
      </c>
      <c r="I141" s="331">
        <v>1.3</v>
      </c>
      <c r="J141" s="12">
        <f t="shared" si="12"/>
        <v>0</v>
      </c>
    </row>
    <row r="142" spans="1:11" ht="14.5" hidden="1" customHeight="1" x14ac:dyDescent="0.35">
      <c r="A142" s="103"/>
      <c r="B142" s="12" t="s">
        <v>4</v>
      </c>
      <c r="C142" s="10" t="s">
        <v>314</v>
      </c>
      <c r="D142" s="152"/>
      <c r="E142" s="170"/>
      <c r="F142" s="95"/>
      <c r="G142" s="153" t="str">
        <f t="shared" si="8"/>
        <v/>
      </c>
      <c r="H142" s="10" t="s">
        <v>20</v>
      </c>
      <c r="I142" s="331">
        <v>1.36</v>
      </c>
      <c r="J142" s="12">
        <f t="shared" si="12"/>
        <v>0</v>
      </c>
    </row>
    <row r="143" spans="1:11" ht="14.5" hidden="1" customHeight="1" x14ac:dyDescent="0.35">
      <c r="A143" s="103"/>
      <c r="B143" s="12" t="s">
        <v>4</v>
      </c>
      <c r="C143" s="10" t="s">
        <v>315</v>
      </c>
      <c r="D143" s="152"/>
      <c r="E143" s="170"/>
      <c r="F143" s="95"/>
      <c r="G143" s="153" t="str">
        <f t="shared" si="8"/>
        <v/>
      </c>
      <c r="H143" s="10" t="s">
        <v>20</v>
      </c>
      <c r="I143" s="331">
        <v>1.3</v>
      </c>
      <c r="J143" s="12">
        <f t="shared" si="12"/>
        <v>0</v>
      </c>
    </row>
    <row r="144" spans="1:11" ht="15.65" hidden="1" customHeight="1" x14ac:dyDescent="0.35">
      <c r="A144" s="103"/>
      <c r="B144" s="12" t="s">
        <v>4</v>
      </c>
      <c r="C144" s="10" t="s">
        <v>316</v>
      </c>
      <c r="D144" s="152"/>
      <c r="E144" s="170"/>
      <c r="F144" s="95"/>
      <c r="G144" s="153" t="str">
        <f t="shared" si="8"/>
        <v/>
      </c>
      <c r="H144" s="10" t="s">
        <v>20</v>
      </c>
      <c r="I144" s="331">
        <v>1.35</v>
      </c>
      <c r="J144" s="12">
        <f t="shared" si="12"/>
        <v>0</v>
      </c>
      <c r="K144" s="13"/>
    </row>
    <row r="145" spans="1:11" hidden="1" x14ac:dyDescent="0.35">
      <c r="A145" s="103"/>
      <c r="B145" s="12" t="s">
        <v>4</v>
      </c>
      <c r="C145" s="10" t="s">
        <v>317</v>
      </c>
      <c r="D145" s="152"/>
      <c r="E145" s="170"/>
      <c r="F145" s="95"/>
      <c r="G145" s="153" t="str">
        <f t="shared" si="8"/>
        <v/>
      </c>
      <c r="H145" s="10" t="s">
        <v>20</v>
      </c>
      <c r="I145" s="331">
        <v>1.28</v>
      </c>
      <c r="J145" s="12">
        <f t="shared" si="12"/>
        <v>0</v>
      </c>
    </row>
    <row r="146" spans="1:11" hidden="1" x14ac:dyDescent="0.35">
      <c r="A146" s="103"/>
      <c r="B146" s="12" t="s">
        <v>4</v>
      </c>
      <c r="C146" s="10" t="s">
        <v>318</v>
      </c>
      <c r="D146" s="152"/>
      <c r="E146" s="170"/>
      <c r="F146" s="95"/>
      <c r="G146" s="153" t="str">
        <f t="shared" si="8"/>
        <v/>
      </c>
      <c r="H146" s="10" t="s">
        <v>20</v>
      </c>
      <c r="I146" s="331">
        <v>1.1000000000000001</v>
      </c>
      <c r="J146" s="12">
        <f t="shared" si="12"/>
        <v>0</v>
      </c>
    </row>
    <row r="147" spans="1:11" hidden="1" x14ac:dyDescent="0.35">
      <c r="A147" s="103"/>
      <c r="B147" s="12" t="s">
        <v>4</v>
      </c>
      <c r="C147" s="10" t="s">
        <v>319</v>
      </c>
      <c r="D147" s="152"/>
      <c r="E147" s="170"/>
      <c r="F147" s="95"/>
      <c r="G147" s="153" t="str">
        <f t="shared" si="8"/>
        <v/>
      </c>
      <c r="H147" s="10" t="s">
        <v>20</v>
      </c>
      <c r="I147" s="331">
        <v>1.1000000000000001</v>
      </c>
      <c r="J147" s="12">
        <f t="shared" si="12"/>
        <v>0</v>
      </c>
    </row>
    <row r="148" spans="1:11" hidden="1" x14ac:dyDescent="0.35">
      <c r="A148" s="103"/>
      <c r="B148" s="12" t="s">
        <v>4</v>
      </c>
      <c r="C148" s="10" t="s">
        <v>320</v>
      </c>
      <c r="D148" s="152"/>
      <c r="E148" s="170"/>
      <c r="F148" s="95"/>
      <c r="G148" s="153" t="str">
        <f t="shared" si="8"/>
        <v/>
      </c>
      <c r="H148" s="10" t="s">
        <v>20</v>
      </c>
      <c r="I148" s="331">
        <v>1.1000000000000001</v>
      </c>
      <c r="J148" s="12">
        <f t="shared" si="12"/>
        <v>0</v>
      </c>
    </row>
    <row r="149" spans="1:11" hidden="1" x14ac:dyDescent="0.35">
      <c r="A149" s="103"/>
      <c r="B149" s="12" t="s">
        <v>4</v>
      </c>
      <c r="C149" s="10" t="s">
        <v>321</v>
      </c>
      <c r="D149" s="152"/>
      <c r="E149" s="170"/>
      <c r="F149" s="95"/>
      <c r="G149" s="153" t="str">
        <f t="shared" si="8"/>
        <v/>
      </c>
      <c r="H149" s="10" t="s">
        <v>20</v>
      </c>
      <c r="I149" s="331">
        <v>1.1000000000000001</v>
      </c>
      <c r="J149" s="12">
        <f t="shared" si="12"/>
        <v>0</v>
      </c>
    </row>
    <row r="150" spans="1:11" x14ac:dyDescent="0.35">
      <c r="A150" s="113" t="s">
        <v>41</v>
      </c>
      <c r="B150" s="124"/>
      <c r="C150" s="124"/>
      <c r="D150" s="230"/>
      <c r="E150" s="174"/>
      <c r="F150" s="148"/>
      <c r="G150" s="165" t="str">
        <f t="shared" si="8"/>
        <v/>
      </c>
      <c r="H150" s="124"/>
      <c r="I150" s="241"/>
      <c r="J150" s="125"/>
    </row>
    <row r="151" spans="1:11" x14ac:dyDescent="0.35">
      <c r="A151" s="103"/>
      <c r="B151" s="12" t="s">
        <v>4</v>
      </c>
      <c r="C151" s="10" t="s">
        <v>24</v>
      </c>
      <c r="D151" s="152">
        <v>30</v>
      </c>
      <c r="E151" s="170">
        <f>27*6+12</f>
        <v>174</v>
      </c>
      <c r="F151" s="95"/>
      <c r="G151" s="153" t="str">
        <f t="shared" si="8"/>
        <v/>
      </c>
      <c r="H151" s="10" t="s">
        <v>20</v>
      </c>
      <c r="I151" s="331">
        <v>3.04</v>
      </c>
      <c r="J151" s="12">
        <f t="shared" ref="J151:J164" si="13">E151*I151</f>
        <v>528.96</v>
      </c>
      <c r="K151" s="13"/>
    </row>
    <row r="152" spans="1:11" x14ac:dyDescent="0.35">
      <c r="A152" s="103"/>
      <c r="B152" s="12" t="s">
        <v>4</v>
      </c>
      <c r="C152" s="10" t="s">
        <v>80</v>
      </c>
      <c r="D152" s="152">
        <v>60</v>
      </c>
      <c r="E152" s="170">
        <f>45*6+30</f>
        <v>300</v>
      </c>
      <c r="F152" s="95"/>
      <c r="G152" s="153" t="str">
        <f t="shared" si="8"/>
        <v/>
      </c>
      <c r="H152" s="10" t="s">
        <v>20</v>
      </c>
      <c r="I152" s="331">
        <v>2.31</v>
      </c>
      <c r="J152" s="12">
        <f t="shared" si="13"/>
        <v>693</v>
      </c>
    </row>
    <row r="153" spans="1:11" ht="15.65" customHeight="1" x14ac:dyDescent="0.35">
      <c r="A153" s="103"/>
      <c r="B153" s="12" t="s">
        <v>4</v>
      </c>
      <c r="C153" s="10" t="s">
        <v>84</v>
      </c>
      <c r="D153" s="152">
        <v>30</v>
      </c>
      <c r="E153" s="170">
        <v>50</v>
      </c>
      <c r="F153" s="95"/>
      <c r="G153" s="153" t="str">
        <f t="shared" ref="G153:G223" si="14">IF(E153="","",IF(D153-E153&gt;0,D153-E153,""))</f>
        <v/>
      </c>
      <c r="H153" s="10" t="s">
        <v>20</v>
      </c>
      <c r="I153" s="331">
        <v>2.31</v>
      </c>
      <c r="J153" s="12">
        <f t="shared" si="13"/>
        <v>115.5</v>
      </c>
    </row>
    <row r="154" spans="1:11" ht="14.5" hidden="1" customHeight="1" x14ac:dyDescent="0.35">
      <c r="A154" s="103"/>
      <c r="B154" s="12" t="s">
        <v>4</v>
      </c>
      <c r="C154" s="10" t="s">
        <v>394</v>
      </c>
      <c r="D154" s="152"/>
      <c r="E154" s="170"/>
      <c r="F154" s="95"/>
      <c r="G154" s="153" t="str">
        <f t="shared" si="14"/>
        <v/>
      </c>
      <c r="H154" s="10" t="s">
        <v>20</v>
      </c>
      <c r="I154" s="331">
        <v>2.54</v>
      </c>
      <c r="J154" s="12">
        <f t="shared" si="13"/>
        <v>0</v>
      </c>
    </row>
    <row r="155" spans="1:11" ht="14.5" hidden="1" customHeight="1" x14ac:dyDescent="0.35">
      <c r="A155" s="103"/>
      <c r="B155" s="12" t="s">
        <v>4</v>
      </c>
      <c r="C155" s="10" t="s">
        <v>394</v>
      </c>
      <c r="D155" s="152"/>
      <c r="E155" s="170"/>
      <c r="F155" s="95"/>
      <c r="G155" s="153" t="str">
        <f t="shared" si="14"/>
        <v/>
      </c>
      <c r="H155" s="10" t="s">
        <v>20</v>
      </c>
      <c r="I155" s="331">
        <v>2.54</v>
      </c>
      <c r="J155" s="12">
        <f t="shared" si="13"/>
        <v>0</v>
      </c>
    </row>
    <row r="156" spans="1:11" ht="14.5" customHeight="1" x14ac:dyDescent="0.35">
      <c r="A156" s="103"/>
      <c r="B156" s="12" t="s">
        <v>4</v>
      </c>
      <c r="C156" s="10" t="s">
        <v>25</v>
      </c>
      <c r="D156" s="152">
        <v>30</v>
      </c>
      <c r="E156" s="170">
        <v>5</v>
      </c>
      <c r="F156" s="95"/>
      <c r="G156" s="153">
        <f t="shared" si="14"/>
        <v>25</v>
      </c>
      <c r="H156" s="10" t="s">
        <v>20</v>
      </c>
      <c r="I156" s="331">
        <v>1.79</v>
      </c>
      <c r="J156" s="12">
        <f t="shared" si="13"/>
        <v>8.9499999999999993</v>
      </c>
      <c r="K156" s="13"/>
    </row>
    <row r="157" spans="1:11" ht="15.65" hidden="1" customHeight="1" x14ac:dyDescent="0.35">
      <c r="A157" s="103"/>
      <c r="B157" s="12" t="s">
        <v>4</v>
      </c>
      <c r="C157" s="10" t="s">
        <v>322</v>
      </c>
      <c r="D157" s="152"/>
      <c r="E157" s="170"/>
      <c r="F157" s="95"/>
      <c r="G157" s="153" t="str">
        <f t="shared" si="14"/>
        <v/>
      </c>
      <c r="H157" s="10" t="s">
        <v>20</v>
      </c>
      <c r="I157" s="331">
        <v>2.46</v>
      </c>
      <c r="J157" s="12">
        <f t="shared" si="13"/>
        <v>0</v>
      </c>
    </row>
    <row r="158" spans="1:11" x14ac:dyDescent="0.35">
      <c r="A158" s="103"/>
      <c r="B158" s="12" t="s">
        <v>4</v>
      </c>
      <c r="C158" s="10" t="s">
        <v>393</v>
      </c>
      <c r="D158" s="152">
        <v>60</v>
      </c>
      <c r="E158" s="170">
        <f>36*6+15</f>
        <v>231</v>
      </c>
      <c r="F158" s="95"/>
      <c r="G158" s="153" t="str">
        <f t="shared" si="14"/>
        <v/>
      </c>
      <c r="H158" s="10" t="s">
        <v>20</v>
      </c>
      <c r="I158" s="331">
        <v>2.46</v>
      </c>
      <c r="J158" s="12">
        <f t="shared" si="13"/>
        <v>568.26</v>
      </c>
    </row>
    <row r="159" spans="1:11" hidden="1" x14ac:dyDescent="0.35">
      <c r="A159" s="103"/>
      <c r="B159" s="12" t="s">
        <v>4</v>
      </c>
      <c r="C159" s="10" t="s">
        <v>43</v>
      </c>
      <c r="D159" s="152"/>
      <c r="E159" s="170"/>
      <c r="F159" s="95"/>
      <c r="G159" s="153" t="str">
        <f t="shared" si="14"/>
        <v/>
      </c>
      <c r="H159" s="10" t="s">
        <v>20</v>
      </c>
      <c r="I159" s="331">
        <v>2.5499999999999998</v>
      </c>
      <c r="J159" s="12">
        <f t="shared" si="13"/>
        <v>0</v>
      </c>
    </row>
    <row r="160" spans="1:11" ht="14.5" customHeight="1" x14ac:dyDescent="0.35">
      <c r="A160" s="103"/>
      <c r="B160" s="12" t="s">
        <v>4</v>
      </c>
      <c r="C160" s="10" t="s">
        <v>81</v>
      </c>
      <c r="D160" s="152">
        <v>60</v>
      </c>
      <c r="E160" s="170">
        <f>66*6+13</f>
        <v>409</v>
      </c>
      <c r="F160" s="95"/>
      <c r="G160" s="153" t="str">
        <f t="shared" si="14"/>
        <v/>
      </c>
      <c r="H160" s="10" t="s">
        <v>20</v>
      </c>
      <c r="I160" s="331">
        <v>1.51</v>
      </c>
      <c r="J160" s="12">
        <f t="shared" si="13"/>
        <v>617.59</v>
      </c>
      <c r="K160" s="13"/>
    </row>
    <row r="161" spans="1:11" ht="15.65" customHeight="1" x14ac:dyDescent="0.35">
      <c r="A161" s="103"/>
      <c r="B161" s="12" t="s">
        <v>4</v>
      </c>
      <c r="C161" s="10" t="s">
        <v>82</v>
      </c>
      <c r="D161" s="152">
        <v>60</v>
      </c>
      <c r="E161" s="170">
        <f>38*6+12</f>
        <v>240</v>
      </c>
      <c r="F161" s="95"/>
      <c r="G161" s="153" t="str">
        <f t="shared" si="14"/>
        <v/>
      </c>
      <c r="H161" s="10" t="s">
        <v>20</v>
      </c>
      <c r="I161" s="331">
        <v>1.51</v>
      </c>
      <c r="J161" s="12">
        <f t="shared" si="13"/>
        <v>362.4</v>
      </c>
    </row>
    <row r="162" spans="1:11" hidden="1" x14ac:dyDescent="0.35">
      <c r="A162" s="103"/>
      <c r="B162" s="12" t="s">
        <v>4</v>
      </c>
      <c r="C162" s="10" t="s">
        <v>323</v>
      </c>
      <c r="D162" s="152"/>
      <c r="E162" s="170"/>
      <c r="F162" s="95"/>
      <c r="G162" s="153" t="str">
        <f t="shared" si="14"/>
        <v/>
      </c>
      <c r="H162" s="10" t="s">
        <v>20</v>
      </c>
      <c r="I162" s="331">
        <v>1.54</v>
      </c>
      <c r="J162" s="12">
        <f t="shared" si="13"/>
        <v>0</v>
      </c>
    </row>
    <row r="163" spans="1:11" ht="14.5" hidden="1" customHeight="1" x14ac:dyDescent="0.35">
      <c r="A163" s="103"/>
      <c r="B163" s="12" t="s">
        <v>4</v>
      </c>
      <c r="C163" s="10" t="s">
        <v>324</v>
      </c>
      <c r="D163" s="152"/>
      <c r="E163" s="170"/>
      <c r="F163" s="95"/>
      <c r="G163" s="153" t="str">
        <f t="shared" si="14"/>
        <v/>
      </c>
      <c r="H163" s="10" t="s">
        <v>20</v>
      </c>
      <c r="I163" s="331">
        <v>1.6</v>
      </c>
      <c r="J163" s="12">
        <f t="shared" si="13"/>
        <v>0</v>
      </c>
    </row>
    <row r="164" spans="1:11" ht="14.5" hidden="1" customHeight="1" x14ac:dyDescent="0.35">
      <c r="A164" s="103"/>
      <c r="B164" s="12" t="s">
        <v>4</v>
      </c>
      <c r="C164" s="78" t="s">
        <v>325</v>
      </c>
      <c r="D164" s="224"/>
      <c r="E164" s="170"/>
      <c r="F164" s="142"/>
      <c r="G164" s="153" t="str">
        <f t="shared" si="14"/>
        <v/>
      </c>
      <c r="H164" s="10" t="s">
        <v>20</v>
      </c>
      <c r="I164" s="333">
        <v>49.95</v>
      </c>
      <c r="J164" s="12">
        <f t="shared" si="13"/>
        <v>0</v>
      </c>
    </row>
    <row r="165" spans="1:11" ht="14.5" customHeight="1" x14ac:dyDescent="0.35">
      <c r="A165" s="113" t="s">
        <v>44</v>
      </c>
      <c r="B165" s="124"/>
      <c r="C165" s="124"/>
      <c r="D165" s="230"/>
      <c r="E165" s="174"/>
      <c r="F165" s="148"/>
      <c r="G165" s="165" t="str">
        <f t="shared" si="14"/>
        <v/>
      </c>
      <c r="H165" s="124"/>
      <c r="I165" s="241"/>
      <c r="J165" s="125"/>
    </row>
    <row r="166" spans="1:11" x14ac:dyDescent="0.35">
      <c r="A166" s="103"/>
      <c r="B166" s="12" t="s">
        <v>4</v>
      </c>
      <c r="C166" s="10" t="s">
        <v>48</v>
      </c>
      <c r="D166" s="152">
        <v>10</v>
      </c>
      <c r="E166" s="170"/>
      <c r="F166" s="95"/>
      <c r="G166" s="153" t="str">
        <f t="shared" si="14"/>
        <v/>
      </c>
      <c r="H166" s="10" t="s">
        <v>20</v>
      </c>
      <c r="I166" s="331">
        <v>1.94</v>
      </c>
      <c r="J166" s="12">
        <f t="shared" ref="J166:J175" si="15">E166*I166</f>
        <v>0</v>
      </c>
    </row>
    <row r="167" spans="1:11" x14ac:dyDescent="0.35">
      <c r="A167" s="103"/>
      <c r="B167" s="12" t="s">
        <v>4</v>
      </c>
      <c r="C167" s="10" t="s">
        <v>49</v>
      </c>
      <c r="D167" s="152">
        <v>10</v>
      </c>
      <c r="E167" s="170">
        <v>10</v>
      </c>
      <c r="F167" s="95"/>
      <c r="G167" s="153" t="str">
        <f t="shared" si="14"/>
        <v/>
      </c>
      <c r="H167" s="10" t="s">
        <v>20</v>
      </c>
      <c r="I167" s="331">
        <v>1.94</v>
      </c>
      <c r="J167" s="12">
        <f t="shared" si="15"/>
        <v>19.399999999999999</v>
      </c>
    </row>
    <row r="168" spans="1:11" x14ac:dyDescent="0.35">
      <c r="A168" s="103"/>
      <c r="B168" s="12" t="s">
        <v>4</v>
      </c>
      <c r="C168" s="10" t="s">
        <v>50</v>
      </c>
      <c r="D168" s="152">
        <v>10</v>
      </c>
      <c r="E168" s="170"/>
      <c r="F168" s="95"/>
      <c r="G168" s="153" t="str">
        <f t="shared" si="14"/>
        <v/>
      </c>
      <c r="H168" s="10" t="s">
        <v>20</v>
      </c>
      <c r="I168" s="331">
        <v>1.94</v>
      </c>
      <c r="J168" s="12">
        <f t="shared" si="15"/>
        <v>0</v>
      </c>
    </row>
    <row r="169" spans="1:11" hidden="1" x14ac:dyDescent="0.35">
      <c r="A169" s="103"/>
      <c r="B169" s="12" t="s">
        <v>4</v>
      </c>
      <c r="C169" s="10" t="s">
        <v>415</v>
      </c>
      <c r="D169" s="152"/>
      <c r="E169" s="170"/>
      <c r="F169" s="95"/>
      <c r="G169" s="153" t="str">
        <f t="shared" si="14"/>
        <v/>
      </c>
      <c r="H169" s="10" t="s">
        <v>20</v>
      </c>
      <c r="I169" s="331">
        <v>1.98</v>
      </c>
      <c r="J169" s="12">
        <f t="shared" si="15"/>
        <v>0</v>
      </c>
    </row>
    <row r="170" spans="1:11" ht="14.5" hidden="1" customHeight="1" x14ac:dyDescent="0.35">
      <c r="A170" s="103"/>
      <c r="B170" s="12" t="s">
        <v>4</v>
      </c>
      <c r="C170" s="10" t="s">
        <v>414</v>
      </c>
      <c r="D170" s="152"/>
      <c r="E170" s="170"/>
      <c r="F170" s="95"/>
      <c r="G170" s="153" t="str">
        <f t="shared" si="14"/>
        <v/>
      </c>
      <c r="H170" s="10" t="s">
        <v>20</v>
      </c>
      <c r="I170" s="331">
        <v>1.98</v>
      </c>
      <c r="J170" s="12">
        <f t="shared" si="15"/>
        <v>0</v>
      </c>
    </row>
    <row r="171" spans="1:11" ht="14.5" hidden="1" customHeight="1" x14ac:dyDescent="0.35">
      <c r="A171" s="103"/>
      <c r="B171" s="12" t="s">
        <v>4</v>
      </c>
      <c r="C171" s="10" t="s">
        <v>328</v>
      </c>
      <c r="D171" s="152"/>
      <c r="E171" s="170"/>
      <c r="F171" s="95"/>
      <c r="G171" s="153" t="str">
        <f t="shared" si="14"/>
        <v/>
      </c>
      <c r="H171" s="10" t="s">
        <v>20</v>
      </c>
      <c r="I171" s="331">
        <v>1.98</v>
      </c>
      <c r="J171" s="12">
        <f t="shared" si="15"/>
        <v>0</v>
      </c>
    </row>
    <row r="172" spans="1:11" hidden="1" x14ac:dyDescent="0.35">
      <c r="A172" s="103"/>
      <c r="B172" s="12" t="s">
        <v>4</v>
      </c>
      <c r="C172" s="10" t="s">
        <v>329</v>
      </c>
      <c r="D172" s="152"/>
      <c r="E172" s="170"/>
      <c r="F172" s="95"/>
      <c r="G172" s="153" t="str">
        <f t="shared" si="14"/>
        <v/>
      </c>
      <c r="H172" s="10" t="s">
        <v>20</v>
      </c>
      <c r="I172" s="331">
        <v>1.98</v>
      </c>
      <c r="J172" s="12">
        <f t="shared" si="15"/>
        <v>0</v>
      </c>
    </row>
    <row r="173" spans="1:11" ht="14.5" hidden="1" customHeight="1" x14ac:dyDescent="0.35">
      <c r="A173" s="103"/>
      <c r="B173" s="40" t="s">
        <v>4</v>
      </c>
      <c r="C173" s="41" t="s">
        <v>330</v>
      </c>
      <c r="D173" s="227"/>
      <c r="E173" s="170"/>
      <c r="F173" s="145"/>
      <c r="G173" s="153" t="str">
        <f t="shared" si="14"/>
        <v/>
      </c>
      <c r="H173" s="10" t="s">
        <v>20</v>
      </c>
      <c r="I173" s="331">
        <v>1.98</v>
      </c>
      <c r="J173" s="12">
        <f t="shared" si="15"/>
        <v>0</v>
      </c>
    </row>
    <row r="174" spans="1:11" ht="14.5" hidden="1" customHeight="1" x14ac:dyDescent="0.35">
      <c r="A174" s="103"/>
      <c r="B174" s="40" t="s">
        <v>4</v>
      </c>
      <c r="C174" s="41" t="s">
        <v>331</v>
      </c>
      <c r="D174" s="227"/>
      <c r="E174" s="170"/>
      <c r="F174" s="145"/>
      <c r="G174" s="153" t="str">
        <f t="shared" si="14"/>
        <v/>
      </c>
      <c r="H174" s="10" t="s">
        <v>20</v>
      </c>
      <c r="I174" s="331">
        <v>1.98</v>
      </c>
      <c r="J174" s="12">
        <f t="shared" si="15"/>
        <v>0</v>
      </c>
    </row>
    <row r="175" spans="1:11" ht="14.5" hidden="1" customHeight="1" x14ac:dyDescent="0.35">
      <c r="A175" s="103"/>
      <c r="B175" s="40" t="s">
        <v>4</v>
      </c>
      <c r="C175" s="41" t="s">
        <v>413</v>
      </c>
      <c r="D175" s="227"/>
      <c r="E175" s="170"/>
      <c r="F175" s="145"/>
      <c r="G175" s="153" t="str">
        <f t="shared" si="14"/>
        <v/>
      </c>
      <c r="H175" s="41" t="s">
        <v>20</v>
      </c>
      <c r="I175" s="334">
        <v>1.98</v>
      </c>
      <c r="J175" s="12">
        <f t="shared" si="15"/>
        <v>0</v>
      </c>
    </row>
    <row r="176" spans="1:11" ht="15.5" hidden="1" x14ac:dyDescent="0.35">
      <c r="A176" s="114" t="s">
        <v>333</v>
      </c>
      <c r="B176" s="120"/>
      <c r="C176" s="120"/>
      <c r="D176" s="228"/>
      <c r="E176" s="175"/>
      <c r="F176" s="149"/>
      <c r="G176" s="153" t="str">
        <f t="shared" si="14"/>
        <v/>
      </c>
      <c r="H176" s="121"/>
      <c r="I176" s="122" t="s">
        <v>18</v>
      </c>
      <c r="J176" s="123">
        <f>SUM(J177:J186)</f>
        <v>0</v>
      </c>
      <c r="K176" s="13"/>
    </row>
    <row r="177" spans="1:14" hidden="1" x14ac:dyDescent="0.35">
      <c r="A177" s="103"/>
      <c r="B177" s="12" t="s">
        <v>26</v>
      </c>
      <c r="C177" s="10" t="s">
        <v>334</v>
      </c>
      <c r="D177" s="152"/>
      <c r="E177" s="170"/>
      <c r="F177" s="95"/>
      <c r="G177" s="153" t="str">
        <f t="shared" si="14"/>
        <v/>
      </c>
      <c r="H177" s="10" t="s">
        <v>335</v>
      </c>
      <c r="I177" s="331">
        <v>20</v>
      </c>
      <c r="J177" s="12">
        <f t="shared" ref="J177:J186" si="16">E177*I177</f>
        <v>0</v>
      </c>
    </row>
    <row r="178" spans="1:14" hidden="1" x14ac:dyDescent="0.35">
      <c r="A178" s="103"/>
      <c r="B178" s="20" t="s">
        <v>26</v>
      </c>
      <c r="C178" s="18" t="s">
        <v>53</v>
      </c>
      <c r="D178" s="229"/>
      <c r="E178" s="170"/>
      <c r="F178" s="147"/>
      <c r="G178" s="153" t="str">
        <f t="shared" si="14"/>
        <v/>
      </c>
      <c r="H178" s="18" t="s">
        <v>20</v>
      </c>
      <c r="I178" s="335">
        <v>0.43</v>
      </c>
      <c r="J178" s="20">
        <f t="shared" si="16"/>
        <v>0</v>
      </c>
      <c r="N178" t="s">
        <v>47</v>
      </c>
    </row>
    <row r="179" spans="1:14" hidden="1" x14ac:dyDescent="0.35">
      <c r="A179" s="103"/>
      <c r="B179" s="20" t="s">
        <v>26</v>
      </c>
      <c r="C179" s="18" t="s">
        <v>336</v>
      </c>
      <c r="D179" s="229"/>
      <c r="E179" s="170"/>
      <c r="F179" s="147"/>
      <c r="G179" s="153" t="str">
        <f t="shared" si="14"/>
        <v/>
      </c>
      <c r="H179" s="18" t="s">
        <v>20</v>
      </c>
      <c r="I179" s="335">
        <v>0.43</v>
      </c>
      <c r="J179" s="20">
        <f t="shared" si="16"/>
        <v>0</v>
      </c>
    </row>
    <row r="180" spans="1:14" ht="16.399999999999999" hidden="1" customHeight="1" x14ac:dyDescent="0.35">
      <c r="A180" s="103"/>
      <c r="B180" s="12" t="s">
        <v>26</v>
      </c>
      <c r="C180" s="10" t="s">
        <v>337</v>
      </c>
      <c r="D180" s="152"/>
      <c r="E180" s="170"/>
      <c r="F180" s="95"/>
      <c r="G180" s="153" t="str">
        <f t="shared" si="14"/>
        <v/>
      </c>
      <c r="H180" s="10" t="s">
        <v>20</v>
      </c>
      <c r="I180" s="331">
        <v>0.43</v>
      </c>
      <c r="J180" s="12">
        <f t="shared" si="16"/>
        <v>0</v>
      </c>
    </row>
    <row r="181" spans="1:14" hidden="1" x14ac:dyDescent="0.35">
      <c r="A181" s="103"/>
      <c r="B181" s="12" t="s">
        <v>26</v>
      </c>
      <c r="C181" s="10" t="s">
        <v>51</v>
      </c>
      <c r="D181" s="152"/>
      <c r="E181" s="170"/>
      <c r="F181" s="95"/>
      <c r="G181" s="153" t="str">
        <f t="shared" si="14"/>
        <v/>
      </c>
      <c r="H181" s="10" t="s">
        <v>61</v>
      </c>
      <c r="I181" s="331">
        <v>14</v>
      </c>
      <c r="J181" s="12">
        <f t="shared" si="16"/>
        <v>0</v>
      </c>
    </row>
    <row r="182" spans="1:14" hidden="1" x14ac:dyDescent="0.35">
      <c r="A182" s="103"/>
      <c r="B182" s="12" t="s">
        <v>26</v>
      </c>
      <c r="C182" s="10" t="s">
        <v>338</v>
      </c>
      <c r="D182" s="152"/>
      <c r="E182" s="170"/>
      <c r="F182" s="95"/>
      <c r="G182" s="153" t="str">
        <f t="shared" si="14"/>
        <v/>
      </c>
      <c r="H182" s="10" t="s">
        <v>61</v>
      </c>
      <c r="I182" s="331">
        <v>14.78</v>
      </c>
      <c r="J182" s="12">
        <f t="shared" si="16"/>
        <v>0</v>
      </c>
    </row>
    <row r="183" spans="1:14" hidden="1" x14ac:dyDescent="0.35">
      <c r="A183" s="103"/>
      <c r="B183" s="12" t="s">
        <v>26</v>
      </c>
      <c r="C183" s="10" t="s">
        <v>339</v>
      </c>
      <c r="D183" s="152"/>
      <c r="E183" s="170"/>
      <c r="F183" s="95"/>
      <c r="G183" s="153" t="str">
        <f t="shared" si="14"/>
        <v/>
      </c>
      <c r="H183" s="10" t="s">
        <v>61</v>
      </c>
      <c r="I183" s="331">
        <v>14.78</v>
      </c>
      <c r="J183" s="12">
        <f t="shared" si="16"/>
        <v>0</v>
      </c>
    </row>
    <row r="184" spans="1:14" hidden="1" x14ac:dyDescent="0.35">
      <c r="A184" s="103"/>
      <c r="B184" s="12" t="s">
        <v>26</v>
      </c>
      <c r="C184" s="10" t="s">
        <v>340</v>
      </c>
      <c r="D184" s="152"/>
      <c r="E184" s="170"/>
      <c r="F184" s="95"/>
      <c r="G184" s="153" t="str">
        <f t="shared" si="14"/>
        <v/>
      </c>
      <c r="H184" s="10" t="s">
        <v>61</v>
      </c>
      <c r="I184" s="331">
        <v>14.78</v>
      </c>
      <c r="J184" s="12">
        <f t="shared" si="16"/>
        <v>0</v>
      </c>
    </row>
    <row r="185" spans="1:14" hidden="1" x14ac:dyDescent="0.35">
      <c r="A185" s="103"/>
      <c r="B185" s="12" t="s">
        <v>26</v>
      </c>
      <c r="C185" s="10" t="s">
        <v>341</v>
      </c>
      <c r="D185" s="152"/>
      <c r="E185" s="170"/>
      <c r="F185" s="95"/>
      <c r="G185" s="153" t="str">
        <f t="shared" si="14"/>
        <v/>
      </c>
      <c r="H185" s="10" t="s">
        <v>61</v>
      </c>
      <c r="I185" s="331">
        <v>14.78</v>
      </c>
      <c r="J185" s="12">
        <f t="shared" si="16"/>
        <v>0</v>
      </c>
    </row>
    <row r="186" spans="1:14" hidden="1" x14ac:dyDescent="0.35">
      <c r="A186" s="103"/>
      <c r="B186" s="12" t="s">
        <v>26</v>
      </c>
      <c r="C186" s="10" t="s">
        <v>342</v>
      </c>
      <c r="D186" s="152"/>
      <c r="E186" s="170"/>
      <c r="F186" s="95"/>
      <c r="G186" s="153" t="str">
        <f t="shared" si="14"/>
        <v/>
      </c>
      <c r="H186" s="10" t="s">
        <v>61</v>
      </c>
      <c r="I186" s="331">
        <v>14.78</v>
      </c>
      <c r="J186" s="10">
        <f t="shared" si="16"/>
        <v>0</v>
      </c>
    </row>
    <row r="187" spans="1:14" ht="15.5" x14ac:dyDescent="0.35">
      <c r="A187" s="108" t="s">
        <v>343</v>
      </c>
      <c r="B187" s="108"/>
      <c r="C187" s="108"/>
      <c r="D187" s="223"/>
      <c r="E187" s="169"/>
      <c r="F187" s="109"/>
      <c r="G187" s="165" t="str">
        <f t="shared" si="14"/>
        <v/>
      </c>
      <c r="H187" s="108"/>
      <c r="I187" s="106" t="s">
        <v>18</v>
      </c>
      <c r="J187" s="107">
        <f>SUM(J188:J192)</f>
        <v>0</v>
      </c>
    </row>
    <row r="188" spans="1:14" hidden="1" x14ac:dyDescent="0.35">
      <c r="A188" s="103"/>
      <c r="B188" s="7" t="s">
        <v>6</v>
      </c>
      <c r="C188" s="14" t="s">
        <v>344</v>
      </c>
      <c r="D188" s="152"/>
      <c r="E188" s="170"/>
      <c r="F188" s="95"/>
      <c r="G188" s="153" t="str">
        <f t="shared" si="14"/>
        <v/>
      </c>
      <c r="H188" s="14" t="s">
        <v>20</v>
      </c>
      <c r="I188" s="336">
        <v>0.79</v>
      </c>
      <c r="J188" s="7">
        <f>E188*I188</f>
        <v>0</v>
      </c>
    </row>
    <row r="189" spans="1:14" x14ac:dyDescent="0.35">
      <c r="A189" s="103"/>
      <c r="B189" s="7" t="s">
        <v>6</v>
      </c>
      <c r="C189" s="14" t="s">
        <v>345</v>
      </c>
      <c r="D189" s="152">
        <v>10</v>
      </c>
      <c r="E189" s="170"/>
      <c r="F189" s="95"/>
      <c r="G189" s="153" t="str">
        <f t="shared" si="14"/>
        <v/>
      </c>
      <c r="H189" s="14" t="s">
        <v>20</v>
      </c>
      <c r="I189" s="336">
        <v>2.76</v>
      </c>
      <c r="J189" s="7">
        <f>E189*I189</f>
        <v>0</v>
      </c>
    </row>
    <row r="190" spans="1:14" x14ac:dyDescent="0.35">
      <c r="A190" s="103"/>
      <c r="B190" s="7" t="s">
        <v>6</v>
      </c>
      <c r="C190" s="14" t="s">
        <v>346</v>
      </c>
      <c r="D190" s="152"/>
      <c r="E190" s="170"/>
      <c r="F190" s="95"/>
      <c r="G190" s="153" t="str">
        <f t="shared" si="14"/>
        <v/>
      </c>
      <c r="H190" s="14" t="s">
        <v>20</v>
      </c>
      <c r="I190" s="336">
        <v>1</v>
      </c>
      <c r="J190" s="7">
        <f>E190*I190</f>
        <v>0</v>
      </c>
    </row>
    <row r="191" spans="1:14" x14ac:dyDescent="0.35">
      <c r="A191" s="103"/>
      <c r="B191" s="7" t="s">
        <v>6</v>
      </c>
      <c r="C191" s="14" t="s">
        <v>34</v>
      </c>
      <c r="D191" s="152">
        <v>20</v>
      </c>
      <c r="E191" s="170"/>
      <c r="F191" s="95"/>
      <c r="G191" s="153" t="str">
        <f t="shared" si="14"/>
        <v/>
      </c>
      <c r="H191" s="14" t="s">
        <v>20</v>
      </c>
      <c r="I191" s="336">
        <v>1.8</v>
      </c>
      <c r="J191" s="7">
        <f>E191*I191</f>
        <v>0</v>
      </c>
    </row>
    <row r="192" spans="1:14" x14ac:dyDescent="0.35">
      <c r="A192" s="103"/>
      <c r="B192" s="7" t="s">
        <v>6</v>
      </c>
      <c r="C192" s="14" t="s">
        <v>35</v>
      </c>
      <c r="D192" s="152">
        <v>20</v>
      </c>
      <c r="E192" s="170"/>
      <c r="F192" s="95"/>
      <c r="G192" s="153" t="str">
        <f t="shared" si="14"/>
        <v/>
      </c>
      <c r="H192" s="14" t="s">
        <v>20</v>
      </c>
      <c r="I192" s="336">
        <v>1.8</v>
      </c>
      <c r="J192" s="7">
        <f>E192*I192</f>
        <v>0</v>
      </c>
    </row>
    <row r="193" spans="1:10" ht="15.5" x14ac:dyDescent="0.35">
      <c r="A193" s="112" t="s">
        <v>347</v>
      </c>
      <c r="B193" s="116"/>
      <c r="C193" s="116"/>
      <c r="D193" s="228"/>
      <c r="E193" s="173"/>
      <c r="F193" s="146"/>
      <c r="G193" s="165" t="str">
        <f t="shared" si="14"/>
        <v/>
      </c>
      <c r="H193" s="117"/>
      <c r="I193" s="118" t="s">
        <v>18</v>
      </c>
      <c r="J193" s="119">
        <f>SUM(J194)</f>
        <v>0</v>
      </c>
    </row>
    <row r="194" spans="1:10" x14ac:dyDescent="0.35">
      <c r="A194" s="103"/>
      <c r="B194" s="12" t="s">
        <v>5</v>
      </c>
      <c r="C194" s="10" t="s">
        <v>55</v>
      </c>
      <c r="D194" s="152"/>
      <c r="E194" s="170"/>
      <c r="F194" s="95"/>
      <c r="G194" s="153" t="str">
        <f t="shared" si="14"/>
        <v/>
      </c>
      <c r="H194" s="10" t="s">
        <v>20</v>
      </c>
      <c r="I194" s="331">
        <v>1.01</v>
      </c>
      <c r="J194" s="12">
        <f>E194*I194</f>
        <v>0</v>
      </c>
    </row>
    <row r="195" spans="1:10" ht="15.5" x14ac:dyDescent="0.35">
      <c r="A195" s="112" t="s">
        <v>348</v>
      </c>
      <c r="B195" s="116"/>
      <c r="C195" s="116"/>
      <c r="D195" s="228"/>
      <c r="E195" s="173"/>
      <c r="F195" s="146"/>
      <c r="G195" s="165" t="str">
        <f t="shared" si="14"/>
        <v/>
      </c>
      <c r="H195" s="117"/>
      <c r="I195" s="118" t="s">
        <v>18</v>
      </c>
      <c r="J195" s="119">
        <f>SUM(J196:J207)</f>
        <v>377.69</v>
      </c>
    </row>
    <row r="196" spans="1:10" x14ac:dyDescent="0.35">
      <c r="A196" s="103"/>
      <c r="B196" s="20" t="s">
        <v>8</v>
      </c>
      <c r="C196" s="18" t="s">
        <v>349</v>
      </c>
      <c r="D196" s="229">
        <v>1</v>
      </c>
      <c r="E196" s="170"/>
      <c r="F196" s="147"/>
      <c r="G196" s="153" t="str">
        <f t="shared" si="14"/>
        <v/>
      </c>
      <c r="H196" s="18" t="s">
        <v>27</v>
      </c>
      <c r="I196" s="337">
        <v>28.62</v>
      </c>
      <c r="J196" s="12">
        <f t="shared" ref="J196:J207" si="17">E196*I196</f>
        <v>0</v>
      </c>
    </row>
    <row r="197" spans="1:10" x14ac:dyDescent="0.35">
      <c r="A197" s="103"/>
      <c r="B197" s="12" t="s">
        <v>8</v>
      </c>
      <c r="C197" s="10" t="s">
        <v>350</v>
      </c>
      <c r="D197" s="152"/>
      <c r="E197" s="170"/>
      <c r="F197" s="95"/>
      <c r="G197" s="153" t="str">
        <f t="shared" si="14"/>
        <v/>
      </c>
      <c r="H197" s="10" t="s">
        <v>335</v>
      </c>
      <c r="I197" s="338">
        <v>30</v>
      </c>
      <c r="J197" s="12">
        <f t="shared" si="17"/>
        <v>0</v>
      </c>
    </row>
    <row r="198" spans="1:10" x14ac:dyDescent="0.35">
      <c r="A198" s="103"/>
      <c r="B198" s="12" t="s">
        <v>8</v>
      </c>
      <c r="C198" s="10" t="s">
        <v>351</v>
      </c>
      <c r="D198" s="152"/>
      <c r="E198" s="170"/>
      <c r="F198" s="95"/>
      <c r="G198" s="153" t="str">
        <f t="shared" si="14"/>
        <v/>
      </c>
      <c r="H198" s="10" t="s">
        <v>335</v>
      </c>
      <c r="I198" s="331">
        <v>1.1499999999999999</v>
      </c>
      <c r="J198" s="12">
        <f t="shared" si="17"/>
        <v>0</v>
      </c>
    </row>
    <row r="199" spans="1:10" x14ac:dyDescent="0.35">
      <c r="A199" s="103"/>
      <c r="B199" s="12" t="s">
        <v>8</v>
      </c>
      <c r="C199" s="10" t="s">
        <v>352</v>
      </c>
      <c r="D199" s="152">
        <v>3</v>
      </c>
      <c r="E199" s="170">
        <v>11</v>
      </c>
      <c r="F199" s="95"/>
      <c r="G199" s="153" t="str">
        <f t="shared" si="14"/>
        <v/>
      </c>
      <c r="H199" s="10" t="s">
        <v>27</v>
      </c>
      <c r="I199" s="331">
        <v>23.83</v>
      </c>
      <c r="J199" s="12">
        <f t="shared" si="17"/>
        <v>262.13</v>
      </c>
    </row>
    <row r="200" spans="1:10" x14ac:dyDescent="0.35">
      <c r="A200" s="103"/>
      <c r="B200" s="12" t="s">
        <v>8</v>
      </c>
      <c r="C200" s="10" t="s">
        <v>353</v>
      </c>
      <c r="D200" s="152">
        <v>3</v>
      </c>
      <c r="E200" s="170">
        <v>4</v>
      </c>
      <c r="F200" s="95"/>
      <c r="G200" s="153" t="str">
        <f t="shared" si="14"/>
        <v/>
      </c>
      <c r="H200" s="10" t="s">
        <v>27</v>
      </c>
      <c r="I200" s="331">
        <v>28.89</v>
      </c>
      <c r="J200" s="12">
        <f t="shared" si="17"/>
        <v>115.56</v>
      </c>
    </row>
    <row r="201" spans="1:10" x14ac:dyDescent="0.35">
      <c r="A201" s="103"/>
      <c r="B201" s="12" t="s">
        <v>8</v>
      </c>
      <c r="C201" s="10" t="s">
        <v>354</v>
      </c>
      <c r="D201" s="152">
        <v>3</v>
      </c>
      <c r="E201" s="170">
        <v>0</v>
      </c>
      <c r="F201" s="95"/>
      <c r="G201" s="153">
        <f>IF(E201="","",IF(D201-E201&gt;0,D201-E201,""))</f>
        <v>3</v>
      </c>
      <c r="H201" s="10" t="s">
        <v>27</v>
      </c>
      <c r="I201" s="331">
        <v>19.37</v>
      </c>
      <c r="J201" s="12">
        <f>E201*I201</f>
        <v>0</v>
      </c>
    </row>
    <row r="202" spans="1:10" x14ac:dyDescent="0.35">
      <c r="A202" s="103"/>
      <c r="B202" s="12" t="s">
        <v>8</v>
      </c>
      <c r="C202" s="10" t="s">
        <v>429</v>
      </c>
      <c r="D202" s="152"/>
      <c r="E202" s="170"/>
      <c r="F202" s="95"/>
      <c r="G202" s="153"/>
      <c r="H202" s="10" t="s">
        <v>27</v>
      </c>
      <c r="I202" s="331">
        <v>14.07</v>
      </c>
      <c r="J202" s="12"/>
    </row>
    <row r="203" spans="1:10" x14ac:dyDescent="0.35">
      <c r="A203" s="103"/>
      <c r="B203" s="12" t="s">
        <v>8</v>
      </c>
      <c r="C203" s="10" t="s">
        <v>430</v>
      </c>
      <c r="D203" s="152"/>
      <c r="E203" s="170"/>
      <c r="F203" s="95"/>
      <c r="G203" s="153"/>
      <c r="H203" s="10" t="s">
        <v>27</v>
      </c>
      <c r="I203" s="331">
        <v>16.07</v>
      </c>
      <c r="J203" s="12"/>
    </row>
    <row r="204" spans="1:10" x14ac:dyDescent="0.35">
      <c r="A204" s="103"/>
      <c r="B204" s="12" t="s">
        <v>8</v>
      </c>
      <c r="C204" s="10" t="s">
        <v>431</v>
      </c>
      <c r="D204" s="152"/>
      <c r="G204" s="153"/>
      <c r="H204" s="10" t="s">
        <v>27</v>
      </c>
      <c r="I204" s="339">
        <v>14.62</v>
      </c>
      <c r="J204" s="12"/>
    </row>
    <row r="205" spans="1:10" hidden="1" x14ac:dyDescent="0.35">
      <c r="A205" s="103"/>
      <c r="B205" s="12" t="s">
        <v>8</v>
      </c>
      <c r="C205" s="10" t="s">
        <v>355</v>
      </c>
      <c r="D205" s="152"/>
      <c r="E205" s="170"/>
      <c r="F205" s="95"/>
      <c r="G205" s="153" t="str">
        <f t="shared" si="14"/>
        <v/>
      </c>
      <c r="H205" s="10" t="s">
        <v>61</v>
      </c>
      <c r="I205" s="331">
        <v>17.11</v>
      </c>
      <c r="J205" s="12">
        <f t="shared" si="17"/>
        <v>0</v>
      </c>
    </row>
    <row r="206" spans="1:10" hidden="1" x14ac:dyDescent="0.35">
      <c r="A206" s="103"/>
      <c r="B206" s="12" t="s">
        <v>8</v>
      </c>
      <c r="C206" s="10" t="s">
        <v>356</v>
      </c>
      <c r="D206" s="152"/>
      <c r="E206" s="170"/>
      <c r="F206" s="95"/>
      <c r="G206" s="153" t="str">
        <f t="shared" si="14"/>
        <v/>
      </c>
      <c r="H206" s="10" t="s">
        <v>61</v>
      </c>
      <c r="I206" s="331">
        <v>22.13</v>
      </c>
      <c r="J206" s="12">
        <f t="shared" si="17"/>
        <v>0</v>
      </c>
    </row>
    <row r="207" spans="1:10" hidden="1" x14ac:dyDescent="0.35">
      <c r="A207" s="103"/>
      <c r="B207" s="40" t="s">
        <v>8</v>
      </c>
      <c r="C207" s="41" t="s">
        <v>357</v>
      </c>
      <c r="D207" s="227"/>
      <c r="E207" s="170"/>
      <c r="F207" s="145"/>
      <c r="G207" s="153" t="str">
        <f t="shared" si="14"/>
        <v/>
      </c>
      <c r="H207" s="41" t="s">
        <v>61</v>
      </c>
      <c r="I207" s="334">
        <v>18.8</v>
      </c>
      <c r="J207" s="40">
        <f t="shared" si="17"/>
        <v>0</v>
      </c>
    </row>
    <row r="208" spans="1:10" ht="15.5" x14ac:dyDescent="0.35">
      <c r="A208" s="112" t="s">
        <v>358</v>
      </c>
      <c r="B208" s="116"/>
      <c r="C208" s="116"/>
      <c r="D208" s="228"/>
      <c r="E208" s="173"/>
      <c r="F208" s="146"/>
      <c r="G208" s="165" t="str">
        <f t="shared" si="14"/>
        <v/>
      </c>
      <c r="H208" s="117"/>
      <c r="I208" s="118" t="s">
        <v>18</v>
      </c>
      <c r="J208" s="119">
        <f>J209+J210+J211+J212+J213</f>
        <v>2004.4</v>
      </c>
    </row>
    <row r="209" spans="1:10" x14ac:dyDescent="0.35">
      <c r="A209" s="103"/>
      <c r="B209" s="13" t="s">
        <v>11</v>
      </c>
      <c r="C209" s="298" t="s">
        <v>359</v>
      </c>
      <c r="D209" s="299">
        <v>40</v>
      </c>
      <c r="E209" s="300">
        <v>5</v>
      </c>
      <c r="F209" s="301"/>
      <c r="G209" s="302">
        <f t="shared" si="14"/>
        <v>35</v>
      </c>
      <c r="H209" s="41" t="s">
        <v>52</v>
      </c>
      <c r="I209" s="334">
        <v>11.63</v>
      </c>
      <c r="J209" s="40">
        <f>E209*I209</f>
        <v>58.150000000000006</v>
      </c>
    </row>
    <row r="210" spans="1:10" x14ac:dyDescent="0.35">
      <c r="A210" s="103"/>
      <c r="B210" s="12" t="s">
        <v>11</v>
      </c>
      <c r="C210" s="10" t="s">
        <v>436</v>
      </c>
      <c r="D210" s="152"/>
      <c r="E210" s="170">
        <v>5</v>
      </c>
      <c r="F210" s="95"/>
      <c r="G210" s="153"/>
      <c r="H210" s="10" t="s">
        <v>52</v>
      </c>
      <c r="I210" s="331">
        <v>16.8</v>
      </c>
      <c r="J210" s="40">
        <f t="shared" ref="J210:J213" si="18">E210*I210</f>
        <v>84</v>
      </c>
    </row>
    <row r="211" spans="1:10" x14ac:dyDescent="0.35">
      <c r="A211" s="103"/>
      <c r="B211" s="12" t="s">
        <v>11</v>
      </c>
      <c r="C211" s="10" t="s">
        <v>437</v>
      </c>
      <c r="D211" s="152"/>
      <c r="E211" s="170">
        <v>15</v>
      </c>
      <c r="F211" s="95"/>
      <c r="G211" s="153"/>
      <c r="H211" s="10" t="s">
        <v>440</v>
      </c>
      <c r="I211" s="331">
        <v>9.35</v>
      </c>
      <c r="J211" s="40">
        <f>E211*I211</f>
        <v>140.25</v>
      </c>
    </row>
    <row r="212" spans="1:10" x14ac:dyDescent="0.35">
      <c r="A212" s="103"/>
      <c r="B212" s="12" t="s">
        <v>11</v>
      </c>
      <c r="C212" s="10" t="s">
        <v>438</v>
      </c>
      <c r="D212" s="152"/>
      <c r="E212" s="170">
        <v>16</v>
      </c>
      <c r="F212" s="95"/>
      <c r="G212" s="153"/>
      <c r="H212" s="10" t="s">
        <v>52</v>
      </c>
      <c r="I212" s="331">
        <v>87</v>
      </c>
      <c r="J212" s="40">
        <f t="shared" si="18"/>
        <v>1392</v>
      </c>
    </row>
    <row r="213" spans="1:10" x14ac:dyDescent="0.35">
      <c r="A213" s="103"/>
      <c r="B213" s="12" t="s">
        <v>11</v>
      </c>
      <c r="C213" s="10" t="s">
        <v>439</v>
      </c>
      <c r="D213" s="152"/>
      <c r="E213" s="170">
        <v>6</v>
      </c>
      <c r="F213" s="95"/>
      <c r="G213" s="153"/>
      <c r="H213" s="10" t="s">
        <v>52</v>
      </c>
      <c r="I213" s="331">
        <v>55</v>
      </c>
      <c r="J213" s="40">
        <f t="shared" si="18"/>
        <v>330</v>
      </c>
    </row>
    <row r="214" spans="1:10" ht="15.5" x14ac:dyDescent="0.35">
      <c r="A214" s="108" t="s">
        <v>360</v>
      </c>
      <c r="B214" s="108"/>
      <c r="C214" s="108"/>
      <c r="D214" s="223"/>
      <c r="E214" s="169"/>
      <c r="F214" s="109"/>
      <c r="G214" s="310" t="str">
        <f t="shared" si="14"/>
        <v/>
      </c>
      <c r="H214" s="108"/>
      <c r="I214" s="106" t="s">
        <v>18</v>
      </c>
      <c r="J214" s="107">
        <f>SUM(J215:J216)</f>
        <v>0</v>
      </c>
    </row>
    <row r="215" spans="1:10" x14ac:dyDescent="0.35">
      <c r="A215" s="103"/>
      <c r="B215" s="12" t="s">
        <v>12</v>
      </c>
      <c r="C215" s="10" t="s">
        <v>70</v>
      </c>
      <c r="D215" s="152">
        <v>40</v>
      </c>
      <c r="E215" s="170"/>
      <c r="F215" s="95"/>
      <c r="G215" s="153" t="str">
        <f t="shared" si="14"/>
        <v/>
      </c>
      <c r="H215" s="10" t="s">
        <v>27</v>
      </c>
      <c r="I215" s="331">
        <v>20.7</v>
      </c>
      <c r="J215" s="12">
        <f>+E215*I215</f>
        <v>0</v>
      </c>
    </row>
    <row r="216" spans="1:10" x14ac:dyDescent="0.35">
      <c r="A216" s="103"/>
      <c r="B216" s="12" t="s">
        <v>12</v>
      </c>
      <c r="C216" s="10" t="s">
        <v>71</v>
      </c>
      <c r="D216" s="152">
        <v>40</v>
      </c>
      <c r="E216" s="170"/>
      <c r="F216" s="95"/>
      <c r="G216" s="153" t="str">
        <f t="shared" si="14"/>
        <v/>
      </c>
      <c r="H216" s="10" t="s">
        <v>27</v>
      </c>
      <c r="I216" s="331">
        <v>13.7</v>
      </c>
      <c r="J216" s="12">
        <f>+E216*I216</f>
        <v>0</v>
      </c>
    </row>
    <row r="217" spans="1:10" ht="15.5" hidden="1" x14ac:dyDescent="0.35">
      <c r="A217" s="108" t="s">
        <v>361</v>
      </c>
      <c r="B217" s="108"/>
      <c r="C217" s="108"/>
      <c r="D217" s="223"/>
      <c r="E217" s="169"/>
      <c r="F217" s="109"/>
      <c r="G217" s="153" t="str">
        <f t="shared" si="14"/>
        <v/>
      </c>
      <c r="H217" s="108"/>
      <c r="I217" s="106" t="s">
        <v>18</v>
      </c>
      <c r="J217" s="107">
        <f>SUM(J218:J221)</f>
        <v>0</v>
      </c>
    </row>
    <row r="218" spans="1:10" hidden="1" x14ac:dyDescent="0.35">
      <c r="A218" s="103"/>
      <c r="B218" s="12" t="s">
        <v>10</v>
      </c>
      <c r="C218" s="10" t="s">
        <v>362</v>
      </c>
      <c r="D218" s="152"/>
      <c r="E218" s="170"/>
      <c r="F218" s="95"/>
      <c r="G218" s="153" t="str">
        <f t="shared" si="14"/>
        <v/>
      </c>
      <c r="H218" s="10" t="s">
        <v>20</v>
      </c>
      <c r="I218" s="331">
        <v>11.08</v>
      </c>
      <c r="J218" s="12">
        <f>E218*I218</f>
        <v>0</v>
      </c>
    </row>
    <row r="219" spans="1:10" hidden="1" x14ac:dyDescent="0.35">
      <c r="A219" s="103"/>
      <c r="B219" s="12" t="s">
        <v>10</v>
      </c>
      <c r="C219" s="10" t="s">
        <v>363</v>
      </c>
      <c r="D219" s="152"/>
      <c r="E219" s="170"/>
      <c r="F219" s="95"/>
      <c r="G219" s="153" t="str">
        <f t="shared" si="14"/>
        <v/>
      </c>
      <c r="H219" s="10" t="s">
        <v>27</v>
      </c>
      <c r="I219" s="331">
        <v>16.21</v>
      </c>
      <c r="J219" s="12">
        <f>E219*I219</f>
        <v>0</v>
      </c>
    </row>
    <row r="220" spans="1:10" hidden="1" x14ac:dyDescent="0.35">
      <c r="A220" s="103"/>
      <c r="B220" s="12" t="s">
        <v>10</v>
      </c>
      <c r="C220" s="10" t="s">
        <v>364</v>
      </c>
      <c r="D220" s="152"/>
      <c r="E220" s="170"/>
      <c r="F220" s="95"/>
      <c r="G220" s="153" t="str">
        <f t="shared" si="14"/>
        <v/>
      </c>
      <c r="H220" s="10" t="s">
        <v>27</v>
      </c>
      <c r="I220" s="331">
        <v>19.350000000000001</v>
      </c>
      <c r="J220" s="12">
        <f>E220*I220</f>
        <v>0</v>
      </c>
    </row>
    <row r="221" spans="1:10" hidden="1" x14ac:dyDescent="0.35">
      <c r="A221" s="103"/>
      <c r="B221" s="12" t="s">
        <v>10</v>
      </c>
      <c r="C221" s="10" t="s">
        <v>365</v>
      </c>
      <c r="D221" s="152"/>
      <c r="E221" s="170"/>
      <c r="F221" s="95"/>
      <c r="G221" s="153" t="str">
        <f t="shared" si="14"/>
        <v/>
      </c>
      <c r="H221" s="10" t="s">
        <v>27</v>
      </c>
      <c r="I221" s="331">
        <v>19.809999999999999</v>
      </c>
      <c r="J221" s="12">
        <f>E221*I221</f>
        <v>0</v>
      </c>
    </row>
    <row r="222" spans="1:10" ht="15.5" x14ac:dyDescent="0.35">
      <c r="A222" s="108" t="s">
        <v>366</v>
      </c>
      <c r="B222" s="108"/>
      <c r="C222" s="108"/>
      <c r="D222" s="223"/>
      <c r="E222" s="169"/>
      <c r="F222" s="109"/>
      <c r="G222" s="165" t="str">
        <f t="shared" si="14"/>
        <v/>
      </c>
      <c r="H222" s="108"/>
      <c r="I222" s="106" t="s">
        <v>18</v>
      </c>
      <c r="J222" s="107">
        <f>J223</f>
        <v>0</v>
      </c>
    </row>
    <row r="223" spans="1:10" x14ac:dyDescent="0.35">
      <c r="A223" s="103"/>
      <c r="B223" s="12" t="s">
        <v>28</v>
      </c>
      <c r="C223" s="10" t="s">
        <v>29</v>
      </c>
      <c r="D223" s="152">
        <v>1</v>
      </c>
      <c r="E223" s="170"/>
      <c r="F223" s="150"/>
      <c r="G223" s="153" t="str">
        <f t="shared" si="14"/>
        <v/>
      </c>
      <c r="H223" s="10" t="s">
        <v>54</v>
      </c>
      <c r="I223" s="331">
        <v>104</v>
      </c>
      <c r="J223" s="12">
        <f>I223*E223</f>
        <v>0</v>
      </c>
    </row>
    <row r="224" spans="1:10" ht="15.5" x14ac:dyDescent="0.35">
      <c r="A224" s="108" t="s">
        <v>367</v>
      </c>
      <c r="B224" s="108"/>
      <c r="C224" s="108"/>
      <c r="D224" s="223"/>
      <c r="E224" s="169"/>
      <c r="F224" s="109"/>
      <c r="G224" s="165" t="str">
        <f t="shared" ref="G224:G257" si="19">IF(E224="","",IF(D224-E224&gt;0,D224-E224,""))</f>
        <v/>
      </c>
      <c r="H224" s="108"/>
      <c r="I224" s="106" t="s">
        <v>18</v>
      </c>
      <c r="J224" s="115">
        <f>SUM(J225:J244)</f>
        <v>285.93</v>
      </c>
    </row>
    <row r="225" spans="1:10" x14ac:dyDescent="0.35">
      <c r="A225" s="103"/>
      <c r="B225" s="12" t="s">
        <v>9</v>
      </c>
      <c r="C225" s="10" t="s">
        <v>423</v>
      </c>
      <c r="D225" s="152"/>
      <c r="E225" s="170">
        <v>1</v>
      </c>
      <c r="F225" s="95"/>
      <c r="G225" s="153" t="str">
        <f t="shared" si="19"/>
        <v/>
      </c>
      <c r="H225" s="10" t="s">
        <v>20</v>
      </c>
      <c r="I225" s="331">
        <v>78</v>
      </c>
      <c r="J225" s="50">
        <f t="shared" ref="J225:J244" si="20">E225*I225</f>
        <v>78</v>
      </c>
    </row>
    <row r="226" spans="1:10" x14ac:dyDescent="0.35">
      <c r="A226" s="103"/>
      <c r="B226" s="12" t="s">
        <v>9</v>
      </c>
      <c r="C226" s="10" t="s">
        <v>424</v>
      </c>
      <c r="D226" s="152"/>
      <c r="E226" s="170"/>
      <c r="F226" s="95"/>
      <c r="G226" s="153" t="str">
        <f t="shared" si="19"/>
        <v/>
      </c>
      <c r="H226" s="10" t="s">
        <v>61</v>
      </c>
      <c r="I226" s="340">
        <v>107.12</v>
      </c>
      <c r="J226" s="50">
        <f t="shared" si="20"/>
        <v>0</v>
      </c>
    </row>
    <row r="227" spans="1:10" x14ac:dyDescent="0.35">
      <c r="A227" s="103"/>
      <c r="B227" s="12" t="s">
        <v>9</v>
      </c>
      <c r="C227" s="10" t="s">
        <v>369</v>
      </c>
      <c r="D227" s="152"/>
      <c r="E227" s="170"/>
      <c r="F227" s="95"/>
      <c r="G227" s="153" t="str">
        <f t="shared" si="19"/>
        <v/>
      </c>
      <c r="H227" s="10" t="s">
        <v>20</v>
      </c>
      <c r="I227" s="331">
        <v>0.04</v>
      </c>
      <c r="J227" s="50">
        <f t="shared" si="20"/>
        <v>0</v>
      </c>
    </row>
    <row r="228" spans="1:10" x14ac:dyDescent="0.35">
      <c r="A228" s="103"/>
      <c r="B228" s="12" t="s">
        <v>9</v>
      </c>
      <c r="C228" s="10" t="s">
        <v>370</v>
      </c>
      <c r="D228" s="152"/>
      <c r="E228" s="170"/>
      <c r="F228" s="95"/>
      <c r="G228" s="153" t="str">
        <f t="shared" si="19"/>
        <v/>
      </c>
      <c r="H228" s="10" t="s">
        <v>20</v>
      </c>
      <c r="I228" s="331">
        <v>7.0999999999999994E-2</v>
      </c>
      <c r="J228" s="50">
        <f t="shared" si="20"/>
        <v>0</v>
      </c>
    </row>
    <row r="229" spans="1:10" hidden="1" x14ac:dyDescent="0.35">
      <c r="A229" s="103"/>
      <c r="B229" s="12" t="s">
        <v>9</v>
      </c>
      <c r="C229" s="10" t="s">
        <v>411</v>
      </c>
      <c r="D229" s="152"/>
      <c r="E229" s="170"/>
      <c r="F229" s="95"/>
      <c r="G229" s="153"/>
      <c r="H229" s="10" t="s">
        <v>20</v>
      </c>
      <c r="I229" s="331">
        <v>1.97</v>
      </c>
      <c r="J229" s="50"/>
    </row>
    <row r="230" spans="1:10" hidden="1" x14ac:dyDescent="0.35">
      <c r="A230" s="103"/>
      <c r="B230" s="12" t="s">
        <v>9</v>
      </c>
      <c r="C230" s="10" t="s">
        <v>371</v>
      </c>
      <c r="D230" s="152"/>
      <c r="E230" s="170"/>
      <c r="F230" s="95"/>
      <c r="G230" s="153" t="str">
        <f t="shared" si="19"/>
        <v/>
      </c>
      <c r="H230" s="10" t="s">
        <v>61</v>
      </c>
      <c r="I230" s="331">
        <v>163.80000000000001</v>
      </c>
      <c r="J230" s="50">
        <f t="shared" si="20"/>
        <v>0</v>
      </c>
    </row>
    <row r="231" spans="1:10" hidden="1" x14ac:dyDescent="0.35">
      <c r="A231" s="103"/>
      <c r="B231" s="12" t="s">
        <v>9</v>
      </c>
      <c r="C231" s="10" t="s">
        <v>410</v>
      </c>
      <c r="D231" s="152"/>
      <c r="E231" s="170"/>
      <c r="F231" s="151"/>
      <c r="G231" s="153" t="str">
        <f t="shared" si="19"/>
        <v/>
      </c>
      <c r="H231" s="10" t="s">
        <v>61</v>
      </c>
      <c r="I231" s="331">
        <v>49.33</v>
      </c>
      <c r="J231" s="50">
        <f t="shared" si="20"/>
        <v>0</v>
      </c>
    </row>
    <row r="232" spans="1:10" hidden="1" x14ac:dyDescent="0.35">
      <c r="A232" s="103"/>
      <c r="B232" s="12" t="s">
        <v>9</v>
      </c>
      <c r="C232" s="10" t="s">
        <v>373</v>
      </c>
      <c r="D232" s="152"/>
      <c r="E232" s="170"/>
      <c r="F232" s="151"/>
      <c r="G232" s="153" t="str">
        <f t="shared" si="19"/>
        <v/>
      </c>
      <c r="H232" s="10" t="s">
        <v>61</v>
      </c>
      <c r="I232" s="331">
        <v>105.6</v>
      </c>
      <c r="J232" s="50">
        <f t="shared" si="20"/>
        <v>0</v>
      </c>
    </row>
    <row r="233" spans="1:10" hidden="1" x14ac:dyDescent="0.35">
      <c r="A233" s="103"/>
      <c r="B233" s="12" t="s">
        <v>9</v>
      </c>
      <c r="C233" s="10" t="s">
        <v>374</v>
      </c>
      <c r="D233" s="152"/>
      <c r="E233" s="170"/>
      <c r="F233" s="151"/>
      <c r="G233" s="153" t="str">
        <f t="shared" si="19"/>
        <v/>
      </c>
      <c r="H233" s="10" t="s">
        <v>61</v>
      </c>
      <c r="I233" s="331">
        <v>114.75</v>
      </c>
      <c r="J233" s="50">
        <f t="shared" si="20"/>
        <v>0</v>
      </c>
    </row>
    <row r="234" spans="1:10" hidden="1" x14ac:dyDescent="0.35">
      <c r="A234" s="103"/>
      <c r="B234" s="12" t="s">
        <v>9</v>
      </c>
      <c r="C234" s="10" t="s">
        <v>375</v>
      </c>
      <c r="D234" s="152"/>
      <c r="E234" s="170"/>
      <c r="F234" s="95"/>
      <c r="G234" s="153" t="str">
        <f t="shared" si="19"/>
        <v/>
      </c>
      <c r="H234" s="10" t="s">
        <v>61</v>
      </c>
      <c r="I234" s="331">
        <v>105.55</v>
      </c>
      <c r="J234" s="50">
        <f t="shared" si="20"/>
        <v>0</v>
      </c>
    </row>
    <row r="235" spans="1:10" x14ac:dyDescent="0.35">
      <c r="A235" s="103"/>
      <c r="B235" s="12" t="s">
        <v>9</v>
      </c>
      <c r="C235" s="10" t="s">
        <v>376</v>
      </c>
      <c r="D235" s="152">
        <v>1</v>
      </c>
      <c r="E235" s="170"/>
      <c r="F235" s="95"/>
      <c r="G235" s="153" t="str">
        <f t="shared" si="19"/>
        <v/>
      </c>
      <c r="H235" s="10" t="s">
        <v>61</v>
      </c>
      <c r="I235" s="331">
        <v>33.25</v>
      </c>
      <c r="J235" s="50">
        <f t="shared" si="20"/>
        <v>0</v>
      </c>
    </row>
    <row r="236" spans="1:10" hidden="1" x14ac:dyDescent="0.35">
      <c r="A236" s="103"/>
      <c r="B236" s="12" t="s">
        <v>9</v>
      </c>
      <c r="C236" s="10" t="s">
        <v>377</v>
      </c>
      <c r="D236" s="152"/>
      <c r="E236" s="170"/>
      <c r="F236" s="95"/>
      <c r="G236" s="153" t="str">
        <f t="shared" si="19"/>
        <v/>
      </c>
      <c r="H236" s="10" t="s">
        <v>20</v>
      </c>
      <c r="I236" s="331">
        <v>0.28999999999999998</v>
      </c>
      <c r="J236" s="50">
        <f t="shared" si="20"/>
        <v>0</v>
      </c>
    </row>
    <row r="237" spans="1:10" hidden="1" x14ac:dyDescent="0.35">
      <c r="A237" s="103"/>
      <c r="B237" s="12" t="s">
        <v>9</v>
      </c>
      <c r="C237" s="10" t="s">
        <v>378</v>
      </c>
      <c r="D237" s="152"/>
      <c r="E237" s="170"/>
      <c r="F237" s="95"/>
      <c r="G237" s="153" t="str">
        <f t="shared" si="19"/>
        <v/>
      </c>
      <c r="H237" s="10" t="s">
        <v>61</v>
      </c>
      <c r="I237" s="336">
        <v>37.85</v>
      </c>
      <c r="J237" s="50">
        <f t="shared" si="20"/>
        <v>0</v>
      </c>
    </row>
    <row r="238" spans="1:10" x14ac:dyDescent="0.35">
      <c r="A238" s="103"/>
      <c r="B238" s="12" t="s">
        <v>9</v>
      </c>
      <c r="C238" s="10" t="s">
        <v>425</v>
      </c>
      <c r="D238" s="152">
        <v>1</v>
      </c>
      <c r="E238" s="170">
        <v>1</v>
      </c>
      <c r="F238" s="95"/>
      <c r="G238" s="153" t="str">
        <f t="shared" si="19"/>
        <v/>
      </c>
      <c r="H238" s="10" t="s">
        <v>61</v>
      </c>
      <c r="I238" s="336">
        <v>111.47</v>
      </c>
      <c r="J238" s="50">
        <f t="shared" si="20"/>
        <v>111.47</v>
      </c>
    </row>
    <row r="239" spans="1:10" hidden="1" x14ac:dyDescent="0.35">
      <c r="A239" s="103"/>
      <c r="B239" s="12" t="s">
        <v>9</v>
      </c>
      <c r="C239" s="10" t="s">
        <v>379</v>
      </c>
      <c r="D239" s="152"/>
      <c r="E239" s="170"/>
      <c r="F239" s="95"/>
      <c r="G239" s="153" t="str">
        <f t="shared" si="19"/>
        <v/>
      </c>
      <c r="H239" s="10" t="s">
        <v>61</v>
      </c>
      <c r="I239" s="336">
        <v>174.97</v>
      </c>
      <c r="J239" s="50">
        <f t="shared" si="20"/>
        <v>0</v>
      </c>
    </row>
    <row r="240" spans="1:10" x14ac:dyDescent="0.35">
      <c r="A240" s="103"/>
      <c r="B240" s="12" t="s">
        <v>9</v>
      </c>
      <c r="C240" s="10" t="s">
        <v>380</v>
      </c>
      <c r="D240" s="152"/>
      <c r="E240" s="170"/>
      <c r="F240" s="95"/>
      <c r="G240" s="153" t="str">
        <f t="shared" si="19"/>
        <v/>
      </c>
      <c r="H240" s="10" t="s">
        <v>61</v>
      </c>
      <c r="I240" s="336">
        <v>44.93</v>
      </c>
      <c r="J240" s="50">
        <f t="shared" si="20"/>
        <v>0</v>
      </c>
    </row>
    <row r="241" spans="1:10" x14ac:dyDescent="0.35">
      <c r="A241" s="103"/>
      <c r="B241" s="12" t="s">
        <v>9</v>
      </c>
      <c r="C241" s="10" t="s">
        <v>426</v>
      </c>
      <c r="D241" s="152">
        <v>2</v>
      </c>
      <c r="E241" s="170">
        <v>2</v>
      </c>
      <c r="F241" s="95"/>
      <c r="G241" s="153" t="str">
        <f t="shared" si="19"/>
        <v/>
      </c>
      <c r="H241" s="10" t="s">
        <v>20</v>
      </c>
      <c r="I241" s="336">
        <v>29.2</v>
      </c>
      <c r="J241" s="50">
        <f t="shared" si="20"/>
        <v>58.4</v>
      </c>
    </row>
    <row r="242" spans="1:10" x14ac:dyDescent="0.35">
      <c r="A242" s="103"/>
      <c r="B242" s="12" t="s">
        <v>9</v>
      </c>
      <c r="C242" s="10" t="s">
        <v>427</v>
      </c>
      <c r="D242" s="152">
        <v>2</v>
      </c>
      <c r="E242" s="170">
        <v>2</v>
      </c>
      <c r="F242" s="95"/>
      <c r="G242" s="153" t="str">
        <f t="shared" si="19"/>
        <v/>
      </c>
      <c r="H242" s="10" t="s">
        <v>20</v>
      </c>
      <c r="I242" s="336">
        <v>19.03</v>
      </c>
      <c r="J242" s="50">
        <f t="shared" si="20"/>
        <v>38.06</v>
      </c>
    </row>
    <row r="243" spans="1:10" x14ac:dyDescent="0.35">
      <c r="A243" s="103"/>
      <c r="B243" s="12" t="s">
        <v>9</v>
      </c>
      <c r="C243" s="10" t="s">
        <v>428</v>
      </c>
      <c r="D243" s="152"/>
      <c r="E243" s="170"/>
      <c r="F243" s="95"/>
      <c r="G243" s="153" t="str">
        <f t="shared" si="19"/>
        <v/>
      </c>
      <c r="H243" s="10" t="s">
        <v>20</v>
      </c>
      <c r="I243" s="336">
        <v>8.4600000000000009</v>
      </c>
      <c r="J243" s="50">
        <f t="shared" si="20"/>
        <v>0</v>
      </c>
    </row>
    <row r="244" spans="1:10" hidden="1" x14ac:dyDescent="0.35">
      <c r="A244" s="103"/>
      <c r="B244" s="12" t="s">
        <v>9</v>
      </c>
      <c r="C244" s="10" t="s">
        <v>381</v>
      </c>
      <c r="D244" s="152"/>
      <c r="E244" s="170"/>
      <c r="F244" s="95"/>
      <c r="G244" s="153" t="str">
        <f t="shared" si="19"/>
        <v/>
      </c>
      <c r="H244" s="10" t="s">
        <v>20</v>
      </c>
      <c r="I244" s="336">
        <v>0.02</v>
      </c>
      <c r="J244" s="50">
        <f t="shared" si="20"/>
        <v>0</v>
      </c>
    </row>
    <row r="245" spans="1:10" ht="15.5" x14ac:dyDescent="0.35">
      <c r="A245" s="108" t="s">
        <v>382</v>
      </c>
      <c r="B245" s="108"/>
      <c r="C245" s="108"/>
      <c r="D245" s="223"/>
      <c r="E245" s="169"/>
      <c r="F245" s="109"/>
      <c r="G245" s="165" t="str">
        <f t="shared" si="19"/>
        <v/>
      </c>
      <c r="H245" s="108"/>
      <c r="I245" s="106" t="s">
        <v>18</v>
      </c>
      <c r="J245" s="107">
        <f>SUM(J246:J256)</f>
        <v>294.92</v>
      </c>
    </row>
    <row r="246" spans="1:10" x14ac:dyDescent="0.35">
      <c r="A246" s="103"/>
      <c r="B246" s="12" t="s">
        <v>31</v>
      </c>
      <c r="C246" s="10" t="s">
        <v>383</v>
      </c>
      <c r="D246" s="152"/>
      <c r="E246" s="170"/>
      <c r="F246" s="95"/>
      <c r="G246" s="153" t="str">
        <f t="shared" si="19"/>
        <v/>
      </c>
      <c r="H246" s="10" t="s">
        <v>20</v>
      </c>
      <c r="I246" s="331">
        <v>5.5</v>
      </c>
      <c r="J246" s="12">
        <f t="shared" ref="J246:J256" si="21">E246*I246</f>
        <v>0</v>
      </c>
    </row>
    <row r="247" spans="1:10" x14ac:dyDescent="0.35">
      <c r="A247" s="103"/>
      <c r="B247" s="12" t="s">
        <v>31</v>
      </c>
      <c r="C247" s="10" t="s">
        <v>39</v>
      </c>
      <c r="D247" s="152">
        <v>2</v>
      </c>
      <c r="E247" s="170">
        <v>15</v>
      </c>
      <c r="F247" s="95"/>
      <c r="G247" s="153" t="str">
        <f t="shared" si="19"/>
        <v/>
      </c>
      <c r="H247" s="10" t="s">
        <v>20</v>
      </c>
      <c r="I247" s="331">
        <v>4.55</v>
      </c>
      <c r="J247" s="12">
        <f t="shared" si="21"/>
        <v>68.25</v>
      </c>
    </row>
    <row r="248" spans="1:10" x14ac:dyDescent="0.35">
      <c r="A248" s="103"/>
      <c r="B248" s="12" t="s">
        <v>31</v>
      </c>
      <c r="C248" s="10" t="s">
        <v>422</v>
      </c>
      <c r="D248" s="152">
        <v>2</v>
      </c>
      <c r="E248" s="170">
        <v>16</v>
      </c>
      <c r="F248" s="95"/>
      <c r="G248" s="153" t="str">
        <f t="shared" si="19"/>
        <v/>
      </c>
      <c r="H248" s="10" t="s">
        <v>20</v>
      </c>
      <c r="I248" s="331">
        <v>3.7</v>
      </c>
      <c r="J248" s="12">
        <f t="shared" si="21"/>
        <v>59.2</v>
      </c>
    </row>
    <row r="249" spans="1:10" x14ac:dyDescent="0.35">
      <c r="A249" s="103"/>
      <c r="B249" s="12" t="s">
        <v>31</v>
      </c>
      <c r="C249" s="10" t="s">
        <v>67</v>
      </c>
      <c r="D249" s="152">
        <v>1</v>
      </c>
      <c r="E249" s="170">
        <v>4</v>
      </c>
      <c r="F249" s="95"/>
      <c r="G249" s="153" t="str">
        <f t="shared" si="19"/>
        <v/>
      </c>
      <c r="H249" s="10" t="s">
        <v>20</v>
      </c>
      <c r="I249" s="331">
        <v>15.56</v>
      </c>
      <c r="J249" s="12">
        <f t="shared" si="21"/>
        <v>62.24</v>
      </c>
    </row>
    <row r="250" spans="1:10" hidden="1" x14ac:dyDescent="0.35">
      <c r="A250" s="103"/>
      <c r="B250" s="12" t="s">
        <v>31</v>
      </c>
      <c r="C250" s="10" t="s">
        <v>384</v>
      </c>
      <c r="D250" s="152"/>
      <c r="E250" s="170"/>
      <c r="F250" s="95"/>
      <c r="G250" s="153" t="str">
        <f t="shared" si="19"/>
        <v/>
      </c>
      <c r="H250" s="10" t="s">
        <v>20</v>
      </c>
      <c r="I250" s="331">
        <v>0.8</v>
      </c>
      <c r="J250" s="12">
        <f t="shared" si="21"/>
        <v>0</v>
      </c>
    </row>
    <row r="251" spans="1:10" hidden="1" x14ac:dyDescent="0.35">
      <c r="A251" s="103"/>
      <c r="B251" s="12" t="s">
        <v>31</v>
      </c>
      <c r="C251" s="10" t="s">
        <v>385</v>
      </c>
      <c r="D251" s="152"/>
      <c r="E251" s="170"/>
      <c r="F251" s="95"/>
      <c r="G251" s="153" t="str">
        <f t="shared" si="19"/>
        <v/>
      </c>
      <c r="H251" s="10" t="s">
        <v>20</v>
      </c>
      <c r="I251" s="331">
        <v>1.83</v>
      </c>
      <c r="J251" s="12">
        <f t="shared" si="21"/>
        <v>0</v>
      </c>
    </row>
    <row r="252" spans="1:10" x14ac:dyDescent="0.35">
      <c r="A252" s="103"/>
      <c r="B252" s="12" t="s">
        <v>31</v>
      </c>
      <c r="C252" s="10" t="s">
        <v>386</v>
      </c>
      <c r="D252" s="152">
        <v>2</v>
      </c>
      <c r="E252" s="170">
        <v>22</v>
      </c>
      <c r="F252" s="95"/>
      <c r="G252" s="153" t="str">
        <f t="shared" si="19"/>
        <v/>
      </c>
      <c r="H252" s="10" t="s">
        <v>20</v>
      </c>
      <c r="I252" s="331">
        <v>2.65</v>
      </c>
      <c r="J252" s="12">
        <f t="shared" si="21"/>
        <v>58.3</v>
      </c>
    </row>
    <row r="253" spans="1:10" x14ac:dyDescent="0.35">
      <c r="A253" s="103"/>
      <c r="B253" s="12" t="s">
        <v>31</v>
      </c>
      <c r="C253" s="10" t="s">
        <v>65</v>
      </c>
      <c r="D253" s="152">
        <v>1</v>
      </c>
      <c r="E253" s="170"/>
      <c r="F253" s="95"/>
      <c r="G253" s="153" t="str">
        <f t="shared" si="19"/>
        <v/>
      </c>
      <c r="H253" s="10" t="s">
        <v>20</v>
      </c>
      <c r="I253" s="331">
        <v>13.43</v>
      </c>
      <c r="J253" s="12">
        <f t="shared" si="21"/>
        <v>0</v>
      </c>
    </row>
    <row r="254" spans="1:10" hidden="1" x14ac:dyDescent="0.35">
      <c r="A254" s="103"/>
      <c r="B254" s="12" t="s">
        <v>31</v>
      </c>
      <c r="C254" s="10" t="s">
        <v>66</v>
      </c>
      <c r="D254" s="152"/>
      <c r="E254" s="170"/>
      <c r="F254" s="95"/>
      <c r="G254" s="153" t="str">
        <f t="shared" si="19"/>
        <v/>
      </c>
      <c r="H254" s="10" t="s">
        <v>20</v>
      </c>
      <c r="I254" s="331">
        <v>75.38</v>
      </c>
      <c r="J254" s="12">
        <f t="shared" si="21"/>
        <v>0</v>
      </c>
    </row>
    <row r="255" spans="1:10" x14ac:dyDescent="0.35">
      <c r="A255" s="103"/>
      <c r="B255" s="12" t="s">
        <v>31</v>
      </c>
      <c r="C255" s="10" t="s">
        <v>412</v>
      </c>
      <c r="D255" s="152">
        <v>1</v>
      </c>
      <c r="E255" s="170">
        <v>1</v>
      </c>
      <c r="F255" s="95"/>
      <c r="G255" s="153" t="str">
        <f t="shared" si="19"/>
        <v/>
      </c>
      <c r="H255" s="10" t="s">
        <v>20</v>
      </c>
      <c r="I255" s="331">
        <v>8.43</v>
      </c>
      <c r="J255" s="12">
        <f t="shared" si="21"/>
        <v>8.43</v>
      </c>
    </row>
    <row r="256" spans="1:10" x14ac:dyDescent="0.35">
      <c r="A256" s="103"/>
      <c r="B256" s="12" t="s">
        <v>31</v>
      </c>
      <c r="C256" s="10" t="s">
        <v>69</v>
      </c>
      <c r="D256" s="152">
        <v>1</v>
      </c>
      <c r="E256" s="170">
        <v>11</v>
      </c>
      <c r="F256" s="95"/>
      <c r="G256" s="153" t="str">
        <f t="shared" si="19"/>
        <v/>
      </c>
      <c r="H256" s="10" t="s">
        <v>63</v>
      </c>
      <c r="I256" s="331">
        <v>3.5</v>
      </c>
      <c r="J256" s="12">
        <f t="shared" si="21"/>
        <v>38.5</v>
      </c>
    </row>
    <row r="257" spans="1:10" ht="15.5" x14ac:dyDescent="0.35">
      <c r="A257" s="108" t="s">
        <v>57</v>
      </c>
      <c r="B257" s="108"/>
      <c r="C257" s="108"/>
      <c r="D257" s="231"/>
      <c r="E257" s="169"/>
      <c r="F257" s="109"/>
      <c r="G257" s="165" t="str">
        <f t="shared" si="19"/>
        <v/>
      </c>
      <c r="H257" s="108"/>
      <c r="I257" s="106" t="s">
        <v>18</v>
      </c>
      <c r="J257" s="107">
        <f>SUM(J258:J259)</f>
        <v>0</v>
      </c>
    </row>
    <row r="258" spans="1:10" hidden="1" x14ac:dyDescent="0.35">
      <c r="A258" s="103"/>
      <c r="B258" s="12" t="s">
        <v>56</v>
      </c>
      <c r="C258" s="10" t="s">
        <v>58</v>
      </c>
      <c r="D258" s="94"/>
      <c r="E258" s="170"/>
      <c r="F258" s="94"/>
      <c r="G258" s="94" t="str">
        <f t="shared" ref="G258:G259" si="22">IF(D258-E258&gt;0,D258-E258,"")</f>
        <v/>
      </c>
      <c r="H258" s="10" t="s">
        <v>20</v>
      </c>
      <c r="I258" s="331">
        <v>54.05</v>
      </c>
      <c r="J258" s="12">
        <f>E258*I258</f>
        <v>0</v>
      </c>
    </row>
    <row r="259" spans="1:10" hidden="1" x14ac:dyDescent="0.35">
      <c r="A259" s="103"/>
      <c r="B259" s="12" t="s">
        <v>56</v>
      </c>
      <c r="C259" s="10" t="s">
        <v>388</v>
      </c>
      <c r="D259" s="94"/>
      <c r="E259" s="170"/>
      <c r="F259" s="94"/>
      <c r="G259" s="94" t="str">
        <f t="shared" si="22"/>
        <v/>
      </c>
      <c r="H259" s="10" t="s">
        <v>20</v>
      </c>
      <c r="I259" s="331">
        <v>0</v>
      </c>
      <c r="J259" s="12">
        <f>E259*I259</f>
        <v>0</v>
      </c>
    </row>
  </sheetData>
  <mergeCells count="2">
    <mergeCell ref="B1:C1"/>
    <mergeCell ref="B2:C2"/>
  </mergeCells>
  <pageMargins left="0.7" right="0.7" top="0.75" bottom="0.75" header="0.3" footer="0.3"/>
  <pageSetup paperSize="9" scale="73" fitToHeight="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625D4-F8A4-4E4F-815F-906CB65F4FD7}">
  <sheetPr codeName="Feuil17">
    <tabColor theme="8" tint="0.39997558519241921"/>
    <pageSetUpPr fitToPage="1"/>
  </sheetPr>
  <dimension ref="A1:N259"/>
  <sheetViews>
    <sheetView topLeftCell="A55" zoomScaleNormal="100" workbookViewId="0">
      <selection activeCell="J209" sqref="J209"/>
    </sheetView>
  </sheetViews>
  <sheetFormatPr baseColWidth="10" defaultColWidth="8.453125" defaultRowHeight="14.5" x14ac:dyDescent="0.35"/>
  <cols>
    <col min="1" max="1" width="2.54296875" customWidth="1"/>
    <col min="2" max="2" width="32.26953125" customWidth="1"/>
    <col min="3" max="3" width="44.54296875" bestFit="1" customWidth="1"/>
    <col min="4" max="4" width="19.7265625" bestFit="1" customWidth="1"/>
    <col min="5" max="5" width="18.81640625" style="34" bestFit="1" customWidth="1"/>
    <col min="6" max="6" width="18.26953125" hidden="1" customWidth="1"/>
    <col min="7" max="7" width="14" bestFit="1" customWidth="1"/>
    <col min="8" max="8" width="6.81640625" bestFit="1" customWidth="1"/>
    <col min="9" max="9" width="8.453125" style="86" bestFit="1" customWidth="1"/>
    <col min="10" max="10" width="7.1796875" customWidth="1"/>
  </cols>
  <sheetData>
    <row r="1" spans="2:7" ht="15" thickBot="1" x14ac:dyDescent="0.4">
      <c r="B1" s="321" t="s">
        <v>198</v>
      </c>
      <c r="C1" s="322"/>
      <c r="F1" s="89"/>
      <c r="G1" s="89"/>
    </row>
    <row r="2" spans="2:7" ht="15" thickBot="1" x14ac:dyDescent="0.4">
      <c r="B2" s="319"/>
      <c r="C2" s="320"/>
      <c r="F2" s="90"/>
      <c r="G2" s="90"/>
    </row>
    <row r="3" spans="2:7" x14ac:dyDescent="0.35">
      <c r="B3" s="75"/>
      <c r="C3" s="75"/>
      <c r="F3" s="75"/>
      <c r="G3" s="75"/>
    </row>
    <row r="4" spans="2:7" ht="15.5" x14ac:dyDescent="0.35">
      <c r="B4" s="70" t="s">
        <v>0</v>
      </c>
      <c r="C4" s="70" t="s">
        <v>1</v>
      </c>
      <c r="F4" s="91"/>
      <c r="G4" s="91"/>
    </row>
    <row r="5" spans="2:7" x14ac:dyDescent="0.35">
      <c r="B5" s="71" t="s">
        <v>2</v>
      </c>
      <c r="C5" s="72">
        <f>J23</f>
        <v>3544.1000000000004</v>
      </c>
      <c r="F5" s="92"/>
      <c r="G5" s="92"/>
    </row>
    <row r="6" spans="2:7" x14ac:dyDescent="0.35">
      <c r="B6" s="71" t="s">
        <v>7</v>
      </c>
      <c r="C6" s="72">
        <f>J4</f>
        <v>0</v>
      </c>
      <c r="F6" s="92"/>
      <c r="G6" s="92"/>
    </row>
    <row r="7" spans="2:7" x14ac:dyDescent="0.35">
      <c r="B7" s="71" t="s">
        <v>13</v>
      </c>
      <c r="C7" s="72">
        <f>J50</f>
        <v>103.5</v>
      </c>
      <c r="F7" s="92"/>
      <c r="G7" s="92"/>
    </row>
    <row r="8" spans="2:7" x14ac:dyDescent="0.35">
      <c r="B8" s="71" t="s">
        <v>3</v>
      </c>
      <c r="C8" s="72">
        <f>J78</f>
        <v>0</v>
      </c>
      <c r="F8" s="92"/>
      <c r="G8" s="92"/>
    </row>
    <row r="9" spans="2:7" x14ac:dyDescent="0.35">
      <c r="B9" s="71" t="s">
        <v>4</v>
      </c>
      <c r="C9" s="72">
        <f>J122</f>
        <v>200.38000000000002</v>
      </c>
      <c r="F9" s="92"/>
      <c r="G9" s="92"/>
    </row>
    <row r="10" spans="2:7" x14ac:dyDescent="0.35">
      <c r="B10" s="71" t="s">
        <v>199</v>
      </c>
      <c r="C10" s="72">
        <f>J176</f>
        <v>0</v>
      </c>
      <c r="F10" s="92"/>
      <c r="G10" s="92"/>
    </row>
    <row r="11" spans="2:7" x14ac:dyDescent="0.35">
      <c r="B11" s="71" t="s">
        <v>200</v>
      </c>
      <c r="C11" s="72">
        <f>J187</f>
        <v>0</v>
      </c>
      <c r="F11" s="92"/>
      <c r="G11" s="92"/>
    </row>
    <row r="12" spans="2:7" x14ac:dyDescent="0.35">
      <c r="B12" s="71" t="s">
        <v>201</v>
      </c>
      <c r="C12" s="72">
        <f>J193</f>
        <v>0</v>
      </c>
      <c r="F12" s="92"/>
      <c r="G12" s="92"/>
    </row>
    <row r="13" spans="2:7" x14ac:dyDescent="0.35">
      <c r="B13" s="71" t="s">
        <v>202</v>
      </c>
      <c r="C13" s="72">
        <f>J195</f>
        <v>0</v>
      </c>
      <c r="F13" s="92"/>
      <c r="G13" s="92"/>
    </row>
    <row r="14" spans="2:7" x14ac:dyDescent="0.35">
      <c r="B14" s="71" t="s">
        <v>203</v>
      </c>
      <c r="C14" s="72">
        <f>J208</f>
        <v>0</v>
      </c>
      <c r="F14" s="92"/>
      <c r="G14" s="92"/>
    </row>
    <row r="15" spans="2:7" x14ac:dyDescent="0.35">
      <c r="B15" s="71" t="s">
        <v>12</v>
      </c>
      <c r="C15" s="72">
        <f>J214</f>
        <v>0</v>
      </c>
      <c r="F15" s="92"/>
      <c r="G15" s="92"/>
    </row>
    <row r="16" spans="2:7" x14ac:dyDescent="0.35">
      <c r="B16" s="71" t="s">
        <v>204</v>
      </c>
      <c r="C16" s="72">
        <f>J222</f>
        <v>0</v>
      </c>
      <c r="F16" s="92"/>
      <c r="G16" s="92"/>
    </row>
    <row r="17" spans="1:11" x14ac:dyDescent="0.35">
      <c r="B17" s="71" t="s">
        <v>9</v>
      </c>
      <c r="C17" s="72">
        <f>J224</f>
        <v>0</v>
      </c>
      <c r="F17" s="92"/>
      <c r="G17" s="92"/>
    </row>
    <row r="18" spans="1:11" x14ac:dyDescent="0.35">
      <c r="B18" s="71" t="s">
        <v>205</v>
      </c>
      <c r="C18" s="72">
        <f>J245</f>
        <v>29.95</v>
      </c>
      <c r="F18" s="92"/>
      <c r="G18" s="92"/>
    </row>
    <row r="19" spans="1:11" x14ac:dyDescent="0.35">
      <c r="B19" s="71" t="s">
        <v>56</v>
      </c>
      <c r="C19" s="72">
        <f>J257</f>
        <v>0</v>
      </c>
      <c r="F19" s="92"/>
      <c r="G19" s="92"/>
    </row>
    <row r="20" spans="1:11" x14ac:dyDescent="0.35">
      <c r="B20" s="73" t="s">
        <v>14</v>
      </c>
      <c r="C20" s="74">
        <f>C5+C6+C7+C8+C9+C10+C11+C12+C13+C14+C15+C16+C17+C18+C19</f>
        <v>3877.9300000000003</v>
      </c>
      <c r="F20" s="93"/>
      <c r="G20" s="93"/>
    </row>
    <row r="21" spans="1:11" ht="18.75" customHeight="1" x14ac:dyDescent="0.45">
      <c r="A21" s="76" t="s">
        <v>207</v>
      </c>
      <c r="B21" s="76"/>
      <c r="C21" s="76"/>
      <c r="D21" s="76"/>
      <c r="E21" s="167"/>
      <c r="F21" s="76"/>
      <c r="G21" s="76"/>
      <c r="H21" s="76"/>
      <c r="I21" s="262"/>
      <c r="J21" s="76"/>
    </row>
    <row r="22" spans="1:11" ht="14.25" customHeight="1" x14ac:dyDescent="0.35">
      <c r="A22" s="129"/>
      <c r="B22" s="129" t="s">
        <v>15</v>
      </c>
      <c r="C22" s="129" t="s">
        <v>16</v>
      </c>
      <c r="D22" s="130" t="s">
        <v>398</v>
      </c>
      <c r="E22" s="168" t="s">
        <v>401</v>
      </c>
      <c r="F22" s="130" t="s">
        <v>399</v>
      </c>
      <c r="G22" s="164" t="s">
        <v>400</v>
      </c>
      <c r="H22" s="132" t="s">
        <v>406</v>
      </c>
      <c r="I22" s="341" t="s">
        <v>45</v>
      </c>
      <c r="J22" s="132" t="s">
        <v>402</v>
      </c>
    </row>
    <row r="23" spans="1:11" s="6" customFormat="1" ht="15.5" x14ac:dyDescent="0.35">
      <c r="A23" s="108" t="s">
        <v>208</v>
      </c>
      <c r="B23" s="108"/>
      <c r="C23" s="108"/>
      <c r="D23" s="108"/>
      <c r="E23" s="169" t="s">
        <v>421</v>
      </c>
      <c r="F23" s="108"/>
      <c r="G23" s="108"/>
      <c r="H23" s="108"/>
      <c r="I23" s="110" t="s">
        <v>18</v>
      </c>
      <c r="J23" s="107">
        <f>SUM(J24:J40)</f>
        <v>3544.1000000000004</v>
      </c>
    </row>
    <row r="24" spans="1:11" x14ac:dyDescent="0.35">
      <c r="A24" s="103"/>
      <c r="B24" s="7" t="s">
        <v>2</v>
      </c>
      <c r="C24" s="14" t="s">
        <v>19</v>
      </c>
      <c r="D24" s="152">
        <v>2</v>
      </c>
      <c r="E24" s="170">
        <v>2</v>
      </c>
      <c r="F24" s="95"/>
      <c r="G24" s="153" t="str">
        <f>IF(E24="","",IF(D24-E24&gt;0,D24-E24,""))</f>
        <v/>
      </c>
      <c r="H24" s="10" t="s">
        <v>20</v>
      </c>
      <c r="I24" s="331">
        <v>55.95</v>
      </c>
      <c r="J24" s="12">
        <f t="shared" ref="J24:J40" si="0">E24*I24</f>
        <v>111.9</v>
      </c>
      <c r="K24" s="13"/>
    </row>
    <row r="25" spans="1:11" hidden="1" x14ac:dyDescent="0.35">
      <c r="A25" s="103"/>
      <c r="B25" s="7" t="s">
        <v>2</v>
      </c>
      <c r="C25" s="14" t="s">
        <v>209</v>
      </c>
      <c r="D25" s="152"/>
      <c r="E25" s="170"/>
      <c r="F25" s="95"/>
      <c r="G25" s="153" t="str">
        <f t="shared" ref="G25:G88" si="1">IF(E25="","",IF(D25-E25&gt;0,D25-E25,""))</f>
        <v/>
      </c>
      <c r="H25" s="10" t="s">
        <v>20</v>
      </c>
      <c r="I25" s="331">
        <v>173.1</v>
      </c>
      <c r="J25" s="12">
        <f t="shared" si="0"/>
        <v>0</v>
      </c>
      <c r="K25" s="13"/>
    </row>
    <row r="26" spans="1:11" x14ac:dyDescent="0.35">
      <c r="A26" s="103"/>
      <c r="B26" s="12" t="s">
        <v>2</v>
      </c>
      <c r="C26" s="10" t="s">
        <v>21</v>
      </c>
      <c r="D26" s="152">
        <v>15</v>
      </c>
      <c r="E26" s="170">
        <v>23</v>
      </c>
      <c r="F26" s="95"/>
      <c r="G26" s="153" t="str">
        <f t="shared" si="1"/>
        <v/>
      </c>
      <c r="H26" s="10" t="s">
        <v>20</v>
      </c>
      <c r="I26" s="331">
        <v>75.400000000000006</v>
      </c>
      <c r="J26" s="12">
        <f t="shared" si="0"/>
        <v>1734.2</v>
      </c>
      <c r="K26" s="13"/>
    </row>
    <row r="27" spans="1:11" ht="14.5" customHeight="1" x14ac:dyDescent="0.35">
      <c r="A27" s="103"/>
      <c r="B27" s="12" t="s">
        <v>2</v>
      </c>
      <c r="C27" s="10" t="s">
        <v>210</v>
      </c>
      <c r="D27" s="152">
        <v>15</v>
      </c>
      <c r="E27" s="170">
        <v>20</v>
      </c>
      <c r="F27" s="95"/>
      <c r="G27" s="153" t="str">
        <f t="shared" si="1"/>
        <v/>
      </c>
      <c r="H27" s="10" t="s">
        <v>20</v>
      </c>
      <c r="I27" s="331">
        <v>84.9</v>
      </c>
      <c r="J27" s="12">
        <f t="shared" si="0"/>
        <v>1698</v>
      </c>
      <c r="K27" s="13"/>
    </row>
    <row r="28" spans="1:11" ht="14.5" hidden="1" customHeight="1" x14ac:dyDescent="0.35">
      <c r="A28" s="103"/>
      <c r="B28" s="12" t="s">
        <v>2</v>
      </c>
      <c r="C28" s="10" t="s">
        <v>211</v>
      </c>
      <c r="D28" s="152"/>
      <c r="E28" s="170"/>
      <c r="F28" s="95"/>
      <c r="G28" s="153" t="str">
        <f t="shared" si="1"/>
        <v/>
      </c>
      <c r="H28" s="10" t="s">
        <v>20</v>
      </c>
      <c r="I28" s="331">
        <v>2.96</v>
      </c>
      <c r="J28" s="12">
        <f t="shared" si="0"/>
        <v>0</v>
      </c>
      <c r="K28" s="13"/>
    </row>
    <row r="29" spans="1:11" ht="14.5" hidden="1" customHeight="1" x14ac:dyDescent="0.35">
      <c r="A29" s="103"/>
      <c r="B29" s="12" t="s">
        <v>2</v>
      </c>
      <c r="C29" s="10" t="s">
        <v>212</v>
      </c>
      <c r="D29" s="152"/>
      <c r="E29" s="170"/>
      <c r="F29" s="95"/>
      <c r="G29" s="153" t="str">
        <f t="shared" si="1"/>
        <v/>
      </c>
      <c r="H29" s="10" t="s">
        <v>20</v>
      </c>
      <c r="I29" s="331">
        <v>2.96</v>
      </c>
      <c r="J29" s="12">
        <f t="shared" si="0"/>
        <v>0</v>
      </c>
      <c r="K29" s="13"/>
    </row>
    <row r="30" spans="1:11" hidden="1" x14ac:dyDescent="0.35">
      <c r="A30" s="103"/>
      <c r="B30" s="12" t="s">
        <v>2</v>
      </c>
      <c r="C30" s="10" t="s">
        <v>213</v>
      </c>
      <c r="D30" s="152"/>
      <c r="E30" s="170"/>
      <c r="F30" s="95"/>
      <c r="G30" s="153" t="str">
        <f t="shared" si="1"/>
        <v/>
      </c>
      <c r="H30" s="10" t="s">
        <v>20</v>
      </c>
      <c r="I30" s="331">
        <v>2.96</v>
      </c>
      <c r="J30" s="12">
        <f t="shared" si="0"/>
        <v>0</v>
      </c>
      <c r="K30" s="13"/>
    </row>
    <row r="31" spans="1:11" hidden="1" x14ac:dyDescent="0.35">
      <c r="A31" s="103"/>
      <c r="B31" s="7" t="s">
        <v>2</v>
      </c>
      <c r="C31" s="14" t="s">
        <v>22</v>
      </c>
      <c r="D31" s="152"/>
      <c r="E31" s="170"/>
      <c r="F31" s="95"/>
      <c r="G31" s="153" t="str">
        <f t="shared" si="1"/>
        <v/>
      </c>
      <c r="H31" s="10" t="s">
        <v>20</v>
      </c>
      <c r="I31" s="331">
        <v>107.2</v>
      </c>
      <c r="J31" s="12">
        <f t="shared" si="0"/>
        <v>0</v>
      </c>
      <c r="K31" s="13"/>
    </row>
    <row r="32" spans="1:11" ht="14.5" hidden="1" customHeight="1" x14ac:dyDescent="0.35">
      <c r="A32" s="103"/>
      <c r="B32" s="7" t="s">
        <v>2</v>
      </c>
      <c r="C32" s="14" t="s">
        <v>214</v>
      </c>
      <c r="D32" s="152"/>
      <c r="E32" s="170"/>
      <c r="F32" s="95"/>
      <c r="G32" s="153" t="str">
        <f t="shared" si="1"/>
        <v/>
      </c>
      <c r="H32" s="10" t="s">
        <v>20</v>
      </c>
      <c r="I32" s="331">
        <v>170.7</v>
      </c>
      <c r="J32" s="12">
        <f t="shared" si="0"/>
        <v>0</v>
      </c>
      <c r="K32" s="13"/>
    </row>
    <row r="33" spans="1:11" ht="14.5" hidden="1" customHeight="1" x14ac:dyDescent="0.35">
      <c r="A33" s="103"/>
      <c r="B33" s="12" t="s">
        <v>2</v>
      </c>
      <c r="C33" s="10" t="s">
        <v>215</v>
      </c>
      <c r="D33" s="152"/>
      <c r="E33" s="170"/>
      <c r="F33" s="95"/>
      <c r="G33" s="153" t="str">
        <f t="shared" si="1"/>
        <v/>
      </c>
      <c r="H33" s="10" t="s">
        <v>216</v>
      </c>
      <c r="I33" s="331">
        <v>3.77</v>
      </c>
      <c r="J33" s="12">
        <f t="shared" si="0"/>
        <v>0</v>
      </c>
      <c r="K33" s="13"/>
    </row>
    <row r="34" spans="1:11" s="6" customFormat="1" ht="15.65" hidden="1" customHeight="1" x14ac:dyDescent="0.35">
      <c r="A34" s="103"/>
      <c r="B34" s="12" t="s">
        <v>2</v>
      </c>
      <c r="C34" s="10" t="s">
        <v>217</v>
      </c>
      <c r="D34" s="152"/>
      <c r="E34" s="170"/>
      <c r="F34" s="95"/>
      <c r="G34" s="153" t="str">
        <f t="shared" si="1"/>
        <v/>
      </c>
      <c r="H34" s="10" t="s">
        <v>20</v>
      </c>
      <c r="I34" s="331">
        <v>2.56</v>
      </c>
      <c r="J34" s="12">
        <f t="shared" si="0"/>
        <v>0</v>
      </c>
    </row>
    <row r="35" spans="1:11" ht="14.5" hidden="1" customHeight="1" x14ac:dyDescent="0.35">
      <c r="A35" s="103"/>
      <c r="B35" s="12" t="s">
        <v>2</v>
      </c>
      <c r="C35" s="10" t="s">
        <v>218</v>
      </c>
      <c r="D35" s="152"/>
      <c r="E35" s="170"/>
      <c r="F35" s="95"/>
      <c r="G35" s="153" t="str">
        <f t="shared" si="1"/>
        <v/>
      </c>
      <c r="H35" s="10" t="s">
        <v>20</v>
      </c>
      <c r="I35" s="331">
        <v>3.08</v>
      </c>
      <c r="J35" s="12">
        <f t="shared" si="0"/>
        <v>0</v>
      </c>
      <c r="K35" s="13"/>
    </row>
    <row r="36" spans="1:11" ht="14.5" hidden="1" customHeight="1" x14ac:dyDescent="0.35">
      <c r="A36" s="103"/>
      <c r="B36" s="12" t="s">
        <v>2</v>
      </c>
      <c r="C36" s="10" t="s">
        <v>219</v>
      </c>
      <c r="D36" s="152"/>
      <c r="E36" s="170"/>
      <c r="F36" s="95"/>
      <c r="G36" s="153" t="str">
        <f t="shared" si="1"/>
        <v/>
      </c>
      <c r="H36" s="10" t="s">
        <v>20</v>
      </c>
      <c r="I36" s="331">
        <v>2.56</v>
      </c>
      <c r="J36" s="12">
        <f t="shared" si="0"/>
        <v>0</v>
      </c>
      <c r="K36" s="13"/>
    </row>
    <row r="37" spans="1:11" hidden="1" x14ac:dyDescent="0.35">
      <c r="A37" s="103"/>
      <c r="B37" s="12" t="s">
        <v>2</v>
      </c>
      <c r="C37" s="10" t="s">
        <v>220</v>
      </c>
      <c r="D37" s="152"/>
      <c r="E37" s="170"/>
      <c r="F37" s="95"/>
      <c r="G37" s="153" t="str">
        <f t="shared" si="1"/>
        <v/>
      </c>
      <c r="H37" s="10" t="s">
        <v>20</v>
      </c>
      <c r="I37" s="331">
        <v>1.41</v>
      </c>
      <c r="J37" s="12">
        <f t="shared" si="0"/>
        <v>0</v>
      </c>
      <c r="K37" s="13"/>
    </row>
    <row r="38" spans="1:11" hidden="1" x14ac:dyDescent="0.35">
      <c r="A38" s="103"/>
      <c r="B38" s="12" t="s">
        <v>2</v>
      </c>
      <c r="C38" s="10" t="s">
        <v>221</v>
      </c>
      <c r="D38" s="152"/>
      <c r="E38" s="170"/>
      <c r="F38" s="95"/>
      <c r="G38" s="153" t="str">
        <f t="shared" si="1"/>
        <v/>
      </c>
      <c r="H38" s="10" t="s">
        <v>20</v>
      </c>
      <c r="I38" s="331">
        <v>1.73</v>
      </c>
      <c r="J38" s="12">
        <f t="shared" si="0"/>
        <v>0</v>
      </c>
      <c r="K38" s="13"/>
    </row>
    <row r="39" spans="1:11" hidden="1" x14ac:dyDescent="0.35">
      <c r="A39" s="103"/>
      <c r="B39" s="12" t="s">
        <v>2</v>
      </c>
      <c r="C39" s="10" t="s">
        <v>222</v>
      </c>
      <c r="D39" s="152"/>
      <c r="E39" s="170"/>
      <c r="F39" s="95"/>
      <c r="G39" s="153" t="str">
        <f t="shared" si="1"/>
        <v/>
      </c>
      <c r="H39" s="10" t="s">
        <v>20</v>
      </c>
      <c r="I39" s="331">
        <v>1.46</v>
      </c>
      <c r="J39" s="12">
        <f t="shared" si="0"/>
        <v>0</v>
      </c>
      <c r="K39" s="13"/>
    </row>
    <row r="40" spans="1:11" ht="14.5" hidden="1" customHeight="1" x14ac:dyDescent="0.35">
      <c r="A40" s="103"/>
      <c r="B40" s="12" t="s">
        <v>2</v>
      </c>
      <c r="C40" s="10" t="s">
        <v>223</v>
      </c>
      <c r="D40" s="222"/>
      <c r="E40" s="170"/>
      <c r="F40" s="141"/>
      <c r="G40" s="153" t="str">
        <f t="shared" si="1"/>
        <v/>
      </c>
      <c r="H40" s="10" t="s">
        <v>20</v>
      </c>
      <c r="I40" s="332">
        <v>3.45</v>
      </c>
      <c r="J40" s="12">
        <f t="shared" si="0"/>
        <v>0</v>
      </c>
      <c r="K40" s="13"/>
    </row>
    <row r="41" spans="1:11" s="6" customFormat="1" ht="15.65" customHeight="1" x14ac:dyDescent="0.35">
      <c r="A41" s="108" t="s">
        <v>119</v>
      </c>
      <c r="B41" s="108"/>
      <c r="C41" s="108"/>
      <c r="D41" s="223"/>
      <c r="E41" s="169"/>
      <c r="F41" s="109"/>
      <c r="G41" s="165" t="str">
        <f t="shared" si="1"/>
        <v/>
      </c>
      <c r="H41" s="108"/>
      <c r="I41" s="106" t="s">
        <v>18</v>
      </c>
      <c r="J41" s="107">
        <f>SUM(J42:J49)</f>
        <v>2350</v>
      </c>
    </row>
    <row r="42" spans="1:11" ht="14.5" customHeight="1" x14ac:dyDescent="0.35">
      <c r="A42" s="103"/>
      <c r="B42" s="12" t="s">
        <v>7</v>
      </c>
      <c r="C42" s="10" t="s">
        <v>224</v>
      </c>
      <c r="D42" s="152"/>
      <c r="E42" s="166">
        <f>E24</f>
        <v>2</v>
      </c>
      <c r="F42" s="95"/>
      <c r="G42" s="153" t="str">
        <f t="shared" si="1"/>
        <v/>
      </c>
      <c r="H42" s="10" t="s">
        <v>20</v>
      </c>
      <c r="I42" s="331">
        <v>100</v>
      </c>
      <c r="J42" s="12">
        <f t="shared" ref="J42:J49" si="2">E42*I42</f>
        <v>200</v>
      </c>
      <c r="K42" s="13"/>
    </row>
    <row r="43" spans="1:11" hidden="1" x14ac:dyDescent="0.35">
      <c r="A43" s="103"/>
      <c r="B43" s="12" t="s">
        <v>7</v>
      </c>
      <c r="C43" s="10" t="s">
        <v>225</v>
      </c>
      <c r="D43" s="152"/>
      <c r="E43" s="170"/>
      <c r="F43" s="95"/>
      <c r="G43" s="153" t="str">
        <f t="shared" si="1"/>
        <v/>
      </c>
      <c r="H43" s="10" t="s">
        <v>20</v>
      </c>
      <c r="I43" s="331">
        <v>12.2</v>
      </c>
      <c r="J43" s="12">
        <f t="shared" si="2"/>
        <v>0</v>
      </c>
      <c r="K43" s="13"/>
    </row>
    <row r="44" spans="1:11" ht="14.5" hidden="1" customHeight="1" x14ac:dyDescent="0.35">
      <c r="A44" s="103"/>
      <c r="B44" s="12" t="s">
        <v>7</v>
      </c>
      <c r="C44" s="10" t="s">
        <v>226</v>
      </c>
      <c r="D44" s="152"/>
      <c r="E44" s="170"/>
      <c r="F44" s="95"/>
      <c r="G44" s="153" t="str">
        <f t="shared" si="1"/>
        <v/>
      </c>
      <c r="H44" s="10" t="s">
        <v>20</v>
      </c>
      <c r="I44" s="331">
        <v>11</v>
      </c>
      <c r="J44" s="12">
        <f t="shared" si="2"/>
        <v>0</v>
      </c>
      <c r="K44" s="88"/>
    </row>
    <row r="45" spans="1:11" hidden="1" x14ac:dyDescent="0.35">
      <c r="A45" s="103"/>
      <c r="B45" s="12" t="s">
        <v>7</v>
      </c>
      <c r="C45" s="10" t="s">
        <v>227</v>
      </c>
      <c r="D45" s="152"/>
      <c r="E45" s="170"/>
      <c r="F45" s="95"/>
      <c r="G45" s="153" t="str">
        <f t="shared" si="1"/>
        <v/>
      </c>
      <c r="H45" s="10" t="s">
        <v>20</v>
      </c>
      <c r="I45" s="331">
        <v>5</v>
      </c>
      <c r="J45" s="12">
        <f t="shared" si="2"/>
        <v>0</v>
      </c>
      <c r="K45" s="13" t="s">
        <v>47</v>
      </c>
    </row>
    <row r="46" spans="1:11" x14ac:dyDescent="0.35">
      <c r="A46" s="103"/>
      <c r="B46" s="12" t="s">
        <v>7</v>
      </c>
      <c r="C46" s="10" t="s">
        <v>46</v>
      </c>
      <c r="D46" s="152"/>
      <c r="E46" s="170"/>
      <c r="F46" s="95"/>
      <c r="G46" s="153" t="str">
        <f t="shared" si="1"/>
        <v/>
      </c>
      <c r="H46" s="10" t="s">
        <v>20</v>
      </c>
      <c r="I46" s="331">
        <v>5</v>
      </c>
      <c r="J46" s="12">
        <f t="shared" si="2"/>
        <v>0</v>
      </c>
      <c r="K46" s="13"/>
    </row>
    <row r="47" spans="1:11" ht="14.5" hidden="1" customHeight="1" x14ac:dyDescent="0.35">
      <c r="A47" s="103"/>
      <c r="B47" s="12" t="s">
        <v>7</v>
      </c>
      <c r="C47" s="10" t="s">
        <v>228</v>
      </c>
      <c r="D47" s="152"/>
      <c r="E47" s="170"/>
      <c r="F47" s="95"/>
      <c r="G47" s="153" t="str">
        <f t="shared" si="1"/>
        <v/>
      </c>
      <c r="H47" s="10" t="s">
        <v>20</v>
      </c>
      <c r="I47" s="331">
        <v>11</v>
      </c>
      <c r="J47" s="12">
        <f t="shared" si="2"/>
        <v>0</v>
      </c>
      <c r="K47" s="13"/>
    </row>
    <row r="48" spans="1:11" ht="16.399999999999999" customHeight="1" x14ac:dyDescent="0.35">
      <c r="A48" s="103"/>
      <c r="B48" s="12" t="s">
        <v>7</v>
      </c>
      <c r="C48" s="10" t="s">
        <v>229</v>
      </c>
      <c r="D48" s="152"/>
      <c r="E48" s="166">
        <f>E26+E27</f>
        <v>43</v>
      </c>
      <c r="F48" s="95"/>
      <c r="G48" s="153" t="str">
        <f t="shared" si="1"/>
        <v/>
      </c>
      <c r="H48" s="10" t="s">
        <v>20</v>
      </c>
      <c r="I48" s="331">
        <v>50</v>
      </c>
      <c r="J48" s="12">
        <f t="shared" si="2"/>
        <v>2150</v>
      </c>
      <c r="K48" s="13"/>
    </row>
    <row r="49" spans="1:11" hidden="1" x14ac:dyDescent="0.35">
      <c r="A49" s="103"/>
      <c r="B49" s="12" t="s">
        <v>7</v>
      </c>
      <c r="C49" s="78" t="s">
        <v>206</v>
      </c>
      <c r="D49" s="224"/>
      <c r="E49" s="170"/>
      <c r="F49" s="142"/>
      <c r="G49" s="153" t="str">
        <f t="shared" si="1"/>
        <v/>
      </c>
      <c r="H49" s="10" t="s">
        <v>20</v>
      </c>
      <c r="I49" s="333">
        <v>5</v>
      </c>
      <c r="J49" s="12">
        <f t="shared" si="2"/>
        <v>0</v>
      </c>
      <c r="K49" s="13"/>
    </row>
    <row r="50" spans="1:11" ht="14.5" customHeight="1" x14ac:dyDescent="0.35">
      <c r="A50" s="103"/>
      <c r="B50" s="104" t="s">
        <v>230</v>
      </c>
      <c r="C50" s="105"/>
      <c r="D50" s="225"/>
      <c r="E50" s="171"/>
      <c r="F50" s="143"/>
      <c r="G50" s="165" t="str">
        <f t="shared" si="1"/>
        <v/>
      </c>
      <c r="H50" s="105"/>
      <c r="I50" s="106" t="s">
        <v>18</v>
      </c>
      <c r="J50" s="107">
        <f>SUM(J52:J77)</f>
        <v>103.5</v>
      </c>
      <c r="K50" s="13"/>
    </row>
    <row r="51" spans="1:11" ht="14.5" customHeight="1" x14ac:dyDescent="0.35">
      <c r="A51" s="111"/>
      <c r="B51" s="126" t="s">
        <v>231</v>
      </c>
      <c r="C51" s="127"/>
      <c r="D51" s="226"/>
      <c r="E51" s="172"/>
      <c r="F51" s="144"/>
      <c r="G51" s="165" t="str">
        <f t="shared" si="1"/>
        <v/>
      </c>
      <c r="H51" s="127"/>
      <c r="I51" s="239"/>
      <c r="J51" s="128"/>
      <c r="K51" s="13"/>
    </row>
    <row r="52" spans="1:11" ht="14.5" hidden="1" customHeight="1" x14ac:dyDescent="0.35">
      <c r="A52" s="103"/>
      <c r="B52" s="12" t="s">
        <v>13</v>
      </c>
      <c r="C52" s="10" t="s">
        <v>78</v>
      </c>
      <c r="D52" s="152"/>
      <c r="E52" s="170"/>
      <c r="F52" s="95"/>
      <c r="G52" s="153" t="str">
        <f t="shared" si="1"/>
        <v/>
      </c>
      <c r="H52" s="10" t="s">
        <v>20</v>
      </c>
      <c r="I52" s="331">
        <v>13</v>
      </c>
      <c r="J52" s="12">
        <f t="shared" ref="J52:J58" si="3">E52*I52</f>
        <v>0</v>
      </c>
      <c r="K52" s="13"/>
    </row>
    <row r="53" spans="1:11" ht="15.75" hidden="1" customHeight="1" x14ac:dyDescent="0.35">
      <c r="A53" s="103"/>
      <c r="B53" s="12" t="s">
        <v>13</v>
      </c>
      <c r="C53" s="10" t="s">
        <v>232</v>
      </c>
      <c r="D53" s="152"/>
      <c r="E53" s="170"/>
      <c r="F53" s="95"/>
      <c r="G53" s="153" t="str">
        <f t="shared" si="1"/>
        <v/>
      </c>
      <c r="H53" s="10" t="s">
        <v>20</v>
      </c>
      <c r="I53" s="331">
        <v>13</v>
      </c>
      <c r="J53" s="12">
        <f t="shared" si="3"/>
        <v>0</v>
      </c>
      <c r="K53" s="134"/>
    </row>
    <row r="54" spans="1:11" hidden="1" x14ac:dyDescent="0.35">
      <c r="A54" s="103"/>
      <c r="B54" s="12" t="s">
        <v>13</v>
      </c>
      <c r="C54" s="10" t="s">
        <v>233</v>
      </c>
      <c r="D54" s="152"/>
      <c r="E54" s="170"/>
      <c r="F54" s="95"/>
      <c r="G54" s="153" t="str">
        <f t="shared" si="1"/>
        <v/>
      </c>
      <c r="H54" s="10" t="s">
        <v>20</v>
      </c>
      <c r="I54" s="331">
        <v>8.9</v>
      </c>
      <c r="J54" s="12">
        <f t="shared" si="3"/>
        <v>0</v>
      </c>
      <c r="K54" s="13"/>
    </row>
    <row r="55" spans="1:11" x14ac:dyDescent="0.35">
      <c r="A55" s="103"/>
      <c r="B55" s="12" t="s">
        <v>13</v>
      </c>
      <c r="C55" s="10" t="s">
        <v>32</v>
      </c>
      <c r="D55" s="152">
        <v>6</v>
      </c>
      <c r="E55" s="170">
        <v>6</v>
      </c>
      <c r="F55" s="95"/>
      <c r="G55" s="153" t="str">
        <f t="shared" si="1"/>
        <v/>
      </c>
      <c r="H55" s="10" t="s">
        <v>20</v>
      </c>
      <c r="I55" s="331">
        <v>8.35</v>
      </c>
      <c r="J55" s="12">
        <f t="shared" si="3"/>
        <v>50.099999999999994</v>
      </c>
      <c r="K55" s="13"/>
    </row>
    <row r="56" spans="1:11" s="6" customFormat="1" ht="15.65" customHeight="1" x14ac:dyDescent="0.35">
      <c r="A56" s="103"/>
      <c r="B56" s="12" t="s">
        <v>13</v>
      </c>
      <c r="C56" s="10" t="s">
        <v>33</v>
      </c>
      <c r="D56" s="152">
        <v>6</v>
      </c>
      <c r="E56" s="170">
        <v>6</v>
      </c>
      <c r="F56" s="95"/>
      <c r="G56" s="153" t="str">
        <f t="shared" si="1"/>
        <v/>
      </c>
      <c r="H56" s="10" t="s">
        <v>20</v>
      </c>
      <c r="I56" s="331">
        <v>8.9</v>
      </c>
      <c r="J56" s="12">
        <f t="shared" si="3"/>
        <v>53.400000000000006</v>
      </c>
    </row>
    <row r="57" spans="1:11" s="6" customFormat="1" ht="15.65" customHeight="1" x14ac:dyDescent="0.35">
      <c r="A57" s="103"/>
      <c r="B57" s="12" t="s">
        <v>13</v>
      </c>
      <c r="C57" s="10" t="s">
        <v>59</v>
      </c>
      <c r="D57" s="152">
        <v>6</v>
      </c>
      <c r="E57" s="170"/>
      <c r="F57" s="95"/>
      <c r="G57" s="153" t="str">
        <f t="shared" si="1"/>
        <v/>
      </c>
      <c r="H57" s="10" t="s">
        <v>20</v>
      </c>
      <c r="I57" s="331">
        <v>8.6999999999999993</v>
      </c>
      <c r="J57" s="12">
        <f t="shared" si="3"/>
        <v>0</v>
      </c>
    </row>
    <row r="58" spans="1:11" ht="14.5" customHeight="1" x14ac:dyDescent="0.35">
      <c r="A58" s="103"/>
      <c r="B58" s="12" t="s">
        <v>13</v>
      </c>
      <c r="C58" s="10" t="s">
        <v>234</v>
      </c>
      <c r="D58" s="152"/>
      <c r="E58" s="170"/>
      <c r="F58" s="95"/>
      <c r="G58" s="153" t="str">
        <f t="shared" si="1"/>
        <v/>
      </c>
      <c r="H58" s="10" t="s">
        <v>20</v>
      </c>
      <c r="I58" s="331">
        <v>12.15</v>
      </c>
      <c r="J58" s="12">
        <f t="shared" si="3"/>
        <v>0</v>
      </c>
      <c r="K58" s="13"/>
    </row>
    <row r="59" spans="1:11" ht="14.5" hidden="1" customHeight="1" x14ac:dyDescent="0.35">
      <c r="A59" s="103"/>
      <c r="B59" s="12" t="s">
        <v>13</v>
      </c>
      <c r="C59" s="10" t="s">
        <v>235</v>
      </c>
      <c r="D59" s="152"/>
      <c r="E59" s="170"/>
      <c r="F59" s="95"/>
      <c r="G59" s="153" t="str">
        <f t="shared" si="1"/>
        <v/>
      </c>
      <c r="H59" s="10" t="s">
        <v>20</v>
      </c>
      <c r="I59" s="331">
        <v>11.35</v>
      </c>
      <c r="J59" s="12">
        <f t="shared" ref="J59:J64" si="4">E59*I59</f>
        <v>0</v>
      </c>
      <c r="K59" s="13"/>
    </row>
    <row r="60" spans="1:11" s="6" customFormat="1" ht="15.65" hidden="1" customHeight="1" x14ac:dyDescent="0.35">
      <c r="A60" s="103"/>
      <c r="B60" s="12" t="s">
        <v>13</v>
      </c>
      <c r="C60" s="10" t="s">
        <v>236</v>
      </c>
      <c r="D60" s="152"/>
      <c r="E60" s="170"/>
      <c r="F60" s="95"/>
      <c r="G60" s="153" t="str">
        <f t="shared" si="1"/>
        <v/>
      </c>
      <c r="H60" s="10" t="s">
        <v>20</v>
      </c>
      <c r="I60" s="331">
        <v>14.65</v>
      </c>
      <c r="J60" s="12">
        <f t="shared" si="4"/>
        <v>0</v>
      </c>
    </row>
    <row r="61" spans="1:11" ht="14.5" hidden="1" customHeight="1" x14ac:dyDescent="0.35">
      <c r="A61" s="103"/>
      <c r="B61" s="12" t="s">
        <v>13</v>
      </c>
      <c r="C61" s="10" t="s">
        <v>237</v>
      </c>
      <c r="D61" s="152"/>
      <c r="E61" s="170"/>
      <c r="F61" s="95"/>
      <c r="G61" s="153" t="str">
        <f t="shared" si="1"/>
        <v/>
      </c>
      <c r="H61" s="10" t="s">
        <v>20</v>
      </c>
      <c r="I61" s="331">
        <v>16.25</v>
      </c>
      <c r="J61" s="12">
        <f t="shared" si="4"/>
        <v>0</v>
      </c>
      <c r="K61" s="13"/>
    </row>
    <row r="62" spans="1:11" s="6" customFormat="1" ht="15.5" hidden="1" x14ac:dyDescent="0.35">
      <c r="A62" s="103"/>
      <c r="B62" s="12" t="s">
        <v>13</v>
      </c>
      <c r="C62" s="10" t="s">
        <v>238</v>
      </c>
      <c r="D62" s="152"/>
      <c r="E62" s="170"/>
      <c r="F62" s="95"/>
      <c r="G62" s="153" t="str">
        <f t="shared" si="1"/>
        <v/>
      </c>
      <c r="H62" s="10" t="s">
        <v>20</v>
      </c>
      <c r="I62" s="331">
        <v>17.899999999999999</v>
      </c>
      <c r="J62" s="12">
        <f t="shared" si="4"/>
        <v>0</v>
      </c>
    </row>
    <row r="63" spans="1:11" hidden="1" x14ac:dyDescent="0.35">
      <c r="A63" s="103"/>
      <c r="B63" s="12" t="s">
        <v>13</v>
      </c>
      <c r="C63" s="10" t="s">
        <v>239</v>
      </c>
      <c r="D63" s="152"/>
      <c r="E63" s="170"/>
      <c r="F63" s="95"/>
      <c r="G63" s="153" t="str">
        <f t="shared" si="1"/>
        <v/>
      </c>
      <c r="H63" s="10" t="s">
        <v>20</v>
      </c>
      <c r="I63" s="331">
        <v>15.95</v>
      </c>
      <c r="J63" s="12">
        <f t="shared" si="4"/>
        <v>0</v>
      </c>
      <c r="K63" s="13"/>
    </row>
    <row r="64" spans="1:11" ht="14.5" hidden="1" customHeight="1" x14ac:dyDescent="0.35">
      <c r="A64" s="103"/>
      <c r="B64" s="12" t="s">
        <v>13</v>
      </c>
      <c r="C64" s="10" t="s">
        <v>240</v>
      </c>
      <c r="D64" s="152"/>
      <c r="E64" s="170"/>
      <c r="F64" s="95"/>
      <c r="G64" s="153" t="str">
        <f t="shared" si="1"/>
        <v/>
      </c>
      <c r="H64" s="10" t="s">
        <v>20</v>
      </c>
      <c r="I64" s="331">
        <v>15.45</v>
      </c>
      <c r="J64" s="12">
        <f t="shared" si="4"/>
        <v>0</v>
      </c>
      <c r="K64" s="13"/>
    </row>
    <row r="65" spans="1:11" s="6" customFormat="1" ht="15.65" hidden="1" customHeight="1" x14ac:dyDescent="0.35">
      <c r="A65" s="111"/>
      <c r="B65" s="126" t="s">
        <v>241</v>
      </c>
      <c r="C65" s="127"/>
      <c r="D65" s="226"/>
      <c r="E65" s="172"/>
      <c r="F65" s="144"/>
      <c r="G65" s="153" t="str">
        <f t="shared" si="1"/>
        <v/>
      </c>
      <c r="H65" s="127"/>
      <c r="I65" s="239"/>
      <c r="J65" s="128"/>
    </row>
    <row r="66" spans="1:11" ht="14.5" hidden="1" customHeight="1" x14ac:dyDescent="0.35">
      <c r="A66" s="103"/>
      <c r="B66" s="12" t="s">
        <v>13</v>
      </c>
      <c r="C66" s="10" t="s">
        <v>242</v>
      </c>
      <c r="D66" s="152"/>
      <c r="E66" s="170"/>
      <c r="F66" s="95"/>
      <c r="G66" s="153" t="str">
        <f t="shared" si="1"/>
        <v/>
      </c>
      <c r="H66" s="10" t="s">
        <v>20</v>
      </c>
      <c r="I66" s="331">
        <v>31.05</v>
      </c>
      <c r="J66" s="12">
        <f t="shared" ref="J66:J72" si="5">E66*I66</f>
        <v>0</v>
      </c>
      <c r="K66" s="13"/>
    </row>
    <row r="67" spans="1:11" ht="14.5" hidden="1" customHeight="1" x14ac:dyDescent="0.35">
      <c r="A67" s="103"/>
      <c r="B67" s="12" t="s">
        <v>13</v>
      </c>
      <c r="C67" s="10" t="s">
        <v>243</v>
      </c>
      <c r="D67" s="152"/>
      <c r="E67" s="170"/>
      <c r="F67" s="95"/>
      <c r="G67" s="153" t="str">
        <f t="shared" si="1"/>
        <v/>
      </c>
      <c r="H67" s="10" t="s">
        <v>20</v>
      </c>
      <c r="I67" s="331">
        <v>60.79</v>
      </c>
      <c r="J67" s="12">
        <f t="shared" si="5"/>
        <v>0</v>
      </c>
      <c r="K67" s="13"/>
    </row>
    <row r="68" spans="1:11" hidden="1" x14ac:dyDescent="0.35">
      <c r="A68" s="103"/>
      <c r="B68" s="12" t="s">
        <v>13</v>
      </c>
      <c r="C68" s="10" t="s">
        <v>244</v>
      </c>
      <c r="D68" s="152"/>
      <c r="E68" s="170"/>
      <c r="F68" s="95"/>
      <c r="G68" s="153" t="str">
        <f t="shared" si="1"/>
        <v/>
      </c>
      <c r="H68" s="10" t="s">
        <v>20</v>
      </c>
      <c r="I68" s="331">
        <v>56.55</v>
      </c>
      <c r="J68" s="12">
        <f t="shared" si="5"/>
        <v>0</v>
      </c>
      <c r="K68" s="13"/>
    </row>
    <row r="69" spans="1:11" hidden="1" x14ac:dyDescent="0.35">
      <c r="A69" s="103"/>
      <c r="B69" s="12" t="s">
        <v>13</v>
      </c>
      <c r="C69" s="10" t="s">
        <v>245</v>
      </c>
      <c r="D69" s="152"/>
      <c r="E69" s="170"/>
      <c r="F69" s="95"/>
      <c r="G69" s="153" t="str">
        <f t="shared" si="1"/>
        <v/>
      </c>
      <c r="H69" s="10" t="s">
        <v>20</v>
      </c>
      <c r="I69" s="331">
        <v>107.44</v>
      </c>
      <c r="J69" s="12">
        <f t="shared" si="5"/>
        <v>0</v>
      </c>
      <c r="K69" s="13"/>
    </row>
    <row r="70" spans="1:11" ht="14.5" hidden="1" customHeight="1" x14ac:dyDescent="0.35">
      <c r="A70" s="103"/>
      <c r="B70" s="12" t="s">
        <v>13</v>
      </c>
      <c r="C70" s="10" t="s">
        <v>246</v>
      </c>
      <c r="D70" s="152"/>
      <c r="E70" s="170"/>
      <c r="F70" s="95"/>
      <c r="G70" s="153" t="str">
        <f t="shared" si="1"/>
        <v/>
      </c>
      <c r="H70" s="10" t="s">
        <v>20</v>
      </c>
      <c r="I70" s="331">
        <v>47.4</v>
      </c>
      <c r="J70" s="12">
        <f t="shared" si="5"/>
        <v>0</v>
      </c>
      <c r="K70" s="13"/>
    </row>
    <row r="71" spans="1:11" ht="15.65" hidden="1" customHeight="1" x14ac:dyDescent="0.35">
      <c r="A71" s="103"/>
      <c r="B71" s="12" t="s">
        <v>13</v>
      </c>
      <c r="C71" s="10" t="s">
        <v>247</v>
      </c>
      <c r="D71" s="152"/>
      <c r="E71" s="170"/>
      <c r="F71" s="95"/>
      <c r="G71" s="153" t="str">
        <f t="shared" si="1"/>
        <v/>
      </c>
      <c r="H71" s="10" t="s">
        <v>20</v>
      </c>
      <c r="I71" s="331">
        <v>87.63</v>
      </c>
      <c r="J71" s="12">
        <f t="shared" si="5"/>
        <v>0</v>
      </c>
      <c r="K71" s="13"/>
    </row>
    <row r="72" spans="1:11" ht="15.65" hidden="1" customHeight="1" x14ac:dyDescent="0.35">
      <c r="A72" s="103"/>
      <c r="B72" s="12" t="s">
        <v>13</v>
      </c>
      <c r="C72" s="10" t="s">
        <v>248</v>
      </c>
      <c r="D72" s="152"/>
      <c r="E72" s="170"/>
      <c r="F72" s="95"/>
      <c r="G72" s="153" t="str">
        <f t="shared" si="1"/>
        <v/>
      </c>
      <c r="H72" s="10" t="s">
        <v>20</v>
      </c>
      <c r="I72" s="331">
        <v>52.31</v>
      </c>
      <c r="J72" s="12">
        <f t="shared" si="5"/>
        <v>0</v>
      </c>
      <c r="K72" s="13"/>
    </row>
    <row r="73" spans="1:11" ht="16.399999999999999" hidden="1" customHeight="1" x14ac:dyDescent="0.35">
      <c r="A73" s="111"/>
      <c r="B73" s="126" t="s">
        <v>249</v>
      </c>
      <c r="C73" s="127"/>
      <c r="D73" s="226"/>
      <c r="E73" s="172"/>
      <c r="F73" s="144"/>
      <c r="G73" s="153" t="str">
        <f t="shared" si="1"/>
        <v/>
      </c>
      <c r="H73" s="127"/>
      <c r="I73" s="239"/>
      <c r="J73" s="128"/>
      <c r="K73" s="13"/>
    </row>
    <row r="74" spans="1:11" ht="14.5" hidden="1" customHeight="1" x14ac:dyDescent="0.35">
      <c r="A74" s="103"/>
      <c r="B74" s="12" t="s">
        <v>13</v>
      </c>
      <c r="C74" s="10" t="s">
        <v>250</v>
      </c>
      <c r="D74" s="152"/>
      <c r="E74" s="170"/>
      <c r="F74" s="95"/>
      <c r="G74" s="153" t="str">
        <f t="shared" si="1"/>
        <v/>
      </c>
      <c r="H74" s="10" t="s">
        <v>20</v>
      </c>
      <c r="I74" s="331">
        <v>10.8</v>
      </c>
      <c r="J74" s="12">
        <f>E74*I74</f>
        <v>0</v>
      </c>
      <c r="K74" s="13"/>
    </row>
    <row r="75" spans="1:11" ht="14.5" hidden="1" customHeight="1" x14ac:dyDescent="0.35">
      <c r="A75" s="103"/>
      <c r="B75" s="12" t="s">
        <v>13</v>
      </c>
      <c r="C75" s="10" t="s">
        <v>251</v>
      </c>
      <c r="D75" s="152"/>
      <c r="E75" s="170"/>
      <c r="F75" s="95"/>
      <c r="G75" s="153" t="str">
        <f t="shared" si="1"/>
        <v/>
      </c>
      <c r="H75" s="10" t="s">
        <v>20</v>
      </c>
      <c r="I75" s="331">
        <v>11.2</v>
      </c>
      <c r="J75" s="12">
        <f>E75*I75</f>
        <v>0</v>
      </c>
      <c r="K75" s="13"/>
    </row>
    <row r="76" spans="1:11" s="24" customFormat="1" ht="15.65" customHeight="1" x14ac:dyDescent="0.35">
      <c r="A76" s="103"/>
      <c r="B76" s="12" t="s">
        <v>13</v>
      </c>
      <c r="C76" s="10" t="s">
        <v>252</v>
      </c>
      <c r="D76" s="152"/>
      <c r="E76" s="170"/>
      <c r="F76" s="95"/>
      <c r="G76" s="153" t="str">
        <f t="shared" si="1"/>
        <v/>
      </c>
      <c r="H76" s="10" t="s">
        <v>23</v>
      </c>
      <c r="I76" s="331">
        <v>4.5599999999999996</v>
      </c>
      <c r="J76" s="12">
        <f>E76*I76</f>
        <v>0</v>
      </c>
    </row>
    <row r="77" spans="1:11" s="6" customFormat="1" ht="15.65" customHeight="1" x14ac:dyDescent="0.35">
      <c r="A77" s="103"/>
      <c r="B77" s="12" t="s">
        <v>13</v>
      </c>
      <c r="C77" s="10" t="s">
        <v>253</v>
      </c>
      <c r="D77" s="152"/>
      <c r="E77" s="170"/>
      <c r="F77" s="95"/>
      <c r="G77" s="153" t="str">
        <f t="shared" si="1"/>
        <v/>
      </c>
      <c r="H77" s="10" t="s">
        <v>23</v>
      </c>
      <c r="I77" s="331">
        <v>37.700000000000003</v>
      </c>
      <c r="J77" s="12">
        <f>E77*I77</f>
        <v>0</v>
      </c>
    </row>
    <row r="78" spans="1:11" ht="14.5" hidden="1" customHeight="1" x14ac:dyDescent="0.35">
      <c r="A78" s="108" t="s">
        <v>254</v>
      </c>
      <c r="B78" s="108"/>
      <c r="C78" s="108"/>
      <c r="D78" s="223"/>
      <c r="E78" s="169"/>
      <c r="F78" s="109"/>
      <c r="G78" s="153" t="str">
        <f t="shared" si="1"/>
        <v/>
      </c>
      <c r="H78" s="108"/>
      <c r="I78" s="110" t="s">
        <v>18</v>
      </c>
      <c r="J78" s="115">
        <f>SUM(J80:J121)</f>
        <v>0</v>
      </c>
    </row>
    <row r="79" spans="1:11" ht="14.5" hidden="1" customHeight="1" x14ac:dyDescent="0.35">
      <c r="A79" s="111"/>
      <c r="B79" s="126" t="s">
        <v>255</v>
      </c>
      <c r="C79" s="127"/>
      <c r="D79" s="226"/>
      <c r="E79" s="172"/>
      <c r="F79" s="144"/>
      <c r="G79" s="153" t="str">
        <f t="shared" si="1"/>
        <v/>
      </c>
      <c r="H79" s="127"/>
      <c r="I79" s="239"/>
      <c r="J79" s="128"/>
      <c r="K79" s="13"/>
    </row>
    <row r="80" spans="1:11" ht="14.5" hidden="1" customHeight="1" x14ac:dyDescent="0.35">
      <c r="A80" s="103"/>
      <c r="B80" s="12" t="s">
        <v>3</v>
      </c>
      <c r="C80" s="10" t="s">
        <v>256</v>
      </c>
      <c r="D80" s="152"/>
      <c r="E80" s="170"/>
      <c r="F80" s="95"/>
      <c r="G80" s="153" t="str">
        <f t="shared" si="1"/>
        <v/>
      </c>
      <c r="H80" s="10" t="s">
        <v>20</v>
      </c>
      <c r="I80" s="331">
        <v>32.950000000000003</v>
      </c>
      <c r="J80" s="12">
        <f t="shared" ref="J80:J86" si="6">E80*I80</f>
        <v>0</v>
      </c>
      <c r="K80" s="13"/>
    </row>
    <row r="81" spans="1:13" ht="14.5" hidden="1" customHeight="1" x14ac:dyDescent="0.35">
      <c r="A81" s="103"/>
      <c r="B81" s="12" t="s">
        <v>3</v>
      </c>
      <c r="C81" s="10" t="s">
        <v>257</v>
      </c>
      <c r="D81" s="152"/>
      <c r="E81" s="170"/>
      <c r="F81" s="95"/>
      <c r="G81" s="153" t="str">
        <f t="shared" si="1"/>
        <v/>
      </c>
      <c r="H81" s="10" t="s">
        <v>20</v>
      </c>
      <c r="I81" s="331">
        <v>56.95</v>
      </c>
      <c r="J81" s="12">
        <f t="shared" si="6"/>
        <v>0</v>
      </c>
      <c r="K81" s="13" t="s">
        <v>47</v>
      </c>
    </row>
    <row r="82" spans="1:13" ht="14.5" hidden="1" customHeight="1" x14ac:dyDescent="0.35">
      <c r="A82" s="103"/>
      <c r="B82" s="12" t="s">
        <v>3</v>
      </c>
      <c r="C82" s="10" t="s">
        <v>258</v>
      </c>
      <c r="D82" s="152"/>
      <c r="E82" s="170"/>
      <c r="F82" s="95"/>
      <c r="G82" s="153" t="str">
        <f t="shared" si="1"/>
        <v/>
      </c>
      <c r="H82" s="10" t="s">
        <v>20</v>
      </c>
      <c r="I82" s="331">
        <v>15.95</v>
      </c>
      <c r="J82" s="12">
        <f t="shared" si="6"/>
        <v>0</v>
      </c>
    </row>
    <row r="83" spans="1:13" ht="14.5" hidden="1" customHeight="1" x14ac:dyDescent="0.35">
      <c r="A83" s="103"/>
      <c r="B83" s="12" t="s">
        <v>3</v>
      </c>
      <c r="C83" s="10" t="s">
        <v>259</v>
      </c>
      <c r="D83" s="152"/>
      <c r="E83" s="170"/>
      <c r="F83" s="95"/>
      <c r="G83" s="153" t="str">
        <f t="shared" si="1"/>
        <v/>
      </c>
      <c r="H83" s="10" t="s">
        <v>20</v>
      </c>
      <c r="I83" s="331">
        <v>19.95</v>
      </c>
      <c r="J83" s="12">
        <f t="shared" si="6"/>
        <v>0</v>
      </c>
      <c r="K83" s="28"/>
    </row>
    <row r="84" spans="1:13" s="6" customFormat="1" ht="15.65" hidden="1" customHeight="1" x14ac:dyDescent="0.35">
      <c r="A84" s="103"/>
      <c r="B84" s="12" t="s">
        <v>3</v>
      </c>
      <c r="C84" s="10" t="s">
        <v>260</v>
      </c>
      <c r="D84" s="152"/>
      <c r="E84" s="170"/>
      <c r="F84" s="95"/>
      <c r="G84" s="153" t="str">
        <f t="shared" si="1"/>
        <v/>
      </c>
      <c r="H84" s="10" t="s">
        <v>20</v>
      </c>
      <c r="I84" s="331">
        <v>46.95</v>
      </c>
      <c r="J84" s="12">
        <f t="shared" si="6"/>
        <v>0</v>
      </c>
      <c r="K84" s="30"/>
    </row>
    <row r="85" spans="1:13" ht="14.5" hidden="1" customHeight="1" x14ac:dyDescent="0.35">
      <c r="A85" s="103"/>
      <c r="B85" s="12" t="s">
        <v>3</v>
      </c>
      <c r="C85" s="10" t="s">
        <v>261</v>
      </c>
      <c r="D85" s="152"/>
      <c r="E85" s="170"/>
      <c r="F85" s="95"/>
      <c r="G85" s="153" t="str">
        <f t="shared" si="1"/>
        <v/>
      </c>
      <c r="H85" s="10" t="s">
        <v>20</v>
      </c>
      <c r="I85" s="331">
        <v>34.950000000000003</v>
      </c>
      <c r="J85" s="12">
        <f t="shared" si="6"/>
        <v>0</v>
      </c>
      <c r="K85" s="28"/>
    </row>
    <row r="86" spans="1:13" s="6" customFormat="1" ht="15.65" hidden="1" customHeight="1" x14ac:dyDescent="0.35">
      <c r="A86" s="103"/>
      <c r="B86" s="12" t="s">
        <v>3</v>
      </c>
      <c r="C86" s="10" t="s">
        <v>262</v>
      </c>
      <c r="D86" s="152"/>
      <c r="E86" s="170"/>
      <c r="F86" s="95"/>
      <c r="G86" s="153" t="str">
        <f t="shared" si="1"/>
        <v/>
      </c>
      <c r="H86" s="10" t="s">
        <v>20</v>
      </c>
      <c r="I86" s="331">
        <v>24.95</v>
      </c>
      <c r="J86" s="12">
        <f t="shared" si="6"/>
        <v>0</v>
      </c>
    </row>
    <row r="87" spans="1:13" ht="15.5" hidden="1" x14ac:dyDescent="0.35">
      <c r="A87" s="111"/>
      <c r="B87" s="126" t="s">
        <v>263</v>
      </c>
      <c r="C87" s="127"/>
      <c r="D87" s="226"/>
      <c r="E87" s="172"/>
      <c r="F87" s="144"/>
      <c r="G87" s="153" t="str">
        <f t="shared" si="1"/>
        <v/>
      </c>
      <c r="H87" s="127"/>
      <c r="I87" s="239"/>
      <c r="J87" s="128"/>
      <c r="K87" s="28"/>
      <c r="M87" t="s">
        <v>47</v>
      </c>
    </row>
    <row r="88" spans="1:13" hidden="1" x14ac:dyDescent="0.35">
      <c r="A88" s="103"/>
      <c r="B88" s="12" t="s">
        <v>3</v>
      </c>
      <c r="C88" s="10" t="s">
        <v>264</v>
      </c>
      <c r="D88" s="152"/>
      <c r="E88" s="170"/>
      <c r="F88" s="95"/>
      <c r="G88" s="153" t="str">
        <f t="shared" si="1"/>
        <v/>
      </c>
      <c r="H88" s="10" t="s">
        <v>20</v>
      </c>
      <c r="I88" s="331">
        <v>19.5</v>
      </c>
      <c r="J88" s="12">
        <f t="shared" ref="J88:J94" si="7">E88*I88</f>
        <v>0</v>
      </c>
      <c r="K88" s="28"/>
    </row>
    <row r="89" spans="1:13" hidden="1" x14ac:dyDescent="0.35">
      <c r="A89" s="103"/>
      <c r="B89" s="12" t="s">
        <v>3</v>
      </c>
      <c r="C89" s="10" t="s">
        <v>265</v>
      </c>
      <c r="D89" s="152"/>
      <c r="E89" s="170"/>
      <c r="F89" s="95"/>
      <c r="G89" s="153" t="str">
        <f t="shared" ref="G89:G152" si="8">IF(E89="","",IF(D89-E89&gt;0,D89-E89,""))</f>
        <v/>
      </c>
      <c r="H89" s="10" t="s">
        <v>20</v>
      </c>
      <c r="I89" s="331">
        <v>16.95</v>
      </c>
      <c r="J89" s="12">
        <f t="shared" si="7"/>
        <v>0</v>
      </c>
      <c r="K89" s="28"/>
    </row>
    <row r="90" spans="1:13" hidden="1" x14ac:dyDescent="0.35">
      <c r="A90" s="103"/>
      <c r="B90" s="12" t="s">
        <v>3</v>
      </c>
      <c r="C90" s="10" t="s">
        <v>266</v>
      </c>
      <c r="D90" s="152"/>
      <c r="E90" s="170"/>
      <c r="F90" s="95"/>
      <c r="G90" s="153" t="str">
        <f t="shared" si="8"/>
        <v/>
      </c>
      <c r="H90" s="10" t="s">
        <v>20</v>
      </c>
      <c r="I90" s="331">
        <v>17.95</v>
      </c>
      <c r="J90" s="12">
        <f t="shared" si="7"/>
        <v>0</v>
      </c>
      <c r="K90" s="28"/>
    </row>
    <row r="91" spans="1:13" hidden="1" x14ac:dyDescent="0.35">
      <c r="A91" s="103"/>
      <c r="B91" s="12" t="s">
        <v>3</v>
      </c>
      <c r="C91" s="10" t="s">
        <v>267</v>
      </c>
      <c r="D91" s="152"/>
      <c r="E91" s="170"/>
      <c r="F91" s="95"/>
      <c r="G91" s="153" t="str">
        <f t="shared" si="8"/>
        <v/>
      </c>
      <c r="H91" s="10" t="s">
        <v>20</v>
      </c>
      <c r="I91" s="331">
        <v>15.95</v>
      </c>
      <c r="J91" s="12">
        <f t="shared" si="7"/>
        <v>0</v>
      </c>
      <c r="K91" s="28"/>
    </row>
    <row r="92" spans="1:13" s="6" customFormat="1" ht="15.5" hidden="1" x14ac:dyDescent="0.35">
      <c r="A92" s="103"/>
      <c r="B92" s="12" t="s">
        <v>3</v>
      </c>
      <c r="C92" s="10" t="s">
        <v>268</v>
      </c>
      <c r="D92" s="152"/>
      <c r="E92" s="170"/>
      <c r="F92" s="95"/>
      <c r="G92" s="153" t="str">
        <f t="shared" si="8"/>
        <v/>
      </c>
      <c r="H92" s="10" t="s">
        <v>20</v>
      </c>
      <c r="I92" s="331">
        <v>20.95</v>
      </c>
      <c r="J92" s="12">
        <f t="shared" si="7"/>
        <v>0</v>
      </c>
      <c r="K92" s="30"/>
    </row>
    <row r="93" spans="1:13" hidden="1" x14ac:dyDescent="0.35">
      <c r="A93" s="103"/>
      <c r="B93" s="12" t="s">
        <v>3</v>
      </c>
      <c r="C93" s="10" t="s">
        <v>269</v>
      </c>
      <c r="D93" s="152"/>
      <c r="E93" s="170"/>
      <c r="F93" s="95"/>
      <c r="G93" s="153" t="str">
        <f t="shared" si="8"/>
        <v/>
      </c>
      <c r="H93" s="10" t="s">
        <v>20</v>
      </c>
      <c r="I93" s="331">
        <v>26.95</v>
      </c>
      <c r="J93" s="12">
        <f t="shared" si="7"/>
        <v>0</v>
      </c>
      <c r="K93" s="31"/>
    </row>
    <row r="94" spans="1:13" hidden="1" x14ac:dyDescent="0.35">
      <c r="A94" s="103"/>
      <c r="B94" s="12" t="s">
        <v>3</v>
      </c>
      <c r="C94" s="10" t="s">
        <v>270</v>
      </c>
      <c r="D94" s="152"/>
      <c r="E94" s="170"/>
      <c r="F94" s="95"/>
      <c r="G94" s="153" t="str">
        <f t="shared" si="8"/>
        <v/>
      </c>
      <c r="H94" s="10" t="s">
        <v>20</v>
      </c>
      <c r="I94" s="331">
        <v>26.95</v>
      </c>
      <c r="J94" s="12">
        <f t="shared" si="7"/>
        <v>0</v>
      </c>
      <c r="K94" s="31"/>
    </row>
    <row r="95" spans="1:13" s="6" customFormat="1" ht="15.5" hidden="1" x14ac:dyDescent="0.35">
      <c r="A95" s="111"/>
      <c r="B95" s="126" t="s">
        <v>271</v>
      </c>
      <c r="C95" s="127"/>
      <c r="D95" s="226"/>
      <c r="E95" s="172"/>
      <c r="F95" s="144"/>
      <c r="G95" s="153" t="str">
        <f t="shared" si="8"/>
        <v/>
      </c>
      <c r="H95" s="127"/>
      <c r="I95" s="239"/>
      <c r="J95" s="128"/>
      <c r="K95" s="30"/>
    </row>
    <row r="96" spans="1:13" ht="14.15" hidden="1" customHeight="1" x14ac:dyDescent="0.35">
      <c r="A96" s="103"/>
      <c r="B96" s="12" t="s">
        <v>3</v>
      </c>
      <c r="C96" s="10" t="s">
        <v>272</v>
      </c>
      <c r="D96" s="152"/>
      <c r="E96" s="170"/>
      <c r="F96" s="95"/>
      <c r="G96" s="153" t="str">
        <f t="shared" si="8"/>
        <v/>
      </c>
      <c r="H96" s="10" t="s">
        <v>20</v>
      </c>
      <c r="I96" s="331">
        <v>20.95</v>
      </c>
      <c r="J96" s="12">
        <f>E96*I96</f>
        <v>0</v>
      </c>
      <c r="K96" s="28"/>
    </row>
    <row r="97" spans="1:11" hidden="1" x14ac:dyDescent="0.35">
      <c r="A97" s="103"/>
      <c r="B97" s="12" t="s">
        <v>3</v>
      </c>
      <c r="C97" s="10" t="s">
        <v>273</v>
      </c>
      <c r="D97" s="152"/>
      <c r="E97" s="170"/>
      <c r="F97" s="95"/>
      <c r="G97" s="153" t="str">
        <f t="shared" si="8"/>
        <v/>
      </c>
      <c r="H97" s="10" t="s">
        <v>20</v>
      </c>
      <c r="I97" s="331">
        <v>23.95</v>
      </c>
      <c r="J97" s="12">
        <f>E97*I97</f>
        <v>0</v>
      </c>
      <c r="K97" s="28"/>
    </row>
    <row r="98" spans="1:11" s="6" customFormat="1" ht="15.65" hidden="1" customHeight="1" x14ac:dyDescent="0.35">
      <c r="A98" s="103"/>
      <c r="B98" s="12" t="s">
        <v>3</v>
      </c>
      <c r="C98" s="10" t="s">
        <v>274</v>
      </c>
      <c r="D98" s="152"/>
      <c r="E98" s="170"/>
      <c r="F98" s="95"/>
      <c r="G98" s="153" t="str">
        <f t="shared" si="8"/>
        <v/>
      </c>
      <c r="H98" s="10" t="s">
        <v>20</v>
      </c>
      <c r="I98" s="331">
        <v>22.5</v>
      </c>
      <c r="J98" s="12">
        <f>E98*I98</f>
        <v>0</v>
      </c>
      <c r="K98" s="30"/>
    </row>
    <row r="99" spans="1:11" ht="14.5" hidden="1" customHeight="1" x14ac:dyDescent="0.35">
      <c r="A99" s="103"/>
      <c r="B99" s="12" t="s">
        <v>3</v>
      </c>
      <c r="C99" s="10" t="s">
        <v>275</v>
      </c>
      <c r="D99" s="152"/>
      <c r="E99" s="170"/>
      <c r="F99" s="95"/>
      <c r="G99" s="153" t="str">
        <f t="shared" si="8"/>
        <v/>
      </c>
      <c r="H99" s="10" t="s">
        <v>20</v>
      </c>
      <c r="I99" s="331">
        <v>29.95</v>
      </c>
      <c r="J99" s="12">
        <f>E99*I99</f>
        <v>0</v>
      </c>
      <c r="K99" s="31"/>
    </row>
    <row r="100" spans="1:11" s="6" customFormat="1" ht="15.65" hidden="1" customHeight="1" x14ac:dyDescent="0.35">
      <c r="A100" s="111"/>
      <c r="B100" s="126" t="s">
        <v>276</v>
      </c>
      <c r="C100" s="127"/>
      <c r="D100" s="226"/>
      <c r="E100" s="172"/>
      <c r="F100" s="144"/>
      <c r="G100" s="153" t="str">
        <f t="shared" si="8"/>
        <v/>
      </c>
      <c r="H100" s="127"/>
      <c r="I100" s="239"/>
      <c r="J100" s="128"/>
    </row>
    <row r="101" spans="1:11" hidden="1" x14ac:dyDescent="0.35">
      <c r="A101" s="103"/>
      <c r="B101" s="12" t="s">
        <v>3</v>
      </c>
      <c r="C101" s="10" t="s">
        <v>277</v>
      </c>
      <c r="D101" s="152"/>
      <c r="E101" s="170"/>
      <c r="F101" s="95"/>
      <c r="G101" s="153" t="str">
        <f t="shared" si="8"/>
        <v/>
      </c>
      <c r="H101" s="10" t="s">
        <v>20</v>
      </c>
      <c r="I101" s="331">
        <v>17.95</v>
      </c>
      <c r="J101" s="12">
        <f>E101*I101</f>
        <v>0</v>
      </c>
      <c r="K101" s="28"/>
    </row>
    <row r="102" spans="1:11" s="6" customFormat="1" ht="15.5" hidden="1" x14ac:dyDescent="0.35">
      <c r="A102" s="103"/>
      <c r="B102" s="12" t="s">
        <v>3</v>
      </c>
      <c r="C102" s="10" t="s">
        <v>278</v>
      </c>
      <c r="D102" s="152"/>
      <c r="E102" s="170"/>
      <c r="F102" s="95"/>
      <c r="G102" s="153" t="str">
        <f t="shared" si="8"/>
        <v/>
      </c>
      <c r="H102" s="10" t="s">
        <v>20</v>
      </c>
      <c r="I102" s="331">
        <v>20.95</v>
      </c>
      <c r="J102" s="12">
        <f>E102*I102</f>
        <v>0</v>
      </c>
    </row>
    <row r="103" spans="1:11" hidden="1" x14ac:dyDescent="0.35">
      <c r="A103" s="103"/>
      <c r="B103" s="12" t="s">
        <v>3</v>
      </c>
      <c r="C103" s="10" t="s">
        <v>279</v>
      </c>
      <c r="D103" s="152"/>
      <c r="E103" s="170"/>
      <c r="F103" s="95"/>
      <c r="G103" s="153" t="str">
        <f t="shared" si="8"/>
        <v/>
      </c>
      <c r="H103" s="10" t="s">
        <v>20</v>
      </c>
      <c r="I103" s="331">
        <v>19.95</v>
      </c>
      <c r="J103" s="12">
        <f>E103*I103</f>
        <v>0</v>
      </c>
      <c r="K103" s="13"/>
    </row>
    <row r="104" spans="1:11" hidden="1" x14ac:dyDescent="0.35">
      <c r="A104" s="103"/>
      <c r="B104" s="40" t="s">
        <v>3</v>
      </c>
      <c r="C104" s="41" t="s">
        <v>280</v>
      </c>
      <c r="D104" s="227"/>
      <c r="E104" s="170"/>
      <c r="F104" s="145"/>
      <c r="G104" s="153" t="str">
        <f t="shared" si="8"/>
        <v/>
      </c>
      <c r="H104" s="41" t="s">
        <v>20</v>
      </c>
      <c r="I104" s="334">
        <v>59.95</v>
      </c>
      <c r="J104" s="40">
        <f>E104*I104</f>
        <v>0</v>
      </c>
      <c r="K104" s="13"/>
    </row>
    <row r="105" spans="1:11" ht="15.65" hidden="1" customHeight="1" x14ac:dyDescent="0.35">
      <c r="A105" s="111"/>
      <c r="B105" s="126" t="s">
        <v>281</v>
      </c>
      <c r="C105" s="127"/>
      <c r="D105" s="226"/>
      <c r="E105" s="172"/>
      <c r="F105" s="144"/>
      <c r="G105" s="153" t="str">
        <f t="shared" si="8"/>
        <v/>
      </c>
      <c r="H105" s="127"/>
      <c r="I105" s="239"/>
      <c r="J105" s="128"/>
      <c r="K105" s="13"/>
    </row>
    <row r="106" spans="1:11" ht="14.5" hidden="1" customHeight="1" x14ac:dyDescent="0.35">
      <c r="A106" s="103"/>
      <c r="B106" s="12" t="s">
        <v>3</v>
      </c>
      <c r="C106" s="10" t="s">
        <v>282</v>
      </c>
      <c r="D106" s="152"/>
      <c r="E106" s="170"/>
      <c r="F106" s="95"/>
      <c r="G106" s="153" t="str">
        <f t="shared" si="8"/>
        <v/>
      </c>
      <c r="H106" s="10" t="s">
        <v>20</v>
      </c>
      <c r="I106" s="331">
        <v>54.95</v>
      </c>
      <c r="J106" s="12">
        <f>E106*I106</f>
        <v>0</v>
      </c>
      <c r="K106" s="13"/>
    </row>
    <row r="107" spans="1:11" ht="14.5" hidden="1" customHeight="1" x14ac:dyDescent="0.35">
      <c r="A107" s="103"/>
      <c r="B107" s="12" t="s">
        <v>3</v>
      </c>
      <c r="C107" s="10" t="s">
        <v>283</v>
      </c>
      <c r="D107" s="152"/>
      <c r="E107" s="170"/>
      <c r="F107" s="95"/>
      <c r="G107" s="153" t="str">
        <f t="shared" si="8"/>
        <v/>
      </c>
      <c r="H107" s="10" t="s">
        <v>20</v>
      </c>
      <c r="I107" s="331">
        <v>49.95</v>
      </c>
      <c r="J107" s="12">
        <f>E107*I107</f>
        <v>0</v>
      </c>
      <c r="K107" s="13"/>
    </row>
    <row r="108" spans="1:11" ht="14.5" hidden="1" customHeight="1" x14ac:dyDescent="0.35">
      <c r="A108" s="111"/>
      <c r="B108" s="126" t="s">
        <v>284</v>
      </c>
      <c r="C108" s="127"/>
      <c r="D108" s="226"/>
      <c r="E108" s="172"/>
      <c r="F108" s="144"/>
      <c r="G108" s="153" t="str">
        <f t="shared" si="8"/>
        <v/>
      </c>
      <c r="H108" s="127"/>
      <c r="I108" s="239"/>
      <c r="J108" s="128"/>
      <c r="K108" s="13"/>
    </row>
    <row r="109" spans="1:11" ht="14.5" hidden="1" customHeight="1" x14ac:dyDescent="0.35">
      <c r="A109" s="103"/>
      <c r="B109" s="12" t="s">
        <v>3</v>
      </c>
      <c r="C109" s="10" t="s">
        <v>285</v>
      </c>
      <c r="D109" s="152"/>
      <c r="E109" s="170"/>
      <c r="F109" s="95"/>
      <c r="G109" s="153" t="str">
        <f t="shared" si="8"/>
        <v/>
      </c>
      <c r="H109" s="10" t="s">
        <v>20</v>
      </c>
      <c r="I109" s="331">
        <v>41.5</v>
      </c>
      <c r="J109" s="12">
        <f t="shared" ref="J109:J114" si="9">E109*I109</f>
        <v>0</v>
      </c>
      <c r="K109" s="13"/>
    </row>
    <row r="110" spans="1:11" ht="15.65" hidden="1" customHeight="1" x14ac:dyDescent="0.35">
      <c r="A110" s="103"/>
      <c r="B110" s="12" t="s">
        <v>3</v>
      </c>
      <c r="C110" s="10" t="s">
        <v>286</v>
      </c>
      <c r="D110" s="152"/>
      <c r="E110" s="170"/>
      <c r="F110" s="95"/>
      <c r="G110" s="153" t="str">
        <f t="shared" si="8"/>
        <v/>
      </c>
      <c r="H110" s="10" t="s">
        <v>20</v>
      </c>
      <c r="I110" s="331">
        <v>36.200000000000003</v>
      </c>
      <c r="J110" s="12">
        <f t="shared" si="9"/>
        <v>0</v>
      </c>
      <c r="K110" s="13"/>
    </row>
    <row r="111" spans="1:11" hidden="1" x14ac:dyDescent="0.35">
      <c r="A111" s="103"/>
      <c r="B111" s="12" t="s">
        <v>3</v>
      </c>
      <c r="C111" s="10" t="s">
        <v>287</v>
      </c>
      <c r="D111" s="152"/>
      <c r="E111" s="170"/>
      <c r="F111" s="95"/>
      <c r="G111" s="153" t="str">
        <f t="shared" si="8"/>
        <v/>
      </c>
      <c r="H111" s="10" t="s">
        <v>20</v>
      </c>
      <c r="I111" s="331">
        <v>25.95</v>
      </c>
      <c r="J111" s="12">
        <f t="shared" si="9"/>
        <v>0</v>
      </c>
      <c r="K111" s="13"/>
    </row>
    <row r="112" spans="1:11" hidden="1" x14ac:dyDescent="0.35">
      <c r="A112" s="103"/>
      <c r="B112" s="12" t="s">
        <v>3</v>
      </c>
      <c r="C112" s="10" t="s">
        <v>288</v>
      </c>
      <c r="D112" s="152"/>
      <c r="E112" s="170"/>
      <c r="F112" s="95"/>
      <c r="G112" s="153" t="str">
        <f t="shared" si="8"/>
        <v/>
      </c>
      <c r="H112" s="10" t="s">
        <v>20</v>
      </c>
      <c r="I112" s="331">
        <v>32.799999999999997</v>
      </c>
      <c r="J112" s="12">
        <f t="shared" si="9"/>
        <v>0</v>
      </c>
      <c r="K112" s="13"/>
    </row>
    <row r="113" spans="1:11" s="6" customFormat="1" ht="15.5" hidden="1" x14ac:dyDescent="0.35">
      <c r="A113" s="103"/>
      <c r="B113" s="12" t="s">
        <v>3</v>
      </c>
      <c r="C113" s="10" t="s">
        <v>289</v>
      </c>
      <c r="D113" s="152"/>
      <c r="E113" s="170"/>
      <c r="F113" s="95"/>
      <c r="G113" s="153" t="str">
        <f t="shared" si="8"/>
        <v/>
      </c>
      <c r="H113" s="10" t="s">
        <v>20</v>
      </c>
      <c r="I113" s="331">
        <v>29.2</v>
      </c>
      <c r="J113" s="12">
        <f t="shared" si="9"/>
        <v>0</v>
      </c>
    </row>
    <row r="114" spans="1:11" hidden="1" x14ac:dyDescent="0.35">
      <c r="A114" s="103"/>
      <c r="B114" s="12" t="s">
        <v>3</v>
      </c>
      <c r="C114" s="10" t="s">
        <v>290</v>
      </c>
      <c r="D114" s="152"/>
      <c r="E114" s="170"/>
      <c r="F114" s="95"/>
      <c r="G114" s="153" t="str">
        <f t="shared" si="8"/>
        <v/>
      </c>
      <c r="H114" s="10" t="s">
        <v>20</v>
      </c>
      <c r="I114" s="331">
        <v>22.95</v>
      </c>
      <c r="J114" s="12">
        <f t="shared" si="9"/>
        <v>0</v>
      </c>
      <c r="K114" s="13"/>
    </row>
    <row r="115" spans="1:11" ht="15.5" hidden="1" x14ac:dyDescent="0.35">
      <c r="A115" s="111"/>
      <c r="B115" s="126" t="s">
        <v>291</v>
      </c>
      <c r="C115" s="127"/>
      <c r="D115" s="226"/>
      <c r="E115" s="172"/>
      <c r="F115" s="144"/>
      <c r="G115" s="153" t="str">
        <f t="shared" si="8"/>
        <v/>
      </c>
      <c r="H115" s="127"/>
      <c r="I115" s="239"/>
      <c r="J115" s="128"/>
      <c r="K115" s="13"/>
    </row>
    <row r="116" spans="1:11" ht="14.5" hidden="1" customHeight="1" x14ac:dyDescent="0.35">
      <c r="A116" s="103"/>
      <c r="B116" s="12" t="s">
        <v>3</v>
      </c>
      <c r="C116" s="10" t="s">
        <v>292</v>
      </c>
      <c r="D116" s="152"/>
      <c r="E116" s="170"/>
      <c r="F116" s="95"/>
      <c r="G116" s="153" t="str">
        <f t="shared" si="8"/>
        <v/>
      </c>
      <c r="H116" s="10" t="s">
        <v>20</v>
      </c>
      <c r="I116" s="331">
        <v>17.95</v>
      </c>
      <c r="J116" s="12">
        <f t="shared" ref="J116:J121" si="10">E116*I116</f>
        <v>0</v>
      </c>
      <c r="K116" s="13"/>
    </row>
    <row r="117" spans="1:11" ht="14.5" hidden="1" customHeight="1" x14ac:dyDescent="0.35">
      <c r="A117" s="103"/>
      <c r="B117" s="12" t="s">
        <v>3</v>
      </c>
      <c r="C117" s="10" t="s">
        <v>293</v>
      </c>
      <c r="D117" s="152"/>
      <c r="E117" s="170"/>
      <c r="F117" s="95"/>
      <c r="G117" s="153" t="str">
        <f t="shared" si="8"/>
        <v/>
      </c>
      <c r="H117" s="10" t="s">
        <v>20</v>
      </c>
      <c r="I117" s="331">
        <v>12.95</v>
      </c>
      <c r="J117" s="12">
        <f t="shared" si="10"/>
        <v>0</v>
      </c>
      <c r="K117" s="13"/>
    </row>
    <row r="118" spans="1:11" ht="14.5" hidden="1" customHeight="1" x14ac:dyDescent="0.35">
      <c r="A118" s="103"/>
      <c r="B118" s="12" t="s">
        <v>3</v>
      </c>
      <c r="C118" s="10" t="s">
        <v>294</v>
      </c>
      <c r="D118" s="152"/>
      <c r="E118" s="170"/>
      <c r="F118" s="95"/>
      <c r="G118" s="153" t="str">
        <f t="shared" si="8"/>
        <v/>
      </c>
      <c r="H118" s="10" t="s">
        <v>20</v>
      </c>
      <c r="I118" s="331">
        <v>21.95</v>
      </c>
      <c r="J118" s="12">
        <f t="shared" si="10"/>
        <v>0</v>
      </c>
      <c r="K118" s="13"/>
    </row>
    <row r="119" spans="1:11" ht="14.5" hidden="1" customHeight="1" x14ac:dyDescent="0.35">
      <c r="A119" s="103"/>
      <c r="B119" s="12" t="s">
        <v>3</v>
      </c>
      <c r="C119" s="10" t="s">
        <v>295</v>
      </c>
      <c r="D119" s="152"/>
      <c r="E119" s="170"/>
      <c r="F119" s="95"/>
      <c r="G119" s="153" t="str">
        <f t="shared" si="8"/>
        <v/>
      </c>
      <c r="H119" s="10" t="s">
        <v>20</v>
      </c>
      <c r="I119" s="331"/>
      <c r="J119" s="12">
        <f t="shared" si="10"/>
        <v>0</v>
      </c>
      <c r="K119" s="13"/>
    </row>
    <row r="120" spans="1:11" ht="15.65" hidden="1" customHeight="1" x14ac:dyDescent="0.35">
      <c r="A120" s="103"/>
      <c r="B120" s="12" t="s">
        <v>3</v>
      </c>
      <c r="C120" s="10" t="s">
        <v>296</v>
      </c>
      <c r="D120" s="152"/>
      <c r="E120" s="170"/>
      <c r="F120" s="95"/>
      <c r="G120" s="153" t="str">
        <f t="shared" si="8"/>
        <v/>
      </c>
      <c r="H120" s="10" t="s">
        <v>20</v>
      </c>
      <c r="I120" s="331"/>
      <c r="J120" s="12">
        <f t="shared" si="10"/>
        <v>0</v>
      </c>
      <c r="K120" s="13"/>
    </row>
    <row r="121" spans="1:11" ht="15.65" hidden="1" customHeight="1" x14ac:dyDescent="0.35">
      <c r="A121" s="103"/>
      <c r="B121" s="12" t="s">
        <v>3</v>
      </c>
      <c r="C121" s="10" t="s">
        <v>297</v>
      </c>
      <c r="D121" s="152"/>
      <c r="E121" s="170"/>
      <c r="F121" s="95"/>
      <c r="G121" s="153" t="str">
        <f t="shared" si="8"/>
        <v/>
      </c>
      <c r="H121" s="10" t="s">
        <v>20</v>
      </c>
      <c r="I121" s="331">
        <v>22.95</v>
      </c>
      <c r="J121" s="12">
        <f t="shared" si="10"/>
        <v>0</v>
      </c>
      <c r="K121" s="13"/>
    </row>
    <row r="122" spans="1:11" ht="14.5" hidden="1" customHeight="1" x14ac:dyDescent="0.35">
      <c r="A122" s="112" t="s">
        <v>298</v>
      </c>
      <c r="B122" s="116"/>
      <c r="C122" s="116"/>
      <c r="D122" s="228"/>
      <c r="E122" s="173"/>
      <c r="F122" s="146"/>
      <c r="G122" s="153" t="str">
        <f t="shared" si="8"/>
        <v/>
      </c>
      <c r="H122" s="117"/>
      <c r="I122" s="106" t="s">
        <v>18</v>
      </c>
      <c r="J122" s="115">
        <f>SUM(J123:J175)</f>
        <v>200.38000000000002</v>
      </c>
      <c r="K122" s="13"/>
    </row>
    <row r="123" spans="1:11" ht="14.5" hidden="1" customHeight="1" x14ac:dyDescent="0.35">
      <c r="A123" s="103"/>
      <c r="B123" s="20" t="s">
        <v>4</v>
      </c>
      <c r="C123" s="18" t="s">
        <v>62</v>
      </c>
      <c r="D123" s="229"/>
      <c r="E123" s="170"/>
      <c r="F123" s="147"/>
      <c r="G123" s="153" t="str">
        <f t="shared" si="8"/>
        <v/>
      </c>
      <c r="H123" s="18" t="s">
        <v>20</v>
      </c>
      <c r="I123" s="335">
        <v>7.35</v>
      </c>
      <c r="J123" s="20">
        <f>E123*I123</f>
        <v>0</v>
      </c>
      <c r="K123" s="13"/>
    </row>
    <row r="124" spans="1:11" ht="14.5" hidden="1" customHeight="1" x14ac:dyDescent="0.35">
      <c r="A124" s="103"/>
      <c r="B124" s="20" t="s">
        <v>4</v>
      </c>
      <c r="C124" s="18" t="s">
        <v>60</v>
      </c>
      <c r="D124" s="229"/>
      <c r="E124" s="170"/>
      <c r="F124" s="147"/>
      <c r="G124" s="153" t="str">
        <f t="shared" si="8"/>
        <v/>
      </c>
      <c r="H124" s="18" t="s">
        <v>20</v>
      </c>
      <c r="I124" s="335">
        <v>10.65</v>
      </c>
      <c r="J124" s="20">
        <f>E124*I124</f>
        <v>0</v>
      </c>
      <c r="K124" s="13"/>
    </row>
    <row r="125" spans="1:11" ht="15.65" hidden="1" customHeight="1" x14ac:dyDescent="0.35">
      <c r="A125" s="113" t="s">
        <v>40</v>
      </c>
      <c r="B125" s="124"/>
      <c r="C125" s="124"/>
      <c r="D125" s="230"/>
      <c r="E125" s="174"/>
      <c r="F125" s="148"/>
      <c r="G125" s="153" t="str">
        <f t="shared" si="8"/>
        <v/>
      </c>
      <c r="H125" s="124"/>
      <c r="I125" s="241"/>
      <c r="J125" s="125"/>
      <c r="K125" s="13"/>
    </row>
    <row r="126" spans="1:11" ht="15.65" hidden="1" customHeight="1" x14ac:dyDescent="0.35">
      <c r="A126" s="103"/>
      <c r="B126" s="20" t="s">
        <v>4</v>
      </c>
      <c r="C126" s="18" t="s">
        <v>299</v>
      </c>
      <c r="D126" s="229"/>
      <c r="E126" s="170"/>
      <c r="F126" s="147"/>
      <c r="G126" s="153" t="str">
        <f t="shared" si="8"/>
        <v/>
      </c>
      <c r="H126" s="18" t="s">
        <v>20</v>
      </c>
      <c r="I126" s="335">
        <v>1.31</v>
      </c>
      <c r="J126" s="12">
        <f t="shared" ref="J126:J137" si="11">E126*I126</f>
        <v>0</v>
      </c>
      <c r="K126" s="13"/>
    </row>
    <row r="127" spans="1:11" ht="14.5" hidden="1" customHeight="1" x14ac:dyDescent="0.35">
      <c r="A127" s="103"/>
      <c r="B127" s="12" t="s">
        <v>4</v>
      </c>
      <c r="C127" s="10" t="s">
        <v>300</v>
      </c>
      <c r="D127" s="152"/>
      <c r="E127" s="170"/>
      <c r="F127" s="95"/>
      <c r="G127" s="153" t="str">
        <f t="shared" si="8"/>
        <v/>
      </c>
      <c r="H127" s="10" t="s">
        <v>20</v>
      </c>
      <c r="I127" s="331">
        <v>1.31</v>
      </c>
      <c r="J127" s="12">
        <f t="shared" si="11"/>
        <v>0</v>
      </c>
    </row>
    <row r="128" spans="1:11" ht="14.5" hidden="1" customHeight="1" x14ac:dyDescent="0.35">
      <c r="A128" s="103"/>
      <c r="B128" s="20" t="s">
        <v>4</v>
      </c>
      <c r="C128" s="18" t="s">
        <v>301</v>
      </c>
      <c r="D128" s="229"/>
      <c r="E128" s="170"/>
      <c r="F128" s="147"/>
      <c r="G128" s="153" t="str">
        <f t="shared" si="8"/>
        <v/>
      </c>
      <c r="H128" s="18" t="s">
        <v>20</v>
      </c>
      <c r="I128" s="335">
        <v>1.4039999999999999</v>
      </c>
      <c r="J128" s="12">
        <f t="shared" si="11"/>
        <v>0</v>
      </c>
    </row>
    <row r="129" spans="1:11" ht="14.5" hidden="1" customHeight="1" x14ac:dyDescent="0.35">
      <c r="A129" s="103"/>
      <c r="B129" s="12" t="s">
        <v>4</v>
      </c>
      <c r="C129" s="10" t="s">
        <v>302</v>
      </c>
      <c r="D129" s="152"/>
      <c r="E129" s="170"/>
      <c r="F129" s="95"/>
      <c r="G129" s="153" t="str">
        <f t="shared" si="8"/>
        <v/>
      </c>
      <c r="H129" s="10" t="s">
        <v>20</v>
      </c>
      <c r="I129" s="331">
        <v>1.4039999999999999</v>
      </c>
      <c r="J129" s="12">
        <f t="shared" si="11"/>
        <v>0</v>
      </c>
    </row>
    <row r="130" spans="1:11" ht="14.5" hidden="1" customHeight="1" x14ac:dyDescent="0.35">
      <c r="A130" s="103"/>
      <c r="B130" s="12" t="s">
        <v>4</v>
      </c>
      <c r="C130" s="10" t="s">
        <v>303</v>
      </c>
      <c r="D130" s="152"/>
      <c r="E130" s="170"/>
      <c r="F130" s="95"/>
      <c r="G130" s="153" t="str">
        <f t="shared" si="8"/>
        <v/>
      </c>
      <c r="H130" s="10" t="s">
        <v>20</v>
      </c>
      <c r="I130" s="331">
        <v>1.53</v>
      </c>
      <c r="J130" s="12">
        <f t="shared" si="11"/>
        <v>0</v>
      </c>
    </row>
    <row r="131" spans="1:11" ht="14.5" hidden="1" customHeight="1" x14ac:dyDescent="0.35">
      <c r="A131" s="103"/>
      <c r="B131" s="12" t="s">
        <v>4</v>
      </c>
      <c r="C131" s="10" t="s">
        <v>304</v>
      </c>
      <c r="D131" s="152"/>
      <c r="E131" s="170"/>
      <c r="F131" s="95"/>
      <c r="G131" s="153" t="str">
        <f t="shared" si="8"/>
        <v/>
      </c>
      <c r="H131" s="10" t="s">
        <v>20</v>
      </c>
      <c r="I131" s="331">
        <v>1.65</v>
      </c>
      <c r="J131" s="12">
        <f t="shared" si="11"/>
        <v>0</v>
      </c>
    </row>
    <row r="132" spans="1:11" ht="14.5" hidden="1" customHeight="1" x14ac:dyDescent="0.35">
      <c r="A132" s="103"/>
      <c r="B132" s="12" t="s">
        <v>4</v>
      </c>
      <c r="C132" s="10" t="s">
        <v>83</v>
      </c>
      <c r="D132" s="152"/>
      <c r="E132" s="170"/>
      <c r="F132" s="95"/>
      <c r="G132" s="153" t="str">
        <f t="shared" si="8"/>
        <v/>
      </c>
      <c r="H132" s="10" t="s">
        <v>20</v>
      </c>
      <c r="I132" s="331">
        <v>1.04</v>
      </c>
      <c r="J132" s="12">
        <f t="shared" si="11"/>
        <v>0</v>
      </c>
    </row>
    <row r="133" spans="1:11" ht="14.5" hidden="1" customHeight="1" x14ac:dyDescent="0.35">
      <c r="A133" s="103"/>
      <c r="B133" s="12" t="s">
        <v>4</v>
      </c>
      <c r="C133" s="10" t="s">
        <v>305</v>
      </c>
      <c r="D133" s="152"/>
      <c r="E133" s="170"/>
      <c r="F133" s="95"/>
      <c r="G133" s="153" t="str">
        <f t="shared" si="8"/>
        <v/>
      </c>
      <c r="H133" s="10" t="s">
        <v>20</v>
      </c>
      <c r="I133" s="331">
        <v>1.04</v>
      </c>
      <c r="J133" s="12">
        <f t="shared" si="11"/>
        <v>0</v>
      </c>
    </row>
    <row r="134" spans="1:11" ht="14.5" hidden="1" customHeight="1" x14ac:dyDescent="0.35">
      <c r="A134" s="103"/>
      <c r="B134" s="12" t="s">
        <v>4</v>
      </c>
      <c r="C134" s="10" t="s">
        <v>306</v>
      </c>
      <c r="D134" s="152"/>
      <c r="E134" s="170"/>
      <c r="F134" s="95"/>
      <c r="G134" s="153" t="str">
        <f t="shared" si="8"/>
        <v/>
      </c>
      <c r="H134" s="10" t="s">
        <v>20</v>
      </c>
      <c r="I134" s="331">
        <v>1.06</v>
      </c>
      <c r="J134" s="12">
        <f t="shared" si="11"/>
        <v>0</v>
      </c>
    </row>
    <row r="135" spans="1:11" ht="14.5" hidden="1" customHeight="1" x14ac:dyDescent="0.35">
      <c r="A135" s="103"/>
      <c r="B135" s="12" t="s">
        <v>4</v>
      </c>
      <c r="C135" s="10" t="s">
        <v>307</v>
      </c>
      <c r="D135" s="152"/>
      <c r="E135" s="170"/>
      <c r="F135" s="95"/>
      <c r="G135" s="153" t="str">
        <f t="shared" si="8"/>
        <v/>
      </c>
      <c r="H135" s="10" t="s">
        <v>20</v>
      </c>
      <c r="I135" s="331">
        <v>1.06</v>
      </c>
      <c r="J135" s="12">
        <f t="shared" si="11"/>
        <v>0</v>
      </c>
    </row>
    <row r="136" spans="1:11" ht="14.5" hidden="1" customHeight="1" x14ac:dyDescent="0.35">
      <c r="A136" s="103"/>
      <c r="B136" s="12" t="s">
        <v>4</v>
      </c>
      <c r="C136" s="10" t="s">
        <v>308</v>
      </c>
      <c r="D136" s="152"/>
      <c r="E136" s="170"/>
      <c r="F136" s="95"/>
      <c r="G136" s="153" t="str">
        <f t="shared" si="8"/>
        <v/>
      </c>
      <c r="H136" s="10" t="s">
        <v>20</v>
      </c>
      <c r="I136" s="331">
        <v>1.2869999999999999</v>
      </c>
      <c r="J136" s="12">
        <f t="shared" si="11"/>
        <v>0</v>
      </c>
    </row>
    <row r="137" spans="1:11" ht="15.65" hidden="1" customHeight="1" x14ac:dyDescent="0.35">
      <c r="A137" s="103"/>
      <c r="B137" s="12" t="s">
        <v>4</v>
      </c>
      <c r="C137" s="10" t="s">
        <v>309</v>
      </c>
      <c r="D137" s="152"/>
      <c r="E137" s="170"/>
      <c r="F137" s="95"/>
      <c r="G137" s="153" t="str">
        <f t="shared" si="8"/>
        <v/>
      </c>
      <c r="H137" s="10" t="s">
        <v>20</v>
      </c>
      <c r="I137" s="331">
        <v>1.59</v>
      </c>
      <c r="J137" s="12">
        <f t="shared" si="11"/>
        <v>0</v>
      </c>
      <c r="K137" s="13"/>
    </row>
    <row r="138" spans="1:11" ht="15.65" hidden="1" customHeight="1" x14ac:dyDescent="0.35">
      <c r="A138" s="113" t="s">
        <v>310</v>
      </c>
      <c r="B138" s="124"/>
      <c r="C138" s="124"/>
      <c r="D138" s="230"/>
      <c r="E138" s="174"/>
      <c r="F138" s="148"/>
      <c r="G138" s="153" t="str">
        <f t="shared" si="8"/>
        <v/>
      </c>
      <c r="H138" s="124"/>
      <c r="I138" s="241"/>
      <c r="J138" s="125"/>
    </row>
    <row r="139" spans="1:11" ht="14.5" hidden="1" customHeight="1" x14ac:dyDescent="0.35">
      <c r="A139" s="103"/>
      <c r="B139" s="12" t="s">
        <v>4</v>
      </c>
      <c r="C139" s="10" t="s">
        <v>311</v>
      </c>
      <c r="D139" s="152"/>
      <c r="E139" s="170"/>
      <c r="F139" s="95"/>
      <c r="G139" s="153" t="str">
        <f t="shared" si="8"/>
        <v/>
      </c>
      <c r="H139" s="10" t="s">
        <v>20</v>
      </c>
      <c r="I139" s="331">
        <v>1.1000000000000001</v>
      </c>
      <c r="J139" s="12">
        <f t="shared" ref="J139:J149" si="12">E139*I139</f>
        <v>0</v>
      </c>
    </row>
    <row r="140" spans="1:11" ht="14.5" hidden="1" customHeight="1" x14ac:dyDescent="0.35">
      <c r="A140" s="103"/>
      <c r="B140" s="12" t="s">
        <v>4</v>
      </c>
      <c r="C140" s="10" t="s">
        <v>312</v>
      </c>
      <c r="D140" s="152"/>
      <c r="E140" s="170"/>
      <c r="F140" s="95"/>
      <c r="G140" s="153" t="str">
        <f t="shared" si="8"/>
        <v/>
      </c>
      <c r="H140" s="10" t="s">
        <v>20</v>
      </c>
      <c r="I140" s="331">
        <v>1.1000000000000001</v>
      </c>
      <c r="J140" s="12">
        <f t="shared" si="12"/>
        <v>0</v>
      </c>
    </row>
    <row r="141" spans="1:11" ht="14.5" hidden="1" customHeight="1" x14ac:dyDescent="0.35">
      <c r="A141" s="103"/>
      <c r="B141" s="12" t="s">
        <v>4</v>
      </c>
      <c r="C141" s="10" t="s">
        <v>313</v>
      </c>
      <c r="D141" s="152"/>
      <c r="E141" s="170"/>
      <c r="F141" s="95"/>
      <c r="G141" s="153" t="str">
        <f t="shared" si="8"/>
        <v/>
      </c>
      <c r="H141" s="10" t="s">
        <v>20</v>
      </c>
      <c r="I141" s="331">
        <v>1.3</v>
      </c>
      <c r="J141" s="12">
        <f t="shared" si="12"/>
        <v>0</v>
      </c>
    </row>
    <row r="142" spans="1:11" ht="14.5" hidden="1" customHeight="1" x14ac:dyDescent="0.35">
      <c r="A142" s="103"/>
      <c r="B142" s="12" t="s">
        <v>4</v>
      </c>
      <c r="C142" s="10" t="s">
        <v>314</v>
      </c>
      <c r="D142" s="152"/>
      <c r="E142" s="170"/>
      <c r="F142" s="95"/>
      <c r="G142" s="153" t="str">
        <f t="shared" si="8"/>
        <v/>
      </c>
      <c r="H142" s="10" t="s">
        <v>20</v>
      </c>
      <c r="I142" s="331">
        <v>1.36</v>
      </c>
      <c r="J142" s="12">
        <f t="shared" si="12"/>
        <v>0</v>
      </c>
    </row>
    <row r="143" spans="1:11" ht="14.5" hidden="1" customHeight="1" x14ac:dyDescent="0.35">
      <c r="A143" s="103"/>
      <c r="B143" s="12" t="s">
        <v>4</v>
      </c>
      <c r="C143" s="10" t="s">
        <v>315</v>
      </c>
      <c r="D143" s="152"/>
      <c r="E143" s="170"/>
      <c r="F143" s="95"/>
      <c r="G143" s="153" t="str">
        <f t="shared" si="8"/>
        <v/>
      </c>
      <c r="H143" s="10" t="s">
        <v>20</v>
      </c>
      <c r="I143" s="331">
        <v>1.3</v>
      </c>
      <c r="J143" s="12">
        <f t="shared" si="12"/>
        <v>0</v>
      </c>
    </row>
    <row r="144" spans="1:11" ht="15.65" hidden="1" customHeight="1" x14ac:dyDescent="0.35">
      <c r="A144" s="103"/>
      <c r="B144" s="12" t="s">
        <v>4</v>
      </c>
      <c r="C144" s="10" t="s">
        <v>316</v>
      </c>
      <c r="D144" s="152"/>
      <c r="E144" s="170"/>
      <c r="F144" s="95"/>
      <c r="G144" s="153" t="str">
        <f t="shared" si="8"/>
        <v/>
      </c>
      <c r="H144" s="10" t="s">
        <v>20</v>
      </c>
      <c r="I144" s="331">
        <v>1.35</v>
      </c>
      <c r="J144" s="12">
        <f t="shared" si="12"/>
        <v>0</v>
      </c>
      <c r="K144" s="13"/>
    </row>
    <row r="145" spans="1:11" ht="15.65" hidden="1" customHeight="1" x14ac:dyDescent="0.35">
      <c r="A145" s="103"/>
      <c r="B145" s="12" t="s">
        <v>4</v>
      </c>
      <c r="C145" s="10" t="s">
        <v>317</v>
      </c>
      <c r="D145" s="152"/>
      <c r="E145" s="170"/>
      <c r="F145" s="95"/>
      <c r="G145" s="153" t="str">
        <f t="shared" si="8"/>
        <v/>
      </c>
      <c r="H145" s="10" t="s">
        <v>20</v>
      </c>
      <c r="I145" s="331">
        <v>1.28</v>
      </c>
      <c r="J145" s="12">
        <f t="shared" si="12"/>
        <v>0</v>
      </c>
    </row>
    <row r="146" spans="1:11" ht="14.5" hidden="1" customHeight="1" x14ac:dyDescent="0.35">
      <c r="A146" s="103"/>
      <c r="B146" s="12" t="s">
        <v>4</v>
      </c>
      <c r="C146" s="10" t="s">
        <v>318</v>
      </c>
      <c r="D146" s="152"/>
      <c r="E146" s="170"/>
      <c r="F146" s="95"/>
      <c r="G146" s="153" t="str">
        <f t="shared" si="8"/>
        <v/>
      </c>
      <c r="H146" s="10" t="s">
        <v>20</v>
      </c>
      <c r="I146" s="331">
        <v>1.1000000000000001</v>
      </c>
      <c r="J146" s="12">
        <f t="shared" si="12"/>
        <v>0</v>
      </c>
    </row>
    <row r="147" spans="1:11" ht="14.5" hidden="1" customHeight="1" x14ac:dyDescent="0.35">
      <c r="A147" s="103"/>
      <c r="B147" s="12" t="s">
        <v>4</v>
      </c>
      <c r="C147" s="10" t="s">
        <v>319</v>
      </c>
      <c r="D147" s="152"/>
      <c r="E147" s="170"/>
      <c r="F147" s="95"/>
      <c r="G147" s="153" t="str">
        <f t="shared" si="8"/>
        <v/>
      </c>
      <c r="H147" s="10" t="s">
        <v>20</v>
      </c>
      <c r="I147" s="331">
        <v>1.1000000000000001</v>
      </c>
      <c r="J147" s="12">
        <f t="shared" si="12"/>
        <v>0</v>
      </c>
    </row>
    <row r="148" spans="1:11" ht="14.5" hidden="1" customHeight="1" x14ac:dyDescent="0.35">
      <c r="A148" s="103"/>
      <c r="B148" s="12" t="s">
        <v>4</v>
      </c>
      <c r="C148" s="10" t="s">
        <v>320</v>
      </c>
      <c r="D148" s="152"/>
      <c r="E148" s="170"/>
      <c r="F148" s="95"/>
      <c r="G148" s="153" t="str">
        <f t="shared" si="8"/>
        <v/>
      </c>
      <c r="H148" s="10" t="s">
        <v>20</v>
      </c>
      <c r="I148" s="331">
        <v>1.1000000000000001</v>
      </c>
      <c r="J148" s="12">
        <f t="shared" si="12"/>
        <v>0</v>
      </c>
    </row>
    <row r="149" spans="1:11" ht="14.5" hidden="1" customHeight="1" x14ac:dyDescent="0.35">
      <c r="A149" s="103"/>
      <c r="B149" s="12" t="s">
        <v>4</v>
      </c>
      <c r="C149" s="10" t="s">
        <v>321</v>
      </c>
      <c r="D149" s="152"/>
      <c r="E149" s="170"/>
      <c r="F149" s="95"/>
      <c r="G149" s="153" t="str">
        <f t="shared" si="8"/>
        <v/>
      </c>
      <c r="H149" s="10" t="s">
        <v>20</v>
      </c>
      <c r="I149" s="331">
        <v>1.1000000000000001</v>
      </c>
      <c r="J149" s="12">
        <f t="shared" si="12"/>
        <v>0</v>
      </c>
    </row>
    <row r="150" spans="1:11" ht="14.5" customHeight="1" x14ac:dyDescent="0.35">
      <c r="A150" s="113" t="s">
        <v>41</v>
      </c>
      <c r="B150" s="124"/>
      <c r="C150" s="124"/>
      <c r="D150" s="230"/>
      <c r="E150" s="174"/>
      <c r="F150" s="148"/>
      <c r="G150" s="165" t="str">
        <f t="shared" si="8"/>
        <v/>
      </c>
      <c r="H150" s="124"/>
      <c r="I150" s="241"/>
      <c r="J150" s="125"/>
    </row>
    <row r="151" spans="1:11" ht="14.5" customHeight="1" x14ac:dyDescent="0.35">
      <c r="A151" s="103"/>
      <c r="B151" s="12" t="s">
        <v>4</v>
      </c>
      <c r="C151" s="10" t="s">
        <v>24</v>
      </c>
      <c r="D151" s="152">
        <v>20</v>
      </c>
      <c r="E151" s="170">
        <v>24</v>
      </c>
      <c r="F151" s="95"/>
      <c r="G151" s="153" t="str">
        <f t="shared" si="8"/>
        <v/>
      </c>
      <c r="H151" s="10" t="s">
        <v>20</v>
      </c>
      <c r="I151" s="331">
        <v>3.04</v>
      </c>
      <c r="J151" s="12">
        <f t="shared" ref="J151:J164" si="13">E151*I151</f>
        <v>72.960000000000008</v>
      </c>
      <c r="K151" s="13"/>
    </row>
    <row r="152" spans="1:11" ht="15.65" customHeight="1" x14ac:dyDescent="0.35">
      <c r="A152" s="103"/>
      <c r="B152" s="12" t="s">
        <v>4</v>
      </c>
      <c r="C152" s="10" t="s">
        <v>80</v>
      </c>
      <c r="D152" s="152">
        <v>40</v>
      </c>
      <c r="E152" s="170">
        <v>20</v>
      </c>
      <c r="F152" s="95"/>
      <c r="G152" s="153">
        <f t="shared" si="8"/>
        <v>20</v>
      </c>
      <c r="H152" s="10" t="s">
        <v>20</v>
      </c>
      <c r="I152" s="331">
        <v>2.31</v>
      </c>
      <c r="J152" s="12">
        <f t="shared" si="13"/>
        <v>46.2</v>
      </c>
    </row>
    <row r="153" spans="1:11" ht="15.65" customHeight="1" x14ac:dyDescent="0.35">
      <c r="A153" s="103"/>
      <c r="B153" s="12" t="s">
        <v>4</v>
      </c>
      <c r="C153" s="10" t="s">
        <v>84</v>
      </c>
      <c r="D153" s="152">
        <v>20</v>
      </c>
      <c r="E153" s="170">
        <v>8</v>
      </c>
      <c r="F153" s="95"/>
      <c r="G153" s="153">
        <f t="shared" ref="G153:G223" si="14">IF(E153="","",IF(D153-E153&gt;0,D153-E153,""))</f>
        <v>12</v>
      </c>
      <c r="H153" s="10" t="s">
        <v>20</v>
      </c>
      <c r="I153" s="331">
        <v>2.31</v>
      </c>
      <c r="J153" s="12">
        <f t="shared" si="13"/>
        <v>18.48</v>
      </c>
    </row>
    <row r="154" spans="1:11" ht="14.5" hidden="1" customHeight="1" x14ac:dyDescent="0.35">
      <c r="A154" s="103"/>
      <c r="B154" s="12" t="s">
        <v>4</v>
      </c>
      <c r="C154" s="10" t="s">
        <v>394</v>
      </c>
      <c r="D154" s="152"/>
      <c r="E154" s="170"/>
      <c r="F154" s="95"/>
      <c r="G154" s="153" t="str">
        <f t="shared" si="14"/>
        <v/>
      </c>
      <c r="H154" s="10" t="s">
        <v>20</v>
      </c>
      <c r="I154" s="331">
        <v>2.54</v>
      </c>
      <c r="J154" s="12">
        <f t="shared" si="13"/>
        <v>0</v>
      </c>
    </row>
    <row r="155" spans="1:11" ht="14.5" hidden="1" customHeight="1" x14ac:dyDescent="0.35">
      <c r="A155" s="103"/>
      <c r="B155" s="12" t="s">
        <v>4</v>
      </c>
      <c r="C155" s="10" t="s">
        <v>394</v>
      </c>
      <c r="D155" s="152"/>
      <c r="E155" s="170"/>
      <c r="F155" s="95"/>
      <c r="G155" s="153" t="str">
        <f t="shared" si="14"/>
        <v/>
      </c>
      <c r="H155" s="10" t="s">
        <v>20</v>
      </c>
      <c r="I155" s="331">
        <v>2.54</v>
      </c>
      <c r="J155" s="12">
        <f t="shared" si="13"/>
        <v>0</v>
      </c>
    </row>
    <row r="156" spans="1:11" ht="14.5" customHeight="1" x14ac:dyDescent="0.35">
      <c r="A156" s="103"/>
      <c r="B156" s="12" t="s">
        <v>4</v>
      </c>
      <c r="C156" s="10" t="s">
        <v>25</v>
      </c>
      <c r="D156" s="152">
        <v>20</v>
      </c>
      <c r="E156" s="170"/>
      <c r="F156" s="95"/>
      <c r="G156" s="153" t="str">
        <f t="shared" si="14"/>
        <v/>
      </c>
      <c r="H156" s="10" t="s">
        <v>20</v>
      </c>
      <c r="I156" s="331">
        <v>1.79</v>
      </c>
      <c r="J156" s="12">
        <f t="shared" si="13"/>
        <v>0</v>
      </c>
      <c r="K156" s="13"/>
    </row>
    <row r="157" spans="1:11" ht="15.65" hidden="1" customHeight="1" x14ac:dyDescent="0.35">
      <c r="A157" s="103"/>
      <c r="B157" s="12" t="s">
        <v>4</v>
      </c>
      <c r="C157" s="10" t="s">
        <v>322</v>
      </c>
      <c r="D157" s="152"/>
      <c r="E157" s="170"/>
      <c r="F157" s="95"/>
      <c r="G157" s="153" t="str">
        <f t="shared" si="14"/>
        <v/>
      </c>
      <c r="H157" s="10" t="s">
        <v>20</v>
      </c>
      <c r="I157" s="331">
        <v>2.46</v>
      </c>
      <c r="J157" s="12">
        <f t="shared" si="13"/>
        <v>0</v>
      </c>
    </row>
    <row r="158" spans="1:11" ht="15.65" customHeight="1" x14ac:dyDescent="0.35">
      <c r="A158" s="103"/>
      <c r="B158" s="12" t="s">
        <v>4</v>
      </c>
      <c r="C158" s="10" t="s">
        <v>393</v>
      </c>
      <c r="D158" s="152">
        <v>40</v>
      </c>
      <c r="E158" s="170">
        <v>12</v>
      </c>
      <c r="F158" s="95"/>
      <c r="G158" s="153">
        <f t="shared" si="14"/>
        <v>28</v>
      </c>
      <c r="H158" s="10" t="s">
        <v>20</v>
      </c>
      <c r="I158" s="331">
        <v>2.46</v>
      </c>
      <c r="J158" s="12">
        <f t="shared" si="13"/>
        <v>29.52</v>
      </c>
    </row>
    <row r="159" spans="1:11" ht="14.5" hidden="1" customHeight="1" x14ac:dyDescent="0.35">
      <c r="A159" s="103"/>
      <c r="B159" s="12" t="s">
        <v>4</v>
      </c>
      <c r="C159" s="10" t="s">
        <v>43</v>
      </c>
      <c r="D159" s="152"/>
      <c r="E159" s="170"/>
      <c r="F159" s="95"/>
      <c r="G159" s="153" t="str">
        <f t="shared" si="14"/>
        <v/>
      </c>
      <c r="H159" s="10" t="s">
        <v>20</v>
      </c>
      <c r="I159" s="331">
        <v>2.5499999999999998</v>
      </c>
      <c r="J159" s="12">
        <f t="shared" si="13"/>
        <v>0</v>
      </c>
    </row>
    <row r="160" spans="1:11" ht="14.5" customHeight="1" x14ac:dyDescent="0.35">
      <c r="A160" s="103"/>
      <c r="B160" s="12" t="s">
        <v>4</v>
      </c>
      <c r="C160" s="10" t="s">
        <v>81</v>
      </c>
      <c r="D160" s="152">
        <v>40</v>
      </c>
      <c r="E160" s="170">
        <v>10</v>
      </c>
      <c r="F160" s="95"/>
      <c r="G160" s="153">
        <f t="shared" si="14"/>
        <v>30</v>
      </c>
      <c r="H160" s="10" t="s">
        <v>20</v>
      </c>
      <c r="I160" s="331">
        <v>1.51</v>
      </c>
      <c r="J160" s="12">
        <f t="shared" si="13"/>
        <v>15.1</v>
      </c>
      <c r="K160" s="13"/>
    </row>
    <row r="161" spans="1:11" ht="15.65" customHeight="1" x14ac:dyDescent="0.35">
      <c r="A161" s="103"/>
      <c r="B161" s="12" t="s">
        <v>4</v>
      </c>
      <c r="C161" s="10" t="s">
        <v>82</v>
      </c>
      <c r="D161" s="152">
        <v>40</v>
      </c>
      <c r="E161" s="170">
        <v>12</v>
      </c>
      <c r="F161" s="95"/>
      <c r="G161" s="153">
        <f t="shared" si="14"/>
        <v>28</v>
      </c>
      <c r="H161" s="10" t="s">
        <v>20</v>
      </c>
      <c r="I161" s="331">
        <v>1.51</v>
      </c>
      <c r="J161" s="12">
        <f t="shared" si="13"/>
        <v>18.12</v>
      </c>
    </row>
    <row r="162" spans="1:11" ht="15.65" hidden="1" customHeight="1" x14ac:dyDescent="0.35">
      <c r="A162" s="103"/>
      <c r="B162" s="12" t="s">
        <v>4</v>
      </c>
      <c r="C162" s="10" t="s">
        <v>323</v>
      </c>
      <c r="D162" s="152"/>
      <c r="E162" s="170"/>
      <c r="F162" s="95"/>
      <c r="G162" s="153" t="str">
        <f t="shared" si="14"/>
        <v/>
      </c>
      <c r="H162" s="10" t="s">
        <v>20</v>
      </c>
      <c r="I162" s="331">
        <v>1.54</v>
      </c>
      <c r="J162" s="12">
        <f t="shared" si="13"/>
        <v>0</v>
      </c>
    </row>
    <row r="163" spans="1:11" ht="14.5" hidden="1" customHeight="1" x14ac:dyDescent="0.35">
      <c r="A163" s="103"/>
      <c r="B163" s="12" t="s">
        <v>4</v>
      </c>
      <c r="C163" s="10" t="s">
        <v>324</v>
      </c>
      <c r="D163" s="152"/>
      <c r="E163" s="170"/>
      <c r="F163" s="95"/>
      <c r="G163" s="153" t="str">
        <f t="shared" si="14"/>
        <v/>
      </c>
      <c r="H163" s="10" t="s">
        <v>20</v>
      </c>
      <c r="I163" s="331">
        <v>1.6</v>
      </c>
      <c r="J163" s="12">
        <f t="shared" si="13"/>
        <v>0</v>
      </c>
    </row>
    <row r="164" spans="1:11" ht="14.5" hidden="1" customHeight="1" x14ac:dyDescent="0.35">
      <c r="A164" s="103"/>
      <c r="B164" s="12" t="s">
        <v>4</v>
      </c>
      <c r="C164" s="78" t="s">
        <v>325</v>
      </c>
      <c r="D164" s="224"/>
      <c r="E164" s="170"/>
      <c r="F164" s="142"/>
      <c r="G164" s="153" t="str">
        <f t="shared" si="14"/>
        <v/>
      </c>
      <c r="H164" s="10" t="s">
        <v>20</v>
      </c>
      <c r="I164" s="333">
        <v>49.95</v>
      </c>
      <c r="J164" s="12">
        <f t="shared" si="13"/>
        <v>0</v>
      </c>
    </row>
    <row r="165" spans="1:11" ht="14.5" customHeight="1" x14ac:dyDescent="0.35">
      <c r="A165" s="113" t="s">
        <v>44</v>
      </c>
      <c r="B165" s="124"/>
      <c r="C165" s="124"/>
      <c r="D165" s="230"/>
      <c r="E165" s="174"/>
      <c r="F165" s="148"/>
      <c r="G165" s="165" t="str">
        <f t="shared" si="14"/>
        <v/>
      </c>
      <c r="H165" s="124"/>
      <c r="I165" s="241"/>
      <c r="J165" s="125"/>
    </row>
    <row r="166" spans="1:11" ht="14.5" customHeight="1" x14ac:dyDescent="0.35">
      <c r="A166" s="103"/>
      <c r="B166" s="12" t="s">
        <v>4</v>
      </c>
      <c r="C166" s="10" t="s">
        <v>48</v>
      </c>
      <c r="D166" s="152"/>
      <c r="E166" s="170"/>
      <c r="F166" s="95"/>
      <c r="G166" s="153" t="str">
        <f t="shared" si="14"/>
        <v/>
      </c>
      <c r="H166" s="10" t="s">
        <v>20</v>
      </c>
      <c r="I166" s="331">
        <v>1.94</v>
      </c>
      <c r="J166" s="12">
        <f t="shared" ref="J166:J175" si="15">E166*I166</f>
        <v>0</v>
      </c>
    </row>
    <row r="167" spans="1:11" ht="14.5" customHeight="1" x14ac:dyDescent="0.35">
      <c r="A167" s="103"/>
      <c r="B167" s="12" t="s">
        <v>4</v>
      </c>
      <c r="C167" s="10" t="s">
        <v>49</v>
      </c>
      <c r="D167" s="152"/>
      <c r="E167" s="170"/>
      <c r="F167" s="95"/>
      <c r="G167" s="153" t="str">
        <f t="shared" si="14"/>
        <v/>
      </c>
      <c r="H167" s="10" t="s">
        <v>20</v>
      </c>
      <c r="I167" s="331">
        <v>1.94</v>
      </c>
      <c r="J167" s="12">
        <f t="shared" si="15"/>
        <v>0</v>
      </c>
    </row>
    <row r="168" spans="1:11" ht="14.5" customHeight="1" x14ac:dyDescent="0.35">
      <c r="A168" s="103"/>
      <c r="B168" s="12" t="s">
        <v>4</v>
      </c>
      <c r="C168" s="10" t="s">
        <v>50</v>
      </c>
      <c r="D168" s="152"/>
      <c r="E168" s="170"/>
      <c r="F168" s="95"/>
      <c r="G168" s="153" t="str">
        <f t="shared" si="14"/>
        <v/>
      </c>
      <c r="H168" s="10" t="s">
        <v>20</v>
      </c>
      <c r="I168" s="331">
        <v>1.94</v>
      </c>
      <c r="J168" s="12">
        <f t="shared" si="15"/>
        <v>0</v>
      </c>
    </row>
    <row r="169" spans="1:11" ht="14.5" hidden="1" customHeight="1" x14ac:dyDescent="0.35">
      <c r="A169" s="103"/>
      <c r="B169" s="12" t="s">
        <v>4</v>
      </c>
      <c r="C169" s="10" t="s">
        <v>415</v>
      </c>
      <c r="D169" s="152"/>
      <c r="E169" s="170"/>
      <c r="F169" s="95"/>
      <c r="G169" s="153" t="str">
        <f t="shared" si="14"/>
        <v/>
      </c>
      <c r="H169" s="10" t="s">
        <v>20</v>
      </c>
      <c r="I169" s="331">
        <v>1.98</v>
      </c>
      <c r="J169" s="12">
        <f t="shared" si="15"/>
        <v>0</v>
      </c>
    </row>
    <row r="170" spans="1:11" ht="14.5" hidden="1" customHeight="1" x14ac:dyDescent="0.35">
      <c r="A170" s="103"/>
      <c r="B170" s="12" t="s">
        <v>4</v>
      </c>
      <c r="C170" s="10" t="s">
        <v>414</v>
      </c>
      <c r="D170" s="152"/>
      <c r="E170" s="170"/>
      <c r="F170" s="95"/>
      <c r="G170" s="153" t="str">
        <f t="shared" si="14"/>
        <v/>
      </c>
      <c r="H170" s="10" t="s">
        <v>20</v>
      </c>
      <c r="I170" s="331">
        <v>1.98</v>
      </c>
      <c r="J170" s="12">
        <f t="shared" si="15"/>
        <v>0</v>
      </c>
    </row>
    <row r="171" spans="1:11" ht="14.5" hidden="1" customHeight="1" x14ac:dyDescent="0.35">
      <c r="A171" s="103"/>
      <c r="B171" s="12" t="s">
        <v>4</v>
      </c>
      <c r="C171" s="10" t="s">
        <v>328</v>
      </c>
      <c r="D171" s="152"/>
      <c r="E171" s="170"/>
      <c r="F171" s="95"/>
      <c r="G171" s="153" t="str">
        <f t="shared" si="14"/>
        <v/>
      </c>
      <c r="H171" s="10" t="s">
        <v>20</v>
      </c>
      <c r="I171" s="331">
        <v>1.98</v>
      </c>
      <c r="J171" s="12">
        <f t="shared" si="15"/>
        <v>0</v>
      </c>
    </row>
    <row r="172" spans="1:11" ht="14.5" hidden="1" customHeight="1" x14ac:dyDescent="0.35">
      <c r="A172" s="103"/>
      <c r="B172" s="12" t="s">
        <v>4</v>
      </c>
      <c r="C172" s="10" t="s">
        <v>329</v>
      </c>
      <c r="D172" s="152"/>
      <c r="E172" s="170"/>
      <c r="F172" s="95"/>
      <c r="G172" s="153" t="str">
        <f t="shared" si="14"/>
        <v/>
      </c>
      <c r="H172" s="10" t="s">
        <v>20</v>
      </c>
      <c r="I172" s="331">
        <v>1.98</v>
      </c>
      <c r="J172" s="12">
        <f t="shared" si="15"/>
        <v>0</v>
      </c>
    </row>
    <row r="173" spans="1:11" ht="14.5" hidden="1" customHeight="1" x14ac:dyDescent="0.35">
      <c r="A173" s="103"/>
      <c r="B173" s="40" t="s">
        <v>4</v>
      </c>
      <c r="C173" s="41" t="s">
        <v>330</v>
      </c>
      <c r="D173" s="227"/>
      <c r="E173" s="170"/>
      <c r="F173" s="145"/>
      <c r="G173" s="153" t="str">
        <f t="shared" si="14"/>
        <v/>
      </c>
      <c r="H173" s="10" t="s">
        <v>20</v>
      </c>
      <c r="I173" s="331">
        <v>1.98</v>
      </c>
      <c r="J173" s="12">
        <f t="shared" si="15"/>
        <v>0</v>
      </c>
    </row>
    <row r="174" spans="1:11" ht="14.5" hidden="1" customHeight="1" x14ac:dyDescent="0.35">
      <c r="A174" s="103"/>
      <c r="B174" s="40" t="s">
        <v>4</v>
      </c>
      <c r="C174" s="41" t="s">
        <v>331</v>
      </c>
      <c r="D174" s="227"/>
      <c r="E174" s="170"/>
      <c r="F174" s="145"/>
      <c r="G174" s="153" t="str">
        <f t="shared" si="14"/>
        <v/>
      </c>
      <c r="H174" s="10" t="s">
        <v>20</v>
      </c>
      <c r="I174" s="331">
        <v>1.98</v>
      </c>
      <c r="J174" s="12">
        <f t="shared" si="15"/>
        <v>0</v>
      </c>
    </row>
    <row r="175" spans="1:11" ht="14.5" hidden="1" customHeight="1" x14ac:dyDescent="0.35">
      <c r="A175" s="103"/>
      <c r="B175" s="40" t="s">
        <v>4</v>
      </c>
      <c r="C175" s="41" t="s">
        <v>413</v>
      </c>
      <c r="D175" s="227"/>
      <c r="E175" s="170"/>
      <c r="F175" s="145"/>
      <c r="G175" s="153" t="str">
        <f t="shared" si="14"/>
        <v/>
      </c>
      <c r="H175" s="41" t="s">
        <v>20</v>
      </c>
      <c r="I175" s="334">
        <v>1.98</v>
      </c>
      <c r="J175" s="12">
        <f t="shared" si="15"/>
        <v>0</v>
      </c>
    </row>
    <row r="176" spans="1:11" ht="14.5" hidden="1" customHeight="1" x14ac:dyDescent="0.35">
      <c r="A176" s="114" t="s">
        <v>333</v>
      </c>
      <c r="B176" s="120"/>
      <c r="C176" s="120"/>
      <c r="D176" s="228"/>
      <c r="E176" s="175"/>
      <c r="F176" s="149"/>
      <c r="G176" s="153" t="str">
        <f t="shared" si="14"/>
        <v/>
      </c>
      <c r="H176" s="121"/>
      <c r="I176" s="122" t="s">
        <v>18</v>
      </c>
      <c r="J176" s="123">
        <f>SUM(J177:J186)</f>
        <v>0</v>
      </c>
      <c r="K176" s="13"/>
    </row>
    <row r="177" spans="1:14" ht="15.65" hidden="1" customHeight="1" x14ac:dyDescent="0.35">
      <c r="A177" s="103"/>
      <c r="B177" s="12" t="s">
        <v>26</v>
      </c>
      <c r="C177" s="10" t="s">
        <v>334</v>
      </c>
      <c r="D177" s="152"/>
      <c r="E177" s="170"/>
      <c r="F177" s="95"/>
      <c r="G177" s="153" t="str">
        <f t="shared" si="14"/>
        <v/>
      </c>
      <c r="H177" s="10" t="s">
        <v>335</v>
      </c>
      <c r="I177" s="331">
        <v>20</v>
      </c>
      <c r="J177" s="12">
        <f t="shared" ref="J177:J186" si="16">E177*I177</f>
        <v>0</v>
      </c>
    </row>
    <row r="178" spans="1:14" hidden="1" x14ac:dyDescent="0.35">
      <c r="A178" s="103"/>
      <c r="B178" s="20" t="s">
        <v>26</v>
      </c>
      <c r="C178" s="18" t="s">
        <v>53</v>
      </c>
      <c r="D178" s="229"/>
      <c r="E178" s="170"/>
      <c r="F178" s="147"/>
      <c r="G178" s="153" t="str">
        <f t="shared" si="14"/>
        <v/>
      </c>
      <c r="H178" s="18" t="s">
        <v>20</v>
      </c>
      <c r="I178" s="335">
        <v>0.43</v>
      </c>
      <c r="J178" s="20">
        <f t="shared" si="16"/>
        <v>0</v>
      </c>
      <c r="N178" t="s">
        <v>47</v>
      </c>
    </row>
    <row r="179" spans="1:14" hidden="1" x14ac:dyDescent="0.35">
      <c r="A179" s="103"/>
      <c r="B179" s="20" t="s">
        <v>26</v>
      </c>
      <c r="C179" s="18" t="s">
        <v>336</v>
      </c>
      <c r="D179" s="229"/>
      <c r="E179" s="170"/>
      <c r="F179" s="147"/>
      <c r="G179" s="153" t="str">
        <f t="shared" si="14"/>
        <v/>
      </c>
      <c r="H179" s="18" t="s">
        <v>20</v>
      </c>
      <c r="I179" s="335">
        <v>0.43</v>
      </c>
      <c r="J179" s="20">
        <f t="shared" si="16"/>
        <v>0</v>
      </c>
    </row>
    <row r="180" spans="1:14" ht="16.399999999999999" hidden="1" customHeight="1" x14ac:dyDescent="0.35">
      <c r="A180" s="103"/>
      <c r="B180" s="12" t="s">
        <v>26</v>
      </c>
      <c r="C180" s="10" t="s">
        <v>337</v>
      </c>
      <c r="D180" s="152"/>
      <c r="E180" s="170"/>
      <c r="F180" s="95"/>
      <c r="G180" s="153" t="str">
        <f t="shared" si="14"/>
        <v/>
      </c>
      <c r="H180" s="10" t="s">
        <v>20</v>
      </c>
      <c r="I180" s="331">
        <v>0.43</v>
      </c>
      <c r="J180" s="12">
        <f t="shared" si="16"/>
        <v>0</v>
      </c>
    </row>
    <row r="181" spans="1:14" hidden="1" x14ac:dyDescent="0.35">
      <c r="A181" s="103"/>
      <c r="B181" s="12" t="s">
        <v>26</v>
      </c>
      <c r="C181" s="10" t="s">
        <v>51</v>
      </c>
      <c r="D181" s="152"/>
      <c r="E181" s="170"/>
      <c r="F181" s="95"/>
      <c r="G181" s="153" t="str">
        <f t="shared" si="14"/>
        <v/>
      </c>
      <c r="H181" s="10" t="s">
        <v>61</v>
      </c>
      <c r="I181" s="331">
        <v>14</v>
      </c>
      <c r="J181" s="12">
        <f t="shared" si="16"/>
        <v>0</v>
      </c>
    </row>
    <row r="182" spans="1:14" hidden="1" x14ac:dyDescent="0.35">
      <c r="A182" s="103"/>
      <c r="B182" s="12" t="s">
        <v>26</v>
      </c>
      <c r="C182" s="10" t="s">
        <v>338</v>
      </c>
      <c r="D182" s="152"/>
      <c r="E182" s="170"/>
      <c r="F182" s="95"/>
      <c r="G182" s="153" t="str">
        <f t="shared" si="14"/>
        <v/>
      </c>
      <c r="H182" s="10" t="s">
        <v>61</v>
      </c>
      <c r="I182" s="331">
        <v>14.78</v>
      </c>
      <c r="J182" s="12">
        <f t="shared" si="16"/>
        <v>0</v>
      </c>
    </row>
    <row r="183" spans="1:14" hidden="1" x14ac:dyDescent="0.35">
      <c r="A183" s="103"/>
      <c r="B183" s="12" t="s">
        <v>26</v>
      </c>
      <c r="C183" s="10" t="s">
        <v>339</v>
      </c>
      <c r="D183" s="152"/>
      <c r="E183" s="170"/>
      <c r="F183" s="95"/>
      <c r="G183" s="153" t="str">
        <f t="shared" si="14"/>
        <v/>
      </c>
      <c r="H183" s="10" t="s">
        <v>61</v>
      </c>
      <c r="I183" s="331">
        <v>14.78</v>
      </c>
      <c r="J183" s="12">
        <f t="shared" si="16"/>
        <v>0</v>
      </c>
    </row>
    <row r="184" spans="1:14" ht="14.5" hidden="1" customHeight="1" x14ac:dyDescent="0.35">
      <c r="A184" s="103"/>
      <c r="B184" s="12" t="s">
        <v>26</v>
      </c>
      <c r="C184" s="10" t="s">
        <v>340</v>
      </c>
      <c r="D184" s="152"/>
      <c r="E184" s="170"/>
      <c r="F184" s="95"/>
      <c r="G184" s="153" t="str">
        <f t="shared" si="14"/>
        <v/>
      </c>
      <c r="H184" s="10" t="s">
        <v>61</v>
      </c>
      <c r="I184" s="331">
        <v>14.78</v>
      </c>
      <c r="J184" s="12">
        <f t="shared" si="16"/>
        <v>0</v>
      </c>
    </row>
    <row r="185" spans="1:14" hidden="1" x14ac:dyDescent="0.35">
      <c r="A185" s="103"/>
      <c r="B185" s="12" t="s">
        <v>26</v>
      </c>
      <c r="C185" s="10" t="s">
        <v>341</v>
      </c>
      <c r="D185" s="152"/>
      <c r="E185" s="170"/>
      <c r="F185" s="95"/>
      <c r="G185" s="153" t="str">
        <f t="shared" si="14"/>
        <v/>
      </c>
      <c r="H185" s="10" t="s">
        <v>61</v>
      </c>
      <c r="I185" s="331">
        <v>14.78</v>
      </c>
      <c r="J185" s="12">
        <f t="shared" si="16"/>
        <v>0</v>
      </c>
    </row>
    <row r="186" spans="1:14" ht="14.5" hidden="1" customHeight="1" x14ac:dyDescent="0.35">
      <c r="A186" s="103"/>
      <c r="B186" s="12" t="s">
        <v>26</v>
      </c>
      <c r="C186" s="10" t="s">
        <v>342</v>
      </c>
      <c r="D186" s="152"/>
      <c r="E186" s="170"/>
      <c r="F186" s="95"/>
      <c r="G186" s="153" t="str">
        <f t="shared" si="14"/>
        <v/>
      </c>
      <c r="H186" s="10" t="s">
        <v>61</v>
      </c>
      <c r="I186" s="331">
        <v>14.78</v>
      </c>
      <c r="J186" s="10">
        <f t="shared" si="16"/>
        <v>0</v>
      </c>
    </row>
    <row r="187" spans="1:14" ht="15.5" x14ac:dyDescent="0.35">
      <c r="A187" s="108" t="s">
        <v>343</v>
      </c>
      <c r="B187" s="108"/>
      <c r="C187" s="108"/>
      <c r="D187" s="223"/>
      <c r="E187" s="169"/>
      <c r="F187" s="109"/>
      <c r="G187" s="165" t="str">
        <f t="shared" si="14"/>
        <v/>
      </c>
      <c r="H187" s="108"/>
      <c r="I187" s="106" t="s">
        <v>18</v>
      </c>
      <c r="J187" s="107">
        <f>SUM(J188:J192)</f>
        <v>0</v>
      </c>
    </row>
    <row r="188" spans="1:14" ht="14.5" hidden="1" customHeight="1" x14ac:dyDescent="0.35">
      <c r="A188" s="103"/>
      <c r="B188" s="7" t="s">
        <v>6</v>
      </c>
      <c r="C188" s="14" t="s">
        <v>344</v>
      </c>
      <c r="D188" s="152"/>
      <c r="E188" s="170"/>
      <c r="F188" s="95"/>
      <c r="G188" s="153" t="str">
        <f t="shared" si="14"/>
        <v/>
      </c>
      <c r="H188" s="14" t="s">
        <v>20</v>
      </c>
      <c r="I188" s="336">
        <v>0.79</v>
      </c>
      <c r="J188" s="7">
        <f>E188*I188</f>
        <v>0</v>
      </c>
    </row>
    <row r="189" spans="1:14" ht="15.65" customHeight="1" x14ac:dyDescent="0.35">
      <c r="A189" s="103"/>
      <c r="B189" s="7" t="s">
        <v>6</v>
      </c>
      <c r="C189" s="14" t="s">
        <v>345</v>
      </c>
      <c r="D189" s="152">
        <v>10</v>
      </c>
      <c r="E189" s="170"/>
      <c r="F189" s="95"/>
      <c r="G189" s="153" t="str">
        <f t="shared" si="14"/>
        <v/>
      </c>
      <c r="H189" s="14" t="s">
        <v>20</v>
      </c>
      <c r="I189" s="336">
        <v>2.76</v>
      </c>
      <c r="J189" s="7">
        <f>E189*I189</f>
        <v>0</v>
      </c>
    </row>
    <row r="190" spans="1:14" ht="14.5" customHeight="1" x14ac:dyDescent="0.35">
      <c r="A190" s="103"/>
      <c r="B190" s="7" t="s">
        <v>6</v>
      </c>
      <c r="C190" s="14" t="s">
        <v>346</v>
      </c>
      <c r="D190" s="152"/>
      <c r="E190" s="170"/>
      <c r="F190" s="95"/>
      <c r="G190" s="153" t="str">
        <f t="shared" si="14"/>
        <v/>
      </c>
      <c r="H190" s="14" t="s">
        <v>20</v>
      </c>
      <c r="I190" s="336">
        <v>1</v>
      </c>
      <c r="J190" s="7">
        <f>E190*I190</f>
        <v>0</v>
      </c>
    </row>
    <row r="191" spans="1:14" x14ac:dyDescent="0.35">
      <c r="A191" s="103"/>
      <c r="B191" s="7" t="s">
        <v>6</v>
      </c>
      <c r="C191" s="14" t="s">
        <v>34</v>
      </c>
      <c r="D191" s="152">
        <v>10</v>
      </c>
      <c r="E191" s="170"/>
      <c r="F191" s="95"/>
      <c r="G191" s="153" t="str">
        <f t="shared" si="14"/>
        <v/>
      </c>
      <c r="H191" s="14" t="s">
        <v>20</v>
      </c>
      <c r="I191" s="336">
        <v>1.8</v>
      </c>
      <c r="J191" s="7">
        <f>E191*I191</f>
        <v>0</v>
      </c>
    </row>
    <row r="192" spans="1:14" x14ac:dyDescent="0.35">
      <c r="A192" s="103"/>
      <c r="B192" s="7" t="s">
        <v>6</v>
      </c>
      <c r="C192" s="14" t="s">
        <v>35</v>
      </c>
      <c r="D192" s="152">
        <v>10</v>
      </c>
      <c r="E192" s="170"/>
      <c r="F192" s="95"/>
      <c r="G192" s="153" t="str">
        <f t="shared" si="14"/>
        <v/>
      </c>
      <c r="H192" s="14" t="s">
        <v>20</v>
      </c>
      <c r="I192" s="336">
        <v>1.8</v>
      </c>
      <c r="J192" s="7">
        <f>E192*I192</f>
        <v>0</v>
      </c>
    </row>
    <row r="193" spans="1:10" ht="15.5" hidden="1" x14ac:dyDescent="0.35">
      <c r="A193" s="112" t="s">
        <v>347</v>
      </c>
      <c r="B193" s="116"/>
      <c r="C193" s="116"/>
      <c r="D193" s="228"/>
      <c r="E193" s="173"/>
      <c r="F193" s="146"/>
      <c r="G193" s="165" t="str">
        <f t="shared" si="14"/>
        <v/>
      </c>
      <c r="H193" s="117"/>
      <c r="I193" s="118" t="s">
        <v>18</v>
      </c>
      <c r="J193" s="119">
        <f>SUM(J194)</f>
        <v>0</v>
      </c>
    </row>
    <row r="194" spans="1:10" hidden="1" x14ac:dyDescent="0.35">
      <c r="A194" s="103"/>
      <c r="B194" s="12" t="s">
        <v>5</v>
      </c>
      <c r="C194" s="10" t="s">
        <v>55</v>
      </c>
      <c r="D194" s="152"/>
      <c r="E194" s="170"/>
      <c r="F194" s="95"/>
      <c r="G194" s="153" t="str">
        <f t="shared" si="14"/>
        <v/>
      </c>
      <c r="H194" s="10" t="s">
        <v>20</v>
      </c>
      <c r="I194" s="331">
        <v>1.01</v>
      </c>
      <c r="J194" s="12">
        <f>E194*I194</f>
        <v>0</v>
      </c>
    </row>
    <row r="195" spans="1:10" ht="15.5" hidden="1" x14ac:dyDescent="0.35">
      <c r="A195" s="112" t="s">
        <v>348</v>
      </c>
      <c r="B195" s="116"/>
      <c r="C195" s="116"/>
      <c r="D195" s="228"/>
      <c r="E195" s="173"/>
      <c r="F195" s="146"/>
      <c r="G195" s="165" t="str">
        <f t="shared" si="14"/>
        <v/>
      </c>
      <c r="H195" s="117"/>
      <c r="I195" s="118" t="s">
        <v>18</v>
      </c>
      <c r="J195" s="119">
        <f>SUM(J196:J207)</f>
        <v>0</v>
      </c>
    </row>
    <row r="196" spans="1:10" hidden="1" x14ac:dyDescent="0.35">
      <c r="A196" s="103"/>
      <c r="B196" s="20" t="s">
        <v>8</v>
      </c>
      <c r="C196" s="18" t="s">
        <v>349</v>
      </c>
      <c r="D196" s="229"/>
      <c r="E196" s="170"/>
      <c r="F196" s="147"/>
      <c r="G196" s="153" t="str">
        <f t="shared" si="14"/>
        <v/>
      </c>
      <c r="H196" s="18" t="s">
        <v>27</v>
      </c>
      <c r="I196" s="337">
        <v>28.62</v>
      </c>
      <c r="J196" s="12">
        <f t="shared" ref="J196:J207" si="17">E196*I196</f>
        <v>0</v>
      </c>
    </row>
    <row r="197" spans="1:10" hidden="1" x14ac:dyDescent="0.35">
      <c r="A197" s="103"/>
      <c r="B197" s="12" t="s">
        <v>8</v>
      </c>
      <c r="C197" s="10" t="s">
        <v>350</v>
      </c>
      <c r="D197" s="152"/>
      <c r="E197" s="170"/>
      <c r="F197" s="95"/>
      <c r="G197" s="153" t="str">
        <f t="shared" si="14"/>
        <v/>
      </c>
      <c r="H197" s="10" t="s">
        <v>335</v>
      </c>
      <c r="I197" s="338">
        <v>30</v>
      </c>
      <c r="J197" s="12">
        <f t="shared" si="17"/>
        <v>0</v>
      </c>
    </row>
    <row r="198" spans="1:10" hidden="1" x14ac:dyDescent="0.35">
      <c r="A198" s="103"/>
      <c r="B198" s="12" t="s">
        <v>8</v>
      </c>
      <c r="C198" s="10" t="s">
        <v>351</v>
      </c>
      <c r="D198" s="152"/>
      <c r="E198" s="170"/>
      <c r="F198" s="95"/>
      <c r="G198" s="153" t="str">
        <f t="shared" si="14"/>
        <v/>
      </c>
      <c r="H198" s="10" t="s">
        <v>335</v>
      </c>
      <c r="I198" s="331">
        <v>1.1499999999999999</v>
      </c>
      <c r="J198" s="12">
        <f t="shared" si="17"/>
        <v>0</v>
      </c>
    </row>
    <row r="199" spans="1:10" hidden="1" x14ac:dyDescent="0.35">
      <c r="A199" s="103"/>
      <c r="B199" s="12" t="s">
        <v>8</v>
      </c>
      <c r="C199" s="10" t="s">
        <v>352</v>
      </c>
      <c r="D199" s="152"/>
      <c r="E199" s="170"/>
      <c r="F199" s="95"/>
      <c r="G199" s="153" t="str">
        <f t="shared" si="14"/>
        <v/>
      </c>
      <c r="H199" s="10" t="s">
        <v>27</v>
      </c>
      <c r="I199" s="331">
        <v>23.83</v>
      </c>
      <c r="J199" s="12">
        <f t="shared" si="17"/>
        <v>0</v>
      </c>
    </row>
    <row r="200" spans="1:10" hidden="1" x14ac:dyDescent="0.35">
      <c r="A200" s="103"/>
      <c r="B200" s="12" t="s">
        <v>8</v>
      </c>
      <c r="C200" s="10" t="s">
        <v>353</v>
      </c>
      <c r="D200" s="152"/>
      <c r="E200" s="170"/>
      <c r="F200" s="95"/>
      <c r="G200" s="153" t="str">
        <f t="shared" si="14"/>
        <v/>
      </c>
      <c r="H200" s="10" t="s">
        <v>27</v>
      </c>
      <c r="I200" s="331">
        <v>28.89</v>
      </c>
      <c r="J200" s="12">
        <f t="shared" si="17"/>
        <v>0</v>
      </c>
    </row>
    <row r="201" spans="1:10" hidden="1" x14ac:dyDescent="0.35">
      <c r="A201" s="103"/>
      <c r="B201" s="12" t="s">
        <v>8</v>
      </c>
      <c r="C201" s="10" t="s">
        <v>354</v>
      </c>
      <c r="D201" s="152"/>
      <c r="E201" s="170"/>
      <c r="F201" s="95"/>
      <c r="G201" s="153" t="str">
        <f>IF(E201="","",IF(D201-E201&gt;0,D201-E201,""))</f>
        <v/>
      </c>
      <c r="H201" s="10" t="s">
        <v>27</v>
      </c>
      <c r="I201" s="331">
        <v>19.37</v>
      </c>
      <c r="J201" s="12">
        <f>E201*I201</f>
        <v>0</v>
      </c>
    </row>
    <row r="202" spans="1:10" hidden="1" x14ac:dyDescent="0.35">
      <c r="A202" s="103"/>
      <c r="B202" s="12" t="s">
        <v>8</v>
      </c>
      <c r="C202" s="10" t="s">
        <v>429</v>
      </c>
      <c r="D202" s="152"/>
      <c r="E202" s="170"/>
      <c r="F202" s="95"/>
      <c r="G202" s="153"/>
      <c r="H202" s="10" t="s">
        <v>27</v>
      </c>
      <c r="I202" s="331">
        <v>14.07</v>
      </c>
      <c r="J202" s="12"/>
    </row>
    <row r="203" spans="1:10" hidden="1" x14ac:dyDescent="0.35">
      <c r="A203" s="103"/>
      <c r="B203" s="12" t="s">
        <v>8</v>
      </c>
      <c r="C203" s="10" t="s">
        <v>430</v>
      </c>
      <c r="D203" s="152"/>
      <c r="E203" s="170"/>
      <c r="F203" s="95"/>
      <c r="G203" s="153"/>
      <c r="H203" s="10" t="s">
        <v>27</v>
      </c>
      <c r="I203" s="331">
        <v>16.07</v>
      </c>
      <c r="J203" s="12"/>
    </row>
    <row r="204" spans="1:10" hidden="1" x14ac:dyDescent="0.35">
      <c r="A204" s="103"/>
      <c r="B204" s="12" t="s">
        <v>8</v>
      </c>
      <c r="C204" s="10" t="s">
        <v>431</v>
      </c>
      <c r="D204" s="152"/>
      <c r="G204" s="153"/>
      <c r="H204" s="10" t="s">
        <v>27</v>
      </c>
      <c r="I204" s="339">
        <v>14.62</v>
      </c>
      <c r="J204" s="12"/>
    </row>
    <row r="205" spans="1:10" hidden="1" x14ac:dyDescent="0.35">
      <c r="A205" s="103"/>
      <c r="B205" s="12" t="s">
        <v>8</v>
      </c>
      <c r="C205" s="10" t="s">
        <v>355</v>
      </c>
      <c r="D205" s="152"/>
      <c r="E205" s="170"/>
      <c r="F205" s="95"/>
      <c r="G205" s="153" t="str">
        <f t="shared" si="14"/>
        <v/>
      </c>
      <c r="H205" s="10" t="s">
        <v>61</v>
      </c>
      <c r="I205" s="331">
        <v>17.11</v>
      </c>
      <c r="J205" s="12">
        <f t="shared" si="17"/>
        <v>0</v>
      </c>
    </row>
    <row r="206" spans="1:10" hidden="1" x14ac:dyDescent="0.35">
      <c r="A206" s="103"/>
      <c r="B206" s="12" t="s">
        <v>8</v>
      </c>
      <c r="C206" s="10" t="s">
        <v>356</v>
      </c>
      <c r="D206" s="152"/>
      <c r="E206" s="170"/>
      <c r="F206" s="95"/>
      <c r="G206" s="153" t="str">
        <f t="shared" si="14"/>
        <v/>
      </c>
      <c r="H206" s="10" t="s">
        <v>61</v>
      </c>
      <c r="I206" s="331">
        <v>22.13</v>
      </c>
      <c r="J206" s="12">
        <f t="shared" si="17"/>
        <v>0</v>
      </c>
    </row>
    <row r="207" spans="1:10" hidden="1" x14ac:dyDescent="0.35">
      <c r="A207" s="103"/>
      <c r="B207" s="40" t="s">
        <v>8</v>
      </c>
      <c r="C207" s="41" t="s">
        <v>357</v>
      </c>
      <c r="D207" s="227"/>
      <c r="E207" s="170"/>
      <c r="F207" s="145"/>
      <c r="G207" s="153" t="str">
        <f t="shared" si="14"/>
        <v/>
      </c>
      <c r="H207" s="41" t="s">
        <v>61</v>
      </c>
      <c r="I207" s="334">
        <v>18.8</v>
      </c>
      <c r="J207" s="40">
        <f t="shared" si="17"/>
        <v>0</v>
      </c>
    </row>
    <row r="208" spans="1:10" ht="15.5" hidden="1" x14ac:dyDescent="0.35">
      <c r="A208" s="112" t="s">
        <v>358</v>
      </c>
      <c r="B208" s="116"/>
      <c r="C208" s="116"/>
      <c r="D208" s="228"/>
      <c r="E208" s="173"/>
      <c r="F208" s="146"/>
      <c r="G208" s="165" t="str">
        <f t="shared" si="14"/>
        <v/>
      </c>
      <c r="H208" s="117"/>
      <c r="I208" s="118" t="s">
        <v>18</v>
      </c>
      <c r="J208" s="119">
        <f>J209+J210+J211+J212+J213</f>
        <v>0</v>
      </c>
    </row>
    <row r="209" spans="1:10" hidden="1" x14ac:dyDescent="0.35">
      <c r="A209" s="103"/>
      <c r="B209" s="13" t="s">
        <v>11</v>
      </c>
      <c r="C209" s="298" t="s">
        <v>359</v>
      </c>
      <c r="D209" s="299"/>
      <c r="E209" s="300"/>
      <c r="F209" s="301"/>
      <c r="G209" s="302" t="str">
        <f t="shared" si="14"/>
        <v/>
      </c>
      <c r="H209" s="41" t="s">
        <v>52</v>
      </c>
      <c r="I209" s="334">
        <v>11.63</v>
      </c>
      <c r="J209" s="40">
        <f>E209*I209</f>
        <v>0</v>
      </c>
    </row>
    <row r="210" spans="1:10" hidden="1" x14ac:dyDescent="0.35">
      <c r="A210" s="103"/>
      <c r="B210" s="12" t="s">
        <v>11</v>
      </c>
      <c r="C210" s="10" t="s">
        <v>436</v>
      </c>
      <c r="D210" s="152"/>
      <c r="E210" s="170"/>
      <c r="F210" s="95"/>
      <c r="G210" s="153"/>
      <c r="H210" s="10" t="s">
        <v>52</v>
      </c>
      <c r="I210" s="331">
        <v>16.8</v>
      </c>
      <c r="J210" s="40">
        <f t="shared" ref="J210:J213" si="18">E210*I210</f>
        <v>0</v>
      </c>
    </row>
    <row r="211" spans="1:10" hidden="1" x14ac:dyDescent="0.35">
      <c r="A211" s="103"/>
      <c r="B211" s="12" t="s">
        <v>11</v>
      </c>
      <c r="C211" s="10" t="s">
        <v>437</v>
      </c>
      <c r="D211" s="152"/>
      <c r="E211" s="170"/>
      <c r="F211" s="95"/>
      <c r="G211" s="153"/>
      <c r="H211" s="10" t="s">
        <v>440</v>
      </c>
      <c r="I211" s="331">
        <v>9.35</v>
      </c>
      <c r="J211" s="40">
        <f>E211*I211</f>
        <v>0</v>
      </c>
    </row>
    <row r="212" spans="1:10" hidden="1" x14ac:dyDescent="0.35">
      <c r="A212" s="103"/>
      <c r="B212" s="12" t="s">
        <v>11</v>
      </c>
      <c r="C212" s="10" t="s">
        <v>438</v>
      </c>
      <c r="D212" s="152"/>
      <c r="E212" s="170"/>
      <c r="F212" s="95"/>
      <c r="G212" s="153"/>
      <c r="H212" s="10" t="s">
        <v>52</v>
      </c>
      <c r="I212" s="331">
        <v>87</v>
      </c>
      <c r="J212" s="40">
        <f t="shared" si="18"/>
        <v>0</v>
      </c>
    </row>
    <row r="213" spans="1:10" hidden="1" x14ac:dyDescent="0.35">
      <c r="A213" s="103"/>
      <c r="B213" s="12" t="s">
        <v>11</v>
      </c>
      <c r="C213" s="10" t="s">
        <v>439</v>
      </c>
      <c r="D213" s="152"/>
      <c r="E213" s="170"/>
      <c r="F213" s="95"/>
      <c r="G213" s="153"/>
      <c r="H213" s="10" t="s">
        <v>52</v>
      </c>
      <c r="I213" s="331">
        <v>55</v>
      </c>
      <c r="J213" s="40">
        <f t="shared" si="18"/>
        <v>0</v>
      </c>
    </row>
    <row r="214" spans="1:10" ht="15.5" hidden="1" x14ac:dyDescent="0.35">
      <c r="A214" s="108" t="s">
        <v>360</v>
      </c>
      <c r="B214" s="108"/>
      <c r="C214" s="108"/>
      <c r="D214" s="223"/>
      <c r="E214" s="169"/>
      <c r="F214" s="109"/>
      <c r="G214" s="310" t="str">
        <f t="shared" si="14"/>
        <v/>
      </c>
      <c r="H214" s="108"/>
      <c r="I214" s="106" t="s">
        <v>18</v>
      </c>
      <c r="J214" s="107">
        <f>SUM(J215:J216)</f>
        <v>0</v>
      </c>
    </row>
    <row r="215" spans="1:10" hidden="1" x14ac:dyDescent="0.35">
      <c r="A215" s="103"/>
      <c r="B215" s="12" t="s">
        <v>12</v>
      </c>
      <c r="C215" s="10" t="s">
        <v>70</v>
      </c>
      <c r="D215" s="152"/>
      <c r="E215" s="170"/>
      <c r="F215" s="95"/>
      <c r="G215" s="153" t="str">
        <f t="shared" si="14"/>
        <v/>
      </c>
      <c r="H215" s="10" t="s">
        <v>27</v>
      </c>
      <c r="I215" s="331">
        <v>20.7</v>
      </c>
      <c r="J215" s="12">
        <f>+E215*I215</f>
        <v>0</v>
      </c>
    </row>
    <row r="216" spans="1:10" hidden="1" x14ac:dyDescent="0.35">
      <c r="A216" s="103"/>
      <c r="B216" s="12" t="s">
        <v>12</v>
      </c>
      <c r="C216" s="10" t="s">
        <v>71</v>
      </c>
      <c r="D216" s="152"/>
      <c r="E216" s="170"/>
      <c r="F216" s="95"/>
      <c r="G216" s="153" t="str">
        <f t="shared" si="14"/>
        <v/>
      </c>
      <c r="H216" s="10" t="s">
        <v>27</v>
      </c>
      <c r="I216" s="331">
        <v>13.7</v>
      </c>
      <c r="J216" s="12">
        <f>+E216*I216</f>
        <v>0</v>
      </c>
    </row>
    <row r="217" spans="1:10" ht="15.5" hidden="1" x14ac:dyDescent="0.35">
      <c r="A217" s="108" t="s">
        <v>361</v>
      </c>
      <c r="B217" s="108"/>
      <c r="C217" s="108"/>
      <c r="D217" s="223"/>
      <c r="E217" s="169"/>
      <c r="F217" s="109"/>
      <c r="G217" s="153" t="str">
        <f t="shared" si="14"/>
        <v/>
      </c>
      <c r="H217" s="108"/>
      <c r="I217" s="106" t="s">
        <v>18</v>
      </c>
      <c r="J217" s="107">
        <f>SUM(J218:J221)</f>
        <v>0</v>
      </c>
    </row>
    <row r="218" spans="1:10" hidden="1" x14ac:dyDescent="0.35">
      <c r="A218" s="103"/>
      <c r="B218" s="12" t="s">
        <v>10</v>
      </c>
      <c r="C218" s="10" t="s">
        <v>362</v>
      </c>
      <c r="D218" s="152"/>
      <c r="E218" s="170"/>
      <c r="F218" s="95"/>
      <c r="G218" s="153" t="str">
        <f t="shared" si="14"/>
        <v/>
      </c>
      <c r="H218" s="10" t="s">
        <v>20</v>
      </c>
      <c r="I218" s="331">
        <v>11.08</v>
      </c>
      <c r="J218" s="12">
        <f>E218*I218</f>
        <v>0</v>
      </c>
    </row>
    <row r="219" spans="1:10" hidden="1" x14ac:dyDescent="0.35">
      <c r="A219" s="103"/>
      <c r="B219" s="12" t="s">
        <v>10</v>
      </c>
      <c r="C219" s="10" t="s">
        <v>363</v>
      </c>
      <c r="D219" s="152"/>
      <c r="E219" s="170"/>
      <c r="F219" s="95"/>
      <c r="G219" s="153" t="str">
        <f t="shared" si="14"/>
        <v/>
      </c>
      <c r="H219" s="10" t="s">
        <v>27</v>
      </c>
      <c r="I219" s="331">
        <v>16.21</v>
      </c>
      <c r="J219" s="12">
        <f>E219*I219</f>
        <v>0</v>
      </c>
    </row>
    <row r="220" spans="1:10" hidden="1" x14ac:dyDescent="0.35">
      <c r="A220" s="103"/>
      <c r="B220" s="12" t="s">
        <v>10</v>
      </c>
      <c r="C220" s="10" t="s">
        <v>364</v>
      </c>
      <c r="D220" s="152"/>
      <c r="E220" s="170"/>
      <c r="F220" s="95"/>
      <c r="G220" s="153" t="str">
        <f t="shared" si="14"/>
        <v/>
      </c>
      <c r="H220" s="10" t="s">
        <v>27</v>
      </c>
      <c r="I220" s="331">
        <v>19.350000000000001</v>
      </c>
      <c r="J220" s="12">
        <f>E220*I220</f>
        <v>0</v>
      </c>
    </row>
    <row r="221" spans="1:10" hidden="1" x14ac:dyDescent="0.35">
      <c r="A221" s="103"/>
      <c r="B221" s="12" t="s">
        <v>10</v>
      </c>
      <c r="C221" s="10" t="s">
        <v>365</v>
      </c>
      <c r="D221" s="152"/>
      <c r="E221" s="170"/>
      <c r="F221" s="95"/>
      <c r="G221" s="153" t="str">
        <f t="shared" si="14"/>
        <v/>
      </c>
      <c r="H221" s="10" t="s">
        <v>27</v>
      </c>
      <c r="I221" s="331">
        <v>19.809999999999999</v>
      </c>
      <c r="J221" s="12">
        <f>E221*I221</f>
        <v>0</v>
      </c>
    </row>
    <row r="222" spans="1:10" ht="15.5" hidden="1" x14ac:dyDescent="0.35">
      <c r="A222" s="108" t="s">
        <v>366</v>
      </c>
      <c r="B222" s="108"/>
      <c r="C222" s="108"/>
      <c r="D222" s="223"/>
      <c r="E222" s="169"/>
      <c r="F222" s="109"/>
      <c r="G222" s="165" t="str">
        <f t="shared" si="14"/>
        <v/>
      </c>
      <c r="H222" s="108"/>
      <c r="I222" s="106" t="s">
        <v>18</v>
      </c>
      <c r="J222" s="107">
        <f>J223</f>
        <v>0</v>
      </c>
    </row>
    <row r="223" spans="1:10" hidden="1" x14ac:dyDescent="0.35">
      <c r="A223" s="103"/>
      <c r="B223" s="12" t="s">
        <v>28</v>
      </c>
      <c r="C223" s="10" t="s">
        <v>29</v>
      </c>
      <c r="D223" s="152"/>
      <c r="E223" s="170"/>
      <c r="F223" s="150"/>
      <c r="G223" s="153" t="str">
        <f t="shared" si="14"/>
        <v/>
      </c>
      <c r="H223" s="10" t="s">
        <v>54</v>
      </c>
      <c r="I223" s="331">
        <v>104</v>
      </c>
      <c r="J223" s="12">
        <f>I223*E223</f>
        <v>0</v>
      </c>
    </row>
    <row r="224" spans="1:10" ht="15.5" x14ac:dyDescent="0.35">
      <c r="A224" s="108" t="s">
        <v>367</v>
      </c>
      <c r="B224" s="108"/>
      <c r="C224" s="108"/>
      <c r="D224" s="223"/>
      <c r="E224" s="169"/>
      <c r="F224" s="109"/>
      <c r="G224" s="165" t="str">
        <f t="shared" ref="G224:G257" si="19">IF(E224="","",IF(D224-E224&gt;0,D224-E224,""))</f>
        <v/>
      </c>
      <c r="H224" s="108"/>
      <c r="I224" s="106" t="s">
        <v>18</v>
      </c>
      <c r="J224" s="115">
        <f>SUM(J225:J244)</f>
        <v>0</v>
      </c>
    </row>
    <row r="225" spans="1:10" x14ac:dyDescent="0.35">
      <c r="A225" s="103"/>
      <c r="B225" s="12" t="s">
        <v>9</v>
      </c>
      <c r="C225" s="10" t="s">
        <v>423</v>
      </c>
      <c r="D225" s="152"/>
      <c r="E225" s="170"/>
      <c r="F225" s="95"/>
      <c r="G225" s="153" t="str">
        <f t="shared" si="19"/>
        <v/>
      </c>
      <c r="H225" s="10" t="s">
        <v>20</v>
      </c>
      <c r="I225" s="331">
        <v>78</v>
      </c>
      <c r="J225" s="50">
        <f t="shared" ref="J225:J244" si="20">E225*I225</f>
        <v>0</v>
      </c>
    </row>
    <row r="226" spans="1:10" x14ac:dyDescent="0.35">
      <c r="A226" s="103"/>
      <c r="B226" s="12" t="s">
        <v>9</v>
      </c>
      <c r="C226" s="10" t="s">
        <v>424</v>
      </c>
      <c r="D226" s="152"/>
      <c r="E226" s="170"/>
      <c r="F226" s="95"/>
      <c r="G226" s="153" t="str">
        <f t="shared" si="19"/>
        <v/>
      </c>
      <c r="H226" s="10" t="s">
        <v>61</v>
      </c>
      <c r="I226" s="340">
        <v>107.12</v>
      </c>
      <c r="J226" s="50">
        <f t="shared" si="20"/>
        <v>0</v>
      </c>
    </row>
    <row r="227" spans="1:10" x14ac:dyDescent="0.35">
      <c r="A227" s="103"/>
      <c r="B227" s="12" t="s">
        <v>9</v>
      </c>
      <c r="C227" s="10" t="s">
        <v>369</v>
      </c>
      <c r="D227" s="152"/>
      <c r="E227" s="170"/>
      <c r="F227" s="95"/>
      <c r="G227" s="153" t="str">
        <f t="shared" si="19"/>
        <v/>
      </c>
      <c r="H227" s="10" t="s">
        <v>20</v>
      </c>
      <c r="I227" s="331">
        <v>0.04</v>
      </c>
      <c r="J227" s="50">
        <f t="shared" si="20"/>
        <v>0</v>
      </c>
    </row>
    <row r="228" spans="1:10" x14ac:dyDescent="0.35">
      <c r="A228" s="103"/>
      <c r="B228" s="12" t="s">
        <v>9</v>
      </c>
      <c r="C228" s="10" t="s">
        <v>370</v>
      </c>
      <c r="D228" s="152"/>
      <c r="E228" s="170"/>
      <c r="F228" s="95"/>
      <c r="G228" s="153" t="str">
        <f t="shared" si="19"/>
        <v/>
      </c>
      <c r="H228" s="10" t="s">
        <v>20</v>
      </c>
      <c r="I228" s="331">
        <v>7.0999999999999994E-2</v>
      </c>
      <c r="J228" s="50">
        <f t="shared" si="20"/>
        <v>0</v>
      </c>
    </row>
    <row r="229" spans="1:10" hidden="1" x14ac:dyDescent="0.35">
      <c r="A229" s="103"/>
      <c r="B229" s="12" t="s">
        <v>9</v>
      </c>
      <c r="C229" s="10" t="s">
        <v>411</v>
      </c>
      <c r="D229" s="152"/>
      <c r="E229" s="170"/>
      <c r="F229" s="95"/>
      <c r="G229" s="153"/>
      <c r="H229" s="10" t="s">
        <v>20</v>
      </c>
      <c r="I229" s="331">
        <v>1.97</v>
      </c>
      <c r="J229" s="50"/>
    </row>
    <row r="230" spans="1:10" hidden="1" x14ac:dyDescent="0.35">
      <c r="A230" s="103"/>
      <c r="B230" s="12" t="s">
        <v>9</v>
      </c>
      <c r="C230" s="10" t="s">
        <v>371</v>
      </c>
      <c r="D230" s="152"/>
      <c r="E230" s="170"/>
      <c r="F230" s="95"/>
      <c r="G230" s="153" t="str">
        <f t="shared" si="19"/>
        <v/>
      </c>
      <c r="H230" s="10" t="s">
        <v>61</v>
      </c>
      <c r="I230" s="331">
        <v>163.80000000000001</v>
      </c>
      <c r="J230" s="50">
        <f t="shared" si="20"/>
        <v>0</v>
      </c>
    </row>
    <row r="231" spans="1:10" hidden="1" x14ac:dyDescent="0.35">
      <c r="A231" s="103"/>
      <c r="B231" s="12" t="s">
        <v>9</v>
      </c>
      <c r="C231" s="10" t="s">
        <v>410</v>
      </c>
      <c r="D231" s="152"/>
      <c r="E231" s="170"/>
      <c r="F231" s="151"/>
      <c r="G231" s="153" t="str">
        <f t="shared" si="19"/>
        <v/>
      </c>
      <c r="H231" s="10" t="s">
        <v>61</v>
      </c>
      <c r="I231" s="331">
        <v>49.33</v>
      </c>
      <c r="J231" s="50">
        <f t="shared" si="20"/>
        <v>0</v>
      </c>
    </row>
    <row r="232" spans="1:10" hidden="1" x14ac:dyDescent="0.35">
      <c r="A232" s="103"/>
      <c r="B232" s="12" t="s">
        <v>9</v>
      </c>
      <c r="C232" s="10" t="s">
        <v>373</v>
      </c>
      <c r="D232" s="152"/>
      <c r="E232" s="170"/>
      <c r="F232" s="151"/>
      <c r="G232" s="153" t="str">
        <f t="shared" si="19"/>
        <v/>
      </c>
      <c r="H232" s="10" t="s">
        <v>61</v>
      </c>
      <c r="I232" s="331">
        <v>105.6</v>
      </c>
      <c r="J232" s="50">
        <f t="shared" si="20"/>
        <v>0</v>
      </c>
    </row>
    <row r="233" spans="1:10" hidden="1" x14ac:dyDescent="0.35">
      <c r="A233" s="103"/>
      <c r="B233" s="12" t="s">
        <v>9</v>
      </c>
      <c r="C233" s="10" t="s">
        <v>374</v>
      </c>
      <c r="D233" s="152"/>
      <c r="E233" s="170"/>
      <c r="F233" s="151"/>
      <c r="G233" s="153" t="str">
        <f t="shared" si="19"/>
        <v/>
      </c>
      <c r="H233" s="10" t="s">
        <v>61</v>
      </c>
      <c r="I233" s="331">
        <v>114.75</v>
      </c>
      <c r="J233" s="50">
        <f t="shared" si="20"/>
        <v>0</v>
      </c>
    </row>
    <row r="234" spans="1:10" hidden="1" x14ac:dyDescent="0.35">
      <c r="A234" s="103"/>
      <c r="B234" s="12" t="s">
        <v>9</v>
      </c>
      <c r="C234" s="10" t="s">
        <v>375</v>
      </c>
      <c r="D234" s="152"/>
      <c r="E234" s="170"/>
      <c r="F234" s="95"/>
      <c r="G234" s="153" t="str">
        <f t="shared" si="19"/>
        <v/>
      </c>
      <c r="H234" s="10" t="s">
        <v>61</v>
      </c>
      <c r="I234" s="331">
        <v>105.55</v>
      </c>
      <c r="J234" s="50">
        <f t="shared" si="20"/>
        <v>0</v>
      </c>
    </row>
    <row r="235" spans="1:10" hidden="1" x14ac:dyDescent="0.35">
      <c r="A235" s="103"/>
      <c r="B235" s="12" t="s">
        <v>9</v>
      </c>
      <c r="C235" s="10" t="s">
        <v>376</v>
      </c>
      <c r="D235" s="152"/>
      <c r="E235" s="170"/>
      <c r="F235" s="95"/>
      <c r="G235" s="153" t="str">
        <f t="shared" si="19"/>
        <v/>
      </c>
      <c r="H235" s="10" t="s">
        <v>61</v>
      </c>
      <c r="I235" s="331">
        <v>33.25</v>
      </c>
      <c r="J235" s="50">
        <f t="shared" si="20"/>
        <v>0</v>
      </c>
    </row>
    <row r="236" spans="1:10" hidden="1" x14ac:dyDescent="0.35">
      <c r="A236" s="103"/>
      <c r="B236" s="12" t="s">
        <v>9</v>
      </c>
      <c r="C236" s="10" t="s">
        <v>377</v>
      </c>
      <c r="D236" s="152"/>
      <c r="E236" s="170"/>
      <c r="F236" s="95"/>
      <c r="G236" s="153" t="str">
        <f t="shared" si="19"/>
        <v/>
      </c>
      <c r="H236" s="10" t="s">
        <v>20</v>
      </c>
      <c r="I236" s="331">
        <v>0.28999999999999998</v>
      </c>
      <c r="J236" s="50">
        <f t="shared" si="20"/>
        <v>0</v>
      </c>
    </row>
    <row r="237" spans="1:10" hidden="1" x14ac:dyDescent="0.35">
      <c r="A237" s="103"/>
      <c r="B237" s="12" t="s">
        <v>9</v>
      </c>
      <c r="C237" s="10" t="s">
        <v>378</v>
      </c>
      <c r="D237" s="152"/>
      <c r="E237" s="170"/>
      <c r="F237" s="95"/>
      <c r="G237" s="153" t="str">
        <f t="shared" si="19"/>
        <v/>
      </c>
      <c r="H237" s="10" t="s">
        <v>61</v>
      </c>
      <c r="I237" s="336">
        <v>37.85</v>
      </c>
      <c r="J237" s="50">
        <f t="shared" si="20"/>
        <v>0</v>
      </c>
    </row>
    <row r="238" spans="1:10" x14ac:dyDescent="0.35">
      <c r="A238" s="103"/>
      <c r="B238" s="12" t="s">
        <v>9</v>
      </c>
      <c r="C238" s="10" t="s">
        <v>425</v>
      </c>
      <c r="D238" s="152">
        <v>1</v>
      </c>
      <c r="E238" s="170"/>
      <c r="F238" s="95"/>
      <c r="G238" s="153" t="str">
        <f t="shared" si="19"/>
        <v/>
      </c>
      <c r="H238" s="10" t="s">
        <v>61</v>
      </c>
      <c r="I238" s="336">
        <v>111.47</v>
      </c>
      <c r="J238" s="50">
        <f t="shared" si="20"/>
        <v>0</v>
      </c>
    </row>
    <row r="239" spans="1:10" hidden="1" x14ac:dyDescent="0.35">
      <c r="A239" s="103"/>
      <c r="B239" s="12" t="s">
        <v>9</v>
      </c>
      <c r="C239" s="10" t="s">
        <v>379</v>
      </c>
      <c r="D239" s="152"/>
      <c r="E239" s="170"/>
      <c r="F239" s="95"/>
      <c r="G239" s="153" t="str">
        <f t="shared" si="19"/>
        <v/>
      </c>
      <c r="H239" s="10" t="s">
        <v>61</v>
      </c>
      <c r="I239" s="336">
        <v>174.97</v>
      </c>
      <c r="J239" s="50">
        <f t="shared" si="20"/>
        <v>0</v>
      </c>
    </row>
    <row r="240" spans="1:10" hidden="1" x14ac:dyDescent="0.35">
      <c r="A240" s="103"/>
      <c r="B240" s="12" t="s">
        <v>9</v>
      </c>
      <c r="C240" s="10" t="s">
        <v>380</v>
      </c>
      <c r="D240" s="152"/>
      <c r="E240" s="170"/>
      <c r="F240" s="95"/>
      <c r="G240" s="153" t="str">
        <f t="shared" si="19"/>
        <v/>
      </c>
      <c r="H240" s="10" t="s">
        <v>61</v>
      </c>
      <c r="I240" s="336">
        <v>44.93</v>
      </c>
      <c r="J240" s="50">
        <f t="shared" si="20"/>
        <v>0</v>
      </c>
    </row>
    <row r="241" spans="1:10" hidden="1" x14ac:dyDescent="0.35">
      <c r="A241" s="103"/>
      <c r="B241" s="12" t="s">
        <v>9</v>
      </c>
      <c r="C241" s="10" t="s">
        <v>426</v>
      </c>
      <c r="D241" s="152"/>
      <c r="E241" s="170"/>
      <c r="F241" s="95"/>
      <c r="G241" s="153" t="str">
        <f t="shared" si="19"/>
        <v/>
      </c>
      <c r="H241" s="10" t="s">
        <v>20</v>
      </c>
      <c r="I241" s="336">
        <v>29.2</v>
      </c>
      <c r="J241" s="50">
        <f t="shared" si="20"/>
        <v>0</v>
      </c>
    </row>
    <row r="242" spans="1:10" hidden="1" x14ac:dyDescent="0.35">
      <c r="A242" s="103"/>
      <c r="B242" s="12" t="s">
        <v>9</v>
      </c>
      <c r="C242" s="10" t="s">
        <v>427</v>
      </c>
      <c r="D242" s="152"/>
      <c r="E242" s="170"/>
      <c r="F242" s="95"/>
      <c r="G242" s="153" t="str">
        <f t="shared" si="19"/>
        <v/>
      </c>
      <c r="H242" s="10" t="s">
        <v>20</v>
      </c>
      <c r="I242" s="336">
        <v>19.03</v>
      </c>
      <c r="J242" s="50">
        <f t="shared" si="20"/>
        <v>0</v>
      </c>
    </row>
    <row r="243" spans="1:10" hidden="1" x14ac:dyDescent="0.35">
      <c r="A243" s="103"/>
      <c r="B243" s="12" t="s">
        <v>9</v>
      </c>
      <c r="C243" s="10" t="s">
        <v>428</v>
      </c>
      <c r="D243" s="152"/>
      <c r="E243" s="170"/>
      <c r="F243" s="95"/>
      <c r="G243" s="153" t="str">
        <f t="shared" si="19"/>
        <v/>
      </c>
      <c r="H243" s="10" t="s">
        <v>20</v>
      </c>
      <c r="I243" s="336">
        <v>8.4600000000000009</v>
      </c>
      <c r="J243" s="50">
        <f t="shared" si="20"/>
        <v>0</v>
      </c>
    </row>
    <row r="244" spans="1:10" hidden="1" x14ac:dyDescent="0.35">
      <c r="A244" s="103"/>
      <c r="B244" s="12" t="s">
        <v>9</v>
      </c>
      <c r="C244" s="10" t="s">
        <v>381</v>
      </c>
      <c r="D244" s="152"/>
      <c r="E244" s="170"/>
      <c r="F244" s="95"/>
      <c r="G244" s="153" t="str">
        <f t="shared" si="19"/>
        <v/>
      </c>
      <c r="H244" s="10" t="s">
        <v>20</v>
      </c>
      <c r="I244" s="336">
        <v>0.02</v>
      </c>
      <c r="J244" s="50">
        <f t="shared" si="20"/>
        <v>0</v>
      </c>
    </row>
    <row r="245" spans="1:10" ht="15.5" x14ac:dyDescent="0.35">
      <c r="A245" s="108" t="s">
        <v>382</v>
      </c>
      <c r="B245" s="108"/>
      <c r="C245" s="108"/>
      <c r="D245" s="223"/>
      <c r="E245" s="169"/>
      <c r="F245" s="109"/>
      <c r="G245" s="165" t="str">
        <f t="shared" si="19"/>
        <v/>
      </c>
      <c r="H245" s="108"/>
      <c r="I245" s="106" t="s">
        <v>18</v>
      </c>
      <c r="J245" s="107">
        <f>SUM(J246:J256)</f>
        <v>29.95</v>
      </c>
    </row>
    <row r="246" spans="1:10" x14ac:dyDescent="0.35">
      <c r="A246" s="103"/>
      <c r="B246" s="12" t="s">
        <v>31</v>
      </c>
      <c r="C246" s="10" t="s">
        <v>383</v>
      </c>
      <c r="D246" s="152"/>
      <c r="E246" s="170"/>
      <c r="F246" s="95"/>
      <c r="G246" s="153" t="str">
        <f t="shared" si="19"/>
        <v/>
      </c>
      <c r="H246" s="10" t="s">
        <v>20</v>
      </c>
      <c r="I246" s="331">
        <v>5.5</v>
      </c>
      <c r="J246" s="12">
        <f t="shared" ref="J246:J256" si="21">E246*I246</f>
        <v>0</v>
      </c>
    </row>
    <row r="247" spans="1:10" x14ac:dyDescent="0.35">
      <c r="A247" s="103"/>
      <c r="B247" s="12" t="s">
        <v>31</v>
      </c>
      <c r="C247" s="10" t="s">
        <v>39</v>
      </c>
      <c r="D247" s="152">
        <v>1</v>
      </c>
      <c r="E247" s="170">
        <v>5</v>
      </c>
      <c r="F247" s="95"/>
      <c r="G247" s="153" t="str">
        <f t="shared" si="19"/>
        <v/>
      </c>
      <c r="H247" s="10" t="s">
        <v>20</v>
      </c>
      <c r="I247" s="331">
        <v>4.55</v>
      </c>
      <c r="J247" s="12">
        <f t="shared" si="21"/>
        <v>22.75</v>
      </c>
    </row>
    <row r="248" spans="1:10" x14ac:dyDescent="0.35">
      <c r="A248" s="103"/>
      <c r="B248" s="12" t="s">
        <v>31</v>
      </c>
      <c r="C248" s="10" t="s">
        <v>422</v>
      </c>
      <c r="D248" s="152">
        <v>1</v>
      </c>
      <c r="E248" s="170">
        <v>1</v>
      </c>
      <c r="F248" s="95"/>
      <c r="G248" s="153" t="str">
        <f t="shared" si="19"/>
        <v/>
      </c>
      <c r="H248" s="10" t="s">
        <v>20</v>
      </c>
      <c r="I248" s="331">
        <v>3.7</v>
      </c>
      <c r="J248" s="12">
        <f t="shared" si="21"/>
        <v>3.7</v>
      </c>
    </row>
    <row r="249" spans="1:10" x14ac:dyDescent="0.35">
      <c r="A249" s="103"/>
      <c r="B249" s="12" t="s">
        <v>31</v>
      </c>
      <c r="C249" s="10" t="s">
        <v>67</v>
      </c>
      <c r="D249" s="152"/>
      <c r="E249" s="170"/>
      <c r="F249" s="95"/>
      <c r="G249" s="153" t="str">
        <f t="shared" si="19"/>
        <v/>
      </c>
      <c r="H249" s="10" t="s">
        <v>20</v>
      </c>
      <c r="I249" s="331">
        <v>15.56</v>
      </c>
      <c r="J249" s="12">
        <f t="shared" si="21"/>
        <v>0</v>
      </c>
    </row>
    <row r="250" spans="1:10" hidden="1" x14ac:dyDescent="0.35">
      <c r="A250" s="103"/>
      <c r="B250" s="12" t="s">
        <v>31</v>
      </c>
      <c r="C250" s="10" t="s">
        <v>384</v>
      </c>
      <c r="D250" s="152"/>
      <c r="E250" s="170"/>
      <c r="F250" s="95"/>
      <c r="G250" s="153" t="str">
        <f t="shared" si="19"/>
        <v/>
      </c>
      <c r="H250" s="10" t="s">
        <v>20</v>
      </c>
      <c r="I250" s="331">
        <v>0.8</v>
      </c>
      <c r="J250" s="12">
        <f t="shared" si="21"/>
        <v>0</v>
      </c>
    </row>
    <row r="251" spans="1:10" hidden="1" x14ac:dyDescent="0.35">
      <c r="A251" s="103"/>
      <c r="B251" s="12" t="s">
        <v>31</v>
      </c>
      <c r="C251" s="10" t="s">
        <v>385</v>
      </c>
      <c r="D251" s="152"/>
      <c r="E251" s="170"/>
      <c r="F251" s="95"/>
      <c r="G251" s="153" t="str">
        <f t="shared" si="19"/>
        <v/>
      </c>
      <c r="H251" s="10" t="s">
        <v>20</v>
      </c>
      <c r="I251" s="331">
        <v>1.83</v>
      </c>
      <c r="J251" s="12">
        <f t="shared" si="21"/>
        <v>0</v>
      </c>
    </row>
    <row r="252" spans="1:10" x14ac:dyDescent="0.35">
      <c r="A252" s="103"/>
      <c r="B252" s="12" t="s">
        <v>31</v>
      </c>
      <c r="C252" s="10" t="s">
        <v>386</v>
      </c>
      <c r="D252" s="152">
        <v>1</v>
      </c>
      <c r="E252" s="170"/>
      <c r="F252" s="95"/>
      <c r="G252" s="153" t="str">
        <f t="shared" si="19"/>
        <v/>
      </c>
      <c r="H252" s="10" t="s">
        <v>20</v>
      </c>
      <c r="I252" s="331">
        <v>2.65</v>
      </c>
      <c r="J252" s="12">
        <f t="shared" si="21"/>
        <v>0</v>
      </c>
    </row>
    <row r="253" spans="1:10" x14ac:dyDescent="0.35">
      <c r="A253" s="103"/>
      <c r="B253" s="12" t="s">
        <v>31</v>
      </c>
      <c r="C253" s="10" t="s">
        <v>65</v>
      </c>
      <c r="D253" s="152">
        <v>1</v>
      </c>
      <c r="E253" s="170"/>
      <c r="F253" s="95"/>
      <c r="G253" s="153" t="str">
        <f t="shared" si="19"/>
        <v/>
      </c>
      <c r="H253" s="10" t="s">
        <v>20</v>
      </c>
      <c r="I253" s="331">
        <v>13.43</v>
      </c>
      <c r="J253" s="12">
        <f t="shared" si="21"/>
        <v>0</v>
      </c>
    </row>
    <row r="254" spans="1:10" hidden="1" x14ac:dyDescent="0.35">
      <c r="A254" s="103"/>
      <c r="B254" s="12" t="s">
        <v>31</v>
      </c>
      <c r="C254" s="10" t="s">
        <v>66</v>
      </c>
      <c r="D254" s="152"/>
      <c r="E254" s="170"/>
      <c r="F254" s="95"/>
      <c r="G254" s="153" t="str">
        <f t="shared" si="19"/>
        <v/>
      </c>
      <c r="H254" s="10" t="s">
        <v>20</v>
      </c>
      <c r="I254" s="331">
        <v>75.38</v>
      </c>
      <c r="J254" s="12">
        <f t="shared" si="21"/>
        <v>0</v>
      </c>
    </row>
    <row r="255" spans="1:10" x14ac:dyDescent="0.35">
      <c r="A255" s="103"/>
      <c r="B255" s="12" t="s">
        <v>31</v>
      </c>
      <c r="C255" s="10" t="s">
        <v>412</v>
      </c>
      <c r="D255" s="152"/>
      <c r="E255" s="170"/>
      <c r="F255" s="95"/>
      <c r="G255" s="153" t="str">
        <f t="shared" si="19"/>
        <v/>
      </c>
      <c r="H255" s="10" t="s">
        <v>20</v>
      </c>
      <c r="I255" s="331">
        <v>8.43</v>
      </c>
      <c r="J255" s="12">
        <f t="shared" si="21"/>
        <v>0</v>
      </c>
    </row>
    <row r="256" spans="1:10" x14ac:dyDescent="0.35">
      <c r="A256" s="103"/>
      <c r="B256" s="12" t="s">
        <v>31</v>
      </c>
      <c r="C256" s="10" t="s">
        <v>69</v>
      </c>
      <c r="D256" s="152">
        <v>1</v>
      </c>
      <c r="E256" s="170">
        <v>1</v>
      </c>
      <c r="F256" s="95"/>
      <c r="G256" s="153" t="str">
        <f t="shared" si="19"/>
        <v/>
      </c>
      <c r="H256" s="10" t="s">
        <v>63</v>
      </c>
      <c r="I256" s="331">
        <v>3.5</v>
      </c>
      <c r="J256" s="12">
        <f t="shared" si="21"/>
        <v>3.5</v>
      </c>
    </row>
    <row r="257" spans="1:10" ht="15.5" hidden="1" x14ac:dyDescent="0.35">
      <c r="A257" s="108" t="s">
        <v>57</v>
      </c>
      <c r="B257" s="108"/>
      <c r="C257" s="108"/>
      <c r="D257" s="108"/>
      <c r="E257" s="162"/>
      <c r="F257" s="108"/>
      <c r="G257" s="165" t="str">
        <f t="shared" si="19"/>
        <v/>
      </c>
      <c r="H257" s="108"/>
      <c r="I257" s="106" t="s">
        <v>18</v>
      </c>
      <c r="J257" s="107">
        <f>SUM(J258:J259)</f>
        <v>0</v>
      </c>
    </row>
    <row r="258" spans="1:10" hidden="1" x14ac:dyDescent="0.35">
      <c r="A258" s="103"/>
      <c r="B258" s="12" t="s">
        <v>56</v>
      </c>
      <c r="C258" s="10" t="s">
        <v>58</v>
      </c>
      <c r="D258" s="94"/>
      <c r="E258" s="170"/>
      <c r="F258" s="94"/>
      <c r="G258" s="94" t="str">
        <f t="shared" ref="G258:G259" si="22">IF(D258-E258&gt;0,D258-E258,"")</f>
        <v/>
      </c>
      <c r="H258" s="10" t="s">
        <v>20</v>
      </c>
      <c r="I258" s="331">
        <v>54.05</v>
      </c>
      <c r="J258" s="12">
        <f>E258*I258</f>
        <v>0</v>
      </c>
    </row>
    <row r="259" spans="1:10" hidden="1" x14ac:dyDescent="0.35">
      <c r="A259" s="103"/>
      <c r="B259" s="12" t="s">
        <v>56</v>
      </c>
      <c r="C259" s="10" t="s">
        <v>388</v>
      </c>
      <c r="D259" s="94"/>
      <c r="E259" s="170"/>
      <c r="F259" s="94"/>
      <c r="G259" s="94" t="str">
        <f t="shared" si="22"/>
        <v/>
      </c>
      <c r="H259" s="10" t="s">
        <v>20</v>
      </c>
      <c r="I259" s="331">
        <v>0</v>
      </c>
      <c r="J259" s="12">
        <f>E259*I259</f>
        <v>0</v>
      </c>
    </row>
  </sheetData>
  <mergeCells count="2">
    <mergeCell ref="B1:C1"/>
    <mergeCell ref="B2:C2"/>
  </mergeCells>
  <pageMargins left="0.7" right="0.7" top="0.75" bottom="0.75" header="0.3" footer="0.3"/>
  <pageSetup paperSize="9" scale="73" fitToHeight="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1383F-942F-C643-9FF4-86237C4BD22A}">
  <sheetPr codeName="Feuil18">
    <tabColor theme="8" tint="0.39997558519241921"/>
    <pageSetUpPr fitToPage="1"/>
  </sheetPr>
  <dimension ref="A1:N259"/>
  <sheetViews>
    <sheetView zoomScaleNormal="100" workbookViewId="0">
      <selection activeCell="J209" sqref="J209"/>
    </sheetView>
  </sheetViews>
  <sheetFormatPr baseColWidth="10" defaultColWidth="8.453125" defaultRowHeight="14.5" x14ac:dyDescent="0.35"/>
  <cols>
    <col min="1" max="1" width="2.54296875" style="34" customWidth="1"/>
    <col min="2" max="2" width="32.453125" style="34" bestFit="1" customWidth="1"/>
    <col min="3" max="3" width="44.54296875" style="34" bestFit="1" customWidth="1"/>
    <col min="4" max="4" width="19.7265625" style="34" hidden="1" customWidth="1"/>
    <col min="5" max="5" width="18.81640625" style="34" bestFit="1" customWidth="1"/>
    <col min="6" max="6" width="18.26953125" style="34" hidden="1" customWidth="1"/>
    <col min="7" max="7" width="14" style="34" hidden="1" customWidth="1"/>
    <col min="8" max="8" width="6.81640625" bestFit="1" customWidth="1"/>
    <col min="9" max="9" width="8.453125" style="86" bestFit="1" customWidth="1"/>
    <col min="10" max="10" width="7.1796875" customWidth="1"/>
    <col min="12" max="12" width="12" customWidth="1"/>
    <col min="13" max="13" width="12.54296875" customWidth="1"/>
  </cols>
  <sheetData>
    <row r="1" spans="2:7" ht="15" thickBot="1" x14ac:dyDescent="0.4">
      <c r="B1" s="321" t="s">
        <v>198</v>
      </c>
      <c r="C1" s="322"/>
      <c r="F1" s="154"/>
      <c r="G1" s="154"/>
    </row>
    <row r="2" spans="2:7" ht="15" thickBot="1" x14ac:dyDescent="0.4">
      <c r="B2" s="319"/>
      <c r="C2" s="320"/>
      <c r="F2" s="155"/>
      <c r="G2" s="155"/>
    </row>
    <row r="3" spans="2:7" x14ac:dyDescent="0.35">
      <c r="B3" s="75"/>
      <c r="C3" s="75"/>
      <c r="F3" s="156"/>
      <c r="G3" s="156"/>
    </row>
    <row r="4" spans="2:7" ht="15.5" x14ac:dyDescent="0.35">
      <c r="B4" s="70" t="s">
        <v>0</v>
      </c>
      <c r="C4" s="70" t="s">
        <v>1</v>
      </c>
      <c r="F4" s="157"/>
      <c r="G4" s="157"/>
    </row>
    <row r="5" spans="2:7" x14ac:dyDescent="0.35">
      <c r="B5" s="71" t="s">
        <v>2</v>
      </c>
      <c r="C5" s="72">
        <f>J23</f>
        <v>0</v>
      </c>
      <c r="F5" s="158"/>
      <c r="G5" s="158"/>
    </row>
    <row r="6" spans="2:7" x14ac:dyDescent="0.35">
      <c r="B6" s="71" t="s">
        <v>7</v>
      </c>
      <c r="C6" s="72">
        <f>J4</f>
        <v>0</v>
      </c>
      <c r="F6" s="158"/>
      <c r="G6" s="158"/>
    </row>
    <row r="7" spans="2:7" x14ac:dyDescent="0.35">
      <c r="B7" s="71" t="s">
        <v>13</v>
      </c>
      <c r="C7" s="72">
        <f>J50</f>
        <v>0</v>
      </c>
      <c r="F7" s="158"/>
      <c r="G7" s="158"/>
    </row>
    <row r="8" spans="2:7" x14ac:dyDescent="0.35">
      <c r="B8" s="71" t="s">
        <v>3</v>
      </c>
      <c r="C8" s="72">
        <f>J78</f>
        <v>0</v>
      </c>
      <c r="F8" s="158"/>
      <c r="G8" s="158"/>
    </row>
    <row r="9" spans="2:7" x14ac:dyDescent="0.35">
      <c r="B9" s="71" t="s">
        <v>4</v>
      </c>
      <c r="C9" s="72">
        <f>J122</f>
        <v>0</v>
      </c>
      <c r="F9" s="158"/>
      <c r="G9" s="158"/>
    </row>
    <row r="10" spans="2:7" x14ac:dyDescent="0.35">
      <c r="B10" s="71" t="s">
        <v>199</v>
      </c>
      <c r="C10" s="72">
        <f>J176</f>
        <v>0</v>
      </c>
      <c r="F10" s="158"/>
      <c r="G10" s="158"/>
    </row>
    <row r="11" spans="2:7" x14ac:dyDescent="0.35">
      <c r="B11" s="71" t="s">
        <v>200</v>
      </c>
      <c r="C11" s="72">
        <f>J187</f>
        <v>0</v>
      </c>
      <c r="F11" s="158"/>
      <c r="G11" s="158"/>
    </row>
    <row r="12" spans="2:7" x14ac:dyDescent="0.35">
      <c r="B12" s="71" t="s">
        <v>201</v>
      </c>
      <c r="C12" s="72">
        <f>J193</f>
        <v>0</v>
      </c>
      <c r="F12" s="158"/>
      <c r="G12" s="158"/>
    </row>
    <row r="13" spans="2:7" x14ac:dyDescent="0.35">
      <c r="B13" s="71" t="s">
        <v>202</v>
      </c>
      <c r="C13" s="72">
        <f>J195</f>
        <v>0</v>
      </c>
      <c r="F13" s="158"/>
      <c r="G13" s="158"/>
    </row>
    <row r="14" spans="2:7" x14ac:dyDescent="0.35">
      <c r="B14" s="71" t="s">
        <v>203</v>
      </c>
      <c r="C14" s="72">
        <f>J208</f>
        <v>0</v>
      </c>
      <c r="F14" s="158"/>
      <c r="G14" s="158"/>
    </row>
    <row r="15" spans="2:7" x14ac:dyDescent="0.35">
      <c r="B15" s="71" t="s">
        <v>12</v>
      </c>
      <c r="C15" s="72">
        <f>J214</f>
        <v>0</v>
      </c>
      <c r="F15" s="158"/>
      <c r="G15" s="158"/>
    </row>
    <row r="16" spans="2:7" x14ac:dyDescent="0.35">
      <c r="B16" s="71" t="s">
        <v>204</v>
      </c>
      <c r="C16" s="72">
        <f>J222</f>
        <v>0</v>
      </c>
      <c r="F16" s="158"/>
      <c r="G16" s="158"/>
    </row>
    <row r="17" spans="1:12" x14ac:dyDescent="0.35">
      <c r="B17" s="71" t="s">
        <v>9</v>
      </c>
      <c r="C17" s="72">
        <f>J224</f>
        <v>0</v>
      </c>
      <c r="F17" s="158"/>
      <c r="G17" s="158"/>
    </row>
    <row r="18" spans="1:12" x14ac:dyDescent="0.35">
      <c r="B18" s="71" t="s">
        <v>205</v>
      </c>
      <c r="C18" s="72">
        <f>J245</f>
        <v>0</v>
      </c>
      <c r="F18" s="158"/>
      <c r="G18" s="158"/>
    </row>
    <row r="19" spans="1:12" x14ac:dyDescent="0.35">
      <c r="B19" s="71" t="s">
        <v>56</v>
      </c>
      <c r="C19" s="72">
        <f>J257</f>
        <v>0</v>
      </c>
      <c r="F19" s="158"/>
      <c r="G19" s="158"/>
    </row>
    <row r="20" spans="1:12" x14ac:dyDescent="0.35">
      <c r="B20" s="73" t="s">
        <v>14</v>
      </c>
      <c r="C20" s="74">
        <f>C5+C6+C7+C8+C9+C10+C11+C12+C13+C14+C15+C16+C17+C18+C19</f>
        <v>0</v>
      </c>
      <c r="F20" s="159"/>
      <c r="G20" s="159"/>
    </row>
    <row r="21" spans="1:12" ht="18.75" customHeight="1" x14ac:dyDescent="0.45">
      <c r="A21" s="160" t="s">
        <v>207</v>
      </c>
      <c r="B21" s="160"/>
      <c r="C21" s="160"/>
      <c r="D21" s="160"/>
      <c r="E21" s="167"/>
      <c r="F21" s="160"/>
      <c r="G21" s="160"/>
      <c r="H21" s="76"/>
      <c r="I21" s="262"/>
      <c r="J21" s="76"/>
    </row>
    <row r="22" spans="1:12" ht="14.25" customHeight="1" x14ac:dyDescent="0.35">
      <c r="A22" s="184"/>
      <c r="B22" s="184" t="s">
        <v>15</v>
      </c>
      <c r="C22" s="184" t="s">
        <v>16</v>
      </c>
      <c r="D22" s="185"/>
      <c r="E22" s="168" t="s">
        <v>408</v>
      </c>
      <c r="F22" s="185" t="s">
        <v>399</v>
      </c>
      <c r="G22" s="161"/>
      <c r="H22" s="132" t="s">
        <v>406</v>
      </c>
      <c r="I22" s="341" t="s">
        <v>45</v>
      </c>
      <c r="J22" s="132" t="s">
        <v>402</v>
      </c>
    </row>
    <row r="23" spans="1:12" s="6" customFormat="1" ht="15.5" x14ac:dyDescent="0.35">
      <c r="A23" s="162" t="s">
        <v>208</v>
      </c>
      <c r="B23" s="162"/>
      <c r="C23" s="162"/>
      <c r="D23" s="162"/>
      <c r="E23" s="169"/>
      <c r="F23" s="162"/>
      <c r="G23" s="162"/>
      <c r="H23" s="108"/>
      <c r="I23" s="110" t="s">
        <v>18</v>
      </c>
      <c r="J23" s="107">
        <f>SUM(J24:J40)</f>
        <v>0</v>
      </c>
    </row>
    <row r="24" spans="1:12" x14ac:dyDescent="0.35">
      <c r="A24" s="181"/>
      <c r="B24" s="187" t="s">
        <v>2</v>
      </c>
      <c r="C24" s="188" t="s">
        <v>19</v>
      </c>
      <c r="D24" s="163"/>
      <c r="E24" s="170"/>
      <c r="F24" s="163"/>
      <c r="G24" s="163" t="str">
        <f>IF(D24-E24&gt;0,D24-E24,"")</f>
        <v/>
      </c>
      <c r="H24" s="10" t="s">
        <v>20</v>
      </c>
      <c r="I24" s="331">
        <v>55.95</v>
      </c>
      <c r="J24" s="12">
        <f t="shared" ref="J24:J40" si="0">E24*I24</f>
        <v>0</v>
      </c>
      <c r="K24" s="13"/>
    </row>
    <row r="25" spans="1:12" x14ac:dyDescent="0.35">
      <c r="A25" s="181"/>
      <c r="B25" s="187" t="s">
        <v>2</v>
      </c>
      <c r="C25" s="188" t="s">
        <v>209</v>
      </c>
      <c r="D25" s="163"/>
      <c r="E25" s="170"/>
      <c r="F25" s="163"/>
      <c r="G25" s="163" t="str">
        <f t="shared" ref="G25:G88" si="1">IF(D25-E25&gt;0,D25-E25,"")</f>
        <v/>
      </c>
      <c r="H25" s="10" t="s">
        <v>20</v>
      </c>
      <c r="I25" s="331">
        <v>173.1</v>
      </c>
      <c r="J25" s="12">
        <f t="shared" si="0"/>
        <v>0</v>
      </c>
      <c r="K25" s="13"/>
    </row>
    <row r="26" spans="1:12" x14ac:dyDescent="0.35">
      <c r="A26" s="181"/>
      <c r="B26" s="182" t="s">
        <v>2</v>
      </c>
      <c r="C26" s="183" t="s">
        <v>21</v>
      </c>
      <c r="D26" s="163"/>
      <c r="E26" s="170"/>
      <c r="F26" s="163"/>
      <c r="G26" s="163" t="str">
        <f t="shared" si="1"/>
        <v/>
      </c>
      <c r="H26" s="10" t="s">
        <v>20</v>
      </c>
      <c r="I26" s="331">
        <v>75.400000000000006</v>
      </c>
      <c r="J26" s="12">
        <f t="shared" si="0"/>
        <v>0</v>
      </c>
      <c r="K26" s="13"/>
    </row>
    <row r="27" spans="1:12" x14ac:dyDescent="0.35">
      <c r="A27" s="181"/>
      <c r="B27" s="182" t="s">
        <v>2</v>
      </c>
      <c r="C27" s="183" t="s">
        <v>210</v>
      </c>
      <c r="D27" s="163"/>
      <c r="E27" s="170"/>
      <c r="F27" s="163"/>
      <c r="G27" s="163" t="str">
        <f t="shared" si="1"/>
        <v/>
      </c>
      <c r="H27" s="10" t="s">
        <v>20</v>
      </c>
      <c r="I27" s="331">
        <v>84.9</v>
      </c>
      <c r="J27" s="12">
        <f t="shared" si="0"/>
        <v>0</v>
      </c>
      <c r="K27" s="13"/>
    </row>
    <row r="28" spans="1:12" x14ac:dyDescent="0.35">
      <c r="A28" s="181"/>
      <c r="B28" s="182" t="s">
        <v>2</v>
      </c>
      <c r="C28" s="183" t="s">
        <v>211</v>
      </c>
      <c r="D28" s="163"/>
      <c r="E28" s="170"/>
      <c r="F28" s="163"/>
      <c r="G28" s="163" t="str">
        <f t="shared" si="1"/>
        <v/>
      </c>
      <c r="H28" s="10" t="s">
        <v>20</v>
      </c>
      <c r="I28" s="331">
        <v>2.96</v>
      </c>
      <c r="J28" s="12">
        <f t="shared" si="0"/>
        <v>0</v>
      </c>
      <c r="K28" s="13"/>
      <c r="L28" t="s">
        <v>47</v>
      </c>
    </row>
    <row r="29" spans="1:12" x14ac:dyDescent="0.35">
      <c r="A29" s="181"/>
      <c r="B29" s="182" t="s">
        <v>2</v>
      </c>
      <c r="C29" s="183" t="s">
        <v>212</v>
      </c>
      <c r="D29" s="163"/>
      <c r="E29" s="170"/>
      <c r="F29" s="163"/>
      <c r="G29" s="163" t="str">
        <f t="shared" si="1"/>
        <v/>
      </c>
      <c r="H29" s="10" t="s">
        <v>20</v>
      </c>
      <c r="I29" s="331">
        <v>2.96</v>
      </c>
      <c r="J29" s="12">
        <f t="shared" si="0"/>
        <v>0</v>
      </c>
      <c r="K29" s="13"/>
    </row>
    <row r="30" spans="1:12" x14ac:dyDescent="0.35">
      <c r="A30" s="181"/>
      <c r="B30" s="182" t="s">
        <v>2</v>
      </c>
      <c r="C30" s="183" t="s">
        <v>213</v>
      </c>
      <c r="D30" s="163"/>
      <c r="E30" s="170"/>
      <c r="F30" s="163"/>
      <c r="G30" s="163" t="str">
        <f t="shared" si="1"/>
        <v/>
      </c>
      <c r="H30" s="10" t="s">
        <v>20</v>
      </c>
      <c r="I30" s="331">
        <v>2.96</v>
      </c>
      <c r="J30" s="12">
        <f t="shared" si="0"/>
        <v>0</v>
      </c>
      <c r="K30" s="13"/>
    </row>
    <row r="31" spans="1:12" x14ac:dyDescent="0.35">
      <c r="A31" s="181"/>
      <c r="B31" s="187" t="s">
        <v>2</v>
      </c>
      <c r="C31" s="188" t="s">
        <v>22</v>
      </c>
      <c r="D31" s="163"/>
      <c r="E31" s="170"/>
      <c r="F31" s="163"/>
      <c r="G31" s="163" t="str">
        <f t="shared" si="1"/>
        <v/>
      </c>
      <c r="H31" s="10" t="s">
        <v>20</v>
      </c>
      <c r="I31" s="331">
        <v>107.2</v>
      </c>
      <c r="J31" s="12">
        <f t="shared" si="0"/>
        <v>0</v>
      </c>
      <c r="K31" s="13"/>
    </row>
    <row r="32" spans="1:12" ht="14.5" customHeight="1" x14ac:dyDescent="0.35">
      <c r="A32" s="181"/>
      <c r="B32" s="187" t="s">
        <v>2</v>
      </c>
      <c r="C32" s="188" t="s">
        <v>214</v>
      </c>
      <c r="D32" s="163"/>
      <c r="E32" s="170"/>
      <c r="F32" s="163"/>
      <c r="G32" s="163" t="str">
        <f t="shared" si="1"/>
        <v/>
      </c>
      <c r="H32" s="10" t="s">
        <v>20</v>
      </c>
      <c r="I32" s="331">
        <v>170.7</v>
      </c>
      <c r="J32" s="12">
        <f t="shared" si="0"/>
        <v>0</v>
      </c>
      <c r="K32" s="13"/>
    </row>
    <row r="33" spans="1:12" ht="14.5" customHeight="1" x14ac:dyDescent="0.35">
      <c r="A33" s="181"/>
      <c r="B33" s="182" t="s">
        <v>2</v>
      </c>
      <c r="C33" s="183" t="s">
        <v>215</v>
      </c>
      <c r="D33" s="163"/>
      <c r="E33" s="170"/>
      <c r="F33" s="163"/>
      <c r="G33" s="163" t="str">
        <f t="shared" si="1"/>
        <v/>
      </c>
      <c r="H33" s="10" t="s">
        <v>216</v>
      </c>
      <c r="I33" s="331">
        <v>3.77</v>
      </c>
      <c r="J33" s="12">
        <f t="shared" si="0"/>
        <v>0</v>
      </c>
      <c r="K33" s="13"/>
    </row>
    <row r="34" spans="1:12" s="6" customFormat="1" ht="15.65" customHeight="1" x14ac:dyDescent="0.35">
      <c r="A34" s="181"/>
      <c r="B34" s="182" t="s">
        <v>2</v>
      </c>
      <c r="C34" s="183" t="s">
        <v>217</v>
      </c>
      <c r="D34" s="163"/>
      <c r="E34" s="170"/>
      <c r="F34" s="163"/>
      <c r="G34" s="163" t="str">
        <f t="shared" si="1"/>
        <v/>
      </c>
      <c r="H34" s="10" t="s">
        <v>20</v>
      </c>
      <c r="I34" s="331">
        <v>2.56</v>
      </c>
      <c r="J34" s="12">
        <f t="shared" si="0"/>
        <v>0</v>
      </c>
    </row>
    <row r="35" spans="1:12" ht="14.5" customHeight="1" x14ac:dyDescent="0.35">
      <c r="A35" s="181"/>
      <c r="B35" s="182" t="s">
        <v>2</v>
      </c>
      <c r="C35" s="183" t="s">
        <v>218</v>
      </c>
      <c r="D35" s="163"/>
      <c r="E35" s="170"/>
      <c r="F35" s="163"/>
      <c r="G35" s="163" t="str">
        <f t="shared" si="1"/>
        <v/>
      </c>
      <c r="H35" s="10" t="s">
        <v>20</v>
      </c>
      <c r="I35" s="331">
        <v>3.08</v>
      </c>
      <c r="J35" s="12">
        <f t="shared" si="0"/>
        <v>0</v>
      </c>
      <c r="K35" s="13"/>
    </row>
    <row r="36" spans="1:12" ht="14.5" customHeight="1" x14ac:dyDescent="0.35">
      <c r="A36" s="181"/>
      <c r="B36" s="182" t="s">
        <v>2</v>
      </c>
      <c r="C36" s="183" t="s">
        <v>219</v>
      </c>
      <c r="D36" s="163"/>
      <c r="E36" s="170"/>
      <c r="F36" s="163"/>
      <c r="G36" s="163" t="str">
        <f t="shared" si="1"/>
        <v/>
      </c>
      <c r="H36" s="10" t="s">
        <v>20</v>
      </c>
      <c r="I36" s="331">
        <v>2.56</v>
      </c>
      <c r="J36" s="12">
        <f t="shared" si="0"/>
        <v>0</v>
      </c>
      <c r="K36" s="13"/>
    </row>
    <row r="37" spans="1:12" x14ac:dyDescent="0.35">
      <c r="A37" s="181"/>
      <c r="B37" s="182" t="s">
        <v>2</v>
      </c>
      <c r="C37" s="183" t="s">
        <v>220</v>
      </c>
      <c r="D37" s="163"/>
      <c r="E37" s="170"/>
      <c r="F37" s="163"/>
      <c r="G37" s="163" t="str">
        <f t="shared" si="1"/>
        <v/>
      </c>
      <c r="H37" s="10" t="s">
        <v>20</v>
      </c>
      <c r="I37" s="331">
        <v>1.41</v>
      </c>
      <c r="J37" s="12">
        <f t="shared" si="0"/>
        <v>0</v>
      </c>
      <c r="K37" s="13"/>
    </row>
    <row r="38" spans="1:12" x14ac:dyDescent="0.35">
      <c r="A38" s="181"/>
      <c r="B38" s="182" t="s">
        <v>2</v>
      </c>
      <c r="C38" s="183" t="s">
        <v>221</v>
      </c>
      <c r="D38" s="163"/>
      <c r="E38" s="170"/>
      <c r="F38" s="163"/>
      <c r="G38" s="163" t="str">
        <f t="shared" si="1"/>
        <v/>
      </c>
      <c r="H38" s="10" t="s">
        <v>20</v>
      </c>
      <c r="I38" s="331">
        <v>1.73</v>
      </c>
      <c r="J38" s="12">
        <f t="shared" si="0"/>
        <v>0</v>
      </c>
      <c r="K38" s="13"/>
    </row>
    <row r="39" spans="1:12" x14ac:dyDescent="0.35">
      <c r="A39" s="181"/>
      <c r="B39" s="182" t="s">
        <v>2</v>
      </c>
      <c r="C39" s="183" t="s">
        <v>222</v>
      </c>
      <c r="D39" s="163"/>
      <c r="E39" s="170"/>
      <c r="F39" s="163"/>
      <c r="G39" s="163" t="str">
        <f t="shared" si="1"/>
        <v/>
      </c>
      <c r="H39" s="10" t="s">
        <v>20</v>
      </c>
      <c r="I39" s="331">
        <v>1.46</v>
      </c>
      <c r="J39" s="12">
        <f t="shared" si="0"/>
        <v>0</v>
      </c>
      <c r="K39" s="13"/>
    </row>
    <row r="40" spans="1:12" ht="14.5" customHeight="1" x14ac:dyDescent="0.35">
      <c r="A40" s="181"/>
      <c r="B40" s="182" t="s">
        <v>2</v>
      </c>
      <c r="C40" s="183" t="s">
        <v>223</v>
      </c>
      <c r="D40" s="189"/>
      <c r="E40" s="170"/>
      <c r="F40" s="189"/>
      <c r="G40" s="163" t="str">
        <f t="shared" si="1"/>
        <v/>
      </c>
      <c r="H40" s="10" t="s">
        <v>20</v>
      </c>
      <c r="I40" s="332">
        <v>3.45</v>
      </c>
      <c r="J40" s="12">
        <f t="shared" si="0"/>
        <v>0</v>
      </c>
      <c r="K40" s="13"/>
    </row>
    <row r="41" spans="1:12" s="6" customFormat="1" ht="15.65" customHeight="1" x14ac:dyDescent="0.35">
      <c r="A41" s="162" t="s">
        <v>119</v>
      </c>
      <c r="B41" s="162"/>
      <c r="C41" s="162"/>
      <c r="D41" s="162"/>
      <c r="E41" s="162"/>
      <c r="F41" s="162"/>
      <c r="G41" s="190" t="str">
        <f t="shared" si="1"/>
        <v/>
      </c>
      <c r="H41" s="108"/>
      <c r="I41" s="106" t="s">
        <v>18</v>
      </c>
      <c r="J41" s="107">
        <f>SUM(J42:J49)</f>
        <v>0</v>
      </c>
    </row>
    <row r="42" spans="1:12" ht="14.5" customHeight="1" x14ac:dyDescent="0.35">
      <c r="A42" s="181"/>
      <c r="B42" s="182" t="s">
        <v>7</v>
      </c>
      <c r="C42" s="183" t="s">
        <v>224</v>
      </c>
      <c r="D42" s="163"/>
      <c r="E42" s="170"/>
      <c r="F42" s="163"/>
      <c r="G42" s="163" t="str">
        <f t="shared" si="1"/>
        <v/>
      </c>
      <c r="H42" s="10" t="s">
        <v>20</v>
      </c>
      <c r="I42" s="331">
        <v>100</v>
      </c>
      <c r="J42" s="12">
        <f t="shared" ref="J42:J49" si="2">E42*I42</f>
        <v>0</v>
      </c>
      <c r="K42" s="13"/>
    </row>
    <row r="43" spans="1:12" x14ac:dyDescent="0.35">
      <c r="A43" s="181"/>
      <c r="B43" s="182" t="s">
        <v>7</v>
      </c>
      <c r="C43" s="183" t="s">
        <v>225</v>
      </c>
      <c r="D43" s="163"/>
      <c r="E43" s="170"/>
      <c r="F43" s="163"/>
      <c r="G43" s="163" t="str">
        <f t="shared" si="1"/>
        <v/>
      </c>
      <c r="H43" s="10" t="s">
        <v>20</v>
      </c>
      <c r="I43" s="331">
        <v>12.2</v>
      </c>
      <c r="J43" s="12">
        <f t="shared" si="2"/>
        <v>0</v>
      </c>
      <c r="K43" s="13"/>
    </row>
    <row r="44" spans="1:12" ht="14.5" customHeight="1" x14ac:dyDescent="0.35">
      <c r="A44" s="181"/>
      <c r="B44" s="182" t="s">
        <v>7</v>
      </c>
      <c r="C44" s="183" t="s">
        <v>226</v>
      </c>
      <c r="D44" s="163"/>
      <c r="E44" s="170"/>
      <c r="F44" s="163"/>
      <c r="G44" s="163" t="str">
        <f t="shared" si="1"/>
        <v/>
      </c>
      <c r="H44" s="10" t="s">
        <v>20</v>
      </c>
      <c r="I44" s="331">
        <v>11</v>
      </c>
      <c r="J44" s="12">
        <f t="shared" si="2"/>
        <v>0</v>
      </c>
      <c r="K44" s="323"/>
      <c r="L44" s="324"/>
    </row>
    <row r="45" spans="1:12" x14ac:dyDescent="0.35">
      <c r="A45" s="181"/>
      <c r="B45" s="182" t="s">
        <v>7</v>
      </c>
      <c r="C45" s="183" t="s">
        <v>227</v>
      </c>
      <c r="D45" s="163"/>
      <c r="E45" s="170"/>
      <c r="F45" s="163"/>
      <c r="G45" s="163" t="str">
        <f t="shared" si="1"/>
        <v/>
      </c>
      <c r="H45" s="10" t="s">
        <v>20</v>
      </c>
      <c r="I45" s="331">
        <v>5</v>
      </c>
      <c r="J45" s="12">
        <f t="shared" si="2"/>
        <v>0</v>
      </c>
      <c r="K45" s="13" t="s">
        <v>47</v>
      </c>
    </row>
    <row r="46" spans="1:12" x14ac:dyDescent="0.35">
      <c r="A46" s="181"/>
      <c r="B46" s="182" t="s">
        <v>7</v>
      </c>
      <c r="C46" s="183" t="s">
        <v>46</v>
      </c>
      <c r="D46" s="163"/>
      <c r="E46" s="170"/>
      <c r="F46" s="163"/>
      <c r="G46" s="163" t="str">
        <f t="shared" si="1"/>
        <v/>
      </c>
      <c r="H46" s="10" t="s">
        <v>20</v>
      </c>
      <c r="I46" s="331">
        <v>5</v>
      </c>
      <c r="J46" s="12">
        <f t="shared" si="2"/>
        <v>0</v>
      </c>
      <c r="K46" s="13"/>
    </row>
    <row r="47" spans="1:12" ht="14.5" customHeight="1" x14ac:dyDescent="0.35">
      <c r="A47" s="181"/>
      <c r="B47" s="182" t="s">
        <v>7</v>
      </c>
      <c r="C47" s="183" t="s">
        <v>228</v>
      </c>
      <c r="D47" s="163"/>
      <c r="E47" s="170"/>
      <c r="F47" s="163"/>
      <c r="G47" s="163" t="str">
        <f t="shared" si="1"/>
        <v/>
      </c>
      <c r="H47" s="10" t="s">
        <v>20</v>
      </c>
      <c r="I47" s="331">
        <v>11</v>
      </c>
      <c r="J47" s="12">
        <f t="shared" si="2"/>
        <v>0</v>
      </c>
      <c r="K47" s="13"/>
    </row>
    <row r="48" spans="1:12" ht="16.399999999999999" customHeight="1" x14ac:dyDescent="0.35">
      <c r="A48" s="181"/>
      <c r="B48" s="182" t="s">
        <v>7</v>
      </c>
      <c r="C48" s="183" t="s">
        <v>229</v>
      </c>
      <c r="D48" s="163"/>
      <c r="E48" s="170"/>
      <c r="F48" s="163"/>
      <c r="G48" s="163" t="str">
        <f t="shared" si="1"/>
        <v/>
      </c>
      <c r="H48" s="10" t="s">
        <v>20</v>
      </c>
      <c r="I48" s="331">
        <v>50</v>
      </c>
      <c r="J48" s="12">
        <f t="shared" si="2"/>
        <v>0</v>
      </c>
      <c r="K48" s="13"/>
    </row>
    <row r="49" spans="1:11" x14ac:dyDescent="0.35">
      <c r="A49" s="181"/>
      <c r="B49" s="182" t="s">
        <v>7</v>
      </c>
      <c r="C49" s="191" t="s">
        <v>206</v>
      </c>
      <c r="D49" s="192"/>
      <c r="E49" s="170"/>
      <c r="F49" s="192"/>
      <c r="G49" s="163" t="str">
        <f t="shared" si="1"/>
        <v/>
      </c>
      <c r="H49" s="10" t="s">
        <v>20</v>
      </c>
      <c r="I49" s="333">
        <v>5</v>
      </c>
      <c r="J49" s="12">
        <f t="shared" si="2"/>
        <v>0</v>
      </c>
      <c r="K49" s="13"/>
    </row>
    <row r="50" spans="1:11" ht="14.5" customHeight="1" x14ac:dyDescent="0.35">
      <c r="A50" s="181"/>
      <c r="B50" s="193" t="s">
        <v>230</v>
      </c>
      <c r="C50" s="176"/>
      <c r="D50" s="176"/>
      <c r="E50" s="176"/>
      <c r="F50" s="176"/>
      <c r="G50" s="190" t="str">
        <f t="shared" si="1"/>
        <v/>
      </c>
      <c r="H50" s="105"/>
      <c r="I50" s="106" t="s">
        <v>18</v>
      </c>
      <c r="J50" s="107">
        <f>SUM(J52:J77)</f>
        <v>0</v>
      </c>
      <c r="K50" s="13"/>
    </row>
    <row r="51" spans="1:11" ht="14.5" customHeight="1" x14ac:dyDescent="0.35">
      <c r="A51" s="194"/>
      <c r="B51" s="195" t="s">
        <v>231</v>
      </c>
      <c r="C51" s="177"/>
      <c r="D51" s="177"/>
      <c r="E51" s="177"/>
      <c r="F51" s="177"/>
      <c r="G51" s="190" t="str">
        <f t="shared" si="1"/>
        <v/>
      </c>
      <c r="H51" s="127"/>
      <c r="I51" s="239"/>
      <c r="J51" s="128"/>
      <c r="K51" s="13"/>
    </row>
    <row r="52" spans="1:11" ht="14.5" customHeight="1" x14ac:dyDescent="0.35">
      <c r="A52" s="181"/>
      <c r="B52" s="182" t="s">
        <v>13</v>
      </c>
      <c r="C52" s="183" t="s">
        <v>78</v>
      </c>
      <c r="D52" s="163"/>
      <c r="E52" s="170"/>
      <c r="F52" s="163"/>
      <c r="G52" s="163" t="str">
        <f t="shared" si="1"/>
        <v/>
      </c>
      <c r="H52" s="10" t="s">
        <v>20</v>
      </c>
      <c r="I52" s="331">
        <v>13</v>
      </c>
      <c r="J52" s="12">
        <f t="shared" ref="J52:J58" si="3">E52*I52</f>
        <v>0</v>
      </c>
      <c r="K52" s="13"/>
    </row>
    <row r="53" spans="1:11" x14ac:dyDescent="0.35">
      <c r="A53" s="181"/>
      <c r="B53" s="182" t="s">
        <v>13</v>
      </c>
      <c r="C53" s="183" t="s">
        <v>232</v>
      </c>
      <c r="D53" s="163"/>
      <c r="E53" s="170"/>
      <c r="F53" s="163"/>
      <c r="G53" s="163" t="str">
        <f t="shared" si="1"/>
        <v/>
      </c>
      <c r="H53" s="10" t="s">
        <v>20</v>
      </c>
      <c r="I53" s="331">
        <v>13</v>
      </c>
      <c r="J53" s="12">
        <f t="shared" si="3"/>
        <v>0</v>
      </c>
      <c r="K53" s="134"/>
    </row>
    <row r="54" spans="1:11" x14ac:dyDescent="0.35">
      <c r="A54" s="181"/>
      <c r="B54" s="182" t="s">
        <v>13</v>
      </c>
      <c r="C54" s="183" t="s">
        <v>233</v>
      </c>
      <c r="D54" s="163"/>
      <c r="E54" s="170"/>
      <c r="F54" s="163"/>
      <c r="G54" s="163" t="str">
        <f t="shared" si="1"/>
        <v/>
      </c>
      <c r="H54" s="10" t="s">
        <v>20</v>
      </c>
      <c r="I54" s="331">
        <v>8.9</v>
      </c>
      <c r="J54" s="12">
        <f t="shared" si="3"/>
        <v>0</v>
      </c>
      <c r="K54" s="13"/>
    </row>
    <row r="55" spans="1:11" x14ac:dyDescent="0.35">
      <c r="A55" s="181"/>
      <c r="B55" s="182" t="s">
        <v>13</v>
      </c>
      <c r="C55" s="183" t="s">
        <v>32</v>
      </c>
      <c r="D55" s="163"/>
      <c r="E55" s="170"/>
      <c r="F55" s="163"/>
      <c r="G55" s="163" t="str">
        <f t="shared" si="1"/>
        <v/>
      </c>
      <c r="H55" s="10" t="s">
        <v>20</v>
      </c>
      <c r="I55" s="331">
        <v>8.35</v>
      </c>
      <c r="J55" s="12">
        <f t="shared" si="3"/>
        <v>0</v>
      </c>
      <c r="K55" s="13"/>
    </row>
    <row r="56" spans="1:11" s="6" customFormat="1" ht="15.65" customHeight="1" x14ac:dyDescent="0.35">
      <c r="A56" s="181"/>
      <c r="B56" s="182" t="s">
        <v>13</v>
      </c>
      <c r="C56" s="183" t="s">
        <v>33</v>
      </c>
      <c r="D56" s="163"/>
      <c r="E56" s="170"/>
      <c r="F56" s="163"/>
      <c r="G56" s="163" t="str">
        <f t="shared" si="1"/>
        <v/>
      </c>
      <c r="H56" s="10" t="s">
        <v>20</v>
      </c>
      <c r="I56" s="331">
        <v>8.9</v>
      </c>
      <c r="J56" s="12">
        <f t="shared" si="3"/>
        <v>0</v>
      </c>
    </row>
    <row r="57" spans="1:11" s="6" customFormat="1" ht="15.65" customHeight="1" x14ac:dyDescent="0.35">
      <c r="A57" s="181"/>
      <c r="B57" s="182" t="s">
        <v>13</v>
      </c>
      <c r="C57" s="183" t="s">
        <v>59</v>
      </c>
      <c r="D57" s="163"/>
      <c r="E57" s="170"/>
      <c r="F57" s="163"/>
      <c r="G57" s="163" t="str">
        <f t="shared" si="1"/>
        <v/>
      </c>
      <c r="H57" s="10" t="s">
        <v>20</v>
      </c>
      <c r="I57" s="331">
        <v>8.6999999999999993</v>
      </c>
      <c r="J57" s="12">
        <f t="shared" si="3"/>
        <v>0</v>
      </c>
    </row>
    <row r="58" spans="1:11" ht="14.5" customHeight="1" x14ac:dyDescent="0.35">
      <c r="A58" s="181"/>
      <c r="B58" s="182" t="s">
        <v>13</v>
      </c>
      <c r="C58" s="183" t="s">
        <v>234</v>
      </c>
      <c r="D58" s="163"/>
      <c r="E58" s="170"/>
      <c r="F58" s="163"/>
      <c r="G58" s="163" t="str">
        <f t="shared" si="1"/>
        <v/>
      </c>
      <c r="H58" s="10" t="s">
        <v>20</v>
      </c>
      <c r="I58" s="331">
        <v>12.15</v>
      </c>
      <c r="J58" s="12">
        <f t="shared" si="3"/>
        <v>0</v>
      </c>
      <c r="K58" s="13"/>
    </row>
    <row r="59" spans="1:11" ht="14.5" customHeight="1" x14ac:dyDescent="0.35">
      <c r="A59" s="181"/>
      <c r="B59" s="182" t="s">
        <v>13</v>
      </c>
      <c r="C59" s="183" t="s">
        <v>235</v>
      </c>
      <c r="D59" s="163"/>
      <c r="E59" s="170"/>
      <c r="F59" s="163"/>
      <c r="G59" s="163" t="str">
        <f t="shared" si="1"/>
        <v/>
      </c>
      <c r="H59" s="10" t="s">
        <v>20</v>
      </c>
      <c r="I59" s="331">
        <v>11.35</v>
      </c>
      <c r="J59" s="12">
        <f t="shared" ref="J59:J64" si="4">E59*I59</f>
        <v>0</v>
      </c>
      <c r="K59" s="13"/>
    </row>
    <row r="60" spans="1:11" s="6" customFormat="1" ht="15.65" customHeight="1" x14ac:dyDescent="0.35">
      <c r="A60" s="181"/>
      <c r="B60" s="182" t="s">
        <v>13</v>
      </c>
      <c r="C60" s="183" t="s">
        <v>236</v>
      </c>
      <c r="D60" s="163"/>
      <c r="E60" s="170"/>
      <c r="F60" s="163"/>
      <c r="G60" s="163" t="str">
        <f t="shared" si="1"/>
        <v/>
      </c>
      <c r="H60" s="10" t="s">
        <v>20</v>
      </c>
      <c r="I60" s="331">
        <v>14.65</v>
      </c>
      <c r="J60" s="12">
        <f t="shared" si="4"/>
        <v>0</v>
      </c>
    </row>
    <row r="61" spans="1:11" ht="14.5" customHeight="1" x14ac:dyDescent="0.35">
      <c r="A61" s="181"/>
      <c r="B61" s="182" t="s">
        <v>13</v>
      </c>
      <c r="C61" s="183" t="s">
        <v>237</v>
      </c>
      <c r="D61" s="163"/>
      <c r="E61" s="170"/>
      <c r="F61" s="163"/>
      <c r="G61" s="163" t="str">
        <f t="shared" si="1"/>
        <v/>
      </c>
      <c r="H61" s="10" t="s">
        <v>20</v>
      </c>
      <c r="I61" s="331">
        <v>16.25</v>
      </c>
      <c r="J61" s="12">
        <f t="shared" si="4"/>
        <v>0</v>
      </c>
      <c r="K61" s="13"/>
    </row>
    <row r="62" spans="1:11" s="6" customFormat="1" ht="15.5" x14ac:dyDescent="0.35">
      <c r="A62" s="181"/>
      <c r="B62" s="182" t="s">
        <v>13</v>
      </c>
      <c r="C62" s="183" t="s">
        <v>238</v>
      </c>
      <c r="D62" s="163"/>
      <c r="E62" s="170"/>
      <c r="F62" s="163"/>
      <c r="G62" s="163" t="str">
        <f t="shared" si="1"/>
        <v/>
      </c>
      <c r="H62" s="10" t="s">
        <v>20</v>
      </c>
      <c r="I62" s="331">
        <v>17.899999999999999</v>
      </c>
      <c r="J62" s="12">
        <f t="shared" si="4"/>
        <v>0</v>
      </c>
    </row>
    <row r="63" spans="1:11" x14ac:dyDescent="0.35">
      <c r="A63" s="181"/>
      <c r="B63" s="182" t="s">
        <v>13</v>
      </c>
      <c r="C63" s="183" t="s">
        <v>239</v>
      </c>
      <c r="D63" s="163"/>
      <c r="E63" s="170"/>
      <c r="F63" s="163"/>
      <c r="G63" s="163" t="str">
        <f t="shared" si="1"/>
        <v/>
      </c>
      <c r="H63" s="10" t="s">
        <v>20</v>
      </c>
      <c r="I63" s="331">
        <v>15.95</v>
      </c>
      <c r="J63" s="12">
        <f t="shared" si="4"/>
        <v>0</v>
      </c>
      <c r="K63" s="13"/>
    </row>
    <row r="64" spans="1:11" ht="14.5" customHeight="1" x14ac:dyDescent="0.35">
      <c r="A64" s="181"/>
      <c r="B64" s="182" t="s">
        <v>13</v>
      </c>
      <c r="C64" s="183" t="s">
        <v>240</v>
      </c>
      <c r="D64" s="163"/>
      <c r="E64" s="170"/>
      <c r="F64" s="163"/>
      <c r="G64" s="163" t="str">
        <f t="shared" si="1"/>
        <v/>
      </c>
      <c r="H64" s="10" t="s">
        <v>20</v>
      </c>
      <c r="I64" s="331">
        <v>15.45</v>
      </c>
      <c r="J64" s="12">
        <f t="shared" si="4"/>
        <v>0</v>
      </c>
      <c r="K64" s="13"/>
    </row>
    <row r="65" spans="1:13" s="6" customFormat="1" ht="15.65" customHeight="1" x14ac:dyDescent="0.35">
      <c r="A65" s="194"/>
      <c r="B65" s="195" t="s">
        <v>241</v>
      </c>
      <c r="C65" s="177"/>
      <c r="D65" s="177"/>
      <c r="E65" s="177"/>
      <c r="F65" s="177"/>
      <c r="G65" s="190" t="str">
        <f t="shared" si="1"/>
        <v/>
      </c>
      <c r="H65" s="127"/>
      <c r="I65" s="239"/>
      <c r="J65" s="128"/>
    </row>
    <row r="66" spans="1:13" ht="14.5" customHeight="1" x14ac:dyDescent="0.35">
      <c r="A66" s="181"/>
      <c r="B66" s="182" t="s">
        <v>13</v>
      </c>
      <c r="C66" s="183" t="s">
        <v>242</v>
      </c>
      <c r="D66" s="163"/>
      <c r="E66" s="170"/>
      <c r="F66" s="163"/>
      <c r="G66" s="163" t="str">
        <f t="shared" si="1"/>
        <v/>
      </c>
      <c r="H66" s="10" t="s">
        <v>20</v>
      </c>
      <c r="I66" s="331">
        <v>31.05</v>
      </c>
      <c r="J66" s="12">
        <f t="shared" ref="J66:J72" si="5">E66*I66</f>
        <v>0</v>
      </c>
      <c r="K66" s="13"/>
    </row>
    <row r="67" spans="1:13" ht="14.5" customHeight="1" x14ac:dyDescent="0.35">
      <c r="A67" s="181"/>
      <c r="B67" s="182" t="s">
        <v>13</v>
      </c>
      <c r="C67" s="183" t="s">
        <v>243</v>
      </c>
      <c r="D67" s="163"/>
      <c r="E67" s="170"/>
      <c r="F67" s="163"/>
      <c r="G67" s="163" t="str">
        <f t="shared" si="1"/>
        <v/>
      </c>
      <c r="H67" s="10" t="s">
        <v>20</v>
      </c>
      <c r="I67" s="331">
        <v>60.79</v>
      </c>
      <c r="J67" s="12">
        <f t="shared" si="5"/>
        <v>0</v>
      </c>
      <c r="K67" s="13"/>
    </row>
    <row r="68" spans="1:13" x14ac:dyDescent="0.35">
      <c r="A68" s="181"/>
      <c r="B68" s="182" t="s">
        <v>13</v>
      </c>
      <c r="C68" s="183" t="s">
        <v>244</v>
      </c>
      <c r="D68" s="163"/>
      <c r="E68" s="170"/>
      <c r="F68" s="163"/>
      <c r="G68" s="163" t="str">
        <f t="shared" si="1"/>
        <v/>
      </c>
      <c r="H68" s="10" t="s">
        <v>20</v>
      </c>
      <c r="I68" s="331">
        <v>56.55</v>
      </c>
      <c r="J68" s="12">
        <f t="shared" si="5"/>
        <v>0</v>
      </c>
      <c r="K68" s="13"/>
    </row>
    <row r="69" spans="1:13" x14ac:dyDescent="0.35">
      <c r="A69" s="181"/>
      <c r="B69" s="182" t="s">
        <v>13</v>
      </c>
      <c r="C69" s="183" t="s">
        <v>245</v>
      </c>
      <c r="D69" s="163"/>
      <c r="E69" s="170"/>
      <c r="F69" s="163"/>
      <c r="G69" s="163" t="str">
        <f t="shared" si="1"/>
        <v/>
      </c>
      <c r="H69" s="10" t="s">
        <v>20</v>
      </c>
      <c r="I69" s="331">
        <v>107.44</v>
      </c>
      <c r="J69" s="12">
        <f t="shared" si="5"/>
        <v>0</v>
      </c>
      <c r="K69" s="13"/>
    </row>
    <row r="70" spans="1:13" ht="14.5" customHeight="1" x14ac:dyDescent="0.35">
      <c r="A70" s="181"/>
      <c r="B70" s="182" t="s">
        <v>13</v>
      </c>
      <c r="C70" s="183" t="s">
        <v>246</v>
      </c>
      <c r="D70" s="163"/>
      <c r="E70" s="170"/>
      <c r="F70" s="163"/>
      <c r="G70" s="163" t="str">
        <f t="shared" si="1"/>
        <v/>
      </c>
      <c r="H70" s="10" t="s">
        <v>20</v>
      </c>
      <c r="I70" s="331">
        <v>47.4</v>
      </c>
      <c r="J70" s="12">
        <f t="shared" si="5"/>
        <v>0</v>
      </c>
      <c r="K70" s="13"/>
    </row>
    <row r="71" spans="1:13" ht="15.65" customHeight="1" x14ac:dyDescent="0.35">
      <c r="A71" s="181"/>
      <c r="B71" s="182" t="s">
        <v>13</v>
      </c>
      <c r="C71" s="183" t="s">
        <v>247</v>
      </c>
      <c r="D71" s="163"/>
      <c r="E71" s="170"/>
      <c r="F71" s="163"/>
      <c r="G71" s="163" t="str">
        <f t="shared" si="1"/>
        <v/>
      </c>
      <c r="H71" s="10" t="s">
        <v>20</v>
      </c>
      <c r="I71" s="331">
        <v>87.63</v>
      </c>
      <c r="J71" s="12">
        <f t="shared" si="5"/>
        <v>0</v>
      </c>
      <c r="K71" s="13"/>
    </row>
    <row r="72" spans="1:13" x14ac:dyDescent="0.35">
      <c r="A72" s="181"/>
      <c r="B72" s="182" t="s">
        <v>13</v>
      </c>
      <c r="C72" s="183" t="s">
        <v>248</v>
      </c>
      <c r="D72" s="163"/>
      <c r="E72" s="170"/>
      <c r="F72" s="163"/>
      <c r="G72" s="163" t="str">
        <f t="shared" si="1"/>
        <v/>
      </c>
      <c r="H72" s="10" t="s">
        <v>20</v>
      </c>
      <c r="I72" s="331">
        <v>52.31</v>
      </c>
      <c r="J72" s="12">
        <f t="shared" si="5"/>
        <v>0</v>
      </c>
      <c r="K72" s="13"/>
      <c r="M72" s="22"/>
    </row>
    <row r="73" spans="1:13" ht="16.399999999999999" customHeight="1" x14ac:dyDescent="0.35">
      <c r="A73" s="194"/>
      <c r="B73" s="195" t="s">
        <v>249</v>
      </c>
      <c r="C73" s="177"/>
      <c r="D73" s="177"/>
      <c r="E73" s="177"/>
      <c r="F73" s="177"/>
      <c r="G73" s="190" t="str">
        <f t="shared" si="1"/>
        <v/>
      </c>
      <c r="H73" s="127"/>
      <c r="I73" s="239"/>
      <c r="J73" s="128"/>
      <c r="K73" s="13"/>
    </row>
    <row r="74" spans="1:13" x14ac:dyDescent="0.35">
      <c r="A74" s="181"/>
      <c r="B74" s="182" t="s">
        <v>13</v>
      </c>
      <c r="C74" s="183" t="s">
        <v>250</v>
      </c>
      <c r="D74" s="163"/>
      <c r="E74" s="170"/>
      <c r="F74" s="163"/>
      <c r="G74" s="163" t="str">
        <f t="shared" si="1"/>
        <v/>
      </c>
      <c r="H74" s="10" t="s">
        <v>20</v>
      </c>
      <c r="I74" s="331">
        <v>10.8</v>
      </c>
      <c r="J74" s="12">
        <f>E74*I74</f>
        <v>0</v>
      </c>
      <c r="K74" s="13"/>
    </row>
    <row r="75" spans="1:13" ht="14.5" customHeight="1" x14ac:dyDescent="0.35">
      <c r="A75" s="181"/>
      <c r="B75" s="182" t="s">
        <v>13</v>
      </c>
      <c r="C75" s="183" t="s">
        <v>251</v>
      </c>
      <c r="D75" s="163"/>
      <c r="E75" s="170"/>
      <c r="F75" s="163"/>
      <c r="G75" s="163" t="str">
        <f t="shared" si="1"/>
        <v/>
      </c>
      <c r="H75" s="10" t="s">
        <v>20</v>
      </c>
      <c r="I75" s="331">
        <v>11.2</v>
      </c>
      <c r="J75" s="12">
        <f>E75*I75</f>
        <v>0</v>
      </c>
      <c r="K75" s="13"/>
    </row>
    <row r="76" spans="1:13" s="24" customFormat="1" ht="15.65" customHeight="1" x14ac:dyDescent="0.35">
      <c r="A76" s="181"/>
      <c r="B76" s="182" t="s">
        <v>13</v>
      </c>
      <c r="C76" s="183" t="s">
        <v>252</v>
      </c>
      <c r="D76" s="163"/>
      <c r="E76" s="170"/>
      <c r="F76" s="163"/>
      <c r="G76" s="163" t="str">
        <f t="shared" si="1"/>
        <v/>
      </c>
      <c r="H76" s="10" t="s">
        <v>23</v>
      </c>
      <c r="I76" s="331">
        <v>4.5599999999999996</v>
      </c>
      <c r="J76" s="12">
        <f>E76*I76</f>
        <v>0</v>
      </c>
    </row>
    <row r="77" spans="1:13" s="6" customFormat="1" ht="15.65" customHeight="1" x14ac:dyDescent="0.35">
      <c r="A77" s="181"/>
      <c r="B77" s="182" t="s">
        <v>13</v>
      </c>
      <c r="C77" s="183" t="s">
        <v>253</v>
      </c>
      <c r="D77" s="163"/>
      <c r="E77" s="170"/>
      <c r="F77" s="163"/>
      <c r="G77" s="163" t="str">
        <f t="shared" si="1"/>
        <v/>
      </c>
      <c r="H77" s="10" t="s">
        <v>23</v>
      </c>
      <c r="I77" s="331">
        <v>37.700000000000003</v>
      </c>
      <c r="J77" s="12">
        <f>E77*I77</f>
        <v>0</v>
      </c>
    </row>
    <row r="78" spans="1:13" ht="15.5" x14ac:dyDescent="0.35">
      <c r="A78" s="162" t="s">
        <v>254</v>
      </c>
      <c r="B78" s="162"/>
      <c r="C78" s="162"/>
      <c r="D78" s="162"/>
      <c r="E78" s="162"/>
      <c r="F78" s="162"/>
      <c r="G78" s="190" t="str">
        <f t="shared" si="1"/>
        <v/>
      </c>
      <c r="H78" s="108"/>
      <c r="I78" s="110" t="s">
        <v>18</v>
      </c>
      <c r="J78" s="115">
        <f>SUM(J80:J121)</f>
        <v>0</v>
      </c>
    </row>
    <row r="79" spans="1:13" ht="15.5" x14ac:dyDescent="0.35">
      <c r="A79" s="194"/>
      <c r="B79" s="195" t="s">
        <v>255</v>
      </c>
      <c r="C79" s="177"/>
      <c r="D79" s="177"/>
      <c r="E79" s="177"/>
      <c r="F79" s="177"/>
      <c r="G79" s="190" t="str">
        <f t="shared" si="1"/>
        <v/>
      </c>
      <c r="H79" s="127"/>
      <c r="I79" s="239"/>
      <c r="J79" s="128"/>
      <c r="K79" s="13"/>
    </row>
    <row r="80" spans="1:13" x14ac:dyDescent="0.35">
      <c r="A80" s="181"/>
      <c r="B80" s="182" t="s">
        <v>3</v>
      </c>
      <c r="C80" s="183" t="s">
        <v>256</v>
      </c>
      <c r="D80" s="163"/>
      <c r="E80" s="170"/>
      <c r="F80" s="163"/>
      <c r="G80" s="163" t="str">
        <f t="shared" si="1"/>
        <v/>
      </c>
      <c r="H80" s="10" t="s">
        <v>20</v>
      </c>
      <c r="I80" s="331">
        <v>32.950000000000003</v>
      </c>
      <c r="J80" s="12">
        <f t="shared" ref="J80:J86" si="6">E80*I80</f>
        <v>0</v>
      </c>
      <c r="K80" s="13"/>
    </row>
    <row r="81" spans="1:13" ht="14.5" customHeight="1" x14ac:dyDescent="0.35">
      <c r="A81" s="181"/>
      <c r="B81" s="182" t="s">
        <v>3</v>
      </c>
      <c r="C81" s="183" t="s">
        <v>257</v>
      </c>
      <c r="D81" s="163"/>
      <c r="E81" s="170"/>
      <c r="F81" s="163"/>
      <c r="G81" s="163" t="str">
        <f t="shared" si="1"/>
        <v/>
      </c>
      <c r="H81" s="10" t="s">
        <v>20</v>
      </c>
      <c r="I81" s="331">
        <v>56.95</v>
      </c>
      <c r="J81" s="12">
        <f t="shared" si="6"/>
        <v>0</v>
      </c>
      <c r="K81" s="13" t="s">
        <v>47</v>
      </c>
    </row>
    <row r="82" spans="1:13" ht="14.5" customHeight="1" x14ac:dyDescent="0.35">
      <c r="A82" s="181"/>
      <c r="B82" s="182" t="s">
        <v>3</v>
      </c>
      <c r="C82" s="183" t="s">
        <v>258</v>
      </c>
      <c r="D82" s="163"/>
      <c r="E82" s="170"/>
      <c r="F82" s="163"/>
      <c r="G82" s="163" t="str">
        <f t="shared" si="1"/>
        <v/>
      </c>
      <c r="H82" s="10" t="s">
        <v>20</v>
      </c>
      <c r="I82" s="331">
        <v>15.95</v>
      </c>
      <c r="J82" s="12">
        <f t="shared" si="6"/>
        <v>0</v>
      </c>
    </row>
    <row r="83" spans="1:13" ht="14.5" customHeight="1" x14ac:dyDescent="0.35">
      <c r="A83" s="181"/>
      <c r="B83" s="182" t="s">
        <v>3</v>
      </c>
      <c r="C83" s="183" t="s">
        <v>259</v>
      </c>
      <c r="D83" s="163"/>
      <c r="E83" s="170"/>
      <c r="F83" s="163"/>
      <c r="G83" s="163" t="str">
        <f t="shared" si="1"/>
        <v/>
      </c>
      <c r="H83" s="10" t="s">
        <v>20</v>
      </c>
      <c r="I83" s="331">
        <v>19.95</v>
      </c>
      <c r="J83" s="12">
        <f t="shared" si="6"/>
        <v>0</v>
      </c>
      <c r="K83" s="28"/>
    </row>
    <row r="84" spans="1:13" s="6" customFormat="1" ht="15.65" customHeight="1" x14ac:dyDescent="0.35">
      <c r="A84" s="181"/>
      <c r="B84" s="182" t="s">
        <v>3</v>
      </c>
      <c r="C84" s="183" t="s">
        <v>260</v>
      </c>
      <c r="D84" s="163"/>
      <c r="E84" s="170"/>
      <c r="F84" s="163"/>
      <c r="G84" s="163" t="str">
        <f t="shared" si="1"/>
        <v/>
      </c>
      <c r="H84" s="10" t="s">
        <v>20</v>
      </c>
      <c r="I84" s="331">
        <v>46.95</v>
      </c>
      <c r="J84" s="12">
        <f t="shared" si="6"/>
        <v>0</v>
      </c>
      <c r="K84" s="30"/>
    </row>
    <row r="85" spans="1:13" ht="14.5" customHeight="1" x14ac:dyDescent="0.35">
      <c r="A85" s="181"/>
      <c r="B85" s="182" t="s">
        <v>3</v>
      </c>
      <c r="C85" s="183" t="s">
        <v>261</v>
      </c>
      <c r="D85" s="163"/>
      <c r="E85" s="170"/>
      <c r="F85" s="163"/>
      <c r="G85" s="163" t="str">
        <f t="shared" si="1"/>
        <v/>
      </c>
      <c r="H85" s="10" t="s">
        <v>20</v>
      </c>
      <c r="I85" s="331">
        <v>34.950000000000003</v>
      </c>
      <c r="J85" s="12">
        <f t="shared" si="6"/>
        <v>0</v>
      </c>
      <c r="K85" s="28"/>
    </row>
    <row r="86" spans="1:13" s="6" customFormat="1" ht="15.65" customHeight="1" x14ac:dyDescent="0.35">
      <c r="A86" s="181"/>
      <c r="B86" s="182" t="s">
        <v>3</v>
      </c>
      <c r="C86" s="183" t="s">
        <v>262</v>
      </c>
      <c r="D86" s="163"/>
      <c r="E86" s="170"/>
      <c r="F86" s="163"/>
      <c r="G86" s="163" t="str">
        <f t="shared" si="1"/>
        <v/>
      </c>
      <c r="H86" s="10" t="s">
        <v>20</v>
      </c>
      <c r="I86" s="331">
        <v>24.95</v>
      </c>
      <c r="J86" s="12">
        <f t="shared" si="6"/>
        <v>0</v>
      </c>
    </row>
    <row r="87" spans="1:13" ht="15.5" x14ac:dyDescent="0.35">
      <c r="A87" s="194"/>
      <c r="B87" s="195" t="s">
        <v>263</v>
      </c>
      <c r="C87" s="177"/>
      <c r="D87" s="177"/>
      <c r="E87" s="177"/>
      <c r="F87" s="177"/>
      <c r="G87" s="190" t="str">
        <f t="shared" si="1"/>
        <v/>
      </c>
      <c r="H87" s="127"/>
      <c r="I87" s="239"/>
      <c r="J87" s="128"/>
      <c r="K87" s="28"/>
    </row>
    <row r="88" spans="1:13" x14ac:dyDescent="0.35">
      <c r="A88" s="181"/>
      <c r="B88" s="182" t="s">
        <v>3</v>
      </c>
      <c r="C88" s="183" t="s">
        <v>264</v>
      </c>
      <c r="D88" s="163"/>
      <c r="E88" s="170"/>
      <c r="F88" s="163"/>
      <c r="G88" s="163" t="str">
        <f t="shared" si="1"/>
        <v/>
      </c>
      <c r="H88" s="10" t="s">
        <v>20</v>
      </c>
      <c r="I88" s="331">
        <v>19.5</v>
      </c>
      <c r="J88" s="12">
        <f t="shared" ref="J88:J94" si="7">E88*I88</f>
        <v>0</v>
      </c>
      <c r="K88" s="28"/>
    </row>
    <row r="89" spans="1:13" x14ac:dyDescent="0.35">
      <c r="A89" s="181"/>
      <c r="B89" s="182" t="s">
        <v>3</v>
      </c>
      <c r="C89" s="183" t="s">
        <v>265</v>
      </c>
      <c r="D89" s="163"/>
      <c r="E89" s="170"/>
      <c r="F89" s="163"/>
      <c r="G89" s="163" t="str">
        <f t="shared" ref="G89:G152" si="8">IF(D89-E89&gt;0,D89-E89,"")</f>
        <v/>
      </c>
      <c r="H89" s="10" t="s">
        <v>20</v>
      </c>
      <c r="I89" s="331">
        <v>16.95</v>
      </c>
      <c r="J89" s="12">
        <f t="shared" si="7"/>
        <v>0</v>
      </c>
      <c r="K89" s="28"/>
    </row>
    <row r="90" spans="1:13" x14ac:dyDescent="0.35">
      <c r="A90" s="181"/>
      <c r="B90" s="182" t="s">
        <v>3</v>
      </c>
      <c r="C90" s="183" t="s">
        <v>266</v>
      </c>
      <c r="D90" s="163"/>
      <c r="E90" s="170"/>
      <c r="F90" s="163"/>
      <c r="G90" s="163" t="str">
        <f t="shared" si="8"/>
        <v/>
      </c>
      <c r="H90" s="10" t="s">
        <v>20</v>
      </c>
      <c r="I90" s="331">
        <v>17.95</v>
      </c>
      <c r="J90" s="12">
        <f t="shared" si="7"/>
        <v>0</v>
      </c>
      <c r="K90" s="28"/>
    </row>
    <row r="91" spans="1:13" x14ac:dyDescent="0.35">
      <c r="A91" s="181"/>
      <c r="B91" s="182" t="s">
        <v>3</v>
      </c>
      <c r="C91" s="183" t="s">
        <v>267</v>
      </c>
      <c r="D91" s="163"/>
      <c r="E91" s="170"/>
      <c r="F91" s="163"/>
      <c r="G91" s="163" t="str">
        <f t="shared" si="8"/>
        <v/>
      </c>
      <c r="H91" s="10" t="s">
        <v>20</v>
      </c>
      <c r="I91" s="331">
        <v>15.95</v>
      </c>
      <c r="J91" s="12">
        <f t="shared" si="7"/>
        <v>0</v>
      </c>
      <c r="K91" s="28"/>
    </row>
    <row r="92" spans="1:13" s="6" customFormat="1" ht="15.5" x14ac:dyDescent="0.35">
      <c r="A92" s="181"/>
      <c r="B92" s="182" t="s">
        <v>3</v>
      </c>
      <c r="C92" s="183" t="s">
        <v>268</v>
      </c>
      <c r="D92" s="163"/>
      <c r="E92" s="170"/>
      <c r="F92" s="163"/>
      <c r="G92" s="163" t="str">
        <f t="shared" si="8"/>
        <v/>
      </c>
      <c r="H92" s="10" t="s">
        <v>20</v>
      </c>
      <c r="I92" s="331">
        <v>20.95</v>
      </c>
      <c r="J92" s="12">
        <f t="shared" si="7"/>
        <v>0</v>
      </c>
      <c r="K92" s="30"/>
      <c r="L92" s="6" t="s">
        <v>47</v>
      </c>
      <c r="M92" s="6" t="s">
        <v>47</v>
      </c>
    </row>
    <row r="93" spans="1:13" x14ac:dyDescent="0.35">
      <c r="A93" s="181"/>
      <c r="B93" s="182" t="s">
        <v>3</v>
      </c>
      <c r="C93" s="183" t="s">
        <v>269</v>
      </c>
      <c r="D93" s="163"/>
      <c r="E93" s="170"/>
      <c r="F93" s="163"/>
      <c r="G93" s="163" t="str">
        <f t="shared" si="8"/>
        <v/>
      </c>
      <c r="H93" s="10" t="s">
        <v>20</v>
      </c>
      <c r="I93" s="331">
        <v>26.95</v>
      </c>
      <c r="J93" s="12">
        <f t="shared" si="7"/>
        <v>0</v>
      </c>
      <c r="K93" s="31"/>
    </row>
    <row r="94" spans="1:13" x14ac:dyDescent="0.35">
      <c r="A94" s="181"/>
      <c r="B94" s="182" t="s">
        <v>3</v>
      </c>
      <c r="C94" s="183" t="s">
        <v>270</v>
      </c>
      <c r="D94" s="163"/>
      <c r="E94" s="170"/>
      <c r="F94" s="163"/>
      <c r="G94" s="163" t="str">
        <f t="shared" si="8"/>
        <v/>
      </c>
      <c r="H94" s="10" t="s">
        <v>20</v>
      </c>
      <c r="I94" s="331">
        <v>26.95</v>
      </c>
      <c r="J94" s="12">
        <f t="shared" si="7"/>
        <v>0</v>
      </c>
      <c r="K94" s="31"/>
    </row>
    <row r="95" spans="1:13" s="6" customFormat="1" ht="15.5" x14ac:dyDescent="0.35">
      <c r="A95" s="194"/>
      <c r="B95" s="195" t="s">
        <v>271</v>
      </c>
      <c r="C95" s="177"/>
      <c r="D95" s="177"/>
      <c r="E95" s="177"/>
      <c r="F95" s="177"/>
      <c r="G95" s="190" t="str">
        <f t="shared" si="8"/>
        <v/>
      </c>
      <c r="H95" s="127"/>
      <c r="I95" s="239"/>
      <c r="J95" s="128"/>
      <c r="K95" s="30"/>
    </row>
    <row r="96" spans="1:13" ht="14.15" customHeight="1" x14ac:dyDescent="0.35">
      <c r="A96" s="181"/>
      <c r="B96" s="182" t="s">
        <v>3</v>
      </c>
      <c r="C96" s="183" t="s">
        <v>272</v>
      </c>
      <c r="D96" s="163"/>
      <c r="E96" s="170"/>
      <c r="F96" s="163"/>
      <c r="G96" s="163" t="str">
        <f t="shared" si="8"/>
        <v/>
      </c>
      <c r="H96" s="10" t="s">
        <v>20</v>
      </c>
      <c r="I96" s="331">
        <v>20.95</v>
      </c>
      <c r="J96" s="12">
        <f>E96*I96</f>
        <v>0</v>
      </c>
      <c r="K96" s="28"/>
    </row>
    <row r="97" spans="1:13" x14ac:dyDescent="0.35">
      <c r="A97" s="181"/>
      <c r="B97" s="182" t="s">
        <v>3</v>
      </c>
      <c r="C97" s="183" t="s">
        <v>273</v>
      </c>
      <c r="D97" s="163"/>
      <c r="E97" s="170"/>
      <c r="F97" s="163"/>
      <c r="G97" s="163" t="str">
        <f t="shared" si="8"/>
        <v/>
      </c>
      <c r="H97" s="10" t="s">
        <v>20</v>
      </c>
      <c r="I97" s="331">
        <v>23.95</v>
      </c>
      <c r="J97" s="12">
        <f>E97*I97</f>
        <v>0</v>
      </c>
      <c r="K97" s="28"/>
      <c r="M97" t="s">
        <v>47</v>
      </c>
    </row>
    <row r="98" spans="1:13" s="6" customFormat="1" ht="15.65" customHeight="1" x14ac:dyDescent="0.35">
      <c r="A98" s="181"/>
      <c r="B98" s="182" t="s">
        <v>3</v>
      </c>
      <c r="C98" s="183" t="s">
        <v>274</v>
      </c>
      <c r="D98" s="163"/>
      <c r="E98" s="170"/>
      <c r="F98" s="163"/>
      <c r="G98" s="163" t="str">
        <f t="shared" si="8"/>
        <v/>
      </c>
      <c r="H98" s="10" t="s">
        <v>20</v>
      </c>
      <c r="I98" s="331">
        <v>22.5</v>
      </c>
      <c r="J98" s="12">
        <f>E98*I98</f>
        <v>0</v>
      </c>
      <c r="K98" s="30"/>
    </row>
    <row r="99" spans="1:13" ht="14.5" customHeight="1" x14ac:dyDescent="0.35">
      <c r="A99" s="181"/>
      <c r="B99" s="182" t="s">
        <v>3</v>
      </c>
      <c r="C99" s="183" t="s">
        <v>275</v>
      </c>
      <c r="D99" s="163"/>
      <c r="E99" s="170"/>
      <c r="F99" s="163"/>
      <c r="G99" s="163" t="str">
        <f t="shared" si="8"/>
        <v/>
      </c>
      <c r="H99" s="10" t="s">
        <v>20</v>
      </c>
      <c r="I99" s="331">
        <v>29.95</v>
      </c>
      <c r="J99" s="12">
        <f>E99*I99</f>
        <v>0</v>
      </c>
      <c r="K99" s="31"/>
    </row>
    <row r="100" spans="1:13" s="6" customFormat="1" ht="15.65" customHeight="1" x14ac:dyDescent="0.35">
      <c r="A100" s="194"/>
      <c r="B100" s="195" t="s">
        <v>276</v>
      </c>
      <c r="C100" s="177"/>
      <c r="D100" s="177"/>
      <c r="E100" s="177"/>
      <c r="F100" s="177"/>
      <c r="G100" s="190" t="str">
        <f t="shared" si="8"/>
        <v/>
      </c>
      <c r="H100" s="127"/>
      <c r="I100" s="239"/>
      <c r="J100" s="128"/>
    </row>
    <row r="101" spans="1:13" x14ac:dyDescent="0.35">
      <c r="A101" s="181"/>
      <c r="B101" s="182" t="s">
        <v>3</v>
      </c>
      <c r="C101" s="183" t="s">
        <v>277</v>
      </c>
      <c r="D101" s="163"/>
      <c r="E101" s="170"/>
      <c r="F101" s="163"/>
      <c r="G101" s="163" t="str">
        <f t="shared" si="8"/>
        <v/>
      </c>
      <c r="H101" s="10" t="s">
        <v>20</v>
      </c>
      <c r="I101" s="331">
        <v>17.95</v>
      </c>
      <c r="J101" s="12">
        <f>E101*I101</f>
        <v>0</v>
      </c>
      <c r="K101" s="28"/>
    </row>
    <row r="102" spans="1:13" s="6" customFormat="1" ht="15.5" x14ac:dyDescent="0.35">
      <c r="A102" s="181"/>
      <c r="B102" s="182" t="s">
        <v>3</v>
      </c>
      <c r="C102" s="183" t="s">
        <v>278</v>
      </c>
      <c r="D102" s="163"/>
      <c r="E102" s="170"/>
      <c r="F102" s="163"/>
      <c r="G102" s="163" t="str">
        <f t="shared" si="8"/>
        <v/>
      </c>
      <c r="H102" s="10" t="s">
        <v>20</v>
      </c>
      <c r="I102" s="331">
        <v>20.95</v>
      </c>
      <c r="J102" s="12">
        <f>E102*I102</f>
        <v>0</v>
      </c>
    </row>
    <row r="103" spans="1:13" x14ac:dyDescent="0.35">
      <c r="A103" s="181"/>
      <c r="B103" s="182" t="s">
        <v>3</v>
      </c>
      <c r="C103" s="183" t="s">
        <v>279</v>
      </c>
      <c r="D103" s="163"/>
      <c r="E103" s="170"/>
      <c r="F103" s="163"/>
      <c r="G103" s="163" t="str">
        <f t="shared" si="8"/>
        <v/>
      </c>
      <c r="H103" s="10" t="s">
        <v>20</v>
      </c>
      <c r="I103" s="331">
        <v>19.95</v>
      </c>
      <c r="J103" s="12">
        <f>E103*I103</f>
        <v>0</v>
      </c>
      <c r="K103" s="13"/>
    </row>
    <row r="104" spans="1:13" x14ac:dyDescent="0.35">
      <c r="A104" s="181"/>
      <c r="B104" s="196" t="s">
        <v>3</v>
      </c>
      <c r="C104" s="197" t="s">
        <v>280</v>
      </c>
      <c r="D104" s="198"/>
      <c r="E104" s="170"/>
      <c r="F104" s="198"/>
      <c r="G104" s="163" t="str">
        <f t="shared" si="8"/>
        <v/>
      </c>
      <c r="H104" s="41" t="s">
        <v>20</v>
      </c>
      <c r="I104" s="334">
        <v>59.95</v>
      </c>
      <c r="J104" s="40">
        <f>E104*I104</f>
        <v>0</v>
      </c>
      <c r="K104" s="13"/>
    </row>
    <row r="105" spans="1:13" ht="15.5" x14ac:dyDescent="0.35">
      <c r="A105" s="194"/>
      <c r="B105" s="195" t="s">
        <v>281</v>
      </c>
      <c r="C105" s="177"/>
      <c r="D105" s="177"/>
      <c r="E105" s="177"/>
      <c r="F105" s="177"/>
      <c r="G105" s="190" t="str">
        <f t="shared" si="8"/>
        <v/>
      </c>
      <c r="H105" s="127"/>
      <c r="I105" s="239"/>
      <c r="J105" s="128"/>
      <c r="K105" s="13"/>
    </row>
    <row r="106" spans="1:13" x14ac:dyDescent="0.35">
      <c r="A106" s="181"/>
      <c r="B106" s="182" t="s">
        <v>3</v>
      </c>
      <c r="C106" s="183" t="s">
        <v>282</v>
      </c>
      <c r="D106" s="163"/>
      <c r="E106" s="170"/>
      <c r="F106" s="163"/>
      <c r="G106" s="163" t="str">
        <f t="shared" si="8"/>
        <v/>
      </c>
      <c r="H106" s="10" t="s">
        <v>20</v>
      </c>
      <c r="I106" s="331">
        <v>54.95</v>
      </c>
      <c r="J106" s="12">
        <f>E106*I106</f>
        <v>0</v>
      </c>
      <c r="K106" s="13"/>
    </row>
    <row r="107" spans="1:13" ht="14.5" customHeight="1" x14ac:dyDescent="0.35">
      <c r="A107" s="181"/>
      <c r="B107" s="182" t="s">
        <v>3</v>
      </c>
      <c r="C107" s="183" t="s">
        <v>283</v>
      </c>
      <c r="D107" s="163"/>
      <c r="E107" s="170"/>
      <c r="F107" s="163"/>
      <c r="G107" s="163" t="str">
        <f t="shared" si="8"/>
        <v/>
      </c>
      <c r="H107" s="10" t="s">
        <v>20</v>
      </c>
      <c r="I107" s="331">
        <v>49.95</v>
      </c>
      <c r="J107" s="12">
        <f>E107*I107</f>
        <v>0</v>
      </c>
      <c r="K107" s="13"/>
    </row>
    <row r="108" spans="1:13" ht="14.5" customHeight="1" x14ac:dyDescent="0.35">
      <c r="A108" s="194"/>
      <c r="B108" s="195" t="s">
        <v>284</v>
      </c>
      <c r="C108" s="177"/>
      <c r="D108" s="177"/>
      <c r="E108" s="177"/>
      <c r="F108" s="177"/>
      <c r="G108" s="190" t="str">
        <f t="shared" si="8"/>
        <v/>
      </c>
      <c r="H108" s="127"/>
      <c r="I108" s="239"/>
      <c r="J108" s="128"/>
      <c r="K108" s="13"/>
    </row>
    <row r="109" spans="1:13" ht="14.5" customHeight="1" x14ac:dyDescent="0.35">
      <c r="A109" s="181"/>
      <c r="B109" s="182" t="s">
        <v>3</v>
      </c>
      <c r="C109" s="183" t="s">
        <v>285</v>
      </c>
      <c r="D109" s="163"/>
      <c r="E109" s="170"/>
      <c r="F109" s="163"/>
      <c r="G109" s="163" t="str">
        <f t="shared" si="8"/>
        <v/>
      </c>
      <c r="H109" s="10" t="s">
        <v>20</v>
      </c>
      <c r="I109" s="331">
        <v>41.5</v>
      </c>
      <c r="J109" s="12">
        <f t="shared" ref="J109:J114" si="9">E109*I109</f>
        <v>0</v>
      </c>
      <c r="K109" s="13"/>
    </row>
    <row r="110" spans="1:13" ht="15.65" customHeight="1" x14ac:dyDescent="0.35">
      <c r="A110" s="181"/>
      <c r="B110" s="182" t="s">
        <v>3</v>
      </c>
      <c r="C110" s="183" t="s">
        <v>286</v>
      </c>
      <c r="D110" s="163"/>
      <c r="E110" s="170"/>
      <c r="F110" s="163"/>
      <c r="G110" s="163" t="str">
        <f t="shared" si="8"/>
        <v/>
      </c>
      <c r="H110" s="10" t="s">
        <v>20</v>
      </c>
      <c r="I110" s="331">
        <v>36.200000000000003</v>
      </c>
      <c r="J110" s="12">
        <f t="shared" si="9"/>
        <v>0</v>
      </c>
      <c r="K110" s="13"/>
    </row>
    <row r="111" spans="1:13" x14ac:dyDescent="0.35">
      <c r="A111" s="181"/>
      <c r="B111" s="182" t="s">
        <v>3</v>
      </c>
      <c r="C111" s="183" t="s">
        <v>287</v>
      </c>
      <c r="D111" s="163"/>
      <c r="E111" s="170"/>
      <c r="F111" s="163"/>
      <c r="G111" s="163" t="str">
        <f t="shared" si="8"/>
        <v/>
      </c>
      <c r="H111" s="10" t="s">
        <v>20</v>
      </c>
      <c r="I111" s="331">
        <v>25.95</v>
      </c>
      <c r="J111" s="12">
        <f t="shared" si="9"/>
        <v>0</v>
      </c>
      <c r="K111" s="13"/>
    </row>
    <row r="112" spans="1:13" x14ac:dyDescent="0.35">
      <c r="A112" s="181"/>
      <c r="B112" s="182" t="s">
        <v>3</v>
      </c>
      <c r="C112" s="183" t="s">
        <v>288</v>
      </c>
      <c r="D112" s="163"/>
      <c r="E112" s="170"/>
      <c r="F112" s="163"/>
      <c r="G112" s="163" t="str">
        <f t="shared" si="8"/>
        <v/>
      </c>
      <c r="H112" s="10" t="s">
        <v>20</v>
      </c>
      <c r="I112" s="331">
        <v>32.799999999999997</v>
      </c>
      <c r="J112" s="12">
        <f t="shared" si="9"/>
        <v>0</v>
      </c>
      <c r="K112" s="13"/>
    </row>
    <row r="113" spans="1:13" s="6" customFormat="1" ht="15.5" x14ac:dyDescent="0.35">
      <c r="A113" s="181"/>
      <c r="B113" s="182" t="s">
        <v>3</v>
      </c>
      <c r="C113" s="183" t="s">
        <v>289</v>
      </c>
      <c r="D113" s="163"/>
      <c r="E113" s="170"/>
      <c r="F113" s="163"/>
      <c r="G113" s="163" t="str">
        <f t="shared" si="8"/>
        <v/>
      </c>
      <c r="H113" s="10" t="s">
        <v>20</v>
      </c>
      <c r="I113" s="331">
        <v>29.2</v>
      </c>
      <c r="J113" s="12">
        <f t="shared" si="9"/>
        <v>0</v>
      </c>
    </row>
    <row r="114" spans="1:13" x14ac:dyDescent="0.35">
      <c r="A114" s="181"/>
      <c r="B114" s="182" t="s">
        <v>3</v>
      </c>
      <c r="C114" s="183" t="s">
        <v>290</v>
      </c>
      <c r="D114" s="163"/>
      <c r="E114" s="170"/>
      <c r="F114" s="163"/>
      <c r="G114" s="163" t="str">
        <f t="shared" si="8"/>
        <v/>
      </c>
      <c r="H114" s="10" t="s">
        <v>20</v>
      </c>
      <c r="I114" s="331">
        <v>22.95</v>
      </c>
      <c r="J114" s="12">
        <f t="shared" si="9"/>
        <v>0</v>
      </c>
      <c r="K114" s="13"/>
    </row>
    <row r="115" spans="1:13" ht="15.5" x14ac:dyDescent="0.35">
      <c r="A115" s="194"/>
      <c r="B115" s="195" t="s">
        <v>291</v>
      </c>
      <c r="C115" s="177"/>
      <c r="D115" s="177"/>
      <c r="E115" s="177"/>
      <c r="F115" s="177"/>
      <c r="G115" s="190" t="str">
        <f t="shared" si="8"/>
        <v/>
      </c>
      <c r="H115" s="127"/>
      <c r="I115" s="239"/>
      <c r="J115" s="128"/>
      <c r="K115" s="13"/>
    </row>
    <row r="116" spans="1:13" ht="14.5" customHeight="1" x14ac:dyDescent="0.35">
      <c r="A116" s="181"/>
      <c r="B116" s="182" t="s">
        <v>3</v>
      </c>
      <c r="C116" s="183" t="s">
        <v>292</v>
      </c>
      <c r="D116" s="163"/>
      <c r="E116" s="170"/>
      <c r="F116" s="163"/>
      <c r="G116" s="163" t="str">
        <f t="shared" si="8"/>
        <v/>
      </c>
      <c r="H116" s="10" t="s">
        <v>20</v>
      </c>
      <c r="I116" s="331">
        <v>17.95</v>
      </c>
      <c r="J116" s="12">
        <f t="shared" ref="J116:J121" si="10">E116*I116</f>
        <v>0</v>
      </c>
      <c r="K116" s="13"/>
    </row>
    <row r="117" spans="1:13" ht="14.5" customHeight="1" x14ac:dyDescent="0.35">
      <c r="A117" s="181"/>
      <c r="B117" s="182" t="s">
        <v>3</v>
      </c>
      <c r="C117" s="183" t="s">
        <v>293</v>
      </c>
      <c r="D117" s="163"/>
      <c r="E117" s="170"/>
      <c r="F117" s="163"/>
      <c r="G117" s="163" t="str">
        <f t="shared" si="8"/>
        <v/>
      </c>
      <c r="H117" s="10" t="s">
        <v>20</v>
      </c>
      <c r="I117" s="331">
        <v>12.95</v>
      </c>
      <c r="J117" s="12">
        <f t="shared" si="10"/>
        <v>0</v>
      </c>
      <c r="K117" s="13"/>
    </row>
    <row r="118" spans="1:13" ht="14.5" customHeight="1" x14ac:dyDescent="0.35">
      <c r="A118" s="181"/>
      <c r="B118" s="182" t="s">
        <v>3</v>
      </c>
      <c r="C118" s="183" t="s">
        <v>294</v>
      </c>
      <c r="D118" s="163"/>
      <c r="E118" s="170"/>
      <c r="F118" s="163"/>
      <c r="G118" s="163" t="str">
        <f t="shared" si="8"/>
        <v/>
      </c>
      <c r="H118" s="10" t="s">
        <v>20</v>
      </c>
      <c r="I118" s="331">
        <v>21.95</v>
      </c>
      <c r="J118" s="12">
        <f t="shared" si="10"/>
        <v>0</v>
      </c>
      <c r="K118" s="13"/>
    </row>
    <row r="119" spans="1:13" ht="14.5" customHeight="1" x14ac:dyDescent="0.35">
      <c r="A119" s="181"/>
      <c r="B119" s="182" t="s">
        <v>3</v>
      </c>
      <c r="C119" s="183" t="s">
        <v>295</v>
      </c>
      <c r="D119" s="163"/>
      <c r="E119" s="170"/>
      <c r="F119" s="163"/>
      <c r="G119" s="163" t="str">
        <f t="shared" si="8"/>
        <v/>
      </c>
      <c r="H119" s="10" t="s">
        <v>20</v>
      </c>
      <c r="I119" s="331"/>
      <c r="J119" s="12">
        <f t="shared" si="10"/>
        <v>0</v>
      </c>
      <c r="K119" s="13"/>
      <c r="M119" t="s">
        <v>47</v>
      </c>
    </row>
    <row r="120" spans="1:13" ht="15.65" customHeight="1" x14ac:dyDescent="0.35">
      <c r="A120" s="181"/>
      <c r="B120" s="182" t="s">
        <v>3</v>
      </c>
      <c r="C120" s="183" t="s">
        <v>296</v>
      </c>
      <c r="D120" s="163"/>
      <c r="E120" s="170"/>
      <c r="F120" s="163"/>
      <c r="G120" s="163" t="str">
        <f t="shared" si="8"/>
        <v/>
      </c>
      <c r="H120" s="10" t="s">
        <v>20</v>
      </c>
      <c r="I120" s="331"/>
      <c r="J120" s="12">
        <f t="shared" si="10"/>
        <v>0</v>
      </c>
      <c r="K120" s="13"/>
    </row>
    <row r="121" spans="1:13" x14ac:dyDescent="0.35">
      <c r="A121" s="181"/>
      <c r="B121" s="182" t="s">
        <v>3</v>
      </c>
      <c r="C121" s="183" t="s">
        <v>297</v>
      </c>
      <c r="D121" s="163"/>
      <c r="E121" s="170"/>
      <c r="F121" s="163"/>
      <c r="G121" s="163" t="str">
        <f t="shared" si="8"/>
        <v/>
      </c>
      <c r="H121" s="10" t="s">
        <v>20</v>
      </c>
      <c r="I121" s="331">
        <v>22.95</v>
      </c>
      <c r="J121" s="12">
        <f t="shared" si="10"/>
        <v>0</v>
      </c>
      <c r="K121" s="13"/>
    </row>
    <row r="122" spans="1:13" ht="15.5" x14ac:dyDescent="0.35">
      <c r="A122" s="199" t="s">
        <v>298</v>
      </c>
      <c r="B122" s="178"/>
      <c r="C122" s="178"/>
      <c r="D122" s="178"/>
      <c r="E122" s="178"/>
      <c r="F122" s="178"/>
      <c r="G122" s="190" t="str">
        <f t="shared" si="8"/>
        <v/>
      </c>
      <c r="H122" s="117"/>
      <c r="I122" s="106" t="s">
        <v>18</v>
      </c>
      <c r="J122" s="115">
        <f>SUM(J123:J175)</f>
        <v>0</v>
      </c>
      <c r="K122" s="13"/>
    </row>
    <row r="123" spans="1:13" x14ac:dyDescent="0.35">
      <c r="A123" s="181"/>
      <c r="B123" s="200" t="s">
        <v>4</v>
      </c>
      <c r="C123" s="201" t="s">
        <v>62</v>
      </c>
      <c r="D123" s="202"/>
      <c r="E123" s="170"/>
      <c r="F123" s="202"/>
      <c r="G123" s="163" t="str">
        <f t="shared" si="8"/>
        <v/>
      </c>
      <c r="H123" s="18" t="s">
        <v>20</v>
      </c>
      <c r="I123" s="335">
        <v>7.35</v>
      </c>
      <c r="J123" s="20">
        <f>E123*I123</f>
        <v>0</v>
      </c>
      <c r="K123" s="13"/>
    </row>
    <row r="124" spans="1:13" x14ac:dyDescent="0.35">
      <c r="A124" s="181"/>
      <c r="B124" s="200" t="s">
        <v>4</v>
      </c>
      <c r="C124" s="201" t="s">
        <v>60</v>
      </c>
      <c r="D124" s="202"/>
      <c r="E124" s="170"/>
      <c r="F124" s="202"/>
      <c r="G124" s="163" t="str">
        <f t="shared" si="8"/>
        <v/>
      </c>
      <c r="H124" s="18" t="s">
        <v>20</v>
      </c>
      <c r="I124" s="335">
        <v>10.65</v>
      </c>
      <c r="J124" s="20">
        <f>E124*I124</f>
        <v>0</v>
      </c>
      <c r="K124" s="13"/>
    </row>
    <row r="125" spans="1:13" x14ac:dyDescent="0.35">
      <c r="A125" s="203" t="s">
        <v>40</v>
      </c>
      <c r="B125" s="179"/>
      <c r="C125" s="179"/>
      <c r="D125" s="179"/>
      <c r="E125" s="179"/>
      <c r="F125" s="179"/>
      <c r="G125" s="190" t="str">
        <f t="shared" si="8"/>
        <v/>
      </c>
      <c r="H125" s="124"/>
      <c r="I125" s="241"/>
      <c r="J125" s="125"/>
      <c r="K125" s="13"/>
    </row>
    <row r="126" spans="1:13" x14ac:dyDescent="0.35">
      <c r="A126" s="181"/>
      <c r="B126" s="200" t="s">
        <v>4</v>
      </c>
      <c r="C126" s="201" t="s">
        <v>299</v>
      </c>
      <c r="D126" s="202"/>
      <c r="E126" s="170"/>
      <c r="F126" s="202"/>
      <c r="G126" s="163" t="str">
        <f t="shared" si="8"/>
        <v/>
      </c>
      <c r="H126" s="18" t="s">
        <v>20</v>
      </c>
      <c r="I126" s="335">
        <v>1.31</v>
      </c>
      <c r="J126" s="12">
        <f t="shared" ref="J126:J137" si="11">E126*I126</f>
        <v>0</v>
      </c>
      <c r="K126" s="13"/>
    </row>
    <row r="127" spans="1:13" x14ac:dyDescent="0.35">
      <c r="A127" s="181"/>
      <c r="B127" s="182" t="s">
        <v>4</v>
      </c>
      <c r="C127" s="183" t="s">
        <v>300</v>
      </c>
      <c r="D127" s="163"/>
      <c r="E127" s="170"/>
      <c r="F127" s="163"/>
      <c r="G127" s="163" t="str">
        <f t="shared" si="8"/>
        <v/>
      </c>
      <c r="H127" s="10" t="s">
        <v>20</v>
      </c>
      <c r="I127" s="331">
        <v>1.31</v>
      </c>
      <c r="J127" s="12">
        <f t="shared" si="11"/>
        <v>0</v>
      </c>
    </row>
    <row r="128" spans="1:13" x14ac:dyDescent="0.35">
      <c r="A128" s="181"/>
      <c r="B128" s="200" t="s">
        <v>4</v>
      </c>
      <c r="C128" s="201" t="s">
        <v>301</v>
      </c>
      <c r="D128" s="202"/>
      <c r="E128" s="170"/>
      <c r="F128" s="202"/>
      <c r="G128" s="163" t="str">
        <f t="shared" si="8"/>
        <v/>
      </c>
      <c r="H128" s="18" t="s">
        <v>20</v>
      </c>
      <c r="I128" s="335">
        <v>1.4039999999999999</v>
      </c>
      <c r="J128" s="12">
        <f t="shared" si="11"/>
        <v>0</v>
      </c>
    </row>
    <row r="129" spans="1:11" x14ac:dyDescent="0.35">
      <c r="A129" s="181"/>
      <c r="B129" s="182" t="s">
        <v>4</v>
      </c>
      <c r="C129" s="183" t="s">
        <v>302</v>
      </c>
      <c r="D129" s="163"/>
      <c r="E129" s="170"/>
      <c r="F129" s="163"/>
      <c r="G129" s="163" t="str">
        <f t="shared" si="8"/>
        <v/>
      </c>
      <c r="H129" s="10" t="s">
        <v>20</v>
      </c>
      <c r="I129" s="331">
        <v>1.4039999999999999</v>
      </c>
      <c r="J129" s="12">
        <f t="shared" si="11"/>
        <v>0</v>
      </c>
    </row>
    <row r="130" spans="1:11" x14ac:dyDescent="0.35">
      <c r="A130" s="181"/>
      <c r="B130" s="182" t="s">
        <v>4</v>
      </c>
      <c r="C130" s="183" t="s">
        <v>303</v>
      </c>
      <c r="D130" s="163"/>
      <c r="E130" s="170"/>
      <c r="F130" s="163"/>
      <c r="G130" s="163" t="str">
        <f t="shared" si="8"/>
        <v/>
      </c>
      <c r="H130" s="10" t="s">
        <v>20</v>
      </c>
      <c r="I130" s="331">
        <v>1.53</v>
      </c>
      <c r="J130" s="12">
        <f t="shared" si="11"/>
        <v>0</v>
      </c>
    </row>
    <row r="131" spans="1:11" x14ac:dyDescent="0.35">
      <c r="A131" s="181"/>
      <c r="B131" s="182" t="s">
        <v>4</v>
      </c>
      <c r="C131" s="183" t="s">
        <v>304</v>
      </c>
      <c r="D131" s="163"/>
      <c r="E131" s="170"/>
      <c r="F131" s="163"/>
      <c r="G131" s="163" t="str">
        <f t="shared" si="8"/>
        <v/>
      </c>
      <c r="H131" s="10" t="s">
        <v>20</v>
      </c>
      <c r="I131" s="331">
        <v>1.65</v>
      </c>
      <c r="J131" s="12">
        <f t="shared" si="11"/>
        <v>0</v>
      </c>
    </row>
    <row r="132" spans="1:11" x14ac:dyDescent="0.35">
      <c r="A132" s="181"/>
      <c r="B132" s="182" t="s">
        <v>4</v>
      </c>
      <c r="C132" s="183" t="s">
        <v>83</v>
      </c>
      <c r="D132" s="163"/>
      <c r="E132" s="170"/>
      <c r="F132" s="163"/>
      <c r="G132" s="163" t="str">
        <f t="shared" si="8"/>
        <v/>
      </c>
      <c r="H132" s="10" t="s">
        <v>20</v>
      </c>
      <c r="I132" s="331">
        <v>1.04</v>
      </c>
      <c r="J132" s="12">
        <f t="shared" si="11"/>
        <v>0</v>
      </c>
    </row>
    <row r="133" spans="1:11" x14ac:dyDescent="0.35">
      <c r="A133" s="181"/>
      <c r="B133" s="182" t="s">
        <v>4</v>
      </c>
      <c r="C133" s="183" t="s">
        <v>305</v>
      </c>
      <c r="D133" s="163"/>
      <c r="E133" s="170"/>
      <c r="F133" s="163"/>
      <c r="G133" s="163" t="str">
        <f t="shared" si="8"/>
        <v/>
      </c>
      <c r="H133" s="10" t="s">
        <v>20</v>
      </c>
      <c r="I133" s="331">
        <v>1.04</v>
      </c>
      <c r="J133" s="12">
        <f t="shared" si="11"/>
        <v>0</v>
      </c>
    </row>
    <row r="134" spans="1:11" ht="14.5" customHeight="1" x14ac:dyDescent="0.35">
      <c r="A134" s="181"/>
      <c r="B134" s="182" t="s">
        <v>4</v>
      </c>
      <c r="C134" s="183" t="s">
        <v>306</v>
      </c>
      <c r="D134" s="163"/>
      <c r="E134" s="170"/>
      <c r="F134" s="163"/>
      <c r="G134" s="163" t="str">
        <f t="shared" si="8"/>
        <v/>
      </c>
      <c r="H134" s="10" t="s">
        <v>20</v>
      </c>
      <c r="I134" s="331">
        <v>1.06</v>
      </c>
      <c r="J134" s="12">
        <f t="shared" si="11"/>
        <v>0</v>
      </c>
    </row>
    <row r="135" spans="1:11" ht="14.5" customHeight="1" x14ac:dyDescent="0.35">
      <c r="A135" s="181"/>
      <c r="B135" s="182" t="s">
        <v>4</v>
      </c>
      <c r="C135" s="183" t="s">
        <v>307</v>
      </c>
      <c r="D135" s="163"/>
      <c r="E135" s="170"/>
      <c r="F135" s="163"/>
      <c r="G135" s="163" t="str">
        <f t="shared" si="8"/>
        <v/>
      </c>
      <c r="H135" s="10" t="s">
        <v>20</v>
      </c>
      <c r="I135" s="331">
        <v>1.06</v>
      </c>
      <c r="J135" s="12">
        <f t="shared" si="11"/>
        <v>0</v>
      </c>
    </row>
    <row r="136" spans="1:11" ht="14.5" customHeight="1" x14ac:dyDescent="0.35">
      <c r="A136" s="181"/>
      <c r="B136" s="182" t="s">
        <v>4</v>
      </c>
      <c r="C136" s="183" t="s">
        <v>308</v>
      </c>
      <c r="D136" s="163"/>
      <c r="E136" s="170"/>
      <c r="F136" s="163"/>
      <c r="G136" s="163" t="str">
        <f t="shared" si="8"/>
        <v/>
      </c>
      <c r="H136" s="10" t="s">
        <v>20</v>
      </c>
      <c r="I136" s="331">
        <v>1.2869999999999999</v>
      </c>
      <c r="J136" s="12">
        <f t="shared" si="11"/>
        <v>0</v>
      </c>
    </row>
    <row r="137" spans="1:11" ht="15.65" customHeight="1" x14ac:dyDescent="0.35">
      <c r="A137" s="181"/>
      <c r="B137" s="182" t="s">
        <v>4</v>
      </c>
      <c r="C137" s="183" t="s">
        <v>309</v>
      </c>
      <c r="D137" s="163"/>
      <c r="E137" s="170"/>
      <c r="F137" s="163"/>
      <c r="G137" s="163" t="str">
        <f t="shared" si="8"/>
        <v/>
      </c>
      <c r="H137" s="10" t="s">
        <v>20</v>
      </c>
      <c r="I137" s="331">
        <v>1.59</v>
      </c>
      <c r="J137" s="12">
        <f t="shared" si="11"/>
        <v>0</v>
      </c>
      <c r="K137" s="13"/>
    </row>
    <row r="138" spans="1:11" x14ac:dyDescent="0.35">
      <c r="A138" s="203" t="s">
        <v>310</v>
      </c>
      <c r="B138" s="179"/>
      <c r="C138" s="179"/>
      <c r="D138" s="179"/>
      <c r="E138" s="179"/>
      <c r="F138" s="179"/>
      <c r="G138" s="190" t="str">
        <f t="shared" si="8"/>
        <v/>
      </c>
      <c r="H138" s="124"/>
      <c r="I138" s="241"/>
      <c r="J138" s="125"/>
    </row>
    <row r="139" spans="1:11" x14ac:dyDescent="0.35">
      <c r="A139" s="181"/>
      <c r="B139" s="182" t="s">
        <v>4</v>
      </c>
      <c r="C139" s="183" t="s">
        <v>311</v>
      </c>
      <c r="D139" s="163"/>
      <c r="E139" s="170"/>
      <c r="F139" s="163"/>
      <c r="G139" s="163" t="str">
        <f t="shared" si="8"/>
        <v/>
      </c>
      <c r="H139" s="10" t="s">
        <v>20</v>
      </c>
      <c r="I139" s="331">
        <v>1.1000000000000001</v>
      </c>
      <c r="J139" s="12">
        <f t="shared" ref="J139:J149" si="12">E139*I139</f>
        <v>0</v>
      </c>
    </row>
    <row r="140" spans="1:11" x14ac:dyDescent="0.35">
      <c r="A140" s="181"/>
      <c r="B140" s="182" t="s">
        <v>4</v>
      </c>
      <c r="C140" s="183" t="s">
        <v>312</v>
      </c>
      <c r="D140" s="163"/>
      <c r="E140" s="170"/>
      <c r="F140" s="163"/>
      <c r="G140" s="163" t="str">
        <f t="shared" si="8"/>
        <v/>
      </c>
      <c r="H140" s="10" t="s">
        <v>20</v>
      </c>
      <c r="I140" s="331">
        <v>1.1000000000000001</v>
      </c>
      <c r="J140" s="12">
        <f t="shared" si="12"/>
        <v>0</v>
      </c>
    </row>
    <row r="141" spans="1:11" x14ac:dyDescent="0.35">
      <c r="A141" s="181"/>
      <c r="B141" s="182" t="s">
        <v>4</v>
      </c>
      <c r="C141" s="183" t="s">
        <v>313</v>
      </c>
      <c r="D141" s="163"/>
      <c r="E141" s="170"/>
      <c r="F141" s="163"/>
      <c r="G141" s="163" t="str">
        <f t="shared" si="8"/>
        <v/>
      </c>
      <c r="H141" s="10" t="s">
        <v>20</v>
      </c>
      <c r="I141" s="331">
        <v>1.3</v>
      </c>
      <c r="J141" s="12">
        <f t="shared" si="12"/>
        <v>0</v>
      </c>
    </row>
    <row r="142" spans="1:11" ht="14.5" customHeight="1" x14ac:dyDescent="0.35">
      <c r="A142" s="181"/>
      <c r="B142" s="182" t="s">
        <v>4</v>
      </c>
      <c r="C142" s="183" t="s">
        <v>314</v>
      </c>
      <c r="D142" s="163"/>
      <c r="E142" s="170"/>
      <c r="F142" s="163"/>
      <c r="G142" s="163" t="str">
        <f t="shared" si="8"/>
        <v/>
      </c>
      <c r="H142" s="10" t="s">
        <v>20</v>
      </c>
      <c r="I142" s="331">
        <v>1.36</v>
      </c>
      <c r="J142" s="12">
        <f t="shared" si="12"/>
        <v>0</v>
      </c>
    </row>
    <row r="143" spans="1:11" ht="14.5" customHeight="1" x14ac:dyDescent="0.35">
      <c r="A143" s="181"/>
      <c r="B143" s="182" t="s">
        <v>4</v>
      </c>
      <c r="C143" s="183" t="s">
        <v>315</v>
      </c>
      <c r="D143" s="163"/>
      <c r="E143" s="170"/>
      <c r="F143" s="163"/>
      <c r="G143" s="163" t="str">
        <f t="shared" si="8"/>
        <v/>
      </c>
      <c r="H143" s="10" t="s">
        <v>20</v>
      </c>
      <c r="I143" s="331">
        <v>1.3</v>
      </c>
      <c r="J143" s="12">
        <f t="shared" si="12"/>
        <v>0</v>
      </c>
    </row>
    <row r="144" spans="1:11" ht="15.65" customHeight="1" x14ac:dyDescent="0.35">
      <c r="A144" s="181"/>
      <c r="B144" s="182" t="s">
        <v>4</v>
      </c>
      <c r="C144" s="183" t="s">
        <v>316</v>
      </c>
      <c r="D144" s="163"/>
      <c r="E144" s="170"/>
      <c r="F144" s="163"/>
      <c r="G144" s="163" t="str">
        <f t="shared" si="8"/>
        <v/>
      </c>
      <c r="H144" s="10" t="s">
        <v>20</v>
      </c>
      <c r="I144" s="331">
        <v>1.35</v>
      </c>
      <c r="J144" s="12">
        <f t="shared" si="12"/>
        <v>0</v>
      </c>
      <c r="K144" s="13"/>
    </row>
    <row r="145" spans="1:11" x14ac:dyDescent="0.35">
      <c r="A145" s="181"/>
      <c r="B145" s="182" t="s">
        <v>4</v>
      </c>
      <c r="C145" s="183" t="s">
        <v>317</v>
      </c>
      <c r="D145" s="163"/>
      <c r="E145" s="170"/>
      <c r="F145" s="163"/>
      <c r="G145" s="163" t="str">
        <f t="shared" si="8"/>
        <v/>
      </c>
      <c r="H145" s="10" t="s">
        <v>20</v>
      </c>
      <c r="I145" s="331">
        <v>1.28</v>
      </c>
      <c r="J145" s="12">
        <f t="shared" si="12"/>
        <v>0</v>
      </c>
    </row>
    <row r="146" spans="1:11" x14ac:dyDescent="0.35">
      <c r="A146" s="181"/>
      <c r="B146" s="182" t="s">
        <v>4</v>
      </c>
      <c r="C146" s="183" t="s">
        <v>318</v>
      </c>
      <c r="D146" s="163"/>
      <c r="E146" s="170"/>
      <c r="F146" s="163"/>
      <c r="G146" s="163" t="str">
        <f t="shared" si="8"/>
        <v/>
      </c>
      <c r="H146" s="10" t="s">
        <v>20</v>
      </c>
      <c r="I146" s="331">
        <v>1.1000000000000001</v>
      </c>
      <c r="J146" s="12">
        <f t="shared" si="12"/>
        <v>0</v>
      </c>
    </row>
    <row r="147" spans="1:11" x14ac:dyDescent="0.35">
      <c r="A147" s="181"/>
      <c r="B147" s="182" t="s">
        <v>4</v>
      </c>
      <c r="C147" s="183" t="s">
        <v>319</v>
      </c>
      <c r="D147" s="163"/>
      <c r="E147" s="170"/>
      <c r="F147" s="163"/>
      <c r="G147" s="163" t="str">
        <f t="shared" si="8"/>
        <v/>
      </c>
      <c r="H147" s="10" t="s">
        <v>20</v>
      </c>
      <c r="I147" s="331">
        <v>1.1000000000000001</v>
      </c>
      <c r="J147" s="12">
        <f t="shared" si="12"/>
        <v>0</v>
      </c>
    </row>
    <row r="148" spans="1:11" x14ac:dyDescent="0.35">
      <c r="A148" s="181"/>
      <c r="B148" s="182" t="s">
        <v>4</v>
      </c>
      <c r="C148" s="183" t="s">
        <v>320</v>
      </c>
      <c r="D148" s="163"/>
      <c r="E148" s="170"/>
      <c r="F148" s="163"/>
      <c r="G148" s="163" t="str">
        <f t="shared" si="8"/>
        <v/>
      </c>
      <c r="H148" s="10" t="s">
        <v>20</v>
      </c>
      <c r="I148" s="331">
        <v>1.1000000000000001</v>
      </c>
      <c r="J148" s="12">
        <f t="shared" si="12"/>
        <v>0</v>
      </c>
    </row>
    <row r="149" spans="1:11" x14ac:dyDescent="0.35">
      <c r="A149" s="181"/>
      <c r="B149" s="182" t="s">
        <v>4</v>
      </c>
      <c r="C149" s="183" t="s">
        <v>321</v>
      </c>
      <c r="D149" s="163"/>
      <c r="E149" s="170"/>
      <c r="F149" s="163"/>
      <c r="G149" s="163" t="str">
        <f t="shared" si="8"/>
        <v/>
      </c>
      <c r="H149" s="10" t="s">
        <v>20</v>
      </c>
      <c r="I149" s="331">
        <v>1.1000000000000001</v>
      </c>
      <c r="J149" s="12">
        <f t="shared" si="12"/>
        <v>0</v>
      </c>
    </row>
    <row r="150" spans="1:11" x14ac:dyDescent="0.35">
      <c r="A150" s="203" t="s">
        <v>41</v>
      </c>
      <c r="B150" s="179"/>
      <c r="C150" s="179"/>
      <c r="D150" s="179"/>
      <c r="E150" s="179"/>
      <c r="F150" s="179"/>
      <c r="G150" s="190" t="str">
        <f t="shared" si="8"/>
        <v/>
      </c>
      <c r="H150" s="124"/>
      <c r="I150" s="241"/>
      <c r="J150" s="125"/>
    </row>
    <row r="151" spans="1:11" x14ac:dyDescent="0.35">
      <c r="A151" s="181"/>
      <c r="B151" s="182" t="s">
        <v>4</v>
      </c>
      <c r="C151" s="183" t="s">
        <v>24</v>
      </c>
      <c r="D151" s="163"/>
      <c r="E151" s="170"/>
      <c r="F151" s="163"/>
      <c r="G151" s="163" t="str">
        <f t="shared" si="8"/>
        <v/>
      </c>
      <c r="H151" s="10" t="s">
        <v>20</v>
      </c>
      <c r="I151" s="331">
        <v>3.04</v>
      </c>
      <c r="J151" s="12">
        <f t="shared" ref="J151:J164" si="13">E151*I151</f>
        <v>0</v>
      </c>
      <c r="K151" s="13"/>
    </row>
    <row r="152" spans="1:11" x14ac:dyDescent="0.35">
      <c r="A152" s="181"/>
      <c r="B152" s="182" t="s">
        <v>4</v>
      </c>
      <c r="C152" s="183" t="s">
        <v>80</v>
      </c>
      <c r="D152" s="163"/>
      <c r="E152" s="170"/>
      <c r="F152" s="163"/>
      <c r="G152" s="163" t="str">
        <f t="shared" si="8"/>
        <v/>
      </c>
      <c r="H152" s="10" t="s">
        <v>20</v>
      </c>
      <c r="I152" s="331">
        <v>2.31</v>
      </c>
      <c r="J152" s="12">
        <f t="shared" si="13"/>
        <v>0</v>
      </c>
    </row>
    <row r="153" spans="1:11" x14ac:dyDescent="0.35">
      <c r="A153" s="181"/>
      <c r="B153" s="182" t="s">
        <v>4</v>
      </c>
      <c r="C153" s="183" t="s">
        <v>84</v>
      </c>
      <c r="D153" s="163"/>
      <c r="E153" s="170"/>
      <c r="F153" s="163"/>
      <c r="G153" s="163" t="str">
        <f t="shared" ref="G153:G223" si="14">IF(D153-E153&gt;0,D153-E153,"")</f>
        <v/>
      </c>
      <c r="H153" s="10" t="s">
        <v>20</v>
      </c>
      <c r="I153" s="331">
        <v>2.31</v>
      </c>
      <c r="J153" s="12">
        <f t="shared" si="13"/>
        <v>0</v>
      </c>
    </row>
    <row r="154" spans="1:11" x14ac:dyDescent="0.35">
      <c r="A154" s="181"/>
      <c r="B154" s="182" t="s">
        <v>4</v>
      </c>
      <c r="C154" s="183" t="s">
        <v>394</v>
      </c>
      <c r="D154" s="163"/>
      <c r="E154" s="170"/>
      <c r="F154" s="163"/>
      <c r="G154" s="163" t="str">
        <f t="shared" si="14"/>
        <v/>
      </c>
      <c r="H154" s="10" t="s">
        <v>20</v>
      </c>
      <c r="I154" s="331">
        <v>2.54</v>
      </c>
      <c r="J154" s="12">
        <f t="shared" si="13"/>
        <v>0</v>
      </c>
    </row>
    <row r="155" spans="1:11" x14ac:dyDescent="0.35">
      <c r="A155" s="181"/>
      <c r="B155" s="182" t="s">
        <v>4</v>
      </c>
      <c r="C155" s="183" t="s">
        <v>394</v>
      </c>
      <c r="D155" s="163"/>
      <c r="E155" s="170"/>
      <c r="F155" s="163"/>
      <c r="G155" s="163" t="str">
        <f t="shared" si="14"/>
        <v/>
      </c>
      <c r="H155" s="10" t="s">
        <v>20</v>
      </c>
      <c r="I155" s="331">
        <v>2.54</v>
      </c>
      <c r="J155" s="12">
        <f t="shared" si="13"/>
        <v>0</v>
      </c>
    </row>
    <row r="156" spans="1:11" x14ac:dyDescent="0.35">
      <c r="A156" s="181"/>
      <c r="B156" s="182" t="s">
        <v>4</v>
      </c>
      <c r="C156" s="183" t="s">
        <v>25</v>
      </c>
      <c r="D156" s="163"/>
      <c r="E156" s="170"/>
      <c r="F156" s="163"/>
      <c r="G156" s="163" t="str">
        <f t="shared" si="14"/>
        <v/>
      </c>
      <c r="H156" s="10" t="s">
        <v>20</v>
      </c>
      <c r="I156" s="331">
        <v>1.79</v>
      </c>
      <c r="J156" s="12">
        <f t="shared" si="13"/>
        <v>0</v>
      </c>
      <c r="K156" s="13"/>
    </row>
    <row r="157" spans="1:11" x14ac:dyDescent="0.35">
      <c r="A157" s="181"/>
      <c r="B157" s="182" t="s">
        <v>4</v>
      </c>
      <c r="C157" s="183" t="s">
        <v>322</v>
      </c>
      <c r="D157" s="163"/>
      <c r="E157" s="170"/>
      <c r="F157" s="163"/>
      <c r="G157" s="163" t="str">
        <f t="shared" si="14"/>
        <v/>
      </c>
      <c r="H157" s="10" t="s">
        <v>20</v>
      </c>
      <c r="I157" s="331">
        <v>2.46</v>
      </c>
      <c r="J157" s="12">
        <f t="shared" si="13"/>
        <v>0</v>
      </c>
    </row>
    <row r="158" spans="1:11" x14ac:dyDescent="0.35">
      <c r="A158" s="181"/>
      <c r="B158" s="182" t="s">
        <v>4</v>
      </c>
      <c r="C158" s="183" t="s">
        <v>393</v>
      </c>
      <c r="D158" s="163"/>
      <c r="E158" s="170"/>
      <c r="F158" s="163"/>
      <c r="G158" s="163" t="str">
        <f t="shared" si="14"/>
        <v/>
      </c>
      <c r="H158" s="10" t="s">
        <v>20</v>
      </c>
      <c r="I158" s="331">
        <v>2.46</v>
      </c>
      <c r="J158" s="12">
        <f t="shared" si="13"/>
        <v>0</v>
      </c>
    </row>
    <row r="159" spans="1:11" x14ac:dyDescent="0.35">
      <c r="A159" s="181"/>
      <c r="B159" s="182" t="s">
        <v>4</v>
      </c>
      <c r="C159" s="183" t="s">
        <v>43</v>
      </c>
      <c r="D159" s="163"/>
      <c r="E159" s="170"/>
      <c r="F159" s="163"/>
      <c r="G159" s="163" t="str">
        <f t="shared" si="14"/>
        <v/>
      </c>
      <c r="H159" s="10" t="s">
        <v>20</v>
      </c>
      <c r="I159" s="331">
        <v>2.5499999999999998</v>
      </c>
      <c r="J159" s="12">
        <f t="shared" si="13"/>
        <v>0</v>
      </c>
    </row>
    <row r="160" spans="1:11" ht="14.5" customHeight="1" x14ac:dyDescent="0.35">
      <c r="A160" s="181"/>
      <c r="B160" s="182" t="s">
        <v>4</v>
      </c>
      <c r="C160" s="183" t="s">
        <v>81</v>
      </c>
      <c r="D160" s="163"/>
      <c r="E160" s="170"/>
      <c r="F160" s="163"/>
      <c r="G160" s="163" t="str">
        <f t="shared" si="14"/>
        <v/>
      </c>
      <c r="H160" s="10" t="s">
        <v>20</v>
      </c>
      <c r="I160" s="331">
        <v>1.51</v>
      </c>
      <c r="J160" s="12">
        <f t="shared" si="13"/>
        <v>0</v>
      </c>
      <c r="K160" s="13"/>
    </row>
    <row r="161" spans="1:11" ht="15.65" customHeight="1" x14ac:dyDescent="0.35">
      <c r="A161" s="181"/>
      <c r="B161" s="182" t="s">
        <v>4</v>
      </c>
      <c r="C161" s="183" t="s">
        <v>82</v>
      </c>
      <c r="D161" s="163"/>
      <c r="E161" s="170"/>
      <c r="F161" s="163"/>
      <c r="G161" s="163" t="str">
        <f t="shared" si="14"/>
        <v/>
      </c>
      <c r="H161" s="10" t="s">
        <v>20</v>
      </c>
      <c r="I161" s="331">
        <v>1.51</v>
      </c>
      <c r="J161" s="12">
        <f t="shared" si="13"/>
        <v>0</v>
      </c>
    </row>
    <row r="162" spans="1:11" x14ac:dyDescent="0.35">
      <c r="A162" s="181"/>
      <c r="B162" s="182" t="s">
        <v>4</v>
      </c>
      <c r="C162" s="183" t="s">
        <v>323</v>
      </c>
      <c r="D162" s="163"/>
      <c r="E162" s="170"/>
      <c r="F162" s="163"/>
      <c r="G162" s="163" t="str">
        <f t="shared" si="14"/>
        <v/>
      </c>
      <c r="H162" s="10" t="s">
        <v>20</v>
      </c>
      <c r="I162" s="331">
        <v>1.54</v>
      </c>
      <c r="J162" s="12">
        <f t="shared" si="13"/>
        <v>0</v>
      </c>
    </row>
    <row r="163" spans="1:11" x14ac:dyDescent="0.35">
      <c r="A163" s="181"/>
      <c r="B163" s="182" t="s">
        <v>4</v>
      </c>
      <c r="C163" s="183" t="s">
        <v>324</v>
      </c>
      <c r="D163" s="163"/>
      <c r="E163" s="170"/>
      <c r="F163" s="163"/>
      <c r="G163" s="163" t="str">
        <f t="shared" si="14"/>
        <v/>
      </c>
      <c r="H163" s="10" t="s">
        <v>20</v>
      </c>
      <c r="I163" s="331">
        <v>1.6</v>
      </c>
      <c r="J163" s="12">
        <f t="shared" si="13"/>
        <v>0</v>
      </c>
    </row>
    <row r="164" spans="1:11" x14ac:dyDescent="0.35">
      <c r="A164" s="181"/>
      <c r="B164" s="182" t="s">
        <v>4</v>
      </c>
      <c r="C164" s="191" t="s">
        <v>325</v>
      </c>
      <c r="D164" s="192"/>
      <c r="E164" s="170"/>
      <c r="F164" s="192"/>
      <c r="G164" s="163" t="str">
        <f t="shared" si="14"/>
        <v/>
      </c>
      <c r="H164" s="10" t="s">
        <v>20</v>
      </c>
      <c r="I164" s="333">
        <v>49.95</v>
      </c>
      <c r="J164" s="12">
        <f t="shared" si="13"/>
        <v>0</v>
      </c>
    </row>
    <row r="165" spans="1:11" x14ac:dyDescent="0.35">
      <c r="A165" s="203" t="s">
        <v>44</v>
      </c>
      <c r="B165" s="179"/>
      <c r="C165" s="179"/>
      <c r="D165" s="179"/>
      <c r="E165" s="179"/>
      <c r="F165" s="179"/>
      <c r="G165" s="190" t="str">
        <f t="shared" si="14"/>
        <v/>
      </c>
      <c r="H165" s="124"/>
      <c r="I165" s="241"/>
      <c r="J165" s="125"/>
    </row>
    <row r="166" spans="1:11" x14ac:dyDescent="0.35">
      <c r="A166" s="181"/>
      <c r="B166" s="182" t="s">
        <v>4</v>
      </c>
      <c r="C166" s="183" t="s">
        <v>48</v>
      </c>
      <c r="D166" s="163"/>
      <c r="E166" s="170"/>
      <c r="F166" s="163"/>
      <c r="G166" s="163" t="str">
        <f t="shared" si="14"/>
        <v/>
      </c>
      <c r="H166" s="10" t="s">
        <v>20</v>
      </c>
      <c r="I166" s="331">
        <v>1.94</v>
      </c>
      <c r="J166" s="12">
        <f t="shared" ref="J166:J175" si="15">E166*I166</f>
        <v>0</v>
      </c>
    </row>
    <row r="167" spans="1:11" x14ac:dyDescent="0.35">
      <c r="A167" s="181"/>
      <c r="B167" s="182" t="s">
        <v>4</v>
      </c>
      <c r="C167" s="183" t="s">
        <v>49</v>
      </c>
      <c r="D167" s="163"/>
      <c r="E167" s="170"/>
      <c r="F167" s="163"/>
      <c r="G167" s="163" t="str">
        <f t="shared" si="14"/>
        <v/>
      </c>
      <c r="H167" s="10" t="s">
        <v>20</v>
      </c>
      <c r="I167" s="331">
        <v>1.94</v>
      </c>
      <c r="J167" s="12">
        <f t="shared" si="15"/>
        <v>0</v>
      </c>
    </row>
    <row r="168" spans="1:11" x14ac:dyDescent="0.35">
      <c r="A168" s="181"/>
      <c r="B168" s="182" t="s">
        <v>4</v>
      </c>
      <c r="C168" s="183" t="s">
        <v>50</v>
      </c>
      <c r="D168" s="163"/>
      <c r="E168" s="170"/>
      <c r="F168" s="163"/>
      <c r="G168" s="163" t="str">
        <f t="shared" si="14"/>
        <v/>
      </c>
      <c r="H168" s="10" t="s">
        <v>20</v>
      </c>
      <c r="I168" s="331">
        <v>1.94</v>
      </c>
      <c r="J168" s="12">
        <f t="shared" si="15"/>
        <v>0</v>
      </c>
    </row>
    <row r="169" spans="1:11" x14ac:dyDescent="0.35">
      <c r="A169" s="181"/>
      <c r="B169" s="182" t="s">
        <v>4</v>
      </c>
      <c r="C169" s="183" t="s">
        <v>415</v>
      </c>
      <c r="D169" s="163"/>
      <c r="E169" s="170"/>
      <c r="F169" s="163"/>
      <c r="G169" s="163" t="str">
        <f t="shared" si="14"/>
        <v/>
      </c>
      <c r="H169" s="10" t="s">
        <v>20</v>
      </c>
      <c r="I169" s="331">
        <v>1.98</v>
      </c>
      <c r="J169" s="12">
        <f t="shared" si="15"/>
        <v>0</v>
      </c>
    </row>
    <row r="170" spans="1:11" ht="14.5" customHeight="1" x14ac:dyDescent="0.35">
      <c r="A170" s="181"/>
      <c r="B170" s="182" t="s">
        <v>4</v>
      </c>
      <c r="C170" s="183" t="s">
        <v>414</v>
      </c>
      <c r="D170" s="163"/>
      <c r="E170" s="170"/>
      <c r="F170" s="163"/>
      <c r="G170" s="163" t="str">
        <f t="shared" si="14"/>
        <v/>
      </c>
      <c r="H170" s="10" t="s">
        <v>20</v>
      </c>
      <c r="I170" s="331">
        <v>1.98</v>
      </c>
      <c r="J170" s="12">
        <f t="shared" si="15"/>
        <v>0</v>
      </c>
    </row>
    <row r="171" spans="1:11" ht="14.5" customHeight="1" x14ac:dyDescent="0.35">
      <c r="A171" s="181"/>
      <c r="B171" s="182" t="s">
        <v>4</v>
      </c>
      <c r="C171" s="183" t="s">
        <v>328</v>
      </c>
      <c r="D171" s="163"/>
      <c r="E171" s="170"/>
      <c r="F171" s="163"/>
      <c r="G171" s="163" t="str">
        <f t="shared" si="14"/>
        <v/>
      </c>
      <c r="H171" s="10" t="s">
        <v>20</v>
      </c>
      <c r="I171" s="331">
        <v>1.98</v>
      </c>
      <c r="J171" s="12">
        <f t="shared" si="15"/>
        <v>0</v>
      </c>
    </row>
    <row r="172" spans="1:11" x14ac:dyDescent="0.35">
      <c r="A172" s="181"/>
      <c r="B172" s="182" t="s">
        <v>4</v>
      </c>
      <c r="C172" s="183" t="s">
        <v>329</v>
      </c>
      <c r="D172" s="163"/>
      <c r="E172" s="170"/>
      <c r="F172" s="163"/>
      <c r="G172" s="163" t="str">
        <f t="shared" si="14"/>
        <v/>
      </c>
      <c r="H172" s="10" t="s">
        <v>20</v>
      </c>
      <c r="I172" s="331">
        <v>1.98</v>
      </c>
      <c r="J172" s="12">
        <f t="shared" si="15"/>
        <v>0</v>
      </c>
    </row>
    <row r="173" spans="1:11" ht="14.5" customHeight="1" x14ac:dyDescent="0.35">
      <c r="A173" s="181"/>
      <c r="B173" s="196" t="s">
        <v>4</v>
      </c>
      <c r="C173" s="197" t="s">
        <v>330</v>
      </c>
      <c r="D173" s="198"/>
      <c r="E173" s="170"/>
      <c r="F173" s="198"/>
      <c r="G173" s="163" t="str">
        <f t="shared" si="14"/>
        <v/>
      </c>
      <c r="H173" s="10" t="s">
        <v>20</v>
      </c>
      <c r="I173" s="331">
        <v>1.98</v>
      </c>
      <c r="J173" s="12">
        <f t="shared" si="15"/>
        <v>0</v>
      </c>
    </row>
    <row r="174" spans="1:11" ht="14.5" customHeight="1" x14ac:dyDescent="0.35">
      <c r="A174" s="181"/>
      <c r="B174" s="196" t="s">
        <v>4</v>
      </c>
      <c r="C174" s="197" t="s">
        <v>331</v>
      </c>
      <c r="D174" s="198"/>
      <c r="E174" s="170"/>
      <c r="F174" s="198"/>
      <c r="G174" s="163" t="str">
        <f t="shared" si="14"/>
        <v/>
      </c>
      <c r="H174" s="10" t="s">
        <v>20</v>
      </c>
      <c r="I174" s="331">
        <v>1.98</v>
      </c>
      <c r="J174" s="12">
        <f t="shared" si="15"/>
        <v>0</v>
      </c>
    </row>
    <row r="175" spans="1:11" ht="14.5" customHeight="1" x14ac:dyDescent="0.35">
      <c r="A175" s="181"/>
      <c r="B175" s="196" t="s">
        <v>4</v>
      </c>
      <c r="C175" s="197" t="s">
        <v>413</v>
      </c>
      <c r="D175" s="198"/>
      <c r="E175" s="170"/>
      <c r="F175" s="198"/>
      <c r="G175" s="163" t="str">
        <f t="shared" si="14"/>
        <v/>
      </c>
      <c r="H175" s="41" t="s">
        <v>20</v>
      </c>
      <c r="I175" s="334">
        <v>1.98</v>
      </c>
      <c r="J175" s="12">
        <f t="shared" si="15"/>
        <v>0</v>
      </c>
    </row>
    <row r="176" spans="1:11" ht="15.5" x14ac:dyDescent="0.35">
      <c r="A176" s="204" t="s">
        <v>333</v>
      </c>
      <c r="B176" s="180"/>
      <c r="C176" s="180"/>
      <c r="D176" s="180"/>
      <c r="E176" s="180"/>
      <c r="F176" s="180"/>
      <c r="G176" s="190" t="str">
        <f t="shared" si="14"/>
        <v/>
      </c>
      <c r="H176" s="121"/>
      <c r="I176" s="122" t="s">
        <v>18</v>
      </c>
      <c r="J176" s="123">
        <f>SUM(J177:J186)</f>
        <v>0</v>
      </c>
      <c r="K176" s="13"/>
    </row>
    <row r="177" spans="1:14" x14ac:dyDescent="0.35">
      <c r="A177" s="181"/>
      <c r="B177" s="182" t="s">
        <v>26</v>
      </c>
      <c r="C177" s="183" t="s">
        <v>334</v>
      </c>
      <c r="D177" s="163"/>
      <c r="E177" s="170"/>
      <c r="F177" s="163"/>
      <c r="G177" s="163" t="str">
        <f t="shared" si="14"/>
        <v/>
      </c>
      <c r="H177" s="10" t="s">
        <v>335</v>
      </c>
      <c r="I177" s="331">
        <v>20</v>
      </c>
      <c r="J177" s="12">
        <f t="shared" ref="J177:J186" si="16">E177*I177</f>
        <v>0</v>
      </c>
    </row>
    <row r="178" spans="1:14" x14ac:dyDescent="0.35">
      <c r="A178" s="181"/>
      <c r="B178" s="200" t="s">
        <v>26</v>
      </c>
      <c r="C178" s="201" t="s">
        <v>53</v>
      </c>
      <c r="D178" s="202"/>
      <c r="E178" s="170"/>
      <c r="F178" s="202"/>
      <c r="G178" s="163" t="str">
        <f t="shared" si="14"/>
        <v/>
      </c>
      <c r="H178" s="18" t="s">
        <v>20</v>
      </c>
      <c r="I178" s="335">
        <v>0.43</v>
      </c>
      <c r="J178" s="20">
        <f t="shared" si="16"/>
        <v>0</v>
      </c>
      <c r="N178" t="s">
        <v>47</v>
      </c>
    </row>
    <row r="179" spans="1:14" x14ac:dyDescent="0.35">
      <c r="A179" s="181"/>
      <c r="B179" s="200" t="s">
        <v>26</v>
      </c>
      <c r="C179" s="201" t="s">
        <v>336</v>
      </c>
      <c r="D179" s="202"/>
      <c r="E179" s="170"/>
      <c r="F179" s="202"/>
      <c r="G179" s="163" t="str">
        <f t="shared" si="14"/>
        <v/>
      </c>
      <c r="H179" s="18" t="s">
        <v>20</v>
      </c>
      <c r="I179" s="335">
        <v>0.43</v>
      </c>
      <c r="J179" s="20">
        <f t="shared" si="16"/>
        <v>0</v>
      </c>
    </row>
    <row r="180" spans="1:14" ht="16.399999999999999" customHeight="1" x14ac:dyDescent="0.35">
      <c r="A180" s="181"/>
      <c r="B180" s="182" t="s">
        <v>26</v>
      </c>
      <c r="C180" s="183" t="s">
        <v>337</v>
      </c>
      <c r="D180" s="163"/>
      <c r="E180" s="170"/>
      <c r="F180" s="163"/>
      <c r="G180" s="163" t="str">
        <f t="shared" si="14"/>
        <v/>
      </c>
      <c r="H180" s="10" t="s">
        <v>20</v>
      </c>
      <c r="I180" s="331">
        <v>0.43</v>
      </c>
      <c r="J180" s="12">
        <f t="shared" si="16"/>
        <v>0</v>
      </c>
    </row>
    <row r="181" spans="1:14" x14ac:dyDescent="0.35">
      <c r="A181" s="181"/>
      <c r="B181" s="182" t="s">
        <v>26</v>
      </c>
      <c r="C181" s="183" t="s">
        <v>51</v>
      </c>
      <c r="D181" s="163"/>
      <c r="E181" s="170"/>
      <c r="F181" s="163"/>
      <c r="G181" s="163" t="str">
        <f t="shared" si="14"/>
        <v/>
      </c>
      <c r="H181" s="10" t="s">
        <v>61</v>
      </c>
      <c r="I181" s="331">
        <v>14</v>
      </c>
      <c r="J181" s="12">
        <f t="shared" si="16"/>
        <v>0</v>
      </c>
    </row>
    <row r="182" spans="1:14" x14ac:dyDescent="0.35">
      <c r="A182" s="181"/>
      <c r="B182" s="182" t="s">
        <v>26</v>
      </c>
      <c r="C182" s="183" t="s">
        <v>338</v>
      </c>
      <c r="D182" s="163"/>
      <c r="E182" s="170"/>
      <c r="F182" s="163"/>
      <c r="G182" s="163" t="str">
        <f t="shared" si="14"/>
        <v/>
      </c>
      <c r="H182" s="10" t="s">
        <v>61</v>
      </c>
      <c r="I182" s="331">
        <v>14.78</v>
      </c>
      <c r="J182" s="12">
        <f t="shared" si="16"/>
        <v>0</v>
      </c>
    </row>
    <row r="183" spans="1:14" x14ac:dyDescent="0.35">
      <c r="A183" s="181"/>
      <c r="B183" s="182" t="s">
        <v>26</v>
      </c>
      <c r="C183" s="183" t="s">
        <v>339</v>
      </c>
      <c r="D183" s="163"/>
      <c r="E183" s="170"/>
      <c r="F183" s="163"/>
      <c r="G183" s="163" t="str">
        <f t="shared" si="14"/>
        <v/>
      </c>
      <c r="H183" s="10" t="s">
        <v>61</v>
      </c>
      <c r="I183" s="331">
        <v>14.78</v>
      </c>
      <c r="J183" s="12">
        <f t="shared" si="16"/>
        <v>0</v>
      </c>
    </row>
    <row r="184" spans="1:14" x14ac:dyDescent="0.35">
      <c r="A184" s="181"/>
      <c r="B184" s="182" t="s">
        <v>26</v>
      </c>
      <c r="C184" s="183" t="s">
        <v>340</v>
      </c>
      <c r="D184" s="163"/>
      <c r="E184" s="170"/>
      <c r="F184" s="163"/>
      <c r="G184" s="163" t="str">
        <f t="shared" si="14"/>
        <v/>
      </c>
      <c r="H184" s="10" t="s">
        <v>61</v>
      </c>
      <c r="I184" s="331">
        <v>14.78</v>
      </c>
      <c r="J184" s="12">
        <f t="shared" si="16"/>
        <v>0</v>
      </c>
    </row>
    <row r="185" spans="1:14" x14ac:dyDescent="0.35">
      <c r="A185" s="181"/>
      <c r="B185" s="182" t="s">
        <v>26</v>
      </c>
      <c r="C185" s="183" t="s">
        <v>341</v>
      </c>
      <c r="D185" s="163"/>
      <c r="E185" s="170"/>
      <c r="F185" s="163"/>
      <c r="G185" s="163" t="str">
        <f t="shared" si="14"/>
        <v/>
      </c>
      <c r="H185" s="10" t="s">
        <v>61</v>
      </c>
      <c r="I185" s="331">
        <v>14.78</v>
      </c>
      <c r="J185" s="12">
        <f t="shared" si="16"/>
        <v>0</v>
      </c>
    </row>
    <row r="186" spans="1:14" x14ac:dyDescent="0.35">
      <c r="A186" s="181"/>
      <c r="B186" s="182" t="s">
        <v>26</v>
      </c>
      <c r="C186" s="183" t="s">
        <v>342</v>
      </c>
      <c r="D186" s="163"/>
      <c r="E186" s="170"/>
      <c r="F186" s="163"/>
      <c r="G186" s="163" t="str">
        <f t="shared" si="14"/>
        <v/>
      </c>
      <c r="H186" s="10" t="s">
        <v>61</v>
      </c>
      <c r="I186" s="331">
        <v>14.78</v>
      </c>
      <c r="J186" s="10">
        <f t="shared" si="16"/>
        <v>0</v>
      </c>
    </row>
    <row r="187" spans="1:14" ht="15.5" x14ac:dyDescent="0.35">
      <c r="A187" s="162" t="s">
        <v>343</v>
      </c>
      <c r="B187" s="162"/>
      <c r="C187" s="162"/>
      <c r="D187" s="162"/>
      <c r="E187" s="162"/>
      <c r="F187" s="162"/>
      <c r="G187" s="190" t="str">
        <f t="shared" si="14"/>
        <v/>
      </c>
      <c r="H187" s="108"/>
      <c r="I187" s="106" t="s">
        <v>18</v>
      </c>
      <c r="J187" s="107">
        <f>SUM(J188:J192)</f>
        <v>0</v>
      </c>
      <c r="L187" t="s">
        <v>47</v>
      </c>
    </row>
    <row r="188" spans="1:14" x14ac:dyDescent="0.35">
      <c r="A188" s="181"/>
      <c r="B188" s="187" t="s">
        <v>6</v>
      </c>
      <c r="C188" s="188" t="s">
        <v>344</v>
      </c>
      <c r="D188" s="163"/>
      <c r="E188" s="170"/>
      <c r="F188" s="163"/>
      <c r="G188" s="163" t="str">
        <f t="shared" si="14"/>
        <v/>
      </c>
      <c r="H188" s="14" t="s">
        <v>20</v>
      </c>
      <c r="I188" s="336">
        <v>0.79</v>
      </c>
      <c r="J188" s="7">
        <f>E188*I188</f>
        <v>0</v>
      </c>
    </row>
    <row r="189" spans="1:14" x14ac:dyDescent="0.35">
      <c r="A189" s="181"/>
      <c r="B189" s="187" t="s">
        <v>6</v>
      </c>
      <c r="C189" s="188" t="s">
        <v>345</v>
      </c>
      <c r="D189" s="163"/>
      <c r="E189" s="170"/>
      <c r="F189" s="163"/>
      <c r="G189" s="163" t="str">
        <f t="shared" si="14"/>
        <v/>
      </c>
      <c r="H189" s="14" t="s">
        <v>20</v>
      </c>
      <c r="I189" s="336">
        <v>2.76</v>
      </c>
      <c r="J189" s="7">
        <f>E189*I189</f>
        <v>0</v>
      </c>
    </row>
    <row r="190" spans="1:14" x14ac:dyDescent="0.35">
      <c r="A190" s="181"/>
      <c r="B190" s="187" t="s">
        <v>6</v>
      </c>
      <c r="C190" s="188" t="s">
        <v>346</v>
      </c>
      <c r="D190" s="163"/>
      <c r="E190" s="170"/>
      <c r="F190" s="163"/>
      <c r="G190" s="163" t="str">
        <f t="shared" si="14"/>
        <v/>
      </c>
      <c r="H190" s="14" t="s">
        <v>20</v>
      </c>
      <c r="I190" s="336">
        <v>1</v>
      </c>
      <c r="J190" s="7">
        <f>E190*I190</f>
        <v>0</v>
      </c>
    </row>
    <row r="191" spans="1:14" x14ac:dyDescent="0.35">
      <c r="A191" s="181"/>
      <c r="B191" s="187" t="s">
        <v>6</v>
      </c>
      <c r="C191" s="188" t="s">
        <v>34</v>
      </c>
      <c r="D191" s="163"/>
      <c r="E191" s="170"/>
      <c r="F191" s="163"/>
      <c r="G191" s="163" t="str">
        <f t="shared" si="14"/>
        <v/>
      </c>
      <c r="H191" s="14" t="s">
        <v>20</v>
      </c>
      <c r="I191" s="336">
        <v>1.8</v>
      </c>
      <c r="J191" s="7">
        <f>E191*I191</f>
        <v>0</v>
      </c>
    </row>
    <row r="192" spans="1:14" x14ac:dyDescent="0.35">
      <c r="A192" s="181"/>
      <c r="B192" s="187" t="s">
        <v>6</v>
      </c>
      <c r="C192" s="188" t="s">
        <v>35</v>
      </c>
      <c r="D192" s="163"/>
      <c r="E192" s="170"/>
      <c r="F192" s="163"/>
      <c r="G192" s="163" t="str">
        <f t="shared" si="14"/>
        <v/>
      </c>
      <c r="H192" s="14" t="s">
        <v>20</v>
      </c>
      <c r="I192" s="336">
        <v>1.8</v>
      </c>
      <c r="J192" s="7">
        <f>E192*I192</f>
        <v>0</v>
      </c>
    </row>
    <row r="193" spans="1:10" ht="15.5" x14ac:dyDescent="0.35">
      <c r="A193" s="199" t="s">
        <v>347</v>
      </c>
      <c r="B193" s="178"/>
      <c r="C193" s="178"/>
      <c r="D193" s="178"/>
      <c r="E193" s="178"/>
      <c r="F193" s="178"/>
      <c r="G193" s="190" t="str">
        <f t="shared" si="14"/>
        <v/>
      </c>
      <c r="H193" s="117"/>
      <c r="I193" s="118" t="s">
        <v>18</v>
      </c>
      <c r="J193" s="119">
        <f>SUM(J194)</f>
        <v>0</v>
      </c>
    </row>
    <row r="194" spans="1:10" x14ac:dyDescent="0.35">
      <c r="A194" s="181"/>
      <c r="B194" s="182" t="s">
        <v>5</v>
      </c>
      <c r="C194" s="183" t="s">
        <v>55</v>
      </c>
      <c r="D194" s="163"/>
      <c r="E194" s="170"/>
      <c r="F194" s="163"/>
      <c r="G194" s="163" t="str">
        <f t="shared" si="14"/>
        <v/>
      </c>
      <c r="H194" s="10" t="s">
        <v>20</v>
      </c>
      <c r="I194" s="331">
        <v>1.01</v>
      </c>
      <c r="J194" s="12">
        <f>E194*I194</f>
        <v>0</v>
      </c>
    </row>
    <row r="195" spans="1:10" ht="15.5" x14ac:dyDescent="0.35">
      <c r="A195" s="199" t="s">
        <v>348</v>
      </c>
      <c r="B195" s="178"/>
      <c r="C195" s="178"/>
      <c r="D195" s="178"/>
      <c r="E195" s="178"/>
      <c r="F195" s="178"/>
      <c r="G195" s="190" t="str">
        <f t="shared" si="14"/>
        <v/>
      </c>
      <c r="H195" s="117"/>
      <c r="I195" s="118" t="s">
        <v>18</v>
      </c>
      <c r="J195" s="119">
        <f>SUM(J196:J207)</f>
        <v>0</v>
      </c>
    </row>
    <row r="196" spans="1:10" x14ac:dyDescent="0.35">
      <c r="A196" s="181"/>
      <c r="B196" s="200" t="s">
        <v>8</v>
      </c>
      <c r="C196" s="201" t="s">
        <v>349</v>
      </c>
      <c r="D196" s="202"/>
      <c r="E196" s="170"/>
      <c r="F196" s="202"/>
      <c r="G196" s="163" t="str">
        <f t="shared" si="14"/>
        <v/>
      </c>
      <c r="H196" s="18" t="s">
        <v>27</v>
      </c>
      <c r="I196" s="337">
        <v>28.62</v>
      </c>
      <c r="J196" s="12">
        <f t="shared" ref="J196:J207" si="17">E196*I196</f>
        <v>0</v>
      </c>
    </row>
    <row r="197" spans="1:10" x14ac:dyDescent="0.35">
      <c r="A197" s="181"/>
      <c r="B197" s="182" t="s">
        <v>8</v>
      </c>
      <c r="C197" s="183" t="s">
        <v>350</v>
      </c>
      <c r="D197" s="163"/>
      <c r="E197" s="170"/>
      <c r="F197" s="163"/>
      <c r="G197" s="163" t="str">
        <f t="shared" si="14"/>
        <v/>
      </c>
      <c r="H197" s="10" t="s">
        <v>335</v>
      </c>
      <c r="I197" s="338">
        <v>30</v>
      </c>
      <c r="J197" s="12">
        <f t="shared" si="17"/>
        <v>0</v>
      </c>
    </row>
    <row r="198" spans="1:10" x14ac:dyDescent="0.35">
      <c r="A198" s="181"/>
      <c r="B198" s="182" t="s">
        <v>8</v>
      </c>
      <c r="C198" s="183" t="s">
        <v>351</v>
      </c>
      <c r="D198" s="163"/>
      <c r="E198" s="170"/>
      <c r="F198" s="163"/>
      <c r="G198" s="163" t="str">
        <f t="shared" si="14"/>
        <v/>
      </c>
      <c r="H198" s="10" t="s">
        <v>335</v>
      </c>
      <c r="I198" s="331">
        <v>1.1499999999999999</v>
      </c>
      <c r="J198" s="12">
        <f t="shared" si="17"/>
        <v>0</v>
      </c>
    </row>
    <row r="199" spans="1:10" x14ac:dyDescent="0.35">
      <c r="A199" s="181"/>
      <c r="B199" s="182" t="s">
        <v>8</v>
      </c>
      <c r="C199" s="183" t="s">
        <v>352</v>
      </c>
      <c r="D199" s="163"/>
      <c r="E199" s="170"/>
      <c r="F199" s="163"/>
      <c r="G199" s="163" t="str">
        <f t="shared" si="14"/>
        <v/>
      </c>
      <c r="H199" s="10" t="s">
        <v>27</v>
      </c>
      <c r="I199" s="331">
        <v>23.83</v>
      </c>
      <c r="J199" s="12">
        <f t="shared" si="17"/>
        <v>0</v>
      </c>
    </row>
    <row r="200" spans="1:10" x14ac:dyDescent="0.35">
      <c r="A200" s="181"/>
      <c r="B200" s="182" t="s">
        <v>8</v>
      </c>
      <c r="C200" s="183" t="s">
        <v>353</v>
      </c>
      <c r="D200" s="163"/>
      <c r="E200" s="170"/>
      <c r="F200" s="163"/>
      <c r="G200" s="163" t="str">
        <f t="shared" si="14"/>
        <v/>
      </c>
      <c r="H200" s="10" t="s">
        <v>27</v>
      </c>
      <c r="I200" s="331">
        <v>28.89</v>
      </c>
      <c r="J200" s="12">
        <f t="shared" si="17"/>
        <v>0</v>
      </c>
    </row>
    <row r="201" spans="1:10" x14ac:dyDescent="0.35">
      <c r="A201" s="181"/>
      <c r="B201" s="182" t="s">
        <v>8</v>
      </c>
      <c r="C201" s="183" t="s">
        <v>354</v>
      </c>
      <c r="D201" s="163"/>
      <c r="E201" s="170"/>
      <c r="F201" s="163"/>
      <c r="G201" s="163" t="str">
        <f>IF(D201-E201&gt;0,D201-E201,"")</f>
        <v/>
      </c>
      <c r="H201" s="10" t="s">
        <v>27</v>
      </c>
      <c r="I201" s="331">
        <v>19.37</v>
      </c>
      <c r="J201" s="12">
        <f>E201*I201</f>
        <v>0</v>
      </c>
    </row>
    <row r="202" spans="1:10" x14ac:dyDescent="0.35">
      <c r="A202" s="181"/>
      <c r="B202" s="182" t="s">
        <v>8</v>
      </c>
      <c r="C202" s="183" t="s">
        <v>429</v>
      </c>
      <c r="D202" s="163"/>
      <c r="E202" s="170"/>
      <c r="F202" s="163"/>
      <c r="G202" s="163"/>
      <c r="H202" s="10" t="s">
        <v>27</v>
      </c>
      <c r="I202" s="331">
        <v>14.07</v>
      </c>
      <c r="J202" s="12"/>
    </row>
    <row r="203" spans="1:10" x14ac:dyDescent="0.35">
      <c r="A203" s="181"/>
      <c r="B203" s="182" t="s">
        <v>8</v>
      </c>
      <c r="C203" s="183" t="s">
        <v>430</v>
      </c>
      <c r="D203" s="163"/>
      <c r="E203" s="170"/>
      <c r="F203" s="163"/>
      <c r="G203" s="163"/>
      <c r="H203" s="10" t="s">
        <v>27</v>
      </c>
      <c r="I203" s="331">
        <v>16.07</v>
      </c>
      <c r="J203" s="12"/>
    </row>
    <row r="204" spans="1:10" x14ac:dyDescent="0.35">
      <c r="A204" s="181"/>
      <c r="B204" s="182" t="s">
        <v>8</v>
      </c>
      <c r="C204" s="183" t="s">
        <v>431</v>
      </c>
      <c r="D204" s="163"/>
      <c r="G204" s="163"/>
      <c r="H204" s="10" t="s">
        <v>27</v>
      </c>
      <c r="I204" s="339">
        <v>14.62</v>
      </c>
      <c r="J204" s="12"/>
    </row>
    <row r="205" spans="1:10" x14ac:dyDescent="0.35">
      <c r="A205" s="181"/>
      <c r="B205" s="182" t="s">
        <v>8</v>
      </c>
      <c r="C205" s="183" t="s">
        <v>355</v>
      </c>
      <c r="D205" s="163"/>
      <c r="E205" s="170"/>
      <c r="F205" s="163"/>
      <c r="G205" s="163" t="str">
        <f t="shared" si="14"/>
        <v/>
      </c>
      <c r="H205" s="10" t="s">
        <v>61</v>
      </c>
      <c r="I205" s="331">
        <v>17.11</v>
      </c>
      <c r="J205" s="12">
        <f t="shared" si="17"/>
        <v>0</v>
      </c>
    </row>
    <row r="206" spans="1:10" x14ac:dyDescent="0.35">
      <c r="A206" s="181"/>
      <c r="B206" s="182" t="s">
        <v>8</v>
      </c>
      <c r="C206" s="183" t="s">
        <v>356</v>
      </c>
      <c r="D206" s="163"/>
      <c r="E206" s="170"/>
      <c r="F206" s="163"/>
      <c r="G206" s="163" t="str">
        <f t="shared" si="14"/>
        <v/>
      </c>
      <c r="H206" s="10" t="s">
        <v>61</v>
      </c>
      <c r="I206" s="331">
        <v>22.13</v>
      </c>
      <c r="J206" s="12">
        <f t="shared" si="17"/>
        <v>0</v>
      </c>
    </row>
    <row r="207" spans="1:10" x14ac:dyDescent="0.35">
      <c r="A207" s="181"/>
      <c r="B207" s="196" t="s">
        <v>8</v>
      </c>
      <c r="C207" s="197" t="s">
        <v>357</v>
      </c>
      <c r="D207" s="198"/>
      <c r="E207" s="170"/>
      <c r="F207" s="198"/>
      <c r="G207" s="163" t="str">
        <f t="shared" si="14"/>
        <v/>
      </c>
      <c r="H207" s="41" t="s">
        <v>61</v>
      </c>
      <c r="I207" s="334">
        <v>18.8</v>
      </c>
      <c r="J207" s="40">
        <f t="shared" si="17"/>
        <v>0</v>
      </c>
    </row>
    <row r="208" spans="1:10" ht="15.5" x14ac:dyDescent="0.35">
      <c r="A208" s="199" t="s">
        <v>358</v>
      </c>
      <c r="B208" s="178"/>
      <c r="C208" s="178"/>
      <c r="D208" s="178"/>
      <c r="E208" s="178"/>
      <c r="F208" s="178"/>
      <c r="G208" s="190" t="str">
        <f t="shared" si="14"/>
        <v/>
      </c>
      <c r="H208" s="117"/>
      <c r="I208" s="118" t="s">
        <v>18</v>
      </c>
      <c r="J208" s="119">
        <f>J209+J210+J211+J212+J213</f>
        <v>0</v>
      </c>
    </row>
    <row r="209" spans="1:10" x14ac:dyDescent="0.35">
      <c r="A209" s="181"/>
      <c r="B209" s="205" t="s">
        <v>11</v>
      </c>
      <c r="C209" s="304" t="s">
        <v>359</v>
      </c>
      <c r="D209" s="305"/>
      <c r="E209" s="300"/>
      <c r="F209" s="305"/>
      <c r="G209" s="198" t="str">
        <f t="shared" si="14"/>
        <v/>
      </c>
      <c r="H209" s="41" t="s">
        <v>52</v>
      </c>
      <c r="I209" s="334">
        <v>11.63</v>
      </c>
      <c r="J209" s="40">
        <f>E209*I209</f>
        <v>0</v>
      </c>
    </row>
    <row r="210" spans="1:10" x14ac:dyDescent="0.35">
      <c r="A210" s="181"/>
      <c r="B210" s="182" t="s">
        <v>11</v>
      </c>
      <c r="C210" s="183" t="s">
        <v>436</v>
      </c>
      <c r="D210" s="163"/>
      <c r="E210" s="170"/>
      <c r="F210" s="163"/>
      <c r="G210" s="163"/>
      <c r="H210" s="10" t="s">
        <v>52</v>
      </c>
      <c r="I210" s="331">
        <v>16.8</v>
      </c>
      <c r="J210" s="40">
        <f t="shared" ref="J210:J213" si="18">E210*I210</f>
        <v>0</v>
      </c>
    </row>
    <row r="211" spans="1:10" x14ac:dyDescent="0.35">
      <c r="A211" s="181"/>
      <c r="B211" s="182" t="s">
        <v>11</v>
      </c>
      <c r="C211" s="183" t="s">
        <v>437</v>
      </c>
      <c r="D211" s="163"/>
      <c r="E211" s="170"/>
      <c r="F211" s="163"/>
      <c r="G211" s="163"/>
      <c r="H211" s="10" t="s">
        <v>440</v>
      </c>
      <c r="I211" s="331">
        <v>9.35</v>
      </c>
      <c r="J211" s="40">
        <f>E211*I211</f>
        <v>0</v>
      </c>
    </row>
    <row r="212" spans="1:10" x14ac:dyDescent="0.35">
      <c r="A212" s="181"/>
      <c r="B212" s="182" t="s">
        <v>11</v>
      </c>
      <c r="C212" s="183" t="s">
        <v>438</v>
      </c>
      <c r="D212" s="163"/>
      <c r="E212" s="170"/>
      <c r="F212" s="163"/>
      <c r="G212" s="163"/>
      <c r="H212" s="10" t="s">
        <v>52</v>
      </c>
      <c r="I212" s="331">
        <v>87</v>
      </c>
      <c r="J212" s="40">
        <f t="shared" si="18"/>
        <v>0</v>
      </c>
    </row>
    <row r="213" spans="1:10" x14ac:dyDescent="0.35">
      <c r="A213" s="181"/>
      <c r="B213" s="182" t="s">
        <v>11</v>
      </c>
      <c r="C213" s="183" t="s">
        <v>439</v>
      </c>
      <c r="D213" s="163"/>
      <c r="E213" s="170"/>
      <c r="F213" s="163"/>
      <c r="G213" s="163"/>
      <c r="H213" s="10" t="s">
        <v>52</v>
      </c>
      <c r="I213" s="331">
        <v>55</v>
      </c>
      <c r="J213" s="40">
        <f t="shared" si="18"/>
        <v>0</v>
      </c>
    </row>
    <row r="214" spans="1:10" ht="15.5" x14ac:dyDescent="0.35">
      <c r="A214" s="162" t="s">
        <v>360</v>
      </c>
      <c r="B214" s="162"/>
      <c r="C214" s="162"/>
      <c r="D214" s="162"/>
      <c r="E214" s="162"/>
      <c r="F214" s="162"/>
      <c r="G214" s="312" t="str">
        <f t="shared" si="14"/>
        <v/>
      </c>
      <c r="H214" s="108"/>
      <c r="I214" s="106" t="s">
        <v>18</v>
      </c>
      <c r="J214" s="107">
        <f>SUM(J215:J216)</f>
        <v>0</v>
      </c>
    </row>
    <row r="215" spans="1:10" x14ac:dyDescent="0.35">
      <c r="A215" s="181"/>
      <c r="B215" s="182" t="s">
        <v>12</v>
      </c>
      <c r="C215" s="183" t="s">
        <v>70</v>
      </c>
      <c r="D215" s="163"/>
      <c r="E215" s="170"/>
      <c r="F215" s="163"/>
      <c r="G215" s="163" t="str">
        <f t="shared" si="14"/>
        <v/>
      </c>
      <c r="H215" s="10" t="s">
        <v>27</v>
      </c>
      <c r="I215" s="331">
        <v>20.7</v>
      </c>
      <c r="J215" s="12">
        <f>+E215*I215</f>
        <v>0</v>
      </c>
    </row>
    <row r="216" spans="1:10" x14ac:dyDescent="0.35">
      <c r="A216" s="181"/>
      <c r="B216" s="182" t="s">
        <v>12</v>
      </c>
      <c r="C216" s="183" t="s">
        <v>71</v>
      </c>
      <c r="D216" s="163"/>
      <c r="E216" s="170"/>
      <c r="F216" s="163"/>
      <c r="G216" s="163" t="str">
        <f t="shared" si="14"/>
        <v/>
      </c>
      <c r="H216" s="10" t="s">
        <v>27</v>
      </c>
      <c r="I216" s="331">
        <v>13.7</v>
      </c>
      <c r="J216" s="12">
        <f>+E216*I216</f>
        <v>0</v>
      </c>
    </row>
    <row r="217" spans="1:10" ht="15.5" x14ac:dyDescent="0.35">
      <c r="A217" s="162" t="s">
        <v>361</v>
      </c>
      <c r="B217" s="162"/>
      <c r="C217" s="162"/>
      <c r="D217" s="162"/>
      <c r="E217" s="162"/>
      <c r="F217" s="162"/>
      <c r="G217" s="190" t="str">
        <f t="shared" si="14"/>
        <v/>
      </c>
      <c r="H217" s="108"/>
      <c r="I217" s="106" t="s">
        <v>18</v>
      </c>
      <c r="J217" s="107">
        <f>SUM(J218:J221)</f>
        <v>0</v>
      </c>
    </row>
    <row r="218" spans="1:10" x14ac:dyDescent="0.35">
      <c r="A218" s="181"/>
      <c r="B218" s="182" t="s">
        <v>10</v>
      </c>
      <c r="C218" s="183" t="s">
        <v>362</v>
      </c>
      <c r="D218" s="163"/>
      <c r="E218" s="170"/>
      <c r="F218" s="163"/>
      <c r="G218" s="163" t="str">
        <f t="shared" si="14"/>
        <v/>
      </c>
      <c r="H218" s="10" t="s">
        <v>20</v>
      </c>
      <c r="I218" s="331">
        <v>11.08</v>
      </c>
      <c r="J218" s="12">
        <f>E218*I218</f>
        <v>0</v>
      </c>
    </row>
    <row r="219" spans="1:10" x14ac:dyDescent="0.35">
      <c r="A219" s="181"/>
      <c r="B219" s="182" t="s">
        <v>10</v>
      </c>
      <c r="C219" s="183" t="s">
        <v>363</v>
      </c>
      <c r="D219" s="163"/>
      <c r="E219" s="170"/>
      <c r="F219" s="163"/>
      <c r="G219" s="163" t="str">
        <f t="shared" si="14"/>
        <v/>
      </c>
      <c r="H219" s="10" t="s">
        <v>27</v>
      </c>
      <c r="I219" s="331">
        <v>16.21</v>
      </c>
      <c r="J219" s="12">
        <f>E219*I219</f>
        <v>0</v>
      </c>
    </row>
    <row r="220" spans="1:10" x14ac:dyDescent="0.35">
      <c r="A220" s="181"/>
      <c r="B220" s="182" t="s">
        <v>10</v>
      </c>
      <c r="C220" s="183" t="s">
        <v>364</v>
      </c>
      <c r="D220" s="163"/>
      <c r="E220" s="170"/>
      <c r="F220" s="163"/>
      <c r="G220" s="163" t="str">
        <f t="shared" si="14"/>
        <v/>
      </c>
      <c r="H220" s="10" t="s">
        <v>27</v>
      </c>
      <c r="I220" s="331">
        <v>19.350000000000001</v>
      </c>
      <c r="J220" s="12">
        <f>E220*I220</f>
        <v>0</v>
      </c>
    </row>
    <row r="221" spans="1:10" x14ac:dyDescent="0.35">
      <c r="A221" s="181"/>
      <c r="B221" s="182" t="s">
        <v>10</v>
      </c>
      <c r="C221" s="183" t="s">
        <v>365</v>
      </c>
      <c r="D221" s="163"/>
      <c r="E221" s="170"/>
      <c r="F221" s="163"/>
      <c r="G221" s="163" t="str">
        <f t="shared" si="14"/>
        <v/>
      </c>
      <c r="H221" s="10" t="s">
        <v>27</v>
      </c>
      <c r="I221" s="331">
        <v>19.809999999999999</v>
      </c>
      <c r="J221" s="12">
        <f>E221*I221</f>
        <v>0</v>
      </c>
    </row>
    <row r="222" spans="1:10" ht="15.5" x14ac:dyDescent="0.35">
      <c r="A222" s="162" t="s">
        <v>366</v>
      </c>
      <c r="B222" s="162"/>
      <c r="C222" s="162"/>
      <c r="D222" s="162"/>
      <c r="E222" s="162"/>
      <c r="F222" s="162"/>
      <c r="G222" s="190" t="str">
        <f t="shared" si="14"/>
        <v/>
      </c>
      <c r="H222" s="108"/>
      <c r="I222" s="106" t="s">
        <v>18</v>
      </c>
      <c r="J222" s="107">
        <f>J223</f>
        <v>0</v>
      </c>
    </row>
    <row r="223" spans="1:10" x14ac:dyDescent="0.35">
      <c r="A223" s="181"/>
      <c r="B223" s="182" t="s">
        <v>28</v>
      </c>
      <c r="C223" s="183" t="s">
        <v>29</v>
      </c>
      <c r="D223" s="206"/>
      <c r="E223" s="170"/>
      <c r="F223" s="206"/>
      <c r="G223" s="163" t="str">
        <f t="shared" si="14"/>
        <v/>
      </c>
      <c r="H223" s="10" t="s">
        <v>54</v>
      </c>
      <c r="I223" s="331">
        <v>104</v>
      </c>
      <c r="J223" s="12">
        <f>I223*E223</f>
        <v>0</v>
      </c>
    </row>
    <row r="224" spans="1:10" ht="15.5" x14ac:dyDescent="0.35">
      <c r="A224" s="162" t="s">
        <v>367</v>
      </c>
      <c r="B224" s="162"/>
      <c r="C224" s="162"/>
      <c r="D224" s="162"/>
      <c r="E224" s="162"/>
      <c r="F224" s="162"/>
      <c r="G224" s="190" t="str">
        <f t="shared" ref="G224:G259" si="19">IF(D224-E224&gt;0,D224-E224,"")</f>
        <v/>
      </c>
      <c r="H224" s="108"/>
      <c r="I224" s="106" t="s">
        <v>18</v>
      </c>
      <c r="J224" s="115">
        <f>SUM(J225:J244)</f>
        <v>0</v>
      </c>
    </row>
    <row r="225" spans="1:10" x14ac:dyDescent="0.35">
      <c r="A225" s="181"/>
      <c r="B225" s="182" t="s">
        <v>9</v>
      </c>
      <c r="C225" s="183" t="s">
        <v>423</v>
      </c>
      <c r="D225" s="163"/>
      <c r="E225" s="170"/>
      <c r="F225" s="163"/>
      <c r="G225" s="163" t="str">
        <f t="shared" si="19"/>
        <v/>
      </c>
      <c r="H225" s="10" t="s">
        <v>20</v>
      </c>
      <c r="I225" s="331">
        <v>78</v>
      </c>
      <c r="J225" s="50">
        <f t="shared" ref="J225:J244" si="20">E225*I225</f>
        <v>0</v>
      </c>
    </row>
    <row r="226" spans="1:10" x14ac:dyDescent="0.35">
      <c r="A226" s="181"/>
      <c r="B226" s="182" t="s">
        <v>9</v>
      </c>
      <c r="C226" s="183" t="s">
        <v>424</v>
      </c>
      <c r="D226" s="163"/>
      <c r="E226" s="170"/>
      <c r="F226" s="163"/>
      <c r="G226" s="163" t="str">
        <f t="shared" si="19"/>
        <v/>
      </c>
      <c r="H226" s="10" t="s">
        <v>61</v>
      </c>
      <c r="I226" s="340">
        <v>107.12</v>
      </c>
      <c r="J226" s="50">
        <f t="shared" si="20"/>
        <v>0</v>
      </c>
    </row>
    <row r="227" spans="1:10" x14ac:dyDescent="0.35">
      <c r="A227" s="181"/>
      <c r="B227" s="182" t="s">
        <v>9</v>
      </c>
      <c r="C227" s="183" t="s">
        <v>369</v>
      </c>
      <c r="D227" s="163"/>
      <c r="E227" s="170"/>
      <c r="F227" s="163"/>
      <c r="G227" s="163" t="str">
        <f t="shared" si="19"/>
        <v/>
      </c>
      <c r="H227" s="10" t="s">
        <v>20</v>
      </c>
      <c r="I227" s="331">
        <v>0.04</v>
      </c>
      <c r="J227" s="50">
        <f t="shared" si="20"/>
        <v>0</v>
      </c>
    </row>
    <row r="228" spans="1:10" x14ac:dyDescent="0.35">
      <c r="A228" s="181"/>
      <c r="B228" s="182" t="s">
        <v>9</v>
      </c>
      <c r="C228" s="183" t="s">
        <v>370</v>
      </c>
      <c r="D228" s="163"/>
      <c r="E228" s="170"/>
      <c r="F228" s="163"/>
      <c r="G228" s="163" t="str">
        <f t="shared" si="19"/>
        <v/>
      </c>
      <c r="H228" s="10" t="s">
        <v>20</v>
      </c>
      <c r="I228" s="331">
        <v>7.0999999999999994E-2</v>
      </c>
      <c r="J228" s="50">
        <f t="shared" si="20"/>
        <v>0</v>
      </c>
    </row>
    <row r="229" spans="1:10" x14ac:dyDescent="0.35">
      <c r="A229" s="181"/>
      <c r="B229" s="182" t="s">
        <v>9</v>
      </c>
      <c r="C229" s="183" t="s">
        <v>411</v>
      </c>
      <c r="D229" s="163"/>
      <c r="E229" s="170"/>
      <c r="F229" s="163"/>
      <c r="G229" s="163"/>
      <c r="H229" s="10" t="s">
        <v>20</v>
      </c>
      <c r="I229" s="331">
        <v>1.97</v>
      </c>
      <c r="J229" s="50"/>
    </row>
    <row r="230" spans="1:10" x14ac:dyDescent="0.35">
      <c r="A230" s="181"/>
      <c r="B230" s="182" t="s">
        <v>9</v>
      </c>
      <c r="C230" s="183" t="s">
        <v>371</v>
      </c>
      <c r="D230" s="163"/>
      <c r="E230" s="170"/>
      <c r="F230" s="163"/>
      <c r="G230" s="163" t="str">
        <f t="shared" si="19"/>
        <v/>
      </c>
      <c r="H230" s="10" t="s">
        <v>61</v>
      </c>
      <c r="I230" s="331">
        <v>163.80000000000001</v>
      </c>
      <c r="J230" s="50">
        <f t="shared" si="20"/>
        <v>0</v>
      </c>
    </row>
    <row r="231" spans="1:10" x14ac:dyDescent="0.35">
      <c r="A231" s="181"/>
      <c r="B231" s="182" t="s">
        <v>9</v>
      </c>
      <c r="C231" s="183" t="s">
        <v>410</v>
      </c>
      <c r="D231" s="207"/>
      <c r="E231" s="170"/>
      <c r="F231" s="207"/>
      <c r="G231" s="163" t="str">
        <f t="shared" si="19"/>
        <v/>
      </c>
      <c r="H231" s="10" t="s">
        <v>61</v>
      </c>
      <c r="I231" s="331">
        <v>49.33</v>
      </c>
      <c r="J231" s="50">
        <f t="shared" si="20"/>
        <v>0</v>
      </c>
    </row>
    <row r="232" spans="1:10" x14ac:dyDescent="0.35">
      <c r="A232" s="181"/>
      <c r="B232" s="182" t="s">
        <v>9</v>
      </c>
      <c r="C232" s="183" t="s">
        <v>373</v>
      </c>
      <c r="D232" s="208"/>
      <c r="E232" s="170"/>
      <c r="F232" s="208"/>
      <c r="G232" s="163" t="str">
        <f t="shared" si="19"/>
        <v/>
      </c>
      <c r="H232" s="10" t="s">
        <v>61</v>
      </c>
      <c r="I232" s="331">
        <v>105.6</v>
      </c>
      <c r="J232" s="50">
        <f t="shared" si="20"/>
        <v>0</v>
      </c>
    </row>
    <row r="233" spans="1:10" x14ac:dyDescent="0.35">
      <c r="A233" s="181"/>
      <c r="B233" s="182" t="s">
        <v>9</v>
      </c>
      <c r="C233" s="183" t="s">
        <v>374</v>
      </c>
      <c r="D233" s="208"/>
      <c r="E233" s="170"/>
      <c r="F233" s="208"/>
      <c r="G233" s="163" t="str">
        <f t="shared" si="19"/>
        <v/>
      </c>
      <c r="H233" s="10" t="s">
        <v>61</v>
      </c>
      <c r="I233" s="331">
        <v>114.75</v>
      </c>
      <c r="J233" s="50">
        <f t="shared" si="20"/>
        <v>0</v>
      </c>
    </row>
    <row r="234" spans="1:10" x14ac:dyDescent="0.35">
      <c r="A234" s="181"/>
      <c r="B234" s="182" t="s">
        <v>9</v>
      </c>
      <c r="C234" s="183" t="s">
        <v>375</v>
      </c>
      <c r="D234" s="163"/>
      <c r="E234" s="170"/>
      <c r="F234" s="163"/>
      <c r="G234" s="163" t="str">
        <f t="shared" si="19"/>
        <v/>
      </c>
      <c r="H234" s="10" t="s">
        <v>61</v>
      </c>
      <c r="I234" s="331">
        <v>105.55</v>
      </c>
      <c r="J234" s="50">
        <f t="shared" si="20"/>
        <v>0</v>
      </c>
    </row>
    <row r="235" spans="1:10" x14ac:dyDescent="0.35">
      <c r="A235" s="181"/>
      <c r="B235" s="182" t="s">
        <v>9</v>
      </c>
      <c r="C235" s="183" t="s">
        <v>376</v>
      </c>
      <c r="D235" s="163"/>
      <c r="E235" s="170"/>
      <c r="F235" s="163"/>
      <c r="G235" s="163" t="str">
        <f t="shared" si="19"/>
        <v/>
      </c>
      <c r="H235" s="10" t="s">
        <v>61</v>
      </c>
      <c r="I235" s="331">
        <v>33.25</v>
      </c>
      <c r="J235" s="50">
        <f t="shared" si="20"/>
        <v>0</v>
      </c>
    </row>
    <row r="236" spans="1:10" x14ac:dyDescent="0.35">
      <c r="A236" s="181"/>
      <c r="B236" s="182" t="s">
        <v>9</v>
      </c>
      <c r="C236" s="183" t="s">
        <v>377</v>
      </c>
      <c r="D236" s="163"/>
      <c r="E236" s="170"/>
      <c r="F236" s="163"/>
      <c r="G236" s="163" t="str">
        <f t="shared" si="19"/>
        <v/>
      </c>
      <c r="H236" s="10" t="s">
        <v>20</v>
      </c>
      <c r="I236" s="331">
        <v>0.28999999999999998</v>
      </c>
      <c r="J236" s="50">
        <f t="shared" si="20"/>
        <v>0</v>
      </c>
    </row>
    <row r="237" spans="1:10" x14ac:dyDescent="0.35">
      <c r="A237" s="181"/>
      <c r="B237" s="182" t="s">
        <v>9</v>
      </c>
      <c r="C237" s="183" t="s">
        <v>378</v>
      </c>
      <c r="D237" s="163"/>
      <c r="E237" s="170"/>
      <c r="F237" s="163"/>
      <c r="G237" s="163" t="str">
        <f t="shared" si="19"/>
        <v/>
      </c>
      <c r="H237" s="10" t="s">
        <v>61</v>
      </c>
      <c r="I237" s="336">
        <v>37.85</v>
      </c>
      <c r="J237" s="50">
        <f t="shared" si="20"/>
        <v>0</v>
      </c>
    </row>
    <row r="238" spans="1:10" x14ac:dyDescent="0.35">
      <c r="A238" s="181"/>
      <c r="B238" s="182" t="s">
        <v>9</v>
      </c>
      <c r="C238" s="183" t="s">
        <v>425</v>
      </c>
      <c r="D238" s="163"/>
      <c r="E238" s="170"/>
      <c r="F238" s="163"/>
      <c r="G238" s="163" t="str">
        <f t="shared" si="19"/>
        <v/>
      </c>
      <c r="H238" s="10" t="s">
        <v>61</v>
      </c>
      <c r="I238" s="336">
        <v>111.47</v>
      </c>
      <c r="J238" s="50">
        <f t="shared" si="20"/>
        <v>0</v>
      </c>
    </row>
    <row r="239" spans="1:10" x14ac:dyDescent="0.35">
      <c r="A239" s="181"/>
      <c r="B239" s="182" t="s">
        <v>9</v>
      </c>
      <c r="C239" s="183" t="s">
        <v>379</v>
      </c>
      <c r="D239" s="163"/>
      <c r="E239" s="170"/>
      <c r="F239" s="163"/>
      <c r="G239" s="163" t="str">
        <f t="shared" si="19"/>
        <v/>
      </c>
      <c r="H239" s="10" t="s">
        <v>61</v>
      </c>
      <c r="I239" s="336">
        <v>174.97</v>
      </c>
      <c r="J239" s="50">
        <f t="shared" si="20"/>
        <v>0</v>
      </c>
    </row>
    <row r="240" spans="1:10" x14ac:dyDescent="0.35">
      <c r="A240" s="181"/>
      <c r="B240" s="182" t="s">
        <v>9</v>
      </c>
      <c r="C240" s="183" t="s">
        <v>380</v>
      </c>
      <c r="D240" s="163"/>
      <c r="E240" s="170"/>
      <c r="F240" s="163"/>
      <c r="G240" s="163" t="str">
        <f t="shared" si="19"/>
        <v/>
      </c>
      <c r="H240" s="10" t="s">
        <v>61</v>
      </c>
      <c r="I240" s="336">
        <v>44.93</v>
      </c>
      <c r="J240" s="50">
        <f t="shared" si="20"/>
        <v>0</v>
      </c>
    </row>
    <row r="241" spans="1:10" x14ac:dyDescent="0.35">
      <c r="A241" s="181"/>
      <c r="B241" s="182" t="s">
        <v>9</v>
      </c>
      <c r="C241" s="183" t="s">
        <v>426</v>
      </c>
      <c r="D241" s="163"/>
      <c r="E241" s="170"/>
      <c r="F241" s="163"/>
      <c r="G241" s="163" t="str">
        <f t="shared" si="19"/>
        <v/>
      </c>
      <c r="H241" s="10" t="s">
        <v>20</v>
      </c>
      <c r="I241" s="336">
        <v>29.2</v>
      </c>
      <c r="J241" s="50">
        <f t="shared" si="20"/>
        <v>0</v>
      </c>
    </row>
    <row r="242" spans="1:10" x14ac:dyDescent="0.35">
      <c r="A242" s="181"/>
      <c r="B242" s="182" t="s">
        <v>9</v>
      </c>
      <c r="C242" s="183" t="s">
        <v>427</v>
      </c>
      <c r="D242" s="163"/>
      <c r="E242" s="170"/>
      <c r="F242" s="163"/>
      <c r="G242" s="163" t="str">
        <f t="shared" si="19"/>
        <v/>
      </c>
      <c r="H242" s="10" t="s">
        <v>20</v>
      </c>
      <c r="I242" s="336">
        <v>19.03</v>
      </c>
      <c r="J242" s="50">
        <f t="shared" si="20"/>
        <v>0</v>
      </c>
    </row>
    <row r="243" spans="1:10" x14ac:dyDescent="0.35">
      <c r="A243" s="181"/>
      <c r="B243" s="182" t="s">
        <v>9</v>
      </c>
      <c r="C243" s="183" t="s">
        <v>428</v>
      </c>
      <c r="D243" s="163"/>
      <c r="E243" s="170"/>
      <c r="F243" s="163"/>
      <c r="G243" s="163" t="str">
        <f t="shared" si="19"/>
        <v/>
      </c>
      <c r="H243" s="10" t="s">
        <v>20</v>
      </c>
      <c r="I243" s="336">
        <v>8.4600000000000009</v>
      </c>
      <c r="J243" s="50">
        <f t="shared" si="20"/>
        <v>0</v>
      </c>
    </row>
    <row r="244" spans="1:10" x14ac:dyDescent="0.35">
      <c r="A244" s="181"/>
      <c r="B244" s="182" t="s">
        <v>9</v>
      </c>
      <c r="C244" s="183" t="s">
        <v>381</v>
      </c>
      <c r="D244" s="163"/>
      <c r="E244" s="170"/>
      <c r="F244" s="163"/>
      <c r="G244" s="163" t="str">
        <f t="shared" si="19"/>
        <v/>
      </c>
      <c r="H244" s="10" t="s">
        <v>20</v>
      </c>
      <c r="I244" s="336">
        <v>0.02</v>
      </c>
      <c r="J244" s="50">
        <f t="shared" si="20"/>
        <v>0</v>
      </c>
    </row>
    <row r="245" spans="1:10" ht="15.5" x14ac:dyDescent="0.35">
      <c r="A245" s="162" t="s">
        <v>382</v>
      </c>
      <c r="B245" s="162"/>
      <c r="C245" s="162"/>
      <c r="D245" s="162"/>
      <c r="E245" s="162"/>
      <c r="F245" s="162"/>
      <c r="G245" s="190" t="str">
        <f t="shared" si="19"/>
        <v/>
      </c>
      <c r="H245" s="108"/>
      <c r="I245" s="106" t="s">
        <v>18</v>
      </c>
      <c r="J245" s="107">
        <f>SUM(J246:J256)</f>
        <v>0</v>
      </c>
    </row>
    <row r="246" spans="1:10" x14ac:dyDescent="0.35">
      <c r="A246" s="181"/>
      <c r="B246" s="182" t="s">
        <v>31</v>
      </c>
      <c r="C246" s="183" t="s">
        <v>383</v>
      </c>
      <c r="D246" s="163"/>
      <c r="E246" s="170"/>
      <c r="F246" s="163"/>
      <c r="G246" s="163" t="str">
        <f t="shared" si="19"/>
        <v/>
      </c>
      <c r="H246" s="10" t="s">
        <v>20</v>
      </c>
      <c r="I246" s="331">
        <v>5.5</v>
      </c>
      <c r="J246" s="12">
        <f t="shared" ref="J246:J256" si="21">E246*I246</f>
        <v>0</v>
      </c>
    </row>
    <row r="247" spans="1:10" x14ac:dyDescent="0.35">
      <c r="A247" s="181"/>
      <c r="B247" s="182" t="s">
        <v>31</v>
      </c>
      <c r="C247" s="183" t="s">
        <v>39</v>
      </c>
      <c r="D247" s="163"/>
      <c r="E247" s="170"/>
      <c r="F247" s="163"/>
      <c r="G247" s="163" t="str">
        <f t="shared" si="19"/>
        <v/>
      </c>
      <c r="H247" s="10" t="s">
        <v>20</v>
      </c>
      <c r="I247" s="331">
        <v>4.55</v>
      </c>
      <c r="J247" s="12">
        <f t="shared" si="21"/>
        <v>0</v>
      </c>
    </row>
    <row r="248" spans="1:10" x14ac:dyDescent="0.35">
      <c r="A248" s="181"/>
      <c r="B248" s="182" t="s">
        <v>31</v>
      </c>
      <c r="C248" s="183" t="s">
        <v>422</v>
      </c>
      <c r="D248" s="163"/>
      <c r="E248" s="170"/>
      <c r="F248" s="163"/>
      <c r="G248" s="163" t="str">
        <f t="shared" si="19"/>
        <v/>
      </c>
      <c r="H248" s="10" t="s">
        <v>20</v>
      </c>
      <c r="I248" s="331">
        <v>3.7</v>
      </c>
      <c r="J248" s="12">
        <f t="shared" si="21"/>
        <v>0</v>
      </c>
    </row>
    <row r="249" spans="1:10" x14ac:dyDescent="0.35">
      <c r="A249" s="181"/>
      <c r="B249" s="182" t="s">
        <v>31</v>
      </c>
      <c r="C249" s="183" t="s">
        <v>67</v>
      </c>
      <c r="D249" s="163"/>
      <c r="E249" s="170"/>
      <c r="F249" s="163"/>
      <c r="G249" s="163" t="str">
        <f t="shared" si="19"/>
        <v/>
      </c>
      <c r="H249" s="10" t="s">
        <v>20</v>
      </c>
      <c r="I249" s="331">
        <v>15.56</v>
      </c>
      <c r="J249" s="12">
        <f t="shared" si="21"/>
        <v>0</v>
      </c>
    </row>
    <row r="250" spans="1:10" x14ac:dyDescent="0.35">
      <c r="A250" s="181"/>
      <c r="B250" s="182" t="s">
        <v>31</v>
      </c>
      <c r="C250" s="183" t="s">
        <v>384</v>
      </c>
      <c r="D250" s="163"/>
      <c r="E250" s="170"/>
      <c r="F250" s="163"/>
      <c r="G250" s="163" t="str">
        <f t="shared" si="19"/>
        <v/>
      </c>
      <c r="H250" s="10" t="s">
        <v>20</v>
      </c>
      <c r="I250" s="331">
        <v>0.8</v>
      </c>
      <c r="J250" s="12">
        <f t="shared" si="21"/>
        <v>0</v>
      </c>
    </row>
    <row r="251" spans="1:10" x14ac:dyDescent="0.35">
      <c r="A251" s="181"/>
      <c r="B251" s="182" t="s">
        <v>31</v>
      </c>
      <c r="C251" s="183" t="s">
        <v>385</v>
      </c>
      <c r="D251" s="163"/>
      <c r="E251" s="170"/>
      <c r="F251" s="163"/>
      <c r="G251" s="163" t="str">
        <f t="shared" si="19"/>
        <v/>
      </c>
      <c r="H251" s="10" t="s">
        <v>20</v>
      </c>
      <c r="I251" s="331">
        <v>1.83</v>
      </c>
      <c r="J251" s="12">
        <f t="shared" si="21"/>
        <v>0</v>
      </c>
    </row>
    <row r="252" spans="1:10" x14ac:dyDescent="0.35">
      <c r="A252" s="181"/>
      <c r="B252" s="182" t="s">
        <v>31</v>
      </c>
      <c r="C252" s="183" t="s">
        <v>386</v>
      </c>
      <c r="D252" s="163"/>
      <c r="E252" s="170"/>
      <c r="F252" s="163"/>
      <c r="G252" s="163" t="str">
        <f t="shared" si="19"/>
        <v/>
      </c>
      <c r="H252" s="10" t="s">
        <v>20</v>
      </c>
      <c r="I252" s="331">
        <v>2.65</v>
      </c>
      <c r="J252" s="12">
        <f t="shared" si="21"/>
        <v>0</v>
      </c>
    </row>
    <row r="253" spans="1:10" x14ac:dyDescent="0.35">
      <c r="A253" s="181"/>
      <c r="B253" s="182" t="s">
        <v>31</v>
      </c>
      <c r="C253" s="183" t="s">
        <v>65</v>
      </c>
      <c r="D253" s="163"/>
      <c r="E253" s="170"/>
      <c r="F253" s="163"/>
      <c r="G253" s="163" t="str">
        <f t="shared" si="19"/>
        <v/>
      </c>
      <c r="H253" s="10" t="s">
        <v>20</v>
      </c>
      <c r="I253" s="331">
        <v>13.43</v>
      </c>
      <c r="J253" s="12">
        <f t="shared" si="21"/>
        <v>0</v>
      </c>
    </row>
    <row r="254" spans="1:10" x14ac:dyDescent="0.35">
      <c r="A254" s="181"/>
      <c r="B254" s="182" t="s">
        <v>31</v>
      </c>
      <c r="C254" s="183" t="s">
        <v>66</v>
      </c>
      <c r="D254" s="163"/>
      <c r="E254" s="170"/>
      <c r="F254" s="163"/>
      <c r="G254" s="163" t="str">
        <f t="shared" si="19"/>
        <v/>
      </c>
      <c r="H254" s="10" t="s">
        <v>20</v>
      </c>
      <c r="I254" s="331">
        <v>75.38</v>
      </c>
      <c r="J254" s="12">
        <f t="shared" si="21"/>
        <v>0</v>
      </c>
    </row>
    <row r="255" spans="1:10" x14ac:dyDescent="0.35">
      <c r="A255" s="181"/>
      <c r="B255" s="182" t="s">
        <v>31</v>
      </c>
      <c r="C255" s="183" t="s">
        <v>412</v>
      </c>
      <c r="D255" s="163"/>
      <c r="E255" s="170"/>
      <c r="F255" s="163"/>
      <c r="G255" s="163" t="str">
        <f t="shared" si="19"/>
        <v/>
      </c>
      <c r="H255" s="10" t="s">
        <v>20</v>
      </c>
      <c r="I255" s="331">
        <v>8.43</v>
      </c>
      <c r="J255" s="12">
        <f t="shared" si="21"/>
        <v>0</v>
      </c>
    </row>
    <row r="256" spans="1:10" x14ac:dyDescent="0.35">
      <c r="A256" s="181"/>
      <c r="B256" s="182" t="s">
        <v>31</v>
      </c>
      <c r="C256" s="183" t="s">
        <v>69</v>
      </c>
      <c r="D256" s="163"/>
      <c r="E256" s="170"/>
      <c r="F256" s="163"/>
      <c r="G256" s="163" t="str">
        <f t="shared" si="19"/>
        <v/>
      </c>
      <c r="H256" s="10" t="s">
        <v>63</v>
      </c>
      <c r="I256" s="331">
        <v>3.5</v>
      </c>
      <c r="J256" s="12">
        <f t="shared" si="21"/>
        <v>0</v>
      </c>
    </row>
    <row r="257" spans="1:10" ht="15.5" x14ac:dyDescent="0.35">
      <c r="A257" s="162" t="s">
        <v>57</v>
      </c>
      <c r="B257" s="162"/>
      <c r="C257" s="162"/>
      <c r="D257" s="162"/>
      <c r="E257" s="162"/>
      <c r="F257" s="162"/>
      <c r="G257" s="190"/>
      <c r="H257" s="108"/>
      <c r="I257" s="106" t="s">
        <v>18</v>
      </c>
      <c r="J257" s="107">
        <f>SUM(J258:J259)</f>
        <v>0</v>
      </c>
    </row>
    <row r="258" spans="1:10" x14ac:dyDescent="0.35">
      <c r="A258" s="181"/>
      <c r="B258" s="182" t="s">
        <v>56</v>
      </c>
      <c r="C258" s="183" t="s">
        <v>58</v>
      </c>
      <c r="D258" s="163"/>
      <c r="E258" s="170"/>
      <c r="F258" s="163"/>
      <c r="G258" s="163" t="str">
        <f t="shared" si="19"/>
        <v/>
      </c>
      <c r="H258" s="10" t="s">
        <v>20</v>
      </c>
      <c r="I258" s="331">
        <v>54.05</v>
      </c>
      <c r="J258" s="12">
        <f>E258*I258</f>
        <v>0</v>
      </c>
    </row>
    <row r="259" spans="1:10" x14ac:dyDescent="0.35">
      <c r="A259" s="181"/>
      <c r="B259" s="182" t="s">
        <v>56</v>
      </c>
      <c r="C259" s="183" t="s">
        <v>388</v>
      </c>
      <c r="D259" s="163"/>
      <c r="E259" s="170"/>
      <c r="F259" s="163"/>
      <c r="G259" s="163" t="str">
        <f t="shared" si="19"/>
        <v/>
      </c>
      <c r="H259" s="10" t="s">
        <v>20</v>
      </c>
      <c r="I259" s="331">
        <v>0</v>
      </c>
      <c r="J259" s="12">
        <f>E259*I259</f>
        <v>0</v>
      </c>
    </row>
  </sheetData>
  <mergeCells count="3">
    <mergeCell ref="K44:L44"/>
    <mergeCell ref="B1:C1"/>
    <mergeCell ref="B2:C2"/>
  </mergeCells>
  <pageMargins left="0.7" right="0.7" top="0.75" bottom="0.75" header="0.3" footer="0.3"/>
  <pageSetup paperSize="9" scale="73" fitToHeight="0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68A5D-DC3D-B345-A57D-78EA9EB60169}">
  <sheetPr codeName="Feuil19">
    <tabColor theme="8" tint="0.39997558519241921"/>
    <pageSetUpPr fitToPage="1"/>
  </sheetPr>
  <dimension ref="A1:N259"/>
  <sheetViews>
    <sheetView topLeftCell="A210" zoomScaleNormal="100" workbookViewId="0">
      <selection activeCell="J209" sqref="J209"/>
    </sheetView>
  </sheetViews>
  <sheetFormatPr baseColWidth="10" defaultColWidth="8.453125" defaultRowHeight="14.5" x14ac:dyDescent="0.35"/>
  <cols>
    <col min="1" max="1" width="2.54296875" customWidth="1"/>
    <col min="2" max="2" width="32.26953125" customWidth="1"/>
    <col min="3" max="3" width="44.54296875" bestFit="1" customWidth="1"/>
    <col min="4" max="4" width="19.7265625" bestFit="1" customWidth="1"/>
    <col min="5" max="5" width="18.81640625" style="34" bestFit="1" customWidth="1"/>
    <col min="6" max="6" width="18.26953125" hidden="1" customWidth="1"/>
    <col min="7" max="7" width="14" bestFit="1" customWidth="1"/>
    <col min="8" max="8" width="6.81640625" bestFit="1" customWidth="1"/>
    <col min="9" max="9" width="8.453125" style="86" bestFit="1" customWidth="1"/>
    <col min="10" max="10" width="7.1796875" customWidth="1"/>
  </cols>
  <sheetData>
    <row r="1" spans="2:7" ht="15" thickBot="1" x14ac:dyDescent="0.4">
      <c r="B1" s="321" t="s">
        <v>198</v>
      </c>
      <c r="C1" s="322"/>
      <c r="F1" s="89"/>
      <c r="G1" s="89"/>
    </row>
    <row r="2" spans="2:7" ht="15" thickBot="1" x14ac:dyDescent="0.4">
      <c r="B2" s="319"/>
      <c r="C2" s="320"/>
      <c r="F2" s="90"/>
      <c r="G2" s="90"/>
    </row>
    <row r="3" spans="2:7" x14ac:dyDescent="0.35">
      <c r="B3" s="75"/>
      <c r="C3" s="75"/>
      <c r="F3" s="75"/>
      <c r="G3" s="75"/>
    </row>
    <row r="4" spans="2:7" ht="15.5" x14ac:dyDescent="0.35">
      <c r="B4" s="70" t="s">
        <v>0</v>
      </c>
      <c r="C4" s="70" t="s">
        <v>1</v>
      </c>
      <c r="F4" s="91"/>
      <c r="G4" s="91"/>
    </row>
    <row r="5" spans="2:7" x14ac:dyDescent="0.35">
      <c r="B5" s="71" t="s">
        <v>2</v>
      </c>
      <c r="C5" s="72">
        <f>J23</f>
        <v>187.3</v>
      </c>
      <c r="F5" s="92"/>
      <c r="G5" s="92"/>
    </row>
    <row r="6" spans="2:7" x14ac:dyDescent="0.35">
      <c r="B6" s="71" t="s">
        <v>7</v>
      </c>
      <c r="C6" s="72">
        <f>J4</f>
        <v>0</v>
      </c>
      <c r="F6" s="92"/>
      <c r="G6" s="92"/>
    </row>
    <row r="7" spans="2:7" x14ac:dyDescent="0.35">
      <c r="B7" s="71" t="s">
        <v>13</v>
      </c>
      <c r="C7" s="72">
        <f>J50</f>
        <v>0</v>
      </c>
      <c r="F7" s="92"/>
      <c r="G7" s="92"/>
    </row>
    <row r="8" spans="2:7" x14ac:dyDescent="0.35">
      <c r="B8" s="71" t="s">
        <v>3</v>
      </c>
      <c r="C8" s="72">
        <f>J78</f>
        <v>0</v>
      </c>
      <c r="F8" s="92"/>
      <c r="G8" s="92"/>
    </row>
    <row r="9" spans="2:7" x14ac:dyDescent="0.35">
      <c r="B9" s="71" t="s">
        <v>4</v>
      </c>
      <c r="C9" s="72">
        <f>J122</f>
        <v>400.65999999999997</v>
      </c>
      <c r="F9" s="92"/>
      <c r="G9" s="92"/>
    </row>
    <row r="10" spans="2:7" x14ac:dyDescent="0.35">
      <c r="B10" s="71" t="s">
        <v>199</v>
      </c>
      <c r="C10" s="72">
        <f>J176</f>
        <v>0</v>
      </c>
      <c r="F10" s="92"/>
      <c r="G10" s="92"/>
    </row>
    <row r="11" spans="2:7" x14ac:dyDescent="0.35">
      <c r="B11" s="71" t="s">
        <v>200</v>
      </c>
      <c r="C11" s="72">
        <f>J187</f>
        <v>0</v>
      </c>
      <c r="F11" s="92"/>
      <c r="G11" s="92"/>
    </row>
    <row r="12" spans="2:7" x14ac:dyDescent="0.35">
      <c r="B12" s="71" t="s">
        <v>201</v>
      </c>
      <c r="C12" s="72">
        <f>J193</f>
        <v>0</v>
      </c>
      <c r="F12" s="92"/>
      <c r="G12" s="92"/>
    </row>
    <row r="13" spans="2:7" x14ac:dyDescent="0.35">
      <c r="B13" s="71" t="s">
        <v>202</v>
      </c>
      <c r="C13" s="72">
        <f>J195</f>
        <v>0</v>
      </c>
      <c r="F13" s="92"/>
      <c r="G13" s="92"/>
    </row>
    <row r="14" spans="2:7" x14ac:dyDescent="0.35">
      <c r="B14" s="71" t="s">
        <v>203</v>
      </c>
      <c r="C14" s="72">
        <f>J208</f>
        <v>1369.84</v>
      </c>
      <c r="F14" s="92"/>
      <c r="G14" s="92"/>
    </row>
    <row r="15" spans="2:7" x14ac:dyDescent="0.35">
      <c r="B15" s="71" t="s">
        <v>12</v>
      </c>
      <c r="C15" s="72">
        <f>J214</f>
        <v>0</v>
      </c>
      <c r="F15" s="92"/>
      <c r="G15" s="92"/>
    </row>
    <row r="16" spans="2:7" x14ac:dyDescent="0.35">
      <c r="B16" s="71" t="s">
        <v>204</v>
      </c>
      <c r="C16" s="72">
        <f>J222</f>
        <v>0</v>
      </c>
      <c r="F16" s="92"/>
      <c r="G16" s="92"/>
    </row>
    <row r="17" spans="1:11" x14ac:dyDescent="0.35">
      <c r="B17" s="71" t="s">
        <v>9</v>
      </c>
      <c r="C17" s="72">
        <f>J224</f>
        <v>486.88</v>
      </c>
      <c r="F17" s="92"/>
      <c r="G17" s="92"/>
    </row>
    <row r="18" spans="1:11" x14ac:dyDescent="0.35">
      <c r="B18" s="71" t="s">
        <v>205</v>
      </c>
      <c r="C18" s="72">
        <f>J245</f>
        <v>0</v>
      </c>
      <c r="F18" s="92"/>
      <c r="G18" s="92"/>
    </row>
    <row r="19" spans="1:11" x14ac:dyDescent="0.35">
      <c r="B19" s="71" t="s">
        <v>56</v>
      </c>
      <c r="C19" s="72">
        <f>J257</f>
        <v>0</v>
      </c>
      <c r="F19" s="92"/>
      <c r="G19" s="92"/>
    </row>
    <row r="20" spans="1:11" x14ac:dyDescent="0.35">
      <c r="B20" s="73" t="s">
        <v>14</v>
      </c>
      <c r="C20" s="74">
        <f>C5+C6+C7+C8+C9+C10+C11+C12+C13+C14+C15+C16+C17+C18+C19</f>
        <v>2444.6799999999998</v>
      </c>
      <c r="F20" s="93"/>
      <c r="G20" s="93"/>
    </row>
    <row r="21" spans="1:11" ht="18.75" customHeight="1" x14ac:dyDescent="0.45">
      <c r="A21" s="76" t="s">
        <v>207</v>
      </c>
      <c r="B21" s="76"/>
      <c r="C21" s="76"/>
      <c r="D21" s="76"/>
      <c r="E21" s="167"/>
      <c r="F21" s="76"/>
      <c r="G21" s="76"/>
      <c r="H21" s="76"/>
      <c r="I21" s="262"/>
      <c r="J21" s="76"/>
    </row>
    <row r="22" spans="1:11" ht="14.25" customHeight="1" x14ac:dyDescent="0.35">
      <c r="A22" s="129"/>
      <c r="B22" s="129" t="s">
        <v>15</v>
      </c>
      <c r="C22" s="129" t="s">
        <v>16</v>
      </c>
      <c r="D22" s="130" t="s">
        <v>398</v>
      </c>
      <c r="E22" s="168" t="s">
        <v>401</v>
      </c>
      <c r="F22" s="130" t="s">
        <v>399</v>
      </c>
      <c r="G22" s="164" t="s">
        <v>400</v>
      </c>
      <c r="H22" s="132" t="s">
        <v>406</v>
      </c>
      <c r="I22" s="341" t="s">
        <v>45</v>
      </c>
      <c r="J22" s="132" t="s">
        <v>402</v>
      </c>
    </row>
    <row r="23" spans="1:11" s="6" customFormat="1" ht="15.5" x14ac:dyDescent="0.35">
      <c r="A23" s="108" t="s">
        <v>208</v>
      </c>
      <c r="B23" s="108"/>
      <c r="C23" s="108"/>
      <c r="D23" s="108"/>
      <c r="E23" s="169" t="s">
        <v>421</v>
      </c>
      <c r="F23" s="108"/>
      <c r="G23" s="108"/>
      <c r="H23" s="108"/>
      <c r="I23" s="110" t="s">
        <v>18</v>
      </c>
      <c r="J23" s="107">
        <f>SUM(J24:J40)</f>
        <v>187.3</v>
      </c>
    </row>
    <row r="24" spans="1:11" x14ac:dyDescent="0.35">
      <c r="A24" s="103"/>
      <c r="B24" s="7" t="s">
        <v>2</v>
      </c>
      <c r="C24" s="14" t="s">
        <v>19</v>
      </c>
      <c r="D24" s="152">
        <v>2</v>
      </c>
      <c r="E24" s="170">
        <v>2</v>
      </c>
      <c r="F24" s="95"/>
      <c r="G24" s="153" t="str">
        <f>IF(E24="","",IF(D24-E24&gt;0,D24-E24,""))</f>
        <v/>
      </c>
      <c r="H24" s="10" t="s">
        <v>20</v>
      </c>
      <c r="I24" s="331">
        <v>55.95</v>
      </c>
      <c r="J24" s="12">
        <f t="shared" ref="J24:J40" si="0">E24*I24</f>
        <v>111.9</v>
      </c>
      <c r="K24" s="13"/>
    </row>
    <row r="25" spans="1:11" hidden="1" x14ac:dyDescent="0.35">
      <c r="A25" s="103"/>
      <c r="B25" s="7" t="s">
        <v>2</v>
      </c>
      <c r="C25" s="14" t="s">
        <v>209</v>
      </c>
      <c r="D25" s="152"/>
      <c r="E25" s="170"/>
      <c r="F25" s="95"/>
      <c r="G25" s="153" t="str">
        <f t="shared" ref="G25:G88" si="1">IF(E25="","",IF(D25-E25&gt;0,D25-E25,""))</f>
        <v/>
      </c>
      <c r="H25" s="10" t="s">
        <v>20</v>
      </c>
      <c r="I25" s="331">
        <v>173.1</v>
      </c>
      <c r="J25" s="12">
        <f t="shared" si="0"/>
        <v>0</v>
      </c>
      <c r="K25" s="13"/>
    </row>
    <row r="26" spans="1:11" x14ac:dyDescent="0.35">
      <c r="A26" s="103"/>
      <c r="B26" s="12" t="s">
        <v>2</v>
      </c>
      <c r="C26" s="10" t="s">
        <v>21</v>
      </c>
      <c r="D26" s="152">
        <v>20</v>
      </c>
      <c r="E26" s="170">
        <v>1</v>
      </c>
      <c r="F26" s="95"/>
      <c r="G26" s="153">
        <f t="shared" si="1"/>
        <v>19</v>
      </c>
      <c r="H26" s="10" t="s">
        <v>20</v>
      </c>
      <c r="I26" s="331">
        <v>75.400000000000006</v>
      </c>
      <c r="J26" s="12">
        <f t="shared" si="0"/>
        <v>75.400000000000006</v>
      </c>
      <c r="K26" s="13"/>
    </row>
    <row r="27" spans="1:11" ht="14.5" customHeight="1" x14ac:dyDescent="0.35">
      <c r="A27" s="103"/>
      <c r="B27" s="12" t="s">
        <v>2</v>
      </c>
      <c r="C27" s="10" t="s">
        <v>210</v>
      </c>
      <c r="D27" s="152">
        <v>20</v>
      </c>
      <c r="E27" s="170"/>
      <c r="F27" s="95"/>
      <c r="G27" s="153" t="str">
        <f t="shared" si="1"/>
        <v/>
      </c>
      <c r="H27" s="10" t="s">
        <v>20</v>
      </c>
      <c r="I27" s="331">
        <v>84.9</v>
      </c>
      <c r="J27" s="12">
        <f t="shared" si="0"/>
        <v>0</v>
      </c>
      <c r="K27" s="13"/>
    </row>
    <row r="28" spans="1:11" ht="14.5" hidden="1" customHeight="1" x14ac:dyDescent="0.35">
      <c r="A28" s="103"/>
      <c r="B28" s="12" t="s">
        <v>2</v>
      </c>
      <c r="C28" s="10" t="s">
        <v>211</v>
      </c>
      <c r="D28" s="152"/>
      <c r="E28" s="170"/>
      <c r="F28" s="95"/>
      <c r="G28" s="153" t="str">
        <f t="shared" si="1"/>
        <v/>
      </c>
      <c r="H28" s="10" t="s">
        <v>20</v>
      </c>
      <c r="I28" s="331">
        <v>2.96</v>
      </c>
      <c r="J28" s="12">
        <f t="shared" si="0"/>
        <v>0</v>
      </c>
      <c r="K28" s="13"/>
    </row>
    <row r="29" spans="1:11" ht="14.5" hidden="1" customHeight="1" x14ac:dyDescent="0.35">
      <c r="A29" s="103"/>
      <c r="B29" s="12" t="s">
        <v>2</v>
      </c>
      <c r="C29" s="10" t="s">
        <v>212</v>
      </c>
      <c r="D29" s="152"/>
      <c r="E29" s="170"/>
      <c r="F29" s="95"/>
      <c r="G29" s="153" t="str">
        <f t="shared" si="1"/>
        <v/>
      </c>
      <c r="H29" s="10" t="s">
        <v>20</v>
      </c>
      <c r="I29" s="331">
        <v>2.96</v>
      </c>
      <c r="J29" s="12">
        <f t="shared" si="0"/>
        <v>0</v>
      </c>
      <c r="K29" s="13"/>
    </row>
    <row r="30" spans="1:11" ht="15.75" hidden="1" customHeight="1" x14ac:dyDescent="0.35">
      <c r="A30" s="103"/>
      <c r="B30" s="12" t="s">
        <v>2</v>
      </c>
      <c r="C30" s="10" t="s">
        <v>213</v>
      </c>
      <c r="D30" s="152"/>
      <c r="E30" s="170"/>
      <c r="F30" s="95"/>
      <c r="G30" s="153" t="str">
        <f t="shared" si="1"/>
        <v/>
      </c>
      <c r="H30" s="10" t="s">
        <v>20</v>
      </c>
      <c r="I30" s="331">
        <v>2.96</v>
      </c>
      <c r="J30" s="12">
        <f t="shared" si="0"/>
        <v>0</v>
      </c>
      <c r="K30" s="13"/>
    </row>
    <row r="31" spans="1:11" hidden="1" x14ac:dyDescent="0.35">
      <c r="A31" s="103"/>
      <c r="B31" s="7" t="s">
        <v>2</v>
      </c>
      <c r="C31" s="14" t="s">
        <v>22</v>
      </c>
      <c r="D31" s="152"/>
      <c r="E31" s="170"/>
      <c r="F31" s="95"/>
      <c r="G31" s="153" t="str">
        <f t="shared" si="1"/>
        <v/>
      </c>
      <c r="H31" s="10" t="s">
        <v>20</v>
      </c>
      <c r="I31" s="331">
        <v>107.2</v>
      </c>
      <c r="J31" s="12">
        <f t="shared" si="0"/>
        <v>0</v>
      </c>
      <c r="K31" s="13"/>
    </row>
    <row r="32" spans="1:11" ht="14.5" hidden="1" customHeight="1" x14ac:dyDescent="0.35">
      <c r="A32" s="103"/>
      <c r="B32" s="7" t="s">
        <v>2</v>
      </c>
      <c r="C32" s="14" t="s">
        <v>214</v>
      </c>
      <c r="D32" s="152"/>
      <c r="E32" s="170"/>
      <c r="F32" s="95"/>
      <c r="G32" s="153" t="str">
        <f t="shared" si="1"/>
        <v/>
      </c>
      <c r="H32" s="10" t="s">
        <v>20</v>
      </c>
      <c r="I32" s="331">
        <v>170.7</v>
      </c>
      <c r="J32" s="12">
        <f t="shared" si="0"/>
        <v>0</v>
      </c>
      <c r="K32" s="13"/>
    </row>
    <row r="33" spans="1:11" ht="14.5" hidden="1" customHeight="1" x14ac:dyDescent="0.35">
      <c r="A33" s="103"/>
      <c r="B33" s="12" t="s">
        <v>2</v>
      </c>
      <c r="C33" s="10" t="s">
        <v>215</v>
      </c>
      <c r="D33" s="152"/>
      <c r="E33" s="170"/>
      <c r="F33" s="95"/>
      <c r="G33" s="153" t="str">
        <f t="shared" si="1"/>
        <v/>
      </c>
      <c r="H33" s="10" t="s">
        <v>216</v>
      </c>
      <c r="I33" s="331">
        <v>3.77</v>
      </c>
      <c r="J33" s="12">
        <f t="shared" si="0"/>
        <v>0</v>
      </c>
      <c r="K33" s="13"/>
    </row>
    <row r="34" spans="1:11" s="6" customFormat="1" ht="15.65" hidden="1" customHeight="1" x14ac:dyDescent="0.35">
      <c r="A34" s="103"/>
      <c r="B34" s="12" t="s">
        <v>2</v>
      </c>
      <c r="C34" s="10" t="s">
        <v>217</v>
      </c>
      <c r="D34" s="152"/>
      <c r="E34" s="170"/>
      <c r="F34" s="95"/>
      <c r="G34" s="153" t="str">
        <f t="shared" si="1"/>
        <v/>
      </c>
      <c r="H34" s="10" t="s">
        <v>20</v>
      </c>
      <c r="I34" s="331">
        <v>2.56</v>
      </c>
      <c r="J34" s="12">
        <f t="shared" si="0"/>
        <v>0</v>
      </c>
    </row>
    <row r="35" spans="1:11" ht="14.5" hidden="1" customHeight="1" x14ac:dyDescent="0.35">
      <c r="A35" s="103"/>
      <c r="B35" s="12" t="s">
        <v>2</v>
      </c>
      <c r="C35" s="10" t="s">
        <v>218</v>
      </c>
      <c r="D35" s="152"/>
      <c r="E35" s="170"/>
      <c r="F35" s="95"/>
      <c r="G35" s="153" t="str">
        <f t="shared" si="1"/>
        <v/>
      </c>
      <c r="H35" s="10" t="s">
        <v>20</v>
      </c>
      <c r="I35" s="331">
        <v>3.08</v>
      </c>
      <c r="J35" s="12">
        <f t="shared" si="0"/>
        <v>0</v>
      </c>
      <c r="K35" s="13"/>
    </row>
    <row r="36" spans="1:11" ht="14.5" hidden="1" customHeight="1" x14ac:dyDescent="0.35">
      <c r="A36" s="103"/>
      <c r="B36" s="12" t="s">
        <v>2</v>
      </c>
      <c r="C36" s="10" t="s">
        <v>219</v>
      </c>
      <c r="D36" s="152"/>
      <c r="E36" s="170"/>
      <c r="F36" s="95"/>
      <c r="G36" s="153" t="str">
        <f t="shared" si="1"/>
        <v/>
      </c>
      <c r="H36" s="10" t="s">
        <v>20</v>
      </c>
      <c r="I36" s="331">
        <v>2.56</v>
      </c>
      <c r="J36" s="12">
        <f t="shared" si="0"/>
        <v>0</v>
      </c>
      <c r="K36" s="13"/>
    </row>
    <row r="37" spans="1:11" hidden="1" x14ac:dyDescent="0.35">
      <c r="A37" s="103"/>
      <c r="B37" s="12" t="s">
        <v>2</v>
      </c>
      <c r="C37" s="10" t="s">
        <v>220</v>
      </c>
      <c r="D37" s="152"/>
      <c r="E37" s="170"/>
      <c r="F37" s="95"/>
      <c r="G37" s="153" t="str">
        <f t="shared" si="1"/>
        <v/>
      </c>
      <c r="H37" s="10" t="s">
        <v>20</v>
      </c>
      <c r="I37" s="331">
        <v>1.41</v>
      </c>
      <c r="J37" s="12">
        <f t="shared" si="0"/>
        <v>0</v>
      </c>
      <c r="K37" s="13"/>
    </row>
    <row r="38" spans="1:11" hidden="1" x14ac:dyDescent="0.35">
      <c r="A38" s="103"/>
      <c r="B38" s="12" t="s">
        <v>2</v>
      </c>
      <c r="C38" s="10" t="s">
        <v>221</v>
      </c>
      <c r="D38" s="152"/>
      <c r="E38" s="170"/>
      <c r="F38" s="95"/>
      <c r="G38" s="153" t="str">
        <f t="shared" si="1"/>
        <v/>
      </c>
      <c r="H38" s="10" t="s">
        <v>20</v>
      </c>
      <c r="I38" s="331">
        <v>1.73</v>
      </c>
      <c r="J38" s="12">
        <f t="shared" si="0"/>
        <v>0</v>
      </c>
      <c r="K38" s="13"/>
    </row>
    <row r="39" spans="1:11" hidden="1" x14ac:dyDescent="0.35">
      <c r="A39" s="103"/>
      <c r="B39" s="12" t="s">
        <v>2</v>
      </c>
      <c r="C39" s="10" t="s">
        <v>222</v>
      </c>
      <c r="D39" s="152"/>
      <c r="E39" s="170"/>
      <c r="F39" s="95"/>
      <c r="G39" s="153" t="str">
        <f t="shared" si="1"/>
        <v/>
      </c>
      <c r="H39" s="10" t="s">
        <v>20</v>
      </c>
      <c r="I39" s="331">
        <v>1.46</v>
      </c>
      <c r="J39" s="12">
        <f t="shared" si="0"/>
        <v>0</v>
      </c>
      <c r="K39" s="13"/>
    </row>
    <row r="40" spans="1:11" ht="14.5" hidden="1" customHeight="1" x14ac:dyDescent="0.35">
      <c r="A40" s="103"/>
      <c r="B40" s="12" t="s">
        <v>2</v>
      </c>
      <c r="C40" s="10" t="s">
        <v>223</v>
      </c>
      <c r="D40" s="222"/>
      <c r="E40" s="170"/>
      <c r="F40" s="141"/>
      <c r="G40" s="153" t="str">
        <f t="shared" si="1"/>
        <v/>
      </c>
      <c r="H40" s="10" t="s">
        <v>20</v>
      </c>
      <c r="I40" s="332">
        <v>3.45</v>
      </c>
      <c r="J40" s="12">
        <f t="shared" si="0"/>
        <v>0</v>
      </c>
      <c r="K40" s="13"/>
    </row>
    <row r="41" spans="1:11" s="6" customFormat="1" ht="15.65" customHeight="1" x14ac:dyDescent="0.35">
      <c r="A41" s="108" t="s">
        <v>119</v>
      </c>
      <c r="B41" s="108"/>
      <c r="C41" s="108"/>
      <c r="D41" s="223"/>
      <c r="E41" s="169"/>
      <c r="F41" s="109"/>
      <c r="G41" s="165" t="str">
        <f t="shared" si="1"/>
        <v/>
      </c>
      <c r="H41" s="108"/>
      <c r="I41" s="106" t="s">
        <v>18</v>
      </c>
      <c r="J41" s="107">
        <f>SUM(J42:J49)</f>
        <v>380</v>
      </c>
    </row>
    <row r="42" spans="1:11" ht="14.5" customHeight="1" x14ac:dyDescent="0.35">
      <c r="A42" s="103"/>
      <c r="B42" s="12" t="s">
        <v>7</v>
      </c>
      <c r="C42" s="10" t="s">
        <v>224</v>
      </c>
      <c r="D42" s="152"/>
      <c r="E42" s="166">
        <f>E24</f>
        <v>2</v>
      </c>
      <c r="F42" s="95"/>
      <c r="G42" s="153" t="str">
        <f t="shared" si="1"/>
        <v/>
      </c>
      <c r="H42" s="10" t="s">
        <v>20</v>
      </c>
      <c r="I42" s="331">
        <v>100</v>
      </c>
      <c r="J42" s="12">
        <f t="shared" ref="J42:J49" si="2">E42*I42</f>
        <v>200</v>
      </c>
      <c r="K42" s="13"/>
    </row>
    <row r="43" spans="1:11" hidden="1" x14ac:dyDescent="0.35">
      <c r="A43" s="103"/>
      <c r="B43" s="12" t="s">
        <v>7</v>
      </c>
      <c r="C43" s="10" t="s">
        <v>225</v>
      </c>
      <c r="D43" s="152"/>
      <c r="E43" s="170"/>
      <c r="F43" s="95"/>
      <c r="G43" s="153" t="str">
        <f t="shared" si="1"/>
        <v/>
      </c>
      <c r="H43" s="10" t="s">
        <v>20</v>
      </c>
      <c r="I43" s="331">
        <v>12.2</v>
      </c>
      <c r="J43" s="12">
        <f t="shared" si="2"/>
        <v>0</v>
      </c>
      <c r="K43" s="13"/>
    </row>
    <row r="44" spans="1:11" ht="14.5" hidden="1" customHeight="1" x14ac:dyDescent="0.35">
      <c r="A44" s="103"/>
      <c r="B44" s="12" t="s">
        <v>7</v>
      </c>
      <c r="C44" s="10" t="s">
        <v>226</v>
      </c>
      <c r="D44" s="152"/>
      <c r="E44" s="170"/>
      <c r="F44" s="95"/>
      <c r="G44" s="153" t="str">
        <f t="shared" si="1"/>
        <v/>
      </c>
      <c r="H44" s="10" t="s">
        <v>20</v>
      </c>
      <c r="I44" s="331">
        <v>11</v>
      </c>
      <c r="J44" s="12">
        <f t="shared" si="2"/>
        <v>0</v>
      </c>
      <c r="K44" s="88"/>
    </row>
    <row r="45" spans="1:11" hidden="1" x14ac:dyDescent="0.35">
      <c r="A45" s="103"/>
      <c r="B45" s="12" t="s">
        <v>7</v>
      </c>
      <c r="C45" s="10" t="s">
        <v>227</v>
      </c>
      <c r="D45" s="152"/>
      <c r="E45" s="170"/>
      <c r="F45" s="95"/>
      <c r="G45" s="153" t="str">
        <f t="shared" si="1"/>
        <v/>
      </c>
      <c r="H45" s="10" t="s">
        <v>20</v>
      </c>
      <c r="I45" s="331">
        <v>5</v>
      </c>
      <c r="J45" s="12">
        <f t="shared" si="2"/>
        <v>0</v>
      </c>
      <c r="K45" s="13" t="s">
        <v>47</v>
      </c>
    </row>
    <row r="46" spans="1:11" x14ac:dyDescent="0.35">
      <c r="A46" s="103"/>
      <c r="B46" s="12" t="s">
        <v>7</v>
      </c>
      <c r="C46" s="10" t="s">
        <v>46</v>
      </c>
      <c r="D46" s="152"/>
      <c r="E46" s="170">
        <v>26</v>
      </c>
      <c r="F46" s="95"/>
      <c r="G46" s="153" t="str">
        <f t="shared" si="1"/>
        <v/>
      </c>
      <c r="H46" s="10" t="s">
        <v>20</v>
      </c>
      <c r="I46" s="331">
        <v>5</v>
      </c>
      <c r="J46" s="12">
        <f t="shared" si="2"/>
        <v>130</v>
      </c>
      <c r="K46" s="13"/>
    </row>
    <row r="47" spans="1:11" ht="14.5" hidden="1" customHeight="1" x14ac:dyDescent="0.35">
      <c r="A47" s="103"/>
      <c r="B47" s="12" t="s">
        <v>7</v>
      </c>
      <c r="C47" s="10" t="s">
        <v>228</v>
      </c>
      <c r="D47" s="152"/>
      <c r="E47" s="170"/>
      <c r="F47" s="95"/>
      <c r="G47" s="153" t="str">
        <f t="shared" si="1"/>
        <v/>
      </c>
      <c r="H47" s="10" t="s">
        <v>20</v>
      </c>
      <c r="I47" s="331">
        <v>11</v>
      </c>
      <c r="J47" s="12">
        <f t="shared" si="2"/>
        <v>0</v>
      </c>
      <c r="K47" s="13"/>
    </row>
    <row r="48" spans="1:11" ht="16.399999999999999" customHeight="1" x14ac:dyDescent="0.35">
      <c r="A48" s="103"/>
      <c r="B48" s="12" t="s">
        <v>7</v>
      </c>
      <c r="C48" s="10" t="s">
        <v>229</v>
      </c>
      <c r="D48" s="152"/>
      <c r="E48" s="166">
        <f>E27+E26</f>
        <v>1</v>
      </c>
      <c r="F48" s="95"/>
      <c r="G48" s="153" t="str">
        <f t="shared" si="1"/>
        <v/>
      </c>
      <c r="H48" s="10" t="s">
        <v>20</v>
      </c>
      <c r="I48" s="331">
        <v>50</v>
      </c>
      <c r="J48" s="12">
        <f t="shared" si="2"/>
        <v>50</v>
      </c>
      <c r="K48" s="13"/>
    </row>
    <row r="49" spans="1:11" hidden="1" x14ac:dyDescent="0.35">
      <c r="A49" s="103"/>
      <c r="B49" s="12" t="s">
        <v>7</v>
      </c>
      <c r="C49" s="78" t="s">
        <v>206</v>
      </c>
      <c r="D49" s="224"/>
      <c r="E49" s="170"/>
      <c r="F49" s="142"/>
      <c r="G49" s="153" t="str">
        <f t="shared" si="1"/>
        <v/>
      </c>
      <c r="H49" s="10" t="s">
        <v>20</v>
      </c>
      <c r="I49" s="333">
        <v>5</v>
      </c>
      <c r="J49" s="12">
        <f t="shared" si="2"/>
        <v>0</v>
      </c>
      <c r="K49" s="13"/>
    </row>
    <row r="50" spans="1:11" ht="14.5" customHeight="1" x14ac:dyDescent="0.35">
      <c r="A50" s="103"/>
      <c r="B50" s="104" t="s">
        <v>230</v>
      </c>
      <c r="C50" s="105"/>
      <c r="D50" s="225"/>
      <c r="E50" s="171"/>
      <c r="F50" s="143"/>
      <c r="G50" s="165" t="str">
        <f t="shared" si="1"/>
        <v/>
      </c>
      <c r="H50" s="105"/>
      <c r="I50" s="106" t="s">
        <v>18</v>
      </c>
      <c r="J50" s="107">
        <f>SUM(J52:J77)</f>
        <v>0</v>
      </c>
      <c r="K50" s="13"/>
    </row>
    <row r="51" spans="1:11" ht="14.5" customHeight="1" x14ac:dyDescent="0.35">
      <c r="A51" s="111"/>
      <c r="B51" s="126" t="s">
        <v>231</v>
      </c>
      <c r="C51" s="127"/>
      <c r="D51" s="226"/>
      <c r="E51" s="172"/>
      <c r="F51" s="144"/>
      <c r="G51" s="165" t="str">
        <f t="shared" si="1"/>
        <v/>
      </c>
      <c r="H51" s="127"/>
      <c r="I51" s="239"/>
      <c r="J51" s="128"/>
      <c r="K51" s="13"/>
    </row>
    <row r="52" spans="1:11" ht="14.5" hidden="1" customHeight="1" x14ac:dyDescent="0.35">
      <c r="A52" s="103"/>
      <c r="B52" s="12" t="s">
        <v>13</v>
      </c>
      <c r="C52" s="10" t="s">
        <v>78</v>
      </c>
      <c r="D52" s="152"/>
      <c r="E52" s="170"/>
      <c r="F52" s="95"/>
      <c r="G52" s="153" t="str">
        <f t="shared" si="1"/>
        <v/>
      </c>
      <c r="H52" s="10" t="s">
        <v>20</v>
      </c>
      <c r="I52" s="331">
        <v>13</v>
      </c>
      <c r="J52" s="12">
        <f t="shared" ref="J52:J58" si="3">E52*I52</f>
        <v>0</v>
      </c>
      <c r="K52" s="13"/>
    </row>
    <row r="53" spans="1:11" hidden="1" x14ac:dyDescent="0.35">
      <c r="A53" s="103"/>
      <c r="B53" s="12" t="s">
        <v>13</v>
      </c>
      <c r="C53" s="10" t="s">
        <v>232</v>
      </c>
      <c r="D53" s="152"/>
      <c r="E53" s="170"/>
      <c r="F53" s="95"/>
      <c r="G53" s="153" t="str">
        <f t="shared" si="1"/>
        <v/>
      </c>
      <c r="H53" s="10" t="s">
        <v>20</v>
      </c>
      <c r="I53" s="331">
        <v>13</v>
      </c>
      <c r="J53" s="12">
        <f t="shared" si="3"/>
        <v>0</v>
      </c>
      <c r="K53" s="134"/>
    </row>
    <row r="54" spans="1:11" hidden="1" x14ac:dyDescent="0.35">
      <c r="A54" s="103"/>
      <c r="B54" s="12" t="s">
        <v>13</v>
      </c>
      <c r="C54" s="10" t="s">
        <v>233</v>
      </c>
      <c r="D54" s="152"/>
      <c r="E54" s="170"/>
      <c r="F54" s="95"/>
      <c r="G54" s="153" t="str">
        <f t="shared" si="1"/>
        <v/>
      </c>
      <c r="H54" s="10" t="s">
        <v>20</v>
      </c>
      <c r="I54" s="331">
        <v>8.9</v>
      </c>
      <c r="J54" s="12">
        <f t="shared" si="3"/>
        <v>0</v>
      </c>
      <c r="K54" s="13"/>
    </row>
    <row r="55" spans="1:11" x14ac:dyDescent="0.35">
      <c r="A55" s="103"/>
      <c r="B55" s="12" t="s">
        <v>13</v>
      </c>
      <c r="C55" s="10" t="s">
        <v>32</v>
      </c>
      <c r="D55" s="152">
        <v>6</v>
      </c>
      <c r="E55" s="170"/>
      <c r="F55" s="95"/>
      <c r="G55" s="153" t="str">
        <f t="shared" si="1"/>
        <v/>
      </c>
      <c r="H55" s="10" t="s">
        <v>20</v>
      </c>
      <c r="I55" s="331">
        <v>8.35</v>
      </c>
      <c r="J55" s="12">
        <f t="shared" si="3"/>
        <v>0</v>
      </c>
      <c r="K55" s="13"/>
    </row>
    <row r="56" spans="1:11" s="6" customFormat="1" ht="15.65" customHeight="1" x14ac:dyDescent="0.35">
      <c r="A56" s="103"/>
      <c r="B56" s="12" t="s">
        <v>13</v>
      </c>
      <c r="C56" s="10" t="s">
        <v>33</v>
      </c>
      <c r="D56" s="152">
        <v>6</v>
      </c>
      <c r="E56" s="170"/>
      <c r="F56" s="95"/>
      <c r="G56" s="153" t="str">
        <f t="shared" si="1"/>
        <v/>
      </c>
      <c r="H56" s="10" t="s">
        <v>20</v>
      </c>
      <c r="I56" s="331">
        <v>8.9</v>
      </c>
      <c r="J56" s="12">
        <f t="shared" si="3"/>
        <v>0</v>
      </c>
    </row>
    <row r="57" spans="1:11" s="6" customFormat="1" ht="15.65" customHeight="1" x14ac:dyDescent="0.35">
      <c r="A57" s="103"/>
      <c r="B57" s="12" t="s">
        <v>13</v>
      </c>
      <c r="C57" s="10" t="s">
        <v>59</v>
      </c>
      <c r="D57" s="152">
        <v>6</v>
      </c>
      <c r="E57" s="170"/>
      <c r="F57" s="95"/>
      <c r="G57" s="153" t="str">
        <f t="shared" si="1"/>
        <v/>
      </c>
      <c r="H57" s="10" t="s">
        <v>20</v>
      </c>
      <c r="I57" s="331">
        <v>8.6999999999999993</v>
      </c>
      <c r="J57" s="12">
        <f t="shared" si="3"/>
        <v>0</v>
      </c>
    </row>
    <row r="58" spans="1:11" ht="14.5" hidden="1" customHeight="1" x14ac:dyDescent="0.35">
      <c r="A58" s="103"/>
      <c r="B58" s="12" t="s">
        <v>13</v>
      </c>
      <c r="C58" s="10" t="s">
        <v>234</v>
      </c>
      <c r="D58" s="152"/>
      <c r="E58" s="170"/>
      <c r="F58" s="95"/>
      <c r="G58" s="153" t="str">
        <f t="shared" si="1"/>
        <v/>
      </c>
      <c r="H58" s="10" t="s">
        <v>20</v>
      </c>
      <c r="I58" s="331">
        <v>12.15</v>
      </c>
      <c r="J58" s="12">
        <f t="shared" si="3"/>
        <v>0</v>
      </c>
      <c r="K58" s="13"/>
    </row>
    <row r="59" spans="1:11" ht="14.5" hidden="1" customHeight="1" x14ac:dyDescent="0.35">
      <c r="A59" s="103"/>
      <c r="B59" s="12" t="s">
        <v>13</v>
      </c>
      <c r="C59" s="10" t="s">
        <v>235</v>
      </c>
      <c r="D59" s="152"/>
      <c r="E59" s="170"/>
      <c r="F59" s="95"/>
      <c r="G59" s="153" t="str">
        <f t="shared" si="1"/>
        <v/>
      </c>
      <c r="H59" s="10" t="s">
        <v>20</v>
      </c>
      <c r="I59" s="331">
        <v>11.35</v>
      </c>
      <c r="J59" s="12">
        <f t="shared" ref="J59:J64" si="4">E59*I59</f>
        <v>0</v>
      </c>
      <c r="K59" s="13"/>
    </row>
    <row r="60" spans="1:11" s="6" customFormat="1" ht="15.65" hidden="1" customHeight="1" x14ac:dyDescent="0.35">
      <c r="A60" s="103"/>
      <c r="B60" s="12" t="s">
        <v>13</v>
      </c>
      <c r="C60" s="10" t="s">
        <v>236</v>
      </c>
      <c r="D60" s="152"/>
      <c r="E60" s="170"/>
      <c r="F60" s="95"/>
      <c r="G60" s="153" t="str">
        <f t="shared" si="1"/>
        <v/>
      </c>
      <c r="H60" s="10" t="s">
        <v>20</v>
      </c>
      <c r="I60" s="331">
        <v>14.65</v>
      </c>
      <c r="J60" s="12">
        <f t="shared" si="4"/>
        <v>0</v>
      </c>
    </row>
    <row r="61" spans="1:11" ht="14.5" hidden="1" customHeight="1" x14ac:dyDescent="0.35">
      <c r="A61" s="103"/>
      <c r="B61" s="12" t="s">
        <v>13</v>
      </c>
      <c r="C61" s="10" t="s">
        <v>237</v>
      </c>
      <c r="D61" s="152"/>
      <c r="E61" s="170"/>
      <c r="F61" s="95"/>
      <c r="G61" s="153" t="str">
        <f t="shared" si="1"/>
        <v/>
      </c>
      <c r="H61" s="10" t="s">
        <v>20</v>
      </c>
      <c r="I61" s="331">
        <v>16.25</v>
      </c>
      <c r="J61" s="12">
        <f t="shared" si="4"/>
        <v>0</v>
      </c>
      <c r="K61" s="13"/>
    </row>
    <row r="62" spans="1:11" s="6" customFormat="1" ht="15.5" hidden="1" x14ac:dyDescent="0.35">
      <c r="A62" s="103"/>
      <c r="B62" s="12" t="s">
        <v>13</v>
      </c>
      <c r="C62" s="10" t="s">
        <v>238</v>
      </c>
      <c r="D62" s="152"/>
      <c r="E62" s="170"/>
      <c r="F62" s="95"/>
      <c r="G62" s="153" t="str">
        <f t="shared" si="1"/>
        <v/>
      </c>
      <c r="H62" s="10" t="s">
        <v>20</v>
      </c>
      <c r="I62" s="331">
        <v>17.899999999999999</v>
      </c>
      <c r="J62" s="12">
        <f t="shared" si="4"/>
        <v>0</v>
      </c>
    </row>
    <row r="63" spans="1:11" hidden="1" x14ac:dyDescent="0.35">
      <c r="A63" s="103"/>
      <c r="B63" s="12" t="s">
        <v>13</v>
      </c>
      <c r="C63" s="10" t="s">
        <v>239</v>
      </c>
      <c r="D63" s="152"/>
      <c r="E63" s="170"/>
      <c r="F63" s="95"/>
      <c r="G63" s="153" t="str">
        <f t="shared" si="1"/>
        <v/>
      </c>
      <c r="H63" s="10" t="s">
        <v>20</v>
      </c>
      <c r="I63" s="331">
        <v>15.95</v>
      </c>
      <c r="J63" s="12">
        <f t="shared" si="4"/>
        <v>0</v>
      </c>
      <c r="K63" s="13"/>
    </row>
    <row r="64" spans="1:11" ht="14.5" hidden="1" customHeight="1" x14ac:dyDescent="0.35">
      <c r="A64" s="103"/>
      <c r="B64" s="12" t="s">
        <v>13</v>
      </c>
      <c r="C64" s="10" t="s">
        <v>240</v>
      </c>
      <c r="D64" s="152"/>
      <c r="E64" s="170"/>
      <c r="F64" s="95"/>
      <c r="G64" s="153" t="str">
        <f t="shared" si="1"/>
        <v/>
      </c>
      <c r="H64" s="10" t="s">
        <v>20</v>
      </c>
      <c r="I64" s="331">
        <v>15.45</v>
      </c>
      <c r="J64" s="12">
        <f t="shared" si="4"/>
        <v>0</v>
      </c>
      <c r="K64" s="13"/>
    </row>
    <row r="65" spans="1:11" s="6" customFormat="1" ht="15.65" hidden="1" customHeight="1" x14ac:dyDescent="0.35">
      <c r="A65" s="111"/>
      <c r="B65" s="126" t="s">
        <v>241</v>
      </c>
      <c r="C65" s="127"/>
      <c r="D65" s="226"/>
      <c r="E65" s="172"/>
      <c r="F65" s="144"/>
      <c r="G65" s="153" t="str">
        <f t="shared" si="1"/>
        <v/>
      </c>
      <c r="H65" s="127"/>
      <c r="I65" s="239"/>
      <c r="J65" s="128"/>
    </row>
    <row r="66" spans="1:11" ht="14.5" hidden="1" customHeight="1" x14ac:dyDescent="0.35">
      <c r="A66" s="103"/>
      <c r="B66" s="12" t="s">
        <v>13</v>
      </c>
      <c r="C66" s="10" t="s">
        <v>242</v>
      </c>
      <c r="D66" s="152"/>
      <c r="E66" s="170"/>
      <c r="F66" s="95"/>
      <c r="G66" s="153" t="str">
        <f t="shared" si="1"/>
        <v/>
      </c>
      <c r="H66" s="10" t="s">
        <v>20</v>
      </c>
      <c r="I66" s="331">
        <v>31.05</v>
      </c>
      <c r="J66" s="12">
        <f t="shared" ref="J66:J72" si="5">E66*I66</f>
        <v>0</v>
      </c>
      <c r="K66" s="13"/>
    </row>
    <row r="67" spans="1:11" ht="14.5" hidden="1" customHeight="1" x14ac:dyDescent="0.35">
      <c r="A67" s="103"/>
      <c r="B67" s="12" t="s">
        <v>13</v>
      </c>
      <c r="C67" s="10" t="s">
        <v>243</v>
      </c>
      <c r="D67" s="152"/>
      <c r="E67" s="170"/>
      <c r="F67" s="95"/>
      <c r="G67" s="153" t="str">
        <f t="shared" si="1"/>
        <v/>
      </c>
      <c r="H67" s="10" t="s">
        <v>20</v>
      </c>
      <c r="I67" s="331">
        <v>60.79</v>
      </c>
      <c r="J67" s="12">
        <f t="shared" si="5"/>
        <v>0</v>
      </c>
      <c r="K67" s="13"/>
    </row>
    <row r="68" spans="1:11" hidden="1" x14ac:dyDescent="0.35">
      <c r="A68" s="103"/>
      <c r="B68" s="12" t="s">
        <v>13</v>
      </c>
      <c r="C68" s="10" t="s">
        <v>244</v>
      </c>
      <c r="D68" s="152"/>
      <c r="E68" s="170"/>
      <c r="F68" s="95"/>
      <c r="G68" s="153" t="str">
        <f t="shared" si="1"/>
        <v/>
      </c>
      <c r="H68" s="10" t="s">
        <v>20</v>
      </c>
      <c r="I68" s="331">
        <v>56.55</v>
      </c>
      <c r="J68" s="12">
        <f t="shared" si="5"/>
        <v>0</v>
      </c>
      <c r="K68" s="13"/>
    </row>
    <row r="69" spans="1:11" hidden="1" x14ac:dyDescent="0.35">
      <c r="A69" s="103"/>
      <c r="B69" s="12" t="s">
        <v>13</v>
      </c>
      <c r="C69" s="10" t="s">
        <v>245</v>
      </c>
      <c r="D69" s="152"/>
      <c r="E69" s="170"/>
      <c r="F69" s="95"/>
      <c r="G69" s="153" t="str">
        <f t="shared" si="1"/>
        <v/>
      </c>
      <c r="H69" s="10" t="s">
        <v>20</v>
      </c>
      <c r="I69" s="331">
        <v>107.44</v>
      </c>
      <c r="J69" s="12">
        <f t="shared" si="5"/>
        <v>0</v>
      </c>
      <c r="K69" s="13"/>
    </row>
    <row r="70" spans="1:11" ht="14.5" hidden="1" customHeight="1" x14ac:dyDescent="0.35">
      <c r="A70" s="103"/>
      <c r="B70" s="12" t="s">
        <v>13</v>
      </c>
      <c r="C70" s="10" t="s">
        <v>246</v>
      </c>
      <c r="D70" s="152"/>
      <c r="E70" s="170"/>
      <c r="F70" s="95"/>
      <c r="G70" s="153" t="str">
        <f t="shared" si="1"/>
        <v/>
      </c>
      <c r="H70" s="10" t="s">
        <v>20</v>
      </c>
      <c r="I70" s="331">
        <v>47.4</v>
      </c>
      <c r="J70" s="12">
        <f t="shared" si="5"/>
        <v>0</v>
      </c>
      <c r="K70" s="13"/>
    </row>
    <row r="71" spans="1:11" ht="15.65" hidden="1" customHeight="1" x14ac:dyDescent="0.35">
      <c r="A71" s="103"/>
      <c r="B71" s="12" t="s">
        <v>13</v>
      </c>
      <c r="C71" s="10" t="s">
        <v>247</v>
      </c>
      <c r="D71" s="152"/>
      <c r="E71" s="170"/>
      <c r="F71" s="95"/>
      <c r="G71" s="153" t="str">
        <f t="shared" si="1"/>
        <v/>
      </c>
      <c r="H71" s="10" t="s">
        <v>20</v>
      </c>
      <c r="I71" s="331">
        <v>87.63</v>
      </c>
      <c r="J71" s="12">
        <f t="shared" si="5"/>
        <v>0</v>
      </c>
      <c r="K71" s="13"/>
    </row>
    <row r="72" spans="1:11" hidden="1" x14ac:dyDescent="0.35">
      <c r="A72" s="103"/>
      <c r="B72" s="12" t="s">
        <v>13</v>
      </c>
      <c r="C72" s="10" t="s">
        <v>248</v>
      </c>
      <c r="D72" s="152"/>
      <c r="E72" s="170"/>
      <c r="F72" s="95"/>
      <c r="G72" s="153" t="str">
        <f t="shared" si="1"/>
        <v/>
      </c>
      <c r="H72" s="10" t="s">
        <v>20</v>
      </c>
      <c r="I72" s="331">
        <v>52.31</v>
      </c>
      <c r="J72" s="12">
        <f t="shared" si="5"/>
        <v>0</v>
      </c>
      <c r="K72" s="13"/>
    </row>
    <row r="73" spans="1:11" ht="16.399999999999999" hidden="1" customHeight="1" x14ac:dyDescent="0.35">
      <c r="A73" s="111"/>
      <c r="B73" s="126" t="s">
        <v>249</v>
      </c>
      <c r="C73" s="127"/>
      <c r="D73" s="226"/>
      <c r="E73" s="172"/>
      <c r="F73" s="144"/>
      <c r="G73" s="153" t="str">
        <f t="shared" si="1"/>
        <v/>
      </c>
      <c r="H73" s="127"/>
      <c r="I73" s="239"/>
      <c r="J73" s="128"/>
      <c r="K73" s="13"/>
    </row>
    <row r="74" spans="1:11" ht="14.5" hidden="1" customHeight="1" x14ac:dyDescent="0.35">
      <c r="A74" s="103"/>
      <c r="B74" s="12" t="s">
        <v>13</v>
      </c>
      <c r="C74" s="10" t="s">
        <v>250</v>
      </c>
      <c r="D74" s="152"/>
      <c r="E74" s="170"/>
      <c r="F74" s="95"/>
      <c r="G74" s="153" t="str">
        <f t="shared" si="1"/>
        <v/>
      </c>
      <c r="H74" s="10" t="s">
        <v>20</v>
      </c>
      <c r="I74" s="331">
        <v>10.8</v>
      </c>
      <c r="J74" s="12">
        <f>E74*I74</f>
        <v>0</v>
      </c>
      <c r="K74" s="13"/>
    </row>
    <row r="75" spans="1:11" ht="14.5" hidden="1" customHeight="1" x14ac:dyDescent="0.35">
      <c r="A75" s="103"/>
      <c r="B75" s="12" t="s">
        <v>13</v>
      </c>
      <c r="C75" s="10" t="s">
        <v>251</v>
      </c>
      <c r="D75" s="152"/>
      <c r="E75" s="170"/>
      <c r="F75" s="95"/>
      <c r="G75" s="153" t="str">
        <f t="shared" si="1"/>
        <v/>
      </c>
      <c r="H75" s="10" t="s">
        <v>20</v>
      </c>
      <c r="I75" s="331">
        <v>11.2</v>
      </c>
      <c r="J75" s="12">
        <f>E75*I75</f>
        <v>0</v>
      </c>
      <c r="K75" s="13"/>
    </row>
    <row r="76" spans="1:11" s="24" customFormat="1" ht="15.65" customHeight="1" x14ac:dyDescent="0.35">
      <c r="A76" s="103"/>
      <c r="B76" s="12" t="s">
        <v>13</v>
      </c>
      <c r="C76" s="10" t="s">
        <v>252</v>
      </c>
      <c r="D76" s="152"/>
      <c r="E76" s="170"/>
      <c r="F76" s="95"/>
      <c r="G76" s="153" t="str">
        <f t="shared" si="1"/>
        <v/>
      </c>
      <c r="H76" s="10" t="s">
        <v>23</v>
      </c>
      <c r="I76" s="331">
        <v>4.5599999999999996</v>
      </c>
      <c r="J76" s="12">
        <f>E76*I76</f>
        <v>0</v>
      </c>
    </row>
    <row r="77" spans="1:11" s="6" customFormat="1" ht="15.65" customHeight="1" x14ac:dyDescent="0.35">
      <c r="A77" s="103"/>
      <c r="B77" s="12" t="s">
        <v>13</v>
      </c>
      <c r="C77" s="10" t="s">
        <v>253</v>
      </c>
      <c r="D77" s="152"/>
      <c r="E77" s="170"/>
      <c r="F77" s="95"/>
      <c r="G77" s="153" t="str">
        <f t="shared" si="1"/>
        <v/>
      </c>
      <c r="H77" s="10" t="s">
        <v>23</v>
      </c>
      <c r="I77" s="331">
        <v>37.700000000000003</v>
      </c>
      <c r="J77" s="12">
        <f>E77*I77</f>
        <v>0</v>
      </c>
    </row>
    <row r="78" spans="1:11" ht="14.5" hidden="1" customHeight="1" x14ac:dyDescent="0.35">
      <c r="A78" s="108" t="s">
        <v>254</v>
      </c>
      <c r="B78" s="108"/>
      <c r="C78" s="108"/>
      <c r="D78" s="223"/>
      <c r="E78" s="169"/>
      <c r="F78" s="109"/>
      <c r="G78" s="153" t="str">
        <f t="shared" si="1"/>
        <v/>
      </c>
      <c r="H78" s="108"/>
      <c r="I78" s="110" t="s">
        <v>18</v>
      </c>
      <c r="J78" s="115">
        <f>SUM(J80:J121)</f>
        <v>0</v>
      </c>
    </row>
    <row r="79" spans="1:11" ht="14.5" hidden="1" customHeight="1" x14ac:dyDescent="0.35">
      <c r="A79" s="111"/>
      <c r="B79" s="126" t="s">
        <v>255</v>
      </c>
      <c r="C79" s="127"/>
      <c r="D79" s="226"/>
      <c r="E79" s="172"/>
      <c r="F79" s="144"/>
      <c r="G79" s="153" t="str">
        <f t="shared" si="1"/>
        <v/>
      </c>
      <c r="H79" s="127"/>
      <c r="I79" s="239"/>
      <c r="J79" s="128"/>
      <c r="K79" s="13"/>
    </row>
    <row r="80" spans="1:11" ht="14.5" hidden="1" customHeight="1" x14ac:dyDescent="0.35">
      <c r="A80" s="103"/>
      <c r="B80" s="12" t="s">
        <v>3</v>
      </c>
      <c r="C80" s="10" t="s">
        <v>256</v>
      </c>
      <c r="D80" s="152"/>
      <c r="E80" s="170"/>
      <c r="F80" s="95"/>
      <c r="G80" s="153" t="str">
        <f t="shared" si="1"/>
        <v/>
      </c>
      <c r="H80" s="10" t="s">
        <v>20</v>
      </c>
      <c r="I80" s="331">
        <v>32.950000000000003</v>
      </c>
      <c r="J80" s="12">
        <f t="shared" ref="J80:J86" si="6">E80*I80</f>
        <v>0</v>
      </c>
      <c r="K80" s="13"/>
    </row>
    <row r="81" spans="1:13" ht="14.5" hidden="1" customHeight="1" x14ac:dyDescent="0.35">
      <c r="A81" s="103"/>
      <c r="B81" s="12" t="s">
        <v>3</v>
      </c>
      <c r="C81" s="10" t="s">
        <v>257</v>
      </c>
      <c r="D81" s="152"/>
      <c r="E81" s="170"/>
      <c r="F81" s="95"/>
      <c r="G81" s="153" t="str">
        <f t="shared" si="1"/>
        <v/>
      </c>
      <c r="H81" s="10" t="s">
        <v>20</v>
      </c>
      <c r="I81" s="331">
        <v>56.95</v>
      </c>
      <c r="J81" s="12">
        <f t="shared" si="6"/>
        <v>0</v>
      </c>
      <c r="K81" s="13" t="s">
        <v>47</v>
      </c>
    </row>
    <row r="82" spans="1:13" ht="14.5" hidden="1" customHeight="1" x14ac:dyDescent="0.35">
      <c r="A82" s="103"/>
      <c r="B82" s="12" t="s">
        <v>3</v>
      </c>
      <c r="C82" s="10" t="s">
        <v>258</v>
      </c>
      <c r="D82" s="152"/>
      <c r="E82" s="170"/>
      <c r="F82" s="95"/>
      <c r="G82" s="153" t="str">
        <f t="shared" si="1"/>
        <v/>
      </c>
      <c r="H82" s="10" t="s">
        <v>20</v>
      </c>
      <c r="I82" s="331">
        <v>15.95</v>
      </c>
      <c r="J82" s="12">
        <f t="shared" si="6"/>
        <v>0</v>
      </c>
    </row>
    <row r="83" spans="1:13" ht="14.5" hidden="1" customHeight="1" x14ac:dyDescent="0.35">
      <c r="A83" s="103"/>
      <c r="B83" s="12" t="s">
        <v>3</v>
      </c>
      <c r="C83" s="10" t="s">
        <v>259</v>
      </c>
      <c r="D83" s="152"/>
      <c r="E83" s="170"/>
      <c r="F83" s="95"/>
      <c r="G83" s="153" t="str">
        <f t="shared" si="1"/>
        <v/>
      </c>
      <c r="H83" s="10" t="s">
        <v>20</v>
      </c>
      <c r="I83" s="331">
        <v>19.95</v>
      </c>
      <c r="J83" s="12">
        <f t="shared" si="6"/>
        <v>0</v>
      </c>
      <c r="K83" s="28"/>
    </row>
    <row r="84" spans="1:13" s="6" customFormat="1" ht="15.65" hidden="1" customHeight="1" x14ac:dyDescent="0.35">
      <c r="A84" s="103"/>
      <c r="B84" s="12" t="s">
        <v>3</v>
      </c>
      <c r="C84" s="10" t="s">
        <v>260</v>
      </c>
      <c r="D84" s="152"/>
      <c r="E84" s="170"/>
      <c r="F84" s="95"/>
      <c r="G84" s="153" t="str">
        <f t="shared" si="1"/>
        <v/>
      </c>
      <c r="H84" s="10" t="s">
        <v>20</v>
      </c>
      <c r="I84" s="331">
        <v>46.95</v>
      </c>
      <c r="J84" s="12">
        <f t="shared" si="6"/>
        <v>0</v>
      </c>
      <c r="K84" s="30"/>
    </row>
    <row r="85" spans="1:13" ht="14.5" hidden="1" customHeight="1" x14ac:dyDescent="0.35">
      <c r="A85" s="103"/>
      <c r="B85" s="12" t="s">
        <v>3</v>
      </c>
      <c r="C85" s="10" t="s">
        <v>261</v>
      </c>
      <c r="D85" s="152"/>
      <c r="E85" s="170"/>
      <c r="F85" s="95"/>
      <c r="G85" s="153" t="str">
        <f t="shared" si="1"/>
        <v/>
      </c>
      <c r="H85" s="10" t="s">
        <v>20</v>
      </c>
      <c r="I85" s="331">
        <v>34.950000000000003</v>
      </c>
      <c r="J85" s="12">
        <f t="shared" si="6"/>
        <v>0</v>
      </c>
      <c r="K85" s="28"/>
    </row>
    <row r="86" spans="1:13" s="6" customFormat="1" ht="15.65" hidden="1" customHeight="1" x14ac:dyDescent="0.35">
      <c r="A86" s="103"/>
      <c r="B86" s="12" t="s">
        <v>3</v>
      </c>
      <c r="C86" s="10" t="s">
        <v>262</v>
      </c>
      <c r="D86" s="152"/>
      <c r="E86" s="170"/>
      <c r="F86" s="95"/>
      <c r="G86" s="153" t="str">
        <f t="shared" si="1"/>
        <v/>
      </c>
      <c r="H86" s="10" t="s">
        <v>20</v>
      </c>
      <c r="I86" s="331">
        <v>24.95</v>
      </c>
      <c r="J86" s="12">
        <f t="shared" si="6"/>
        <v>0</v>
      </c>
    </row>
    <row r="87" spans="1:13" ht="15.5" hidden="1" x14ac:dyDescent="0.35">
      <c r="A87" s="111"/>
      <c r="B87" s="126" t="s">
        <v>263</v>
      </c>
      <c r="C87" s="127"/>
      <c r="D87" s="226"/>
      <c r="E87" s="172"/>
      <c r="F87" s="144"/>
      <c r="G87" s="153" t="str">
        <f t="shared" si="1"/>
        <v/>
      </c>
      <c r="H87" s="127"/>
      <c r="I87" s="239"/>
      <c r="J87" s="128"/>
      <c r="K87" s="28"/>
      <c r="M87" t="s">
        <v>47</v>
      </c>
    </row>
    <row r="88" spans="1:13" hidden="1" x14ac:dyDescent="0.35">
      <c r="A88" s="103"/>
      <c r="B88" s="12" t="s">
        <v>3</v>
      </c>
      <c r="C88" s="10" t="s">
        <v>264</v>
      </c>
      <c r="D88" s="152"/>
      <c r="E88" s="170"/>
      <c r="F88" s="95"/>
      <c r="G88" s="153" t="str">
        <f t="shared" si="1"/>
        <v/>
      </c>
      <c r="H88" s="10" t="s">
        <v>20</v>
      </c>
      <c r="I88" s="331">
        <v>19.5</v>
      </c>
      <c r="J88" s="12">
        <f t="shared" ref="J88:J94" si="7">E88*I88</f>
        <v>0</v>
      </c>
      <c r="K88" s="28"/>
    </row>
    <row r="89" spans="1:13" hidden="1" x14ac:dyDescent="0.35">
      <c r="A89" s="103"/>
      <c r="B89" s="12" t="s">
        <v>3</v>
      </c>
      <c r="C89" s="10" t="s">
        <v>265</v>
      </c>
      <c r="D89" s="152"/>
      <c r="E89" s="170"/>
      <c r="F89" s="95"/>
      <c r="G89" s="153" t="str">
        <f t="shared" ref="G89:G152" si="8">IF(E89="","",IF(D89-E89&gt;0,D89-E89,""))</f>
        <v/>
      </c>
      <c r="H89" s="10" t="s">
        <v>20</v>
      </c>
      <c r="I89" s="331">
        <v>16.95</v>
      </c>
      <c r="J89" s="12">
        <f t="shared" si="7"/>
        <v>0</v>
      </c>
      <c r="K89" s="28"/>
    </row>
    <row r="90" spans="1:13" hidden="1" x14ac:dyDescent="0.35">
      <c r="A90" s="103"/>
      <c r="B90" s="12" t="s">
        <v>3</v>
      </c>
      <c r="C90" s="10" t="s">
        <v>266</v>
      </c>
      <c r="D90" s="152"/>
      <c r="E90" s="170"/>
      <c r="F90" s="95"/>
      <c r="G90" s="153" t="str">
        <f t="shared" si="8"/>
        <v/>
      </c>
      <c r="H90" s="10" t="s">
        <v>20</v>
      </c>
      <c r="I90" s="331">
        <v>17.95</v>
      </c>
      <c r="J90" s="12">
        <f t="shared" si="7"/>
        <v>0</v>
      </c>
      <c r="K90" s="28"/>
    </row>
    <row r="91" spans="1:13" hidden="1" x14ac:dyDescent="0.35">
      <c r="A91" s="103"/>
      <c r="B91" s="12" t="s">
        <v>3</v>
      </c>
      <c r="C91" s="10" t="s">
        <v>267</v>
      </c>
      <c r="D91" s="152"/>
      <c r="E91" s="170"/>
      <c r="F91" s="95"/>
      <c r="G91" s="153" t="str">
        <f t="shared" si="8"/>
        <v/>
      </c>
      <c r="H91" s="10" t="s">
        <v>20</v>
      </c>
      <c r="I91" s="331">
        <v>15.95</v>
      </c>
      <c r="J91" s="12">
        <f t="shared" si="7"/>
        <v>0</v>
      </c>
      <c r="K91" s="28"/>
    </row>
    <row r="92" spans="1:13" s="6" customFormat="1" ht="15.5" hidden="1" x14ac:dyDescent="0.35">
      <c r="A92" s="103"/>
      <c r="B92" s="12" t="s">
        <v>3</v>
      </c>
      <c r="C92" s="10" t="s">
        <v>268</v>
      </c>
      <c r="D92" s="152"/>
      <c r="E92" s="170"/>
      <c r="F92" s="95"/>
      <c r="G92" s="153" t="str">
        <f t="shared" si="8"/>
        <v/>
      </c>
      <c r="H92" s="10" t="s">
        <v>20</v>
      </c>
      <c r="I92" s="331">
        <v>20.95</v>
      </c>
      <c r="J92" s="12">
        <f t="shared" si="7"/>
        <v>0</v>
      </c>
      <c r="K92" s="30"/>
    </row>
    <row r="93" spans="1:13" hidden="1" x14ac:dyDescent="0.35">
      <c r="A93" s="103"/>
      <c r="B93" s="12" t="s">
        <v>3</v>
      </c>
      <c r="C93" s="10" t="s">
        <v>269</v>
      </c>
      <c r="D93" s="152"/>
      <c r="E93" s="170"/>
      <c r="F93" s="95"/>
      <c r="G93" s="153" t="str">
        <f t="shared" si="8"/>
        <v/>
      </c>
      <c r="H93" s="10" t="s">
        <v>20</v>
      </c>
      <c r="I93" s="331">
        <v>26.95</v>
      </c>
      <c r="J93" s="12">
        <f t="shared" si="7"/>
        <v>0</v>
      </c>
      <c r="K93" s="31"/>
    </row>
    <row r="94" spans="1:13" hidden="1" x14ac:dyDescent="0.35">
      <c r="A94" s="103"/>
      <c r="B94" s="12" t="s">
        <v>3</v>
      </c>
      <c r="C94" s="10" t="s">
        <v>270</v>
      </c>
      <c r="D94" s="152"/>
      <c r="E94" s="170"/>
      <c r="F94" s="95"/>
      <c r="G94" s="153" t="str">
        <f t="shared" si="8"/>
        <v/>
      </c>
      <c r="H94" s="10" t="s">
        <v>20</v>
      </c>
      <c r="I94" s="331">
        <v>26.95</v>
      </c>
      <c r="J94" s="12">
        <f t="shared" si="7"/>
        <v>0</v>
      </c>
      <c r="K94" s="31"/>
    </row>
    <row r="95" spans="1:13" s="6" customFormat="1" ht="15.5" hidden="1" x14ac:dyDescent="0.35">
      <c r="A95" s="111"/>
      <c r="B95" s="126" t="s">
        <v>271</v>
      </c>
      <c r="C95" s="127"/>
      <c r="D95" s="226"/>
      <c r="E95" s="172"/>
      <c r="F95" s="144"/>
      <c r="G95" s="153" t="str">
        <f t="shared" si="8"/>
        <v/>
      </c>
      <c r="H95" s="127"/>
      <c r="I95" s="239"/>
      <c r="J95" s="128"/>
      <c r="K95" s="30"/>
    </row>
    <row r="96" spans="1:13" ht="14.15" hidden="1" customHeight="1" x14ac:dyDescent="0.35">
      <c r="A96" s="103"/>
      <c r="B96" s="12" t="s">
        <v>3</v>
      </c>
      <c r="C96" s="10" t="s">
        <v>272</v>
      </c>
      <c r="D96" s="152"/>
      <c r="E96" s="170"/>
      <c r="F96" s="95"/>
      <c r="G96" s="153" t="str">
        <f t="shared" si="8"/>
        <v/>
      </c>
      <c r="H96" s="10" t="s">
        <v>20</v>
      </c>
      <c r="I96" s="331">
        <v>20.95</v>
      </c>
      <c r="J96" s="12">
        <f>E96*I96</f>
        <v>0</v>
      </c>
      <c r="K96" s="28"/>
    </row>
    <row r="97" spans="1:11" hidden="1" x14ac:dyDescent="0.35">
      <c r="A97" s="103"/>
      <c r="B97" s="12" t="s">
        <v>3</v>
      </c>
      <c r="C97" s="10" t="s">
        <v>273</v>
      </c>
      <c r="D97" s="152"/>
      <c r="E97" s="170"/>
      <c r="F97" s="95"/>
      <c r="G97" s="153" t="str">
        <f t="shared" si="8"/>
        <v/>
      </c>
      <c r="H97" s="10" t="s">
        <v>20</v>
      </c>
      <c r="I97" s="331">
        <v>23.95</v>
      </c>
      <c r="J97" s="12">
        <f>E97*I97</f>
        <v>0</v>
      </c>
      <c r="K97" s="28"/>
    </row>
    <row r="98" spans="1:11" s="6" customFormat="1" ht="15.65" hidden="1" customHeight="1" x14ac:dyDescent="0.35">
      <c r="A98" s="103"/>
      <c r="B98" s="12" t="s">
        <v>3</v>
      </c>
      <c r="C98" s="10" t="s">
        <v>274</v>
      </c>
      <c r="D98" s="152"/>
      <c r="E98" s="170"/>
      <c r="F98" s="95"/>
      <c r="G98" s="153" t="str">
        <f t="shared" si="8"/>
        <v/>
      </c>
      <c r="H98" s="10" t="s">
        <v>20</v>
      </c>
      <c r="I98" s="331">
        <v>22.5</v>
      </c>
      <c r="J98" s="12">
        <f>E98*I98</f>
        <v>0</v>
      </c>
      <c r="K98" s="30"/>
    </row>
    <row r="99" spans="1:11" ht="14.5" hidden="1" customHeight="1" x14ac:dyDescent="0.35">
      <c r="A99" s="103"/>
      <c r="B99" s="12" t="s">
        <v>3</v>
      </c>
      <c r="C99" s="10" t="s">
        <v>275</v>
      </c>
      <c r="D99" s="152"/>
      <c r="E99" s="170"/>
      <c r="F99" s="95"/>
      <c r="G99" s="153" t="str">
        <f t="shared" si="8"/>
        <v/>
      </c>
      <c r="H99" s="10" t="s">
        <v>20</v>
      </c>
      <c r="I99" s="331">
        <v>29.95</v>
      </c>
      <c r="J99" s="12">
        <f>E99*I99</f>
        <v>0</v>
      </c>
      <c r="K99" s="31"/>
    </row>
    <row r="100" spans="1:11" s="6" customFormat="1" ht="15.65" hidden="1" customHeight="1" x14ac:dyDescent="0.35">
      <c r="A100" s="111"/>
      <c r="B100" s="126" t="s">
        <v>276</v>
      </c>
      <c r="C100" s="127"/>
      <c r="D100" s="226"/>
      <c r="E100" s="172"/>
      <c r="F100" s="144"/>
      <c r="G100" s="153" t="str">
        <f t="shared" si="8"/>
        <v/>
      </c>
      <c r="H100" s="127"/>
      <c r="I100" s="239"/>
      <c r="J100" s="128"/>
    </row>
    <row r="101" spans="1:11" hidden="1" x14ac:dyDescent="0.35">
      <c r="A101" s="103"/>
      <c r="B101" s="12" t="s">
        <v>3</v>
      </c>
      <c r="C101" s="10" t="s">
        <v>277</v>
      </c>
      <c r="D101" s="152"/>
      <c r="E101" s="170"/>
      <c r="F101" s="95"/>
      <c r="G101" s="153" t="str">
        <f t="shared" si="8"/>
        <v/>
      </c>
      <c r="H101" s="10" t="s">
        <v>20</v>
      </c>
      <c r="I101" s="331">
        <v>17.95</v>
      </c>
      <c r="J101" s="12">
        <f>E101*I101</f>
        <v>0</v>
      </c>
      <c r="K101" s="28"/>
    </row>
    <row r="102" spans="1:11" s="6" customFormat="1" ht="15.5" hidden="1" x14ac:dyDescent="0.35">
      <c r="A102" s="103"/>
      <c r="B102" s="12" t="s">
        <v>3</v>
      </c>
      <c r="C102" s="10" t="s">
        <v>278</v>
      </c>
      <c r="D102" s="152"/>
      <c r="E102" s="170"/>
      <c r="F102" s="95"/>
      <c r="G102" s="153" t="str">
        <f t="shared" si="8"/>
        <v/>
      </c>
      <c r="H102" s="10" t="s">
        <v>20</v>
      </c>
      <c r="I102" s="331">
        <v>20.95</v>
      </c>
      <c r="J102" s="12">
        <f>E102*I102</f>
        <v>0</v>
      </c>
    </row>
    <row r="103" spans="1:11" hidden="1" x14ac:dyDescent="0.35">
      <c r="A103" s="103"/>
      <c r="B103" s="12" t="s">
        <v>3</v>
      </c>
      <c r="C103" s="10" t="s">
        <v>279</v>
      </c>
      <c r="D103" s="152"/>
      <c r="E103" s="170"/>
      <c r="F103" s="95"/>
      <c r="G103" s="153" t="str">
        <f t="shared" si="8"/>
        <v/>
      </c>
      <c r="H103" s="10" t="s">
        <v>20</v>
      </c>
      <c r="I103" s="331">
        <v>19.95</v>
      </c>
      <c r="J103" s="12">
        <f>E103*I103</f>
        <v>0</v>
      </c>
      <c r="K103" s="13"/>
    </row>
    <row r="104" spans="1:11" hidden="1" x14ac:dyDescent="0.35">
      <c r="A104" s="103"/>
      <c r="B104" s="40" t="s">
        <v>3</v>
      </c>
      <c r="C104" s="41" t="s">
        <v>280</v>
      </c>
      <c r="D104" s="227"/>
      <c r="E104" s="170"/>
      <c r="F104" s="145"/>
      <c r="G104" s="153" t="str">
        <f t="shared" si="8"/>
        <v/>
      </c>
      <c r="H104" s="41" t="s">
        <v>20</v>
      </c>
      <c r="I104" s="334">
        <v>59.95</v>
      </c>
      <c r="J104" s="40">
        <f>E104*I104</f>
        <v>0</v>
      </c>
      <c r="K104" s="13"/>
    </row>
    <row r="105" spans="1:11" ht="15.5" hidden="1" x14ac:dyDescent="0.35">
      <c r="A105" s="111"/>
      <c r="B105" s="126" t="s">
        <v>281</v>
      </c>
      <c r="C105" s="127"/>
      <c r="D105" s="226"/>
      <c r="E105" s="172"/>
      <c r="F105" s="144"/>
      <c r="G105" s="153" t="str">
        <f t="shared" si="8"/>
        <v/>
      </c>
      <c r="H105" s="127"/>
      <c r="I105" s="239"/>
      <c r="J105" s="128"/>
      <c r="K105" s="13"/>
    </row>
    <row r="106" spans="1:11" hidden="1" x14ac:dyDescent="0.35">
      <c r="A106" s="103"/>
      <c r="B106" s="12" t="s">
        <v>3</v>
      </c>
      <c r="C106" s="10" t="s">
        <v>282</v>
      </c>
      <c r="D106" s="152"/>
      <c r="E106" s="170"/>
      <c r="F106" s="95"/>
      <c r="G106" s="153" t="str">
        <f t="shared" si="8"/>
        <v/>
      </c>
      <c r="H106" s="10" t="s">
        <v>20</v>
      </c>
      <c r="I106" s="331">
        <v>54.95</v>
      </c>
      <c r="J106" s="12">
        <f>E106*I106</f>
        <v>0</v>
      </c>
      <c r="K106" s="13"/>
    </row>
    <row r="107" spans="1:11" ht="14.5" hidden="1" customHeight="1" x14ac:dyDescent="0.35">
      <c r="A107" s="103"/>
      <c r="B107" s="12" t="s">
        <v>3</v>
      </c>
      <c r="C107" s="10" t="s">
        <v>283</v>
      </c>
      <c r="D107" s="152"/>
      <c r="E107" s="170"/>
      <c r="F107" s="95"/>
      <c r="G107" s="153" t="str">
        <f t="shared" si="8"/>
        <v/>
      </c>
      <c r="H107" s="10" t="s">
        <v>20</v>
      </c>
      <c r="I107" s="331">
        <v>49.95</v>
      </c>
      <c r="J107" s="12">
        <f>E107*I107</f>
        <v>0</v>
      </c>
      <c r="K107" s="13"/>
    </row>
    <row r="108" spans="1:11" ht="14.5" hidden="1" customHeight="1" x14ac:dyDescent="0.35">
      <c r="A108" s="111"/>
      <c r="B108" s="126" t="s">
        <v>284</v>
      </c>
      <c r="C108" s="127"/>
      <c r="D108" s="226"/>
      <c r="E108" s="172"/>
      <c r="F108" s="144"/>
      <c r="G108" s="153" t="str">
        <f t="shared" si="8"/>
        <v/>
      </c>
      <c r="H108" s="127"/>
      <c r="I108" s="239"/>
      <c r="J108" s="128"/>
      <c r="K108" s="13"/>
    </row>
    <row r="109" spans="1:11" ht="14.5" hidden="1" customHeight="1" x14ac:dyDescent="0.35">
      <c r="A109" s="103"/>
      <c r="B109" s="12" t="s">
        <v>3</v>
      </c>
      <c r="C109" s="10" t="s">
        <v>285</v>
      </c>
      <c r="D109" s="152"/>
      <c r="E109" s="170"/>
      <c r="F109" s="95"/>
      <c r="G109" s="153" t="str">
        <f t="shared" si="8"/>
        <v/>
      </c>
      <c r="H109" s="10" t="s">
        <v>20</v>
      </c>
      <c r="I109" s="331">
        <v>41.5</v>
      </c>
      <c r="J109" s="12">
        <f t="shared" ref="J109:J114" si="9">E109*I109</f>
        <v>0</v>
      </c>
      <c r="K109" s="13"/>
    </row>
    <row r="110" spans="1:11" ht="15.65" hidden="1" customHeight="1" x14ac:dyDescent="0.35">
      <c r="A110" s="103"/>
      <c r="B110" s="12" t="s">
        <v>3</v>
      </c>
      <c r="C110" s="10" t="s">
        <v>286</v>
      </c>
      <c r="D110" s="152"/>
      <c r="E110" s="170"/>
      <c r="F110" s="95"/>
      <c r="G110" s="153" t="str">
        <f t="shared" si="8"/>
        <v/>
      </c>
      <c r="H110" s="10" t="s">
        <v>20</v>
      </c>
      <c r="I110" s="331">
        <v>36.200000000000003</v>
      </c>
      <c r="J110" s="12">
        <f t="shared" si="9"/>
        <v>0</v>
      </c>
      <c r="K110" s="13"/>
    </row>
    <row r="111" spans="1:11" hidden="1" x14ac:dyDescent="0.35">
      <c r="A111" s="103"/>
      <c r="B111" s="12" t="s">
        <v>3</v>
      </c>
      <c r="C111" s="10" t="s">
        <v>287</v>
      </c>
      <c r="D111" s="152"/>
      <c r="E111" s="170"/>
      <c r="F111" s="95"/>
      <c r="G111" s="153" t="str">
        <f t="shared" si="8"/>
        <v/>
      </c>
      <c r="H111" s="10" t="s">
        <v>20</v>
      </c>
      <c r="I111" s="331">
        <v>25.95</v>
      </c>
      <c r="J111" s="12">
        <f t="shared" si="9"/>
        <v>0</v>
      </c>
      <c r="K111" s="13"/>
    </row>
    <row r="112" spans="1:11" hidden="1" x14ac:dyDescent="0.35">
      <c r="A112" s="103"/>
      <c r="B112" s="12" t="s">
        <v>3</v>
      </c>
      <c r="C112" s="10" t="s">
        <v>288</v>
      </c>
      <c r="D112" s="152"/>
      <c r="E112" s="170"/>
      <c r="F112" s="95"/>
      <c r="G112" s="153" t="str">
        <f t="shared" si="8"/>
        <v/>
      </c>
      <c r="H112" s="10" t="s">
        <v>20</v>
      </c>
      <c r="I112" s="331">
        <v>32.799999999999997</v>
      </c>
      <c r="J112" s="12">
        <f t="shared" si="9"/>
        <v>0</v>
      </c>
      <c r="K112" s="13"/>
    </row>
    <row r="113" spans="1:11" s="6" customFormat="1" ht="15.5" hidden="1" x14ac:dyDescent="0.35">
      <c r="A113" s="103"/>
      <c r="B113" s="12" t="s">
        <v>3</v>
      </c>
      <c r="C113" s="10" t="s">
        <v>289</v>
      </c>
      <c r="D113" s="152"/>
      <c r="E113" s="170"/>
      <c r="F113" s="95"/>
      <c r="G113" s="153" t="str">
        <f t="shared" si="8"/>
        <v/>
      </c>
      <c r="H113" s="10" t="s">
        <v>20</v>
      </c>
      <c r="I113" s="331">
        <v>29.2</v>
      </c>
      <c r="J113" s="12">
        <f t="shared" si="9"/>
        <v>0</v>
      </c>
    </row>
    <row r="114" spans="1:11" hidden="1" x14ac:dyDescent="0.35">
      <c r="A114" s="103"/>
      <c r="B114" s="12" t="s">
        <v>3</v>
      </c>
      <c r="C114" s="10" t="s">
        <v>290</v>
      </c>
      <c r="D114" s="152"/>
      <c r="E114" s="170"/>
      <c r="F114" s="95"/>
      <c r="G114" s="153" t="str">
        <f t="shared" si="8"/>
        <v/>
      </c>
      <c r="H114" s="10" t="s">
        <v>20</v>
      </c>
      <c r="I114" s="331">
        <v>22.95</v>
      </c>
      <c r="J114" s="12">
        <f t="shared" si="9"/>
        <v>0</v>
      </c>
      <c r="K114" s="13"/>
    </row>
    <row r="115" spans="1:11" ht="15.5" hidden="1" x14ac:dyDescent="0.35">
      <c r="A115" s="111"/>
      <c r="B115" s="126" t="s">
        <v>291</v>
      </c>
      <c r="C115" s="127"/>
      <c r="D115" s="226"/>
      <c r="E115" s="172"/>
      <c r="F115" s="144"/>
      <c r="G115" s="153" t="str">
        <f t="shared" si="8"/>
        <v/>
      </c>
      <c r="H115" s="127"/>
      <c r="I115" s="239"/>
      <c r="J115" s="128"/>
      <c r="K115" s="13"/>
    </row>
    <row r="116" spans="1:11" ht="14.5" hidden="1" customHeight="1" x14ac:dyDescent="0.35">
      <c r="A116" s="103"/>
      <c r="B116" s="12" t="s">
        <v>3</v>
      </c>
      <c r="C116" s="10" t="s">
        <v>292</v>
      </c>
      <c r="D116" s="152"/>
      <c r="E116" s="170"/>
      <c r="F116" s="95"/>
      <c r="G116" s="153" t="str">
        <f t="shared" si="8"/>
        <v/>
      </c>
      <c r="H116" s="10" t="s">
        <v>20</v>
      </c>
      <c r="I116" s="331">
        <v>17.95</v>
      </c>
      <c r="J116" s="12">
        <f t="shared" ref="J116:J121" si="10">E116*I116</f>
        <v>0</v>
      </c>
      <c r="K116" s="13"/>
    </row>
    <row r="117" spans="1:11" ht="14.5" hidden="1" customHeight="1" x14ac:dyDescent="0.35">
      <c r="A117" s="103"/>
      <c r="B117" s="12" t="s">
        <v>3</v>
      </c>
      <c r="C117" s="10" t="s">
        <v>293</v>
      </c>
      <c r="D117" s="152"/>
      <c r="E117" s="170"/>
      <c r="F117" s="95"/>
      <c r="G117" s="153" t="str">
        <f t="shared" si="8"/>
        <v/>
      </c>
      <c r="H117" s="10" t="s">
        <v>20</v>
      </c>
      <c r="I117" s="331">
        <v>12.95</v>
      </c>
      <c r="J117" s="12">
        <f t="shared" si="10"/>
        <v>0</v>
      </c>
      <c r="K117" s="13"/>
    </row>
    <row r="118" spans="1:11" ht="14.5" hidden="1" customHeight="1" x14ac:dyDescent="0.35">
      <c r="A118" s="103"/>
      <c r="B118" s="12" t="s">
        <v>3</v>
      </c>
      <c r="C118" s="10" t="s">
        <v>294</v>
      </c>
      <c r="D118" s="152"/>
      <c r="E118" s="170"/>
      <c r="F118" s="95"/>
      <c r="G118" s="153" t="str">
        <f t="shared" si="8"/>
        <v/>
      </c>
      <c r="H118" s="10" t="s">
        <v>20</v>
      </c>
      <c r="I118" s="331">
        <v>21.95</v>
      </c>
      <c r="J118" s="12">
        <f t="shared" si="10"/>
        <v>0</v>
      </c>
      <c r="K118" s="13"/>
    </row>
    <row r="119" spans="1:11" ht="14.5" hidden="1" customHeight="1" x14ac:dyDescent="0.35">
      <c r="A119" s="103"/>
      <c r="B119" s="12" t="s">
        <v>3</v>
      </c>
      <c r="C119" s="10" t="s">
        <v>295</v>
      </c>
      <c r="D119" s="152"/>
      <c r="E119" s="170"/>
      <c r="F119" s="95"/>
      <c r="G119" s="153" t="str">
        <f t="shared" si="8"/>
        <v/>
      </c>
      <c r="H119" s="10" t="s">
        <v>20</v>
      </c>
      <c r="I119" s="331"/>
      <c r="J119" s="12">
        <f t="shared" si="10"/>
        <v>0</v>
      </c>
      <c r="K119" s="13"/>
    </row>
    <row r="120" spans="1:11" ht="15.65" hidden="1" customHeight="1" x14ac:dyDescent="0.35">
      <c r="A120" s="103"/>
      <c r="B120" s="12" t="s">
        <v>3</v>
      </c>
      <c r="C120" s="10" t="s">
        <v>296</v>
      </c>
      <c r="D120" s="152"/>
      <c r="E120" s="170"/>
      <c r="F120" s="95"/>
      <c r="G120" s="153" t="str">
        <f t="shared" si="8"/>
        <v/>
      </c>
      <c r="H120" s="10" t="s">
        <v>20</v>
      </c>
      <c r="I120" s="331"/>
      <c r="J120" s="12">
        <f t="shared" si="10"/>
        <v>0</v>
      </c>
      <c r="K120" s="13"/>
    </row>
    <row r="121" spans="1:11" ht="15.65" hidden="1" customHeight="1" x14ac:dyDescent="0.35">
      <c r="A121" s="103"/>
      <c r="B121" s="12" t="s">
        <v>3</v>
      </c>
      <c r="C121" s="10" t="s">
        <v>297</v>
      </c>
      <c r="D121" s="152"/>
      <c r="E121" s="170"/>
      <c r="F121" s="95"/>
      <c r="G121" s="153" t="str">
        <f t="shared" si="8"/>
        <v/>
      </c>
      <c r="H121" s="10" t="s">
        <v>20</v>
      </c>
      <c r="I121" s="331">
        <v>22.95</v>
      </c>
      <c r="J121" s="12">
        <f t="shared" si="10"/>
        <v>0</v>
      </c>
      <c r="K121" s="13"/>
    </row>
    <row r="122" spans="1:11" ht="14.5" hidden="1" customHeight="1" x14ac:dyDescent="0.35">
      <c r="A122" s="112" t="s">
        <v>298</v>
      </c>
      <c r="B122" s="116"/>
      <c r="C122" s="116"/>
      <c r="D122" s="228"/>
      <c r="E122" s="173"/>
      <c r="F122" s="146"/>
      <c r="G122" s="153" t="str">
        <f t="shared" si="8"/>
        <v/>
      </c>
      <c r="H122" s="117"/>
      <c r="I122" s="106" t="s">
        <v>18</v>
      </c>
      <c r="J122" s="115">
        <f>SUM(J123:J175)</f>
        <v>400.65999999999997</v>
      </c>
      <c r="K122" s="13"/>
    </row>
    <row r="123" spans="1:11" ht="14.5" hidden="1" customHeight="1" x14ac:dyDescent="0.35">
      <c r="A123" s="103"/>
      <c r="B123" s="20" t="s">
        <v>4</v>
      </c>
      <c r="C123" s="18" t="s">
        <v>62</v>
      </c>
      <c r="D123" s="229"/>
      <c r="E123" s="170"/>
      <c r="F123" s="147"/>
      <c r="G123" s="153" t="str">
        <f t="shared" si="8"/>
        <v/>
      </c>
      <c r="H123" s="18" t="s">
        <v>20</v>
      </c>
      <c r="I123" s="335">
        <v>7.35</v>
      </c>
      <c r="J123" s="20">
        <f>E123*I123</f>
        <v>0</v>
      </c>
      <c r="K123" s="13"/>
    </row>
    <row r="124" spans="1:11" ht="14.5" hidden="1" customHeight="1" x14ac:dyDescent="0.35">
      <c r="A124" s="103"/>
      <c r="B124" s="20" t="s">
        <v>4</v>
      </c>
      <c r="C124" s="18" t="s">
        <v>60</v>
      </c>
      <c r="D124" s="229"/>
      <c r="E124" s="170"/>
      <c r="F124" s="147"/>
      <c r="G124" s="153" t="str">
        <f t="shared" si="8"/>
        <v/>
      </c>
      <c r="H124" s="18" t="s">
        <v>20</v>
      </c>
      <c r="I124" s="335">
        <v>10.65</v>
      </c>
      <c r="J124" s="20">
        <f>E124*I124</f>
        <v>0</v>
      </c>
      <c r="K124" s="13"/>
    </row>
    <row r="125" spans="1:11" ht="15.65" hidden="1" customHeight="1" x14ac:dyDescent="0.35">
      <c r="A125" s="113" t="s">
        <v>40</v>
      </c>
      <c r="B125" s="124"/>
      <c r="C125" s="124"/>
      <c r="D125" s="230"/>
      <c r="E125" s="174"/>
      <c r="F125" s="148"/>
      <c r="G125" s="153" t="str">
        <f t="shared" si="8"/>
        <v/>
      </c>
      <c r="H125" s="124"/>
      <c r="I125" s="241"/>
      <c r="J125" s="125"/>
      <c r="K125" s="13"/>
    </row>
    <row r="126" spans="1:11" hidden="1" x14ac:dyDescent="0.35">
      <c r="A126" s="103"/>
      <c r="B126" s="20" t="s">
        <v>4</v>
      </c>
      <c r="C126" s="18" t="s">
        <v>299</v>
      </c>
      <c r="D126" s="229"/>
      <c r="E126" s="170"/>
      <c r="F126" s="147"/>
      <c r="G126" s="153" t="str">
        <f t="shared" si="8"/>
        <v/>
      </c>
      <c r="H126" s="18" t="s">
        <v>20</v>
      </c>
      <c r="I126" s="335">
        <v>1.31</v>
      </c>
      <c r="J126" s="12">
        <f t="shared" ref="J126:J137" si="11">E126*I126</f>
        <v>0</v>
      </c>
      <c r="K126" s="13"/>
    </row>
    <row r="127" spans="1:11" hidden="1" x14ac:dyDescent="0.35">
      <c r="A127" s="103"/>
      <c r="B127" s="12" t="s">
        <v>4</v>
      </c>
      <c r="C127" s="10" t="s">
        <v>300</v>
      </c>
      <c r="D127" s="152"/>
      <c r="E127" s="170"/>
      <c r="F127" s="95"/>
      <c r="G127" s="153" t="str">
        <f t="shared" si="8"/>
        <v/>
      </c>
      <c r="H127" s="10" t="s">
        <v>20</v>
      </c>
      <c r="I127" s="331">
        <v>1.31</v>
      </c>
      <c r="J127" s="12">
        <f t="shared" si="11"/>
        <v>0</v>
      </c>
    </row>
    <row r="128" spans="1:11" hidden="1" x14ac:dyDescent="0.35">
      <c r="A128" s="103"/>
      <c r="B128" s="20" t="s">
        <v>4</v>
      </c>
      <c r="C128" s="18" t="s">
        <v>301</v>
      </c>
      <c r="D128" s="229"/>
      <c r="E128" s="170"/>
      <c r="F128" s="147"/>
      <c r="G128" s="153" t="str">
        <f t="shared" si="8"/>
        <v/>
      </c>
      <c r="H128" s="18" t="s">
        <v>20</v>
      </c>
      <c r="I128" s="335">
        <v>1.4039999999999999</v>
      </c>
      <c r="J128" s="12">
        <f t="shared" si="11"/>
        <v>0</v>
      </c>
    </row>
    <row r="129" spans="1:11" hidden="1" x14ac:dyDescent="0.35">
      <c r="A129" s="103"/>
      <c r="B129" s="12" t="s">
        <v>4</v>
      </c>
      <c r="C129" s="10" t="s">
        <v>302</v>
      </c>
      <c r="D129" s="152"/>
      <c r="E129" s="170"/>
      <c r="F129" s="95"/>
      <c r="G129" s="153" t="str">
        <f t="shared" si="8"/>
        <v/>
      </c>
      <c r="H129" s="10" t="s">
        <v>20</v>
      </c>
      <c r="I129" s="331">
        <v>1.4039999999999999</v>
      </c>
      <c r="J129" s="12">
        <f t="shared" si="11"/>
        <v>0</v>
      </c>
    </row>
    <row r="130" spans="1:11" hidden="1" x14ac:dyDescent="0.35">
      <c r="A130" s="103"/>
      <c r="B130" s="12" t="s">
        <v>4</v>
      </c>
      <c r="C130" s="10" t="s">
        <v>303</v>
      </c>
      <c r="D130" s="152"/>
      <c r="E130" s="170"/>
      <c r="F130" s="95"/>
      <c r="G130" s="153" t="str">
        <f t="shared" si="8"/>
        <v/>
      </c>
      <c r="H130" s="10" t="s">
        <v>20</v>
      </c>
      <c r="I130" s="331">
        <v>1.53</v>
      </c>
      <c r="J130" s="12">
        <f t="shared" si="11"/>
        <v>0</v>
      </c>
    </row>
    <row r="131" spans="1:11" hidden="1" x14ac:dyDescent="0.35">
      <c r="A131" s="103"/>
      <c r="B131" s="12" t="s">
        <v>4</v>
      </c>
      <c r="C131" s="10" t="s">
        <v>304</v>
      </c>
      <c r="D131" s="152"/>
      <c r="E131" s="170"/>
      <c r="F131" s="95"/>
      <c r="G131" s="153" t="str">
        <f t="shared" si="8"/>
        <v/>
      </c>
      <c r="H131" s="10" t="s">
        <v>20</v>
      </c>
      <c r="I131" s="331">
        <v>1.65</v>
      </c>
      <c r="J131" s="12">
        <f t="shared" si="11"/>
        <v>0</v>
      </c>
    </row>
    <row r="132" spans="1:11" hidden="1" x14ac:dyDescent="0.35">
      <c r="A132" s="103"/>
      <c r="B132" s="12" t="s">
        <v>4</v>
      </c>
      <c r="C132" s="10" t="s">
        <v>83</v>
      </c>
      <c r="D132" s="152"/>
      <c r="E132" s="170"/>
      <c r="F132" s="95"/>
      <c r="G132" s="153" t="str">
        <f t="shared" si="8"/>
        <v/>
      </c>
      <c r="H132" s="10" t="s">
        <v>20</v>
      </c>
      <c r="I132" s="331">
        <v>1.04</v>
      </c>
      <c r="J132" s="12">
        <f t="shared" si="11"/>
        <v>0</v>
      </c>
    </row>
    <row r="133" spans="1:11" hidden="1" x14ac:dyDescent="0.35">
      <c r="A133" s="103"/>
      <c r="B133" s="12" t="s">
        <v>4</v>
      </c>
      <c r="C133" s="10" t="s">
        <v>305</v>
      </c>
      <c r="D133" s="152"/>
      <c r="E133" s="170"/>
      <c r="F133" s="95"/>
      <c r="G133" s="153" t="str">
        <f t="shared" si="8"/>
        <v/>
      </c>
      <c r="H133" s="10" t="s">
        <v>20</v>
      </c>
      <c r="I133" s="331">
        <v>1.04</v>
      </c>
      <c r="J133" s="12">
        <f t="shared" si="11"/>
        <v>0</v>
      </c>
    </row>
    <row r="134" spans="1:11" ht="14.5" hidden="1" customHeight="1" x14ac:dyDescent="0.35">
      <c r="A134" s="103"/>
      <c r="B134" s="12" t="s">
        <v>4</v>
      </c>
      <c r="C134" s="10" t="s">
        <v>306</v>
      </c>
      <c r="D134" s="152"/>
      <c r="E134" s="170"/>
      <c r="F134" s="95"/>
      <c r="G134" s="153" t="str">
        <f t="shared" si="8"/>
        <v/>
      </c>
      <c r="H134" s="10" t="s">
        <v>20</v>
      </c>
      <c r="I134" s="331">
        <v>1.06</v>
      </c>
      <c r="J134" s="12">
        <f t="shared" si="11"/>
        <v>0</v>
      </c>
    </row>
    <row r="135" spans="1:11" ht="14.5" hidden="1" customHeight="1" x14ac:dyDescent="0.35">
      <c r="A135" s="103"/>
      <c r="B135" s="12" t="s">
        <v>4</v>
      </c>
      <c r="C135" s="10" t="s">
        <v>307</v>
      </c>
      <c r="D135" s="152"/>
      <c r="E135" s="170"/>
      <c r="F135" s="95"/>
      <c r="G135" s="153" t="str">
        <f t="shared" si="8"/>
        <v/>
      </c>
      <c r="H135" s="10" t="s">
        <v>20</v>
      </c>
      <c r="I135" s="331">
        <v>1.06</v>
      </c>
      <c r="J135" s="12">
        <f t="shared" si="11"/>
        <v>0</v>
      </c>
    </row>
    <row r="136" spans="1:11" ht="14.5" hidden="1" customHeight="1" x14ac:dyDescent="0.35">
      <c r="A136" s="103"/>
      <c r="B136" s="12" t="s">
        <v>4</v>
      </c>
      <c r="C136" s="10" t="s">
        <v>308</v>
      </c>
      <c r="D136" s="152"/>
      <c r="E136" s="170"/>
      <c r="F136" s="95"/>
      <c r="G136" s="153" t="str">
        <f t="shared" si="8"/>
        <v/>
      </c>
      <c r="H136" s="10" t="s">
        <v>20</v>
      </c>
      <c r="I136" s="331">
        <v>1.2869999999999999</v>
      </c>
      <c r="J136" s="12">
        <f t="shared" si="11"/>
        <v>0</v>
      </c>
    </row>
    <row r="137" spans="1:11" ht="15.65" hidden="1" customHeight="1" x14ac:dyDescent="0.35">
      <c r="A137" s="103"/>
      <c r="B137" s="12" t="s">
        <v>4</v>
      </c>
      <c r="C137" s="10" t="s">
        <v>309</v>
      </c>
      <c r="D137" s="152"/>
      <c r="E137" s="170"/>
      <c r="F137" s="95"/>
      <c r="G137" s="153" t="str">
        <f t="shared" si="8"/>
        <v/>
      </c>
      <c r="H137" s="10" t="s">
        <v>20</v>
      </c>
      <c r="I137" s="331">
        <v>1.59</v>
      </c>
      <c r="J137" s="12">
        <f t="shared" si="11"/>
        <v>0</v>
      </c>
      <c r="K137" s="13"/>
    </row>
    <row r="138" spans="1:11" hidden="1" x14ac:dyDescent="0.35">
      <c r="A138" s="113" t="s">
        <v>310</v>
      </c>
      <c r="B138" s="124"/>
      <c r="C138" s="124"/>
      <c r="D138" s="230"/>
      <c r="E138" s="174"/>
      <c r="F138" s="148"/>
      <c r="G138" s="153" t="str">
        <f t="shared" si="8"/>
        <v/>
      </c>
      <c r="H138" s="124"/>
      <c r="I138" s="241"/>
      <c r="J138" s="125"/>
    </row>
    <row r="139" spans="1:11" hidden="1" x14ac:dyDescent="0.35">
      <c r="A139" s="103"/>
      <c r="B139" s="12" t="s">
        <v>4</v>
      </c>
      <c r="C139" s="10" t="s">
        <v>311</v>
      </c>
      <c r="D139" s="152"/>
      <c r="E139" s="170"/>
      <c r="F139" s="95"/>
      <c r="G139" s="153" t="str">
        <f t="shared" si="8"/>
        <v/>
      </c>
      <c r="H139" s="10" t="s">
        <v>20</v>
      </c>
      <c r="I139" s="331">
        <v>1.1000000000000001</v>
      </c>
      <c r="J139" s="12">
        <f t="shared" ref="J139:J149" si="12">E139*I139</f>
        <v>0</v>
      </c>
    </row>
    <row r="140" spans="1:11" hidden="1" x14ac:dyDescent="0.35">
      <c r="A140" s="103"/>
      <c r="B140" s="12" t="s">
        <v>4</v>
      </c>
      <c r="C140" s="10" t="s">
        <v>312</v>
      </c>
      <c r="D140" s="152"/>
      <c r="E140" s="170"/>
      <c r="F140" s="95"/>
      <c r="G140" s="153" t="str">
        <f t="shared" si="8"/>
        <v/>
      </c>
      <c r="H140" s="10" t="s">
        <v>20</v>
      </c>
      <c r="I140" s="331">
        <v>1.1000000000000001</v>
      </c>
      <c r="J140" s="12">
        <f t="shared" si="12"/>
        <v>0</v>
      </c>
    </row>
    <row r="141" spans="1:11" hidden="1" x14ac:dyDescent="0.35">
      <c r="A141" s="103"/>
      <c r="B141" s="12" t="s">
        <v>4</v>
      </c>
      <c r="C141" s="10" t="s">
        <v>313</v>
      </c>
      <c r="D141" s="152"/>
      <c r="E141" s="170"/>
      <c r="F141" s="95"/>
      <c r="G141" s="153" t="str">
        <f t="shared" si="8"/>
        <v/>
      </c>
      <c r="H141" s="10" t="s">
        <v>20</v>
      </c>
      <c r="I141" s="331">
        <v>1.3</v>
      </c>
      <c r="J141" s="12">
        <f t="shared" si="12"/>
        <v>0</v>
      </c>
    </row>
    <row r="142" spans="1:11" ht="14.5" hidden="1" customHeight="1" x14ac:dyDescent="0.35">
      <c r="A142" s="103"/>
      <c r="B142" s="12" t="s">
        <v>4</v>
      </c>
      <c r="C142" s="10" t="s">
        <v>314</v>
      </c>
      <c r="D142" s="152"/>
      <c r="E142" s="170"/>
      <c r="F142" s="95"/>
      <c r="G142" s="153" t="str">
        <f t="shared" si="8"/>
        <v/>
      </c>
      <c r="H142" s="10" t="s">
        <v>20</v>
      </c>
      <c r="I142" s="331">
        <v>1.36</v>
      </c>
      <c r="J142" s="12">
        <f t="shared" si="12"/>
        <v>0</v>
      </c>
    </row>
    <row r="143" spans="1:11" ht="14.5" hidden="1" customHeight="1" x14ac:dyDescent="0.35">
      <c r="A143" s="103"/>
      <c r="B143" s="12" t="s">
        <v>4</v>
      </c>
      <c r="C143" s="10" t="s">
        <v>315</v>
      </c>
      <c r="D143" s="152"/>
      <c r="E143" s="170"/>
      <c r="F143" s="95"/>
      <c r="G143" s="153" t="str">
        <f t="shared" si="8"/>
        <v/>
      </c>
      <c r="H143" s="10" t="s">
        <v>20</v>
      </c>
      <c r="I143" s="331">
        <v>1.3</v>
      </c>
      <c r="J143" s="12">
        <f t="shared" si="12"/>
        <v>0</v>
      </c>
    </row>
    <row r="144" spans="1:11" ht="15.65" hidden="1" customHeight="1" x14ac:dyDescent="0.35">
      <c r="A144" s="103"/>
      <c r="B144" s="12" t="s">
        <v>4</v>
      </c>
      <c r="C144" s="10" t="s">
        <v>316</v>
      </c>
      <c r="D144" s="152"/>
      <c r="E144" s="170"/>
      <c r="F144" s="95"/>
      <c r="G144" s="153" t="str">
        <f t="shared" si="8"/>
        <v/>
      </c>
      <c r="H144" s="10" t="s">
        <v>20</v>
      </c>
      <c r="I144" s="331">
        <v>1.35</v>
      </c>
      <c r="J144" s="12">
        <f t="shared" si="12"/>
        <v>0</v>
      </c>
      <c r="K144" s="13"/>
    </row>
    <row r="145" spans="1:11" hidden="1" x14ac:dyDescent="0.35">
      <c r="A145" s="103"/>
      <c r="B145" s="12" t="s">
        <v>4</v>
      </c>
      <c r="C145" s="10" t="s">
        <v>317</v>
      </c>
      <c r="D145" s="152"/>
      <c r="E145" s="170"/>
      <c r="F145" s="95"/>
      <c r="G145" s="153" t="str">
        <f t="shared" si="8"/>
        <v/>
      </c>
      <c r="H145" s="10" t="s">
        <v>20</v>
      </c>
      <c r="I145" s="331">
        <v>1.28</v>
      </c>
      <c r="J145" s="12">
        <f t="shared" si="12"/>
        <v>0</v>
      </c>
    </row>
    <row r="146" spans="1:11" hidden="1" x14ac:dyDescent="0.35">
      <c r="A146" s="103"/>
      <c r="B146" s="12" t="s">
        <v>4</v>
      </c>
      <c r="C146" s="10" t="s">
        <v>318</v>
      </c>
      <c r="D146" s="152"/>
      <c r="E146" s="170"/>
      <c r="F146" s="95"/>
      <c r="G146" s="153" t="str">
        <f t="shared" si="8"/>
        <v/>
      </c>
      <c r="H146" s="10" t="s">
        <v>20</v>
      </c>
      <c r="I146" s="331">
        <v>1.1000000000000001</v>
      </c>
      <c r="J146" s="12">
        <f t="shared" si="12"/>
        <v>0</v>
      </c>
    </row>
    <row r="147" spans="1:11" hidden="1" x14ac:dyDescent="0.35">
      <c r="A147" s="103"/>
      <c r="B147" s="12" t="s">
        <v>4</v>
      </c>
      <c r="C147" s="10" t="s">
        <v>319</v>
      </c>
      <c r="D147" s="152"/>
      <c r="E147" s="170"/>
      <c r="F147" s="95"/>
      <c r="G147" s="153" t="str">
        <f t="shared" si="8"/>
        <v/>
      </c>
      <c r="H147" s="10" t="s">
        <v>20</v>
      </c>
      <c r="I147" s="331">
        <v>1.1000000000000001</v>
      </c>
      <c r="J147" s="12">
        <f t="shared" si="12"/>
        <v>0</v>
      </c>
    </row>
    <row r="148" spans="1:11" hidden="1" x14ac:dyDescent="0.35">
      <c r="A148" s="103"/>
      <c r="B148" s="12" t="s">
        <v>4</v>
      </c>
      <c r="C148" s="10" t="s">
        <v>320</v>
      </c>
      <c r="D148" s="152"/>
      <c r="E148" s="170"/>
      <c r="F148" s="95"/>
      <c r="G148" s="153" t="str">
        <f t="shared" si="8"/>
        <v/>
      </c>
      <c r="H148" s="10" t="s">
        <v>20</v>
      </c>
      <c r="I148" s="331">
        <v>1.1000000000000001</v>
      </c>
      <c r="J148" s="12">
        <f t="shared" si="12"/>
        <v>0</v>
      </c>
    </row>
    <row r="149" spans="1:11" hidden="1" x14ac:dyDescent="0.35">
      <c r="A149" s="103"/>
      <c r="B149" s="12" t="s">
        <v>4</v>
      </c>
      <c r="C149" s="10" t="s">
        <v>321</v>
      </c>
      <c r="D149" s="152"/>
      <c r="E149" s="170"/>
      <c r="F149" s="95"/>
      <c r="G149" s="153" t="str">
        <f t="shared" si="8"/>
        <v/>
      </c>
      <c r="H149" s="10" t="s">
        <v>20</v>
      </c>
      <c r="I149" s="331">
        <v>1.1000000000000001</v>
      </c>
      <c r="J149" s="12">
        <f t="shared" si="12"/>
        <v>0</v>
      </c>
    </row>
    <row r="150" spans="1:11" x14ac:dyDescent="0.35">
      <c r="A150" s="113" t="s">
        <v>41</v>
      </c>
      <c r="B150" s="124"/>
      <c r="C150" s="124"/>
      <c r="D150" s="230"/>
      <c r="E150" s="174"/>
      <c r="F150" s="148"/>
      <c r="G150" s="165" t="str">
        <f t="shared" si="8"/>
        <v/>
      </c>
      <c r="H150" s="124"/>
      <c r="I150" s="241"/>
      <c r="J150" s="125"/>
    </row>
    <row r="151" spans="1:11" x14ac:dyDescent="0.35">
      <c r="A151" s="103"/>
      <c r="B151" s="12" t="s">
        <v>4</v>
      </c>
      <c r="C151" s="10" t="s">
        <v>24</v>
      </c>
      <c r="D151" s="152">
        <v>30</v>
      </c>
      <c r="E151" s="170">
        <v>26</v>
      </c>
      <c r="F151" s="95"/>
      <c r="G151" s="153">
        <f t="shared" si="8"/>
        <v>4</v>
      </c>
      <c r="H151" s="10" t="s">
        <v>20</v>
      </c>
      <c r="I151" s="331">
        <v>3.04</v>
      </c>
      <c r="J151" s="12">
        <f t="shared" ref="J151:J164" si="13">E151*I151</f>
        <v>79.040000000000006</v>
      </c>
      <c r="K151" s="13"/>
    </row>
    <row r="152" spans="1:11" x14ac:dyDescent="0.35">
      <c r="A152" s="103"/>
      <c r="B152" s="12" t="s">
        <v>4</v>
      </c>
      <c r="C152" s="10" t="s">
        <v>80</v>
      </c>
      <c r="D152" s="152">
        <v>60</v>
      </c>
      <c r="E152" s="170"/>
      <c r="F152" s="95"/>
      <c r="G152" s="153" t="str">
        <f t="shared" si="8"/>
        <v/>
      </c>
      <c r="H152" s="10" t="s">
        <v>20</v>
      </c>
      <c r="I152" s="331">
        <v>2.31</v>
      </c>
      <c r="J152" s="12">
        <f t="shared" si="13"/>
        <v>0</v>
      </c>
    </row>
    <row r="153" spans="1:11" ht="15.65" customHeight="1" x14ac:dyDescent="0.35">
      <c r="A153" s="103"/>
      <c r="B153" s="12" t="s">
        <v>4</v>
      </c>
      <c r="C153" s="10" t="s">
        <v>84</v>
      </c>
      <c r="D153" s="152">
        <v>30</v>
      </c>
      <c r="E153" s="170">
        <v>16</v>
      </c>
      <c r="F153" s="95"/>
      <c r="G153" s="153">
        <f t="shared" ref="G153:G223" si="14">IF(E153="","",IF(D153-E153&gt;0,D153-E153,""))</f>
        <v>14</v>
      </c>
      <c r="H153" s="10" t="s">
        <v>20</v>
      </c>
      <c r="I153" s="331">
        <v>2.31</v>
      </c>
      <c r="J153" s="12">
        <f t="shared" si="13"/>
        <v>36.96</v>
      </c>
    </row>
    <row r="154" spans="1:11" ht="14.5" hidden="1" customHeight="1" x14ac:dyDescent="0.35">
      <c r="A154" s="103"/>
      <c r="B154" s="12" t="s">
        <v>4</v>
      </c>
      <c r="C154" s="10" t="s">
        <v>394</v>
      </c>
      <c r="D154" s="152"/>
      <c r="E154" s="170"/>
      <c r="F154" s="95"/>
      <c r="G154" s="153" t="str">
        <f t="shared" si="14"/>
        <v/>
      </c>
      <c r="H154" s="10" t="s">
        <v>20</v>
      </c>
      <c r="I154" s="331">
        <v>2.54</v>
      </c>
      <c r="J154" s="12">
        <f t="shared" si="13"/>
        <v>0</v>
      </c>
    </row>
    <row r="155" spans="1:11" ht="14.5" hidden="1" customHeight="1" x14ac:dyDescent="0.35">
      <c r="A155" s="103"/>
      <c r="B155" s="12" t="s">
        <v>4</v>
      </c>
      <c r="C155" s="10" t="s">
        <v>394</v>
      </c>
      <c r="D155" s="152"/>
      <c r="E155" s="170"/>
      <c r="F155" s="95"/>
      <c r="G155" s="153" t="str">
        <f t="shared" si="14"/>
        <v/>
      </c>
      <c r="H155" s="10" t="s">
        <v>20</v>
      </c>
      <c r="I155" s="331">
        <v>2.54</v>
      </c>
      <c r="J155" s="12">
        <f t="shared" si="13"/>
        <v>0</v>
      </c>
    </row>
    <row r="156" spans="1:11" ht="14.5" customHeight="1" x14ac:dyDescent="0.35">
      <c r="A156" s="103"/>
      <c r="B156" s="12" t="s">
        <v>4</v>
      </c>
      <c r="C156" s="10" t="s">
        <v>25</v>
      </c>
      <c r="D156" s="152">
        <v>30</v>
      </c>
      <c r="E156" s="170">
        <v>2</v>
      </c>
      <c r="F156" s="95"/>
      <c r="G156" s="153">
        <f t="shared" si="14"/>
        <v>28</v>
      </c>
      <c r="H156" s="10" t="s">
        <v>20</v>
      </c>
      <c r="I156" s="331">
        <v>1.79</v>
      </c>
      <c r="J156" s="12">
        <f t="shared" si="13"/>
        <v>3.58</v>
      </c>
      <c r="K156" s="13"/>
    </row>
    <row r="157" spans="1:11" ht="15.65" hidden="1" customHeight="1" x14ac:dyDescent="0.35">
      <c r="A157" s="103"/>
      <c r="B157" s="12" t="s">
        <v>4</v>
      </c>
      <c r="C157" s="10" t="s">
        <v>322</v>
      </c>
      <c r="D157" s="152"/>
      <c r="E157" s="170"/>
      <c r="F157" s="95"/>
      <c r="G157" s="153" t="str">
        <f t="shared" si="14"/>
        <v/>
      </c>
      <c r="H157" s="10" t="s">
        <v>20</v>
      </c>
      <c r="I157" s="331">
        <v>2.46</v>
      </c>
      <c r="J157" s="12">
        <f t="shared" si="13"/>
        <v>0</v>
      </c>
    </row>
    <row r="158" spans="1:11" x14ac:dyDescent="0.35">
      <c r="A158" s="103"/>
      <c r="B158" s="12" t="s">
        <v>4</v>
      </c>
      <c r="C158" s="10" t="s">
        <v>393</v>
      </c>
      <c r="D158" s="152">
        <v>60</v>
      </c>
      <c r="E158" s="170">
        <v>5</v>
      </c>
      <c r="F158" s="95"/>
      <c r="G158" s="153">
        <f t="shared" si="14"/>
        <v>55</v>
      </c>
      <c r="H158" s="10" t="s">
        <v>20</v>
      </c>
      <c r="I158" s="331">
        <v>2.46</v>
      </c>
      <c r="J158" s="12">
        <f t="shared" si="13"/>
        <v>12.3</v>
      </c>
    </row>
    <row r="159" spans="1:11" hidden="1" x14ac:dyDescent="0.35">
      <c r="A159" s="103"/>
      <c r="B159" s="12" t="s">
        <v>4</v>
      </c>
      <c r="C159" s="10" t="s">
        <v>43</v>
      </c>
      <c r="D159" s="152"/>
      <c r="E159" s="170"/>
      <c r="F159" s="95"/>
      <c r="G159" s="153" t="str">
        <f t="shared" si="14"/>
        <v/>
      </c>
      <c r="H159" s="10" t="s">
        <v>20</v>
      </c>
      <c r="I159" s="331">
        <v>2.5499999999999998</v>
      </c>
      <c r="J159" s="12">
        <f t="shared" si="13"/>
        <v>0</v>
      </c>
    </row>
    <row r="160" spans="1:11" ht="14.5" customHeight="1" x14ac:dyDescent="0.35">
      <c r="A160" s="103"/>
      <c r="B160" s="12" t="s">
        <v>4</v>
      </c>
      <c r="C160" s="10" t="s">
        <v>81</v>
      </c>
      <c r="D160" s="152">
        <v>60</v>
      </c>
      <c r="E160" s="170">
        <v>4</v>
      </c>
      <c r="F160" s="95"/>
      <c r="G160" s="153">
        <f t="shared" si="14"/>
        <v>56</v>
      </c>
      <c r="H160" s="10" t="s">
        <v>20</v>
      </c>
      <c r="I160" s="331">
        <v>1.51</v>
      </c>
      <c r="J160" s="12">
        <f t="shared" si="13"/>
        <v>6.04</v>
      </c>
      <c r="K160" s="13"/>
    </row>
    <row r="161" spans="1:11" ht="15.65" customHeight="1" x14ac:dyDescent="0.35">
      <c r="A161" s="103"/>
      <c r="B161" s="12" t="s">
        <v>4</v>
      </c>
      <c r="C161" s="10" t="s">
        <v>82</v>
      </c>
      <c r="D161" s="152">
        <v>60</v>
      </c>
      <c r="E161" s="170">
        <f>26*6+18</f>
        <v>174</v>
      </c>
      <c r="F161" s="95"/>
      <c r="G161" s="153" t="str">
        <f t="shared" si="14"/>
        <v/>
      </c>
      <c r="H161" s="10" t="s">
        <v>20</v>
      </c>
      <c r="I161" s="331">
        <v>1.51</v>
      </c>
      <c r="J161" s="12">
        <f t="shared" si="13"/>
        <v>262.74</v>
      </c>
    </row>
    <row r="162" spans="1:11" hidden="1" x14ac:dyDescent="0.35">
      <c r="A162" s="103"/>
      <c r="B162" s="12" t="s">
        <v>4</v>
      </c>
      <c r="C162" s="10" t="s">
        <v>323</v>
      </c>
      <c r="D162" s="152"/>
      <c r="E162" s="170"/>
      <c r="F162" s="95"/>
      <c r="G162" s="153" t="str">
        <f t="shared" si="14"/>
        <v/>
      </c>
      <c r="H162" s="10" t="s">
        <v>20</v>
      </c>
      <c r="I162" s="331">
        <v>1.54</v>
      </c>
      <c r="J162" s="12">
        <f t="shared" si="13"/>
        <v>0</v>
      </c>
    </row>
    <row r="163" spans="1:11" ht="14.5" hidden="1" customHeight="1" x14ac:dyDescent="0.35">
      <c r="A163" s="103"/>
      <c r="B163" s="12" t="s">
        <v>4</v>
      </c>
      <c r="C163" s="10" t="s">
        <v>324</v>
      </c>
      <c r="D163" s="152"/>
      <c r="E163" s="170"/>
      <c r="F163" s="95"/>
      <c r="G163" s="153" t="str">
        <f t="shared" si="14"/>
        <v/>
      </c>
      <c r="H163" s="10" t="s">
        <v>20</v>
      </c>
      <c r="I163" s="331">
        <v>1.6</v>
      </c>
      <c r="J163" s="12">
        <f t="shared" si="13"/>
        <v>0</v>
      </c>
    </row>
    <row r="164" spans="1:11" ht="14.5" hidden="1" customHeight="1" x14ac:dyDescent="0.35">
      <c r="A164" s="103"/>
      <c r="B164" s="12" t="s">
        <v>4</v>
      </c>
      <c r="C164" s="78" t="s">
        <v>325</v>
      </c>
      <c r="D164" s="224"/>
      <c r="E164" s="170"/>
      <c r="F164" s="142"/>
      <c r="G164" s="153" t="str">
        <f t="shared" si="14"/>
        <v/>
      </c>
      <c r="H164" s="10" t="s">
        <v>20</v>
      </c>
      <c r="I164" s="333">
        <v>49.95</v>
      </c>
      <c r="J164" s="12">
        <f t="shared" si="13"/>
        <v>0</v>
      </c>
    </row>
    <row r="165" spans="1:11" ht="14.5" customHeight="1" x14ac:dyDescent="0.35">
      <c r="A165" s="113" t="s">
        <v>44</v>
      </c>
      <c r="B165" s="124"/>
      <c r="C165" s="124"/>
      <c r="D165" s="230"/>
      <c r="E165" s="174"/>
      <c r="F165" s="148"/>
      <c r="G165" s="165" t="str">
        <f t="shared" si="14"/>
        <v/>
      </c>
      <c r="H165" s="124"/>
      <c r="I165" s="241"/>
      <c r="J165" s="125"/>
    </row>
    <row r="166" spans="1:11" x14ac:dyDescent="0.35">
      <c r="A166" s="103"/>
      <c r="B166" s="12" t="s">
        <v>4</v>
      </c>
      <c r="C166" s="10" t="s">
        <v>48</v>
      </c>
      <c r="D166" s="152">
        <v>10</v>
      </c>
      <c r="E166" s="170"/>
      <c r="F166" s="95"/>
      <c r="G166" s="153" t="str">
        <f t="shared" si="14"/>
        <v/>
      </c>
      <c r="H166" s="10" t="s">
        <v>20</v>
      </c>
      <c r="I166" s="331">
        <v>1.94</v>
      </c>
      <c r="J166" s="12">
        <f t="shared" ref="J166:J175" si="15">E166*I166</f>
        <v>0</v>
      </c>
    </row>
    <row r="167" spans="1:11" x14ac:dyDescent="0.35">
      <c r="A167" s="103"/>
      <c r="B167" s="12" t="s">
        <v>4</v>
      </c>
      <c r="C167" s="10" t="s">
        <v>49</v>
      </c>
      <c r="D167" s="152">
        <v>10</v>
      </c>
      <c r="E167" s="170"/>
      <c r="F167" s="95"/>
      <c r="G167" s="153" t="str">
        <f t="shared" si="14"/>
        <v/>
      </c>
      <c r="H167" s="10" t="s">
        <v>20</v>
      </c>
      <c r="I167" s="331">
        <v>1.94</v>
      </c>
      <c r="J167" s="12">
        <f t="shared" si="15"/>
        <v>0</v>
      </c>
    </row>
    <row r="168" spans="1:11" x14ac:dyDescent="0.35">
      <c r="A168" s="103"/>
      <c r="B168" s="12" t="s">
        <v>4</v>
      </c>
      <c r="C168" s="10" t="s">
        <v>50</v>
      </c>
      <c r="D168" s="152">
        <v>10</v>
      </c>
      <c r="E168" s="170"/>
      <c r="F168" s="95"/>
      <c r="G168" s="153" t="str">
        <f t="shared" si="14"/>
        <v/>
      </c>
      <c r="H168" s="10" t="s">
        <v>20</v>
      </c>
      <c r="I168" s="331">
        <v>1.94</v>
      </c>
      <c r="J168" s="12">
        <f t="shared" si="15"/>
        <v>0</v>
      </c>
    </row>
    <row r="169" spans="1:11" hidden="1" x14ac:dyDescent="0.35">
      <c r="A169" s="103"/>
      <c r="B169" s="12" t="s">
        <v>4</v>
      </c>
      <c r="C169" s="10" t="s">
        <v>415</v>
      </c>
      <c r="D169" s="152"/>
      <c r="E169" s="170"/>
      <c r="F169" s="95"/>
      <c r="G169" s="153" t="str">
        <f t="shared" si="14"/>
        <v/>
      </c>
      <c r="H169" s="10" t="s">
        <v>20</v>
      </c>
      <c r="I169" s="331">
        <v>1.98</v>
      </c>
      <c r="J169" s="12">
        <f t="shared" si="15"/>
        <v>0</v>
      </c>
    </row>
    <row r="170" spans="1:11" ht="14.5" hidden="1" customHeight="1" x14ac:dyDescent="0.35">
      <c r="A170" s="103"/>
      <c r="B170" s="12" t="s">
        <v>4</v>
      </c>
      <c r="C170" s="10" t="s">
        <v>414</v>
      </c>
      <c r="D170" s="152"/>
      <c r="E170" s="170"/>
      <c r="F170" s="95"/>
      <c r="G170" s="153" t="str">
        <f t="shared" si="14"/>
        <v/>
      </c>
      <c r="H170" s="10" t="s">
        <v>20</v>
      </c>
      <c r="I170" s="331">
        <v>1.98</v>
      </c>
      <c r="J170" s="12">
        <f t="shared" si="15"/>
        <v>0</v>
      </c>
    </row>
    <row r="171" spans="1:11" ht="14.5" hidden="1" customHeight="1" x14ac:dyDescent="0.35">
      <c r="A171" s="103"/>
      <c r="B171" s="12" t="s">
        <v>4</v>
      </c>
      <c r="C171" s="10" t="s">
        <v>328</v>
      </c>
      <c r="D171" s="152"/>
      <c r="E171" s="170"/>
      <c r="F171" s="95"/>
      <c r="G171" s="153" t="str">
        <f t="shared" si="14"/>
        <v/>
      </c>
      <c r="H171" s="10" t="s">
        <v>20</v>
      </c>
      <c r="I171" s="331">
        <v>1.98</v>
      </c>
      <c r="J171" s="12">
        <f t="shared" si="15"/>
        <v>0</v>
      </c>
    </row>
    <row r="172" spans="1:11" hidden="1" x14ac:dyDescent="0.35">
      <c r="A172" s="103"/>
      <c r="B172" s="12" t="s">
        <v>4</v>
      </c>
      <c r="C172" s="10" t="s">
        <v>329</v>
      </c>
      <c r="D172" s="152"/>
      <c r="E172" s="170"/>
      <c r="F172" s="95"/>
      <c r="G172" s="153" t="str">
        <f t="shared" si="14"/>
        <v/>
      </c>
      <c r="H172" s="10" t="s">
        <v>20</v>
      </c>
      <c r="I172" s="331">
        <v>1.98</v>
      </c>
      <c r="J172" s="12">
        <f t="shared" si="15"/>
        <v>0</v>
      </c>
    </row>
    <row r="173" spans="1:11" ht="14.5" hidden="1" customHeight="1" x14ac:dyDescent="0.35">
      <c r="A173" s="103"/>
      <c r="B173" s="40" t="s">
        <v>4</v>
      </c>
      <c r="C173" s="41" t="s">
        <v>330</v>
      </c>
      <c r="D173" s="227"/>
      <c r="E173" s="170"/>
      <c r="F173" s="145"/>
      <c r="G173" s="153" t="str">
        <f t="shared" si="14"/>
        <v/>
      </c>
      <c r="H173" s="10" t="s">
        <v>20</v>
      </c>
      <c r="I173" s="331">
        <v>1.98</v>
      </c>
      <c r="J173" s="12">
        <f t="shared" si="15"/>
        <v>0</v>
      </c>
    </row>
    <row r="174" spans="1:11" ht="14.5" hidden="1" customHeight="1" x14ac:dyDescent="0.35">
      <c r="A174" s="103"/>
      <c r="B174" s="40" t="s">
        <v>4</v>
      </c>
      <c r="C174" s="41" t="s">
        <v>331</v>
      </c>
      <c r="D174" s="227"/>
      <c r="E174" s="170"/>
      <c r="F174" s="145"/>
      <c r="G174" s="153" t="str">
        <f t="shared" si="14"/>
        <v/>
      </c>
      <c r="H174" s="10" t="s">
        <v>20</v>
      </c>
      <c r="I174" s="331">
        <v>1.98</v>
      </c>
      <c r="J174" s="12">
        <f t="shared" si="15"/>
        <v>0</v>
      </c>
    </row>
    <row r="175" spans="1:11" ht="14.5" hidden="1" customHeight="1" x14ac:dyDescent="0.35">
      <c r="A175" s="103"/>
      <c r="B175" s="40" t="s">
        <v>4</v>
      </c>
      <c r="C175" s="41" t="s">
        <v>413</v>
      </c>
      <c r="D175" s="227"/>
      <c r="E175" s="170"/>
      <c r="F175" s="145"/>
      <c r="G175" s="153" t="str">
        <f t="shared" si="14"/>
        <v/>
      </c>
      <c r="H175" s="41" t="s">
        <v>20</v>
      </c>
      <c r="I175" s="334">
        <v>1.98</v>
      </c>
      <c r="J175" s="12">
        <f t="shared" si="15"/>
        <v>0</v>
      </c>
    </row>
    <row r="176" spans="1:11" ht="15.5" hidden="1" x14ac:dyDescent="0.35">
      <c r="A176" s="114" t="s">
        <v>333</v>
      </c>
      <c r="B176" s="120"/>
      <c r="C176" s="120"/>
      <c r="D176" s="228"/>
      <c r="E176" s="175"/>
      <c r="F176" s="149"/>
      <c r="G176" s="153" t="str">
        <f t="shared" si="14"/>
        <v/>
      </c>
      <c r="H176" s="121"/>
      <c r="I176" s="122" t="s">
        <v>18</v>
      </c>
      <c r="J176" s="123">
        <f>SUM(J177:J186)</f>
        <v>0</v>
      </c>
      <c r="K176" s="13"/>
    </row>
    <row r="177" spans="1:14" hidden="1" x14ac:dyDescent="0.35">
      <c r="A177" s="103"/>
      <c r="B177" s="12" t="s">
        <v>26</v>
      </c>
      <c r="C177" s="10" t="s">
        <v>334</v>
      </c>
      <c r="D177" s="152"/>
      <c r="E177" s="170"/>
      <c r="F177" s="95"/>
      <c r="G177" s="153" t="str">
        <f t="shared" si="14"/>
        <v/>
      </c>
      <c r="H177" s="10" t="s">
        <v>335</v>
      </c>
      <c r="I177" s="331">
        <v>20</v>
      </c>
      <c r="J177" s="12">
        <f t="shared" ref="J177:J186" si="16">E177*I177</f>
        <v>0</v>
      </c>
    </row>
    <row r="178" spans="1:14" hidden="1" x14ac:dyDescent="0.35">
      <c r="A178" s="103"/>
      <c r="B178" s="20" t="s">
        <v>26</v>
      </c>
      <c r="C178" s="18" t="s">
        <v>53</v>
      </c>
      <c r="D178" s="229"/>
      <c r="E178" s="170"/>
      <c r="F178" s="147"/>
      <c r="G178" s="153" t="str">
        <f t="shared" si="14"/>
        <v/>
      </c>
      <c r="H178" s="18" t="s">
        <v>20</v>
      </c>
      <c r="I178" s="335">
        <v>0.43</v>
      </c>
      <c r="J178" s="20">
        <f t="shared" si="16"/>
        <v>0</v>
      </c>
      <c r="N178" t="s">
        <v>47</v>
      </c>
    </row>
    <row r="179" spans="1:14" hidden="1" x14ac:dyDescent="0.35">
      <c r="A179" s="103"/>
      <c r="B179" s="20" t="s">
        <v>26</v>
      </c>
      <c r="C179" s="18" t="s">
        <v>336</v>
      </c>
      <c r="D179" s="229"/>
      <c r="E179" s="170"/>
      <c r="F179" s="147"/>
      <c r="G179" s="153" t="str">
        <f t="shared" si="14"/>
        <v/>
      </c>
      <c r="H179" s="18" t="s">
        <v>20</v>
      </c>
      <c r="I179" s="335">
        <v>0.43</v>
      </c>
      <c r="J179" s="20">
        <f t="shared" si="16"/>
        <v>0</v>
      </c>
    </row>
    <row r="180" spans="1:14" ht="16.399999999999999" hidden="1" customHeight="1" x14ac:dyDescent="0.35">
      <c r="A180" s="103"/>
      <c r="B180" s="12" t="s">
        <v>26</v>
      </c>
      <c r="C180" s="10" t="s">
        <v>337</v>
      </c>
      <c r="D180" s="152"/>
      <c r="E180" s="170"/>
      <c r="F180" s="95"/>
      <c r="G180" s="153" t="str">
        <f t="shared" si="14"/>
        <v/>
      </c>
      <c r="H180" s="10" t="s">
        <v>20</v>
      </c>
      <c r="I180" s="331">
        <v>0.43</v>
      </c>
      <c r="J180" s="12">
        <f t="shared" si="16"/>
        <v>0</v>
      </c>
    </row>
    <row r="181" spans="1:14" hidden="1" x14ac:dyDescent="0.35">
      <c r="A181" s="103"/>
      <c r="B181" s="12" t="s">
        <v>26</v>
      </c>
      <c r="C181" s="10" t="s">
        <v>51</v>
      </c>
      <c r="D181" s="152"/>
      <c r="E181" s="170"/>
      <c r="F181" s="95"/>
      <c r="G181" s="153" t="str">
        <f t="shared" si="14"/>
        <v/>
      </c>
      <c r="H181" s="10" t="s">
        <v>61</v>
      </c>
      <c r="I181" s="331">
        <v>14</v>
      </c>
      <c r="J181" s="12">
        <f t="shared" si="16"/>
        <v>0</v>
      </c>
    </row>
    <row r="182" spans="1:14" hidden="1" x14ac:dyDescent="0.35">
      <c r="A182" s="103"/>
      <c r="B182" s="12" t="s">
        <v>26</v>
      </c>
      <c r="C182" s="10" t="s">
        <v>338</v>
      </c>
      <c r="D182" s="152"/>
      <c r="E182" s="170"/>
      <c r="F182" s="95"/>
      <c r="G182" s="153" t="str">
        <f t="shared" si="14"/>
        <v/>
      </c>
      <c r="H182" s="10" t="s">
        <v>61</v>
      </c>
      <c r="I182" s="331">
        <v>14.78</v>
      </c>
      <c r="J182" s="12">
        <f t="shared" si="16"/>
        <v>0</v>
      </c>
    </row>
    <row r="183" spans="1:14" hidden="1" x14ac:dyDescent="0.35">
      <c r="A183" s="103"/>
      <c r="B183" s="12" t="s">
        <v>26</v>
      </c>
      <c r="C183" s="10" t="s">
        <v>339</v>
      </c>
      <c r="D183" s="152"/>
      <c r="E183" s="170"/>
      <c r="F183" s="95"/>
      <c r="G183" s="153" t="str">
        <f t="shared" si="14"/>
        <v/>
      </c>
      <c r="H183" s="10" t="s">
        <v>61</v>
      </c>
      <c r="I183" s="331">
        <v>14.78</v>
      </c>
      <c r="J183" s="12">
        <f t="shared" si="16"/>
        <v>0</v>
      </c>
    </row>
    <row r="184" spans="1:14" hidden="1" x14ac:dyDescent="0.35">
      <c r="A184" s="103"/>
      <c r="B184" s="12" t="s">
        <v>26</v>
      </c>
      <c r="C184" s="10" t="s">
        <v>340</v>
      </c>
      <c r="D184" s="152"/>
      <c r="E184" s="170"/>
      <c r="F184" s="95"/>
      <c r="G184" s="153" t="str">
        <f t="shared" si="14"/>
        <v/>
      </c>
      <c r="H184" s="10" t="s">
        <v>61</v>
      </c>
      <c r="I184" s="331">
        <v>14.78</v>
      </c>
      <c r="J184" s="12">
        <f t="shared" si="16"/>
        <v>0</v>
      </c>
    </row>
    <row r="185" spans="1:14" hidden="1" x14ac:dyDescent="0.35">
      <c r="A185" s="103"/>
      <c r="B185" s="12" t="s">
        <v>26</v>
      </c>
      <c r="C185" s="10" t="s">
        <v>341</v>
      </c>
      <c r="D185" s="152"/>
      <c r="E185" s="170"/>
      <c r="F185" s="95"/>
      <c r="G185" s="153" t="str">
        <f t="shared" si="14"/>
        <v/>
      </c>
      <c r="H185" s="10" t="s">
        <v>61</v>
      </c>
      <c r="I185" s="331">
        <v>14.78</v>
      </c>
      <c r="J185" s="12">
        <f t="shared" si="16"/>
        <v>0</v>
      </c>
    </row>
    <row r="186" spans="1:14" hidden="1" x14ac:dyDescent="0.35">
      <c r="A186" s="103"/>
      <c r="B186" s="12" t="s">
        <v>26</v>
      </c>
      <c r="C186" s="10" t="s">
        <v>342</v>
      </c>
      <c r="D186" s="152"/>
      <c r="E186" s="170"/>
      <c r="F186" s="95"/>
      <c r="G186" s="153" t="str">
        <f t="shared" si="14"/>
        <v/>
      </c>
      <c r="H186" s="10" t="s">
        <v>61</v>
      </c>
      <c r="I186" s="331">
        <v>14.78</v>
      </c>
      <c r="J186" s="10">
        <f t="shared" si="16"/>
        <v>0</v>
      </c>
    </row>
    <row r="187" spans="1:14" ht="15.5" x14ac:dyDescent="0.35">
      <c r="A187" s="108" t="s">
        <v>343</v>
      </c>
      <c r="B187" s="108"/>
      <c r="C187" s="108"/>
      <c r="D187" s="223"/>
      <c r="E187" s="169"/>
      <c r="F187" s="109"/>
      <c r="G187" s="165" t="str">
        <f t="shared" si="14"/>
        <v/>
      </c>
      <c r="H187" s="108"/>
      <c r="I187" s="106" t="s">
        <v>18</v>
      </c>
      <c r="J187" s="107">
        <f>SUM(J188:J192)</f>
        <v>0</v>
      </c>
    </row>
    <row r="188" spans="1:14" hidden="1" x14ac:dyDescent="0.35">
      <c r="A188" s="103"/>
      <c r="B188" s="7" t="s">
        <v>6</v>
      </c>
      <c r="C188" s="14" t="s">
        <v>344</v>
      </c>
      <c r="D188" s="152"/>
      <c r="E188" s="170"/>
      <c r="F188" s="95"/>
      <c r="G188" s="153" t="str">
        <f t="shared" si="14"/>
        <v/>
      </c>
      <c r="H188" s="14" t="s">
        <v>20</v>
      </c>
      <c r="I188" s="336">
        <v>0.79</v>
      </c>
      <c r="J188" s="7">
        <f>E188*I188</f>
        <v>0</v>
      </c>
    </row>
    <row r="189" spans="1:14" x14ac:dyDescent="0.35">
      <c r="A189" s="103"/>
      <c r="B189" s="7" t="s">
        <v>6</v>
      </c>
      <c r="C189" s="14" t="s">
        <v>345</v>
      </c>
      <c r="D189" s="152">
        <v>10</v>
      </c>
      <c r="E189" s="170"/>
      <c r="F189" s="95"/>
      <c r="G189" s="153" t="str">
        <f t="shared" si="14"/>
        <v/>
      </c>
      <c r="H189" s="14" t="s">
        <v>20</v>
      </c>
      <c r="I189" s="336">
        <v>2.76</v>
      </c>
      <c r="J189" s="7">
        <f>E189*I189</f>
        <v>0</v>
      </c>
    </row>
    <row r="190" spans="1:14" x14ac:dyDescent="0.35">
      <c r="A190" s="103"/>
      <c r="B190" s="7" t="s">
        <v>6</v>
      </c>
      <c r="C190" s="14" t="s">
        <v>346</v>
      </c>
      <c r="D190" s="152"/>
      <c r="E190" s="170"/>
      <c r="F190" s="95"/>
      <c r="G190" s="153" t="str">
        <f t="shared" si="14"/>
        <v/>
      </c>
      <c r="H190" s="14" t="s">
        <v>20</v>
      </c>
      <c r="I190" s="336">
        <v>1</v>
      </c>
      <c r="J190" s="7">
        <f>E190*I190</f>
        <v>0</v>
      </c>
    </row>
    <row r="191" spans="1:14" x14ac:dyDescent="0.35">
      <c r="A191" s="103"/>
      <c r="B191" s="7" t="s">
        <v>6</v>
      </c>
      <c r="C191" s="14" t="s">
        <v>34</v>
      </c>
      <c r="D191" s="152">
        <v>20</v>
      </c>
      <c r="E191" s="170"/>
      <c r="F191" s="95"/>
      <c r="G191" s="153" t="str">
        <f t="shared" si="14"/>
        <v/>
      </c>
      <c r="H191" s="14" t="s">
        <v>20</v>
      </c>
      <c r="I191" s="336">
        <v>1.8</v>
      </c>
      <c r="J191" s="7">
        <f>E191*I191</f>
        <v>0</v>
      </c>
    </row>
    <row r="192" spans="1:14" x14ac:dyDescent="0.35">
      <c r="A192" s="103"/>
      <c r="B192" s="7" t="s">
        <v>6</v>
      </c>
      <c r="C192" s="14" t="s">
        <v>35</v>
      </c>
      <c r="D192" s="152">
        <v>20</v>
      </c>
      <c r="E192" s="170"/>
      <c r="F192" s="95"/>
      <c r="G192" s="153" t="str">
        <f t="shared" si="14"/>
        <v/>
      </c>
      <c r="H192" s="14" t="s">
        <v>20</v>
      </c>
      <c r="I192" s="336">
        <v>1.8</v>
      </c>
      <c r="J192" s="7">
        <f>E192*I192</f>
        <v>0</v>
      </c>
    </row>
    <row r="193" spans="1:10" ht="15.5" x14ac:dyDescent="0.35">
      <c r="A193" s="112" t="s">
        <v>347</v>
      </c>
      <c r="B193" s="116"/>
      <c r="C193" s="116"/>
      <c r="D193" s="228"/>
      <c r="E193" s="173"/>
      <c r="F193" s="146"/>
      <c r="G193" s="165" t="str">
        <f t="shared" si="14"/>
        <v/>
      </c>
      <c r="H193" s="117"/>
      <c r="I193" s="118" t="s">
        <v>18</v>
      </c>
      <c r="J193" s="119">
        <f>SUM(J194)</f>
        <v>0</v>
      </c>
    </row>
    <row r="194" spans="1:10" x14ac:dyDescent="0.35">
      <c r="A194" s="103"/>
      <c r="B194" s="12" t="s">
        <v>5</v>
      </c>
      <c r="C194" s="10" t="s">
        <v>55</v>
      </c>
      <c r="D194" s="152"/>
      <c r="E194" s="170"/>
      <c r="F194" s="95"/>
      <c r="G194" s="153" t="str">
        <f t="shared" si="14"/>
        <v/>
      </c>
      <c r="H194" s="10" t="s">
        <v>20</v>
      </c>
      <c r="I194" s="331">
        <v>1.01</v>
      </c>
      <c r="J194" s="12">
        <f>E194*I194</f>
        <v>0</v>
      </c>
    </row>
    <row r="195" spans="1:10" ht="15.5" x14ac:dyDescent="0.35">
      <c r="A195" s="112" t="s">
        <v>348</v>
      </c>
      <c r="B195" s="116"/>
      <c r="C195" s="116"/>
      <c r="D195" s="228"/>
      <c r="E195" s="173"/>
      <c r="F195" s="146"/>
      <c r="G195" s="165" t="str">
        <f t="shared" si="14"/>
        <v/>
      </c>
      <c r="H195" s="117"/>
      <c r="I195" s="118" t="s">
        <v>18</v>
      </c>
      <c r="J195" s="119">
        <f>SUM(J196:J207)</f>
        <v>0</v>
      </c>
    </row>
    <row r="196" spans="1:10" x14ac:dyDescent="0.35">
      <c r="A196" s="103"/>
      <c r="B196" s="20" t="s">
        <v>8</v>
      </c>
      <c r="C196" s="18" t="s">
        <v>349</v>
      </c>
      <c r="D196" s="229">
        <v>1</v>
      </c>
      <c r="E196" s="170"/>
      <c r="F196" s="147"/>
      <c r="G196" s="153" t="str">
        <f t="shared" si="14"/>
        <v/>
      </c>
      <c r="H196" s="18" t="s">
        <v>27</v>
      </c>
      <c r="I196" s="337">
        <v>28.62</v>
      </c>
      <c r="J196" s="12">
        <f t="shared" ref="J196:J207" si="17">E196*I196</f>
        <v>0</v>
      </c>
    </row>
    <row r="197" spans="1:10" x14ac:dyDescent="0.35">
      <c r="A197" s="103"/>
      <c r="B197" s="12" t="s">
        <v>8</v>
      </c>
      <c r="C197" s="10" t="s">
        <v>350</v>
      </c>
      <c r="D197" s="152"/>
      <c r="E197" s="170"/>
      <c r="F197" s="95"/>
      <c r="G197" s="153" t="str">
        <f t="shared" si="14"/>
        <v/>
      </c>
      <c r="H197" s="10" t="s">
        <v>335</v>
      </c>
      <c r="I197" s="338">
        <v>30</v>
      </c>
      <c r="J197" s="12">
        <f t="shared" si="17"/>
        <v>0</v>
      </c>
    </row>
    <row r="198" spans="1:10" x14ac:dyDescent="0.35">
      <c r="A198" s="103"/>
      <c r="B198" s="12" t="s">
        <v>8</v>
      </c>
      <c r="C198" s="10" t="s">
        <v>351</v>
      </c>
      <c r="D198" s="152"/>
      <c r="E198" s="170"/>
      <c r="F198" s="95"/>
      <c r="G198" s="153" t="str">
        <f t="shared" si="14"/>
        <v/>
      </c>
      <c r="H198" s="10" t="s">
        <v>335</v>
      </c>
      <c r="I198" s="331">
        <v>1.1499999999999999</v>
      </c>
      <c r="J198" s="12">
        <f t="shared" si="17"/>
        <v>0</v>
      </c>
    </row>
    <row r="199" spans="1:10" x14ac:dyDescent="0.35">
      <c r="A199" s="103"/>
      <c r="B199" s="12" t="s">
        <v>8</v>
      </c>
      <c r="C199" s="10" t="s">
        <v>352</v>
      </c>
      <c r="D199" s="152">
        <v>3</v>
      </c>
      <c r="E199" s="170"/>
      <c r="F199" s="95"/>
      <c r="G199" s="153" t="str">
        <f t="shared" si="14"/>
        <v/>
      </c>
      <c r="H199" s="10" t="s">
        <v>27</v>
      </c>
      <c r="I199" s="331">
        <v>23.83</v>
      </c>
      <c r="J199" s="12">
        <f t="shared" si="17"/>
        <v>0</v>
      </c>
    </row>
    <row r="200" spans="1:10" x14ac:dyDescent="0.35">
      <c r="A200" s="103"/>
      <c r="B200" s="12" t="s">
        <v>8</v>
      </c>
      <c r="C200" s="10" t="s">
        <v>353</v>
      </c>
      <c r="D200" s="152">
        <v>3</v>
      </c>
      <c r="E200" s="170"/>
      <c r="F200" s="95"/>
      <c r="G200" s="153" t="str">
        <f t="shared" si="14"/>
        <v/>
      </c>
      <c r="H200" s="10" t="s">
        <v>27</v>
      </c>
      <c r="I200" s="331">
        <v>28.89</v>
      </c>
      <c r="J200" s="12">
        <f t="shared" si="17"/>
        <v>0</v>
      </c>
    </row>
    <row r="201" spans="1:10" x14ac:dyDescent="0.35">
      <c r="A201" s="103"/>
      <c r="B201" s="12" t="s">
        <v>8</v>
      </c>
      <c r="C201" s="10" t="s">
        <v>354</v>
      </c>
      <c r="D201" s="152">
        <v>3</v>
      </c>
      <c r="E201" s="170"/>
      <c r="F201" s="95"/>
      <c r="G201" s="153" t="str">
        <f>IF(E201="","",IF(D201-E201&gt;0,D201-E201,""))</f>
        <v/>
      </c>
      <c r="H201" s="10" t="s">
        <v>27</v>
      </c>
      <c r="I201" s="331">
        <v>19.37</v>
      </c>
      <c r="J201" s="12">
        <f>E201*I201</f>
        <v>0</v>
      </c>
    </row>
    <row r="202" spans="1:10" x14ac:dyDescent="0.35">
      <c r="A202" s="103"/>
      <c r="B202" s="12" t="s">
        <v>8</v>
      </c>
      <c r="C202" s="10" t="s">
        <v>429</v>
      </c>
      <c r="D202" s="152"/>
      <c r="E202" s="170"/>
      <c r="F202" s="95"/>
      <c r="G202" s="153"/>
      <c r="H202" s="10" t="s">
        <v>27</v>
      </c>
      <c r="I202" s="331">
        <v>14.07</v>
      </c>
      <c r="J202" s="12"/>
    </row>
    <row r="203" spans="1:10" x14ac:dyDescent="0.35">
      <c r="A203" s="103"/>
      <c r="B203" s="12" t="s">
        <v>8</v>
      </c>
      <c r="C203" s="10" t="s">
        <v>430</v>
      </c>
      <c r="D203" s="152"/>
      <c r="E203" s="170"/>
      <c r="F203" s="95"/>
      <c r="G203" s="153"/>
      <c r="H203" s="10" t="s">
        <v>27</v>
      </c>
      <c r="I203" s="331">
        <v>16.07</v>
      </c>
      <c r="J203" s="12"/>
    </row>
    <row r="204" spans="1:10" x14ac:dyDescent="0.35">
      <c r="A204" s="103"/>
      <c r="B204" s="12" t="s">
        <v>8</v>
      </c>
      <c r="C204" s="10" t="s">
        <v>431</v>
      </c>
      <c r="D204" s="152"/>
      <c r="G204" s="153"/>
      <c r="H204" s="10" t="s">
        <v>27</v>
      </c>
      <c r="I204" s="339">
        <v>14.62</v>
      </c>
      <c r="J204" s="12"/>
    </row>
    <row r="205" spans="1:10" hidden="1" x14ac:dyDescent="0.35">
      <c r="A205" s="103"/>
      <c r="B205" s="12" t="s">
        <v>8</v>
      </c>
      <c r="C205" s="10" t="s">
        <v>355</v>
      </c>
      <c r="D205" s="152"/>
      <c r="E205" s="170"/>
      <c r="F205" s="95"/>
      <c r="G205" s="153" t="str">
        <f t="shared" si="14"/>
        <v/>
      </c>
      <c r="H205" s="10" t="s">
        <v>61</v>
      </c>
      <c r="I205" s="331">
        <v>17.11</v>
      </c>
      <c r="J205" s="12">
        <f t="shared" si="17"/>
        <v>0</v>
      </c>
    </row>
    <row r="206" spans="1:10" hidden="1" x14ac:dyDescent="0.35">
      <c r="A206" s="103"/>
      <c r="B206" s="12" t="s">
        <v>8</v>
      </c>
      <c r="C206" s="10" t="s">
        <v>356</v>
      </c>
      <c r="D206" s="152"/>
      <c r="E206" s="170"/>
      <c r="F206" s="95"/>
      <c r="G206" s="153" t="str">
        <f t="shared" si="14"/>
        <v/>
      </c>
      <c r="H206" s="10" t="s">
        <v>61</v>
      </c>
      <c r="I206" s="331">
        <v>22.13</v>
      </c>
      <c r="J206" s="12">
        <f t="shared" si="17"/>
        <v>0</v>
      </c>
    </row>
    <row r="207" spans="1:10" hidden="1" x14ac:dyDescent="0.35">
      <c r="A207" s="103"/>
      <c r="B207" s="40" t="s">
        <v>8</v>
      </c>
      <c r="C207" s="41" t="s">
        <v>357</v>
      </c>
      <c r="D207" s="227"/>
      <c r="E207" s="170"/>
      <c r="F207" s="145"/>
      <c r="G207" s="153" t="str">
        <f t="shared" si="14"/>
        <v/>
      </c>
      <c r="H207" s="41" t="s">
        <v>61</v>
      </c>
      <c r="I207" s="334">
        <v>18.8</v>
      </c>
      <c r="J207" s="40">
        <f t="shared" si="17"/>
        <v>0</v>
      </c>
    </row>
    <row r="208" spans="1:10" ht="15.5" x14ac:dyDescent="0.35">
      <c r="A208" s="112" t="s">
        <v>358</v>
      </c>
      <c r="B208" s="116"/>
      <c r="C208" s="116"/>
      <c r="D208" s="228"/>
      <c r="E208" s="173"/>
      <c r="F208" s="146"/>
      <c r="G208" s="165" t="str">
        <f t="shared" si="14"/>
        <v/>
      </c>
      <c r="H208" s="117"/>
      <c r="I208" s="118" t="s">
        <v>18</v>
      </c>
      <c r="J208" s="119">
        <f>J209+J210+J211+J212+J213</f>
        <v>1369.84</v>
      </c>
    </row>
    <row r="209" spans="1:10" x14ac:dyDescent="0.35">
      <c r="A209" s="103"/>
      <c r="B209" s="13" t="s">
        <v>11</v>
      </c>
      <c r="C209" s="298" t="s">
        <v>359</v>
      </c>
      <c r="D209" s="299">
        <v>40</v>
      </c>
      <c r="E209" s="300">
        <v>8</v>
      </c>
      <c r="F209" s="301"/>
      <c r="G209" s="302">
        <f t="shared" si="14"/>
        <v>32</v>
      </c>
      <c r="H209" s="41" t="s">
        <v>52</v>
      </c>
      <c r="I209" s="334">
        <v>11.63</v>
      </c>
      <c r="J209" s="40">
        <f>E209*I209</f>
        <v>93.04</v>
      </c>
    </row>
    <row r="210" spans="1:10" x14ac:dyDescent="0.35">
      <c r="A210" s="103"/>
      <c r="B210" s="12" t="s">
        <v>11</v>
      </c>
      <c r="C210" s="10" t="s">
        <v>436</v>
      </c>
      <c r="D210" s="152"/>
      <c r="E210" s="170">
        <v>76</v>
      </c>
      <c r="F210" s="95"/>
      <c r="G210" s="153"/>
      <c r="H210" s="10" t="s">
        <v>52</v>
      </c>
      <c r="I210" s="331">
        <v>16.8</v>
      </c>
      <c r="J210" s="40">
        <f t="shared" ref="J210:J213" si="18">E210*I210</f>
        <v>1276.8</v>
      </c>
    </row>
    <row r="211" spans="1:10" x14ac:dyDescent="0.35">
      <c r="A211" s="103"/>
      <c r="B211" s="12" t="s">
        <v>11</v>
      </c>
      <c r="C211" s="10" t="s">
        <v>437</v>
      </c>
      <c r="D211" s="152"/>
      <c r="E211" s="170"/>
      <c r="F211" s="95"/>
      <c r="G211" s="153"/>
      <c r="H211" s="10" t="s">
        <v>440</v>
      </c>
      <c r="I211" s="331">
        <v>9.35</v>
      </c>
      <c r="J211" s="40">
        <f>E211*I211</f>
        <v>0</v>
      </c>
    </row>
    <row r="212" spans="1:10" x14ac:dyDescent="0.35">
      <c r="A212" s="103"/>
      <c r="B212" s="12" t="s">
        <v>11</v>
      </c>
      <c r="C212" s="10" t="s">
        <v>438</v>
      </c>
      <c r="D212" s="152"/>
      <c r="E212" s="170"/>
      <c r="F212" s="95"/>
      <c r="G212" s="153"/>
      <c r="H212" s="10" t="s">
        <v>52</v>
      </c>
      <c r="I212" s="331">
        <v>87</v>
      </c>
      <c r="J212" s="40">
        <f t="shared" si="18"/>
        <v>0</v>
      </c>
    </row>
    <row r="213" spans="1:10" x14ac:dyDescent="0.35">
      <c r="A213" s="103"/>
      <c r="B213" s="12" t="s">
        <v>11</v>
      </c>
      <c r="C213" s="10" t="s">
        <v>439</v>
      </c>
      <c r="D213" s="152"/>
      <c r="E213" s="170"/>
      <c r="F213" s="95"/>
      <c r="G213" s="153"/>
      <c r="H213" s="10" t="s">
        <v>52</v>
      </c>
      <c r="I213" s="331">
        <v>55</v>
      </c>
      <c r="J213" s="40">
        <f t="shared" si="18"/>
        <v>0</v>
      </c>
    </row>
    <row r="214" spans="1:10" ht="15.5" x14ac:dyDescent="0.35">
      <c r="A214" s="108" t="s">
        <v>360</v>
      </c>
      <c r="B214" s="108"/>
      <c r="C214" s="108"/>
      <c r="D214" s="223"/>
      <c r="E214" s="169"/>
      <c r="F214" s="109"/>
      <c r="G214" s="310" t="str">
        <f t="shared" si="14"/>
        <v/>
      </c>
      <c r="H214" s="108"/>
      <c r="I214" s="106" t="s">
        <v>18</v>
      </c>
      <c r="J214" s="107">
        <f>SUM(J215:J216)</f>
        <v>0</v>
      </c>
    </row>
    <row r="215" spans="1:10" x14ac:dyDescent="0.35">
      <c r="A215" s="103"/>
      <c r="B215" s="12" t="s">
        <v>12</v>
      </c>
      <c r="C215" s="10" t="s">
        <v>70</v>
      </c>
      <c r="D215" s="152">
        <v>40</v>
      </c>
      <c r="E215" s="170"/>
      <c r="F215" s="95"/>
      <c r="G215" s="153" t="str">
        <f t="shared" si="14"/>
        <v/>
      </c>
      <c r="H215" s="10" t="s">
        <v>27</v>
      </c>
      <c r="I215" s="331">
        <v>20.7</v>
      </c>
      <c r="J215" s="12">
        <f>+E215*I215</f>
        <v>0</v>
      </c>
    </row>
    <row r="216" spans="1:10" x14ac:dyDescent="0.35">
      <c r="A216" s="103"/>
      <c r="B216" s="12" t="s">
        <v>12</v>
      </c>
      <c r="C216" s="10" t="s">
        <v>71</v>
      </c>
      <c r="D216" s="152">
        <v>40</v>
      </c>
      <c r="E216" s="170"/>
      <c r="F216" s="95"/>
      <c r="G216" s="153" t="str">
        <f t="shared" si="14"/>
        <v/>
      </c>
      <c r="H216" s="10" t="s">
        <v>27</v>
      </c>
      <c r="I216" s="331">
        <v>13.7</v>
      </c>
      <c r="J216" s="12">
        <f>+E216*I216</f>
        <v>0</v>
      </c>
    </row>
    <row r="217" spans="1:10" ht="15.5" hidden="1" x14ac:dyDescent="0.35">
      <c r="A217" s="108" t="s">
        <v>361</v>
      </c>
      <c r="B217" s="108"/>
      <c r="C217" s="108"/>
      <c r="D217" s="223"/>
      <c r="E217" s="169"/>
      <c r="F217" s="109"/>
      <c r="G217" s="153" t="str">
        <f t="shared" si="14"/>
        <v/>
      </c>
      <c r="H217" s="108"/>
      <c r="I217" s="106" t="s">
        <v>18</v>
      </c>
      <c r="J217" s="107">
        <f>SUM(J218:J221)</f>
        <v>0</v>
      </c>
    </row>
    <row r="218" spans="1:10" hidden="1" x14ac:dyDescent="0.35">
      <c r="A218" s="103"/>
      <c r="B218" s="12" t="s">
        <v>10</v>
      </c>
      <c r="C218" s="10" t="s">
        <v>362</v>
      </c>
      <c r="D218" s="152"/>
      <c r="E218" s="170"/>
      <c r="F218" s="95"/>
      <c r="G218" s="153" t="str">
        <f t="shared" si="14"/>
        <v/>
      </c>
      <c r="H218" s="10" t="s">
        <v>20</v>
      </c>
      <c r="I218" s="331">
        <v>11.08</v>
      </c>
      <c r="J218" s="12">
        <f>E218*I218</f>
        <v>0</v>
      </c>
    </row>
    <row r="219" spans="1:10" hidden="1" x14ac:dyDescent="0.35">
      <c r="A219" s="103"/>
      <c r="B219" s="12" t="s">
        <v>10</v>
      </c>
      <c r="C219" s="10" t="s">
        <v>363</v>
      </c>
      <c r="D219" s="152"/>
      <c r="E219" s="170"/>
      <c r="F219" s="95"/>
      <c r="G219" s="153" t="str">
        <f t="shared" si="14"/>
        <v/>
      </c>
      <c r="H219" s="10" t="s">
        <v>27</v>
      </c>
      <c r="I219" s="331">
        <v>16.21</v>
      </c>
      <c r="J219" s="12">
        <f>E219*I219</f>
        <v>0</v>
      </c>
    </row>
    <row r="220" spans="1:10" hidden="1" x14ac:dyDescent="0.35">
      <c r="A220" s="103"/>
      <c r="B220" s="12" t="s">
        <v>10</v>
      </c>
      <c r="C220" s="10" t="s">
        <v>364</v>
      </c>
      <c r="D220" s="152"/>
      <c r="E220" s="170"/>
      <c r="F220" s="95"/>
      <c r="G220" s="153" t="str">
        <f t="shared" si="14"/>
        <v/>
      </c>
      <c r="H220" s="10" t="s">
        <v>27</v>
      </c>
      <c r="I220" s="331">
        <v>19.350000000000001</v>
      </c>
      <c r="J220" s="12">
        <f>E220*I220</f>
        <v>0</v>
      </c>
    </row>
    <row r="221" spans="1:10" hidden="1" x14ac:dyDescent="0.35">
      <c r="A221" s="103"/>
      <c r="B221" s="12" t="s">
        <v>10</v>
      </c>
      <c r="C221" s="10" t="s">
        <v>365</v>
      </c>
      <c r="D221" s="152"/>
      <c r="E221" s="170"/>
      <c r="F221" s="95"/>
      <c r="G221" s="153" t="str">
        <f t="shared" si="14"/>
        <v/>
      </c>
      <c r="H221" s="10" t="s">
        <v>27</v>
      </c>
      <c r="I221" s="331">
        <v>19.809999999999999</v>
      </c>
      <c r="J221" s="12">
        <f>E221*I221</f>
        <v>0</v>
      </c>
    </row>
    <row r="222" spans="1:10" ht="15.5" x14ac:dyDescent="0.35">
      <c r="A222" s="108" t="s">
        <v>366</v>
      </c>
      <c r="B222" s="108"/>
      <c r="C222" s="108"/>
      <c r="D222" s="223"/>
      <c r="E222" s="169"/>
      <c r="F222" s="109"/>
      <c r="G222" s="165" t="str">
        <f t="shared" si="14"/>
        <v/>
      </c>
      <c r="H222" s="108"/>
      <c r="I222" s="106" t="s">
        <v>18</v>
      </c>
      <c r="J222" s="107">
        <f>J223</f>
        <v>0</v>
      </c>
    </row>
    <row r="223" spans="1:10" x14ac:dyDescent="0.35">
      <c r="A223" s="103"/>
      <c r="B223" s="12" t="s">
        <v>28</v>
      </c>
      <c r="C223" s="10" t="s">
        <v>29</v>
      </c>
      <c r="D223" s="152">
        <v>1</v>
      </c>
      <c r="E223" s="170"/>
      <c r="F223" s="150"/>
      <c r="G223" s="153" t="str">
        <f t="shared" si="14"/>
        <v/>
      </c>
      <c r="H223" s="10" t="s">
        <v>54</v>
      </c>
      <c r="I223" s="331">
        <v>104</v>
      </c>
      <c r="J223" s="12">
        <f>I223*E223</f>
        <v>0</v>
      </c>
    </row>
    <row r="224" spans="1:10" ht="15.5" x14ac:dyDescent="0.35">
      <c r="A224" s="108" t="s">
        <v>367</v>
      </c>
      <c r="B224" s="108"/>
      <c r="C224" s="108"/>
      <c r="D224" s="223"/>
      <c r="E224" s="169"/>
      <c r="F224" s="109"/>
      <c r="G224" s="165" t="str">
        <f t="shared" ref="G224:G257" si="19">IF(E224="","",IF(D224-E224&gt;0,D224-E224,""))</f>
        <v/>
      </c>
      <c r="H224" s="108"/>
      <c r="I224" s="106" t="s">
        <v>18</v>
      </c>
      <c r="J224" s="115">
        <f>SUM(J225:J244)</f>
        <v>486.88</v>
      </c>
    </row>
    <row r="225" spans="1:10" x14ac:dyDescent="0.35">
      <c r="A225" s="103"/>
      <c r="B225" s="12" t="s">
        <v>9</v>
      </c>
      <c r="C225" s="10" t="s">
        <v>423</v>
      </c>
      <c r="D225" s="152"/>
      <c r="E225" s="170"/>
      <c r="F225" s="95"/>
      <c r="G225" s="153" t="str">
        <f t="shared" si="19"/>
        <v/>
      </c>
      <c r="H225" s="10" t="s">
        <v>20</v>
      </c>
      <c r="I225" s="331">
        <v>78</v>
      </c>
      <c r="J225" s="50">
        <f t="shared" ref="J225:J244" si="20">E225*I225</f>
        <v>0</v>
      </c>
    </row>
    <row r="226" spans="1:10" x14ac:dyDescent="0.35">
      <c r="A226" s="103"/>
      <c r="B226" s="12" t="s">
        <v>9</v>
      </c>
      <c r="C226" s="10" t="s">
        <v>424</v>
      </c>
      <c r="D226" s="152"/>
      <c r="E226" s="170">
        <v>4</v>
      </c>
      <c r="F226" s="95"/>
      <c r="G226" s="153" t="str">
        <f t="shared" si="19"/>
        <v/>
      </c>
      <c r="H226" s="10" t="s">
        <v>61</v>
      </c>
      <c r="I226" s="340">
        <v>107.12</v>
      </c>
      <c r="J226" s="50">
        <f t="shared" si="20"/>
        <v>428.48</v>
      </c>
    </row>
    <row r="227" spans="1:10" x14ac:dyDescent="0.35">
      <c r="A227" s="103"/>
      <c r="B227" s="12" t="s">
        <v>9</v>
      </c>
      <c r="C227" s="10" t="s">
        <v>369</v>
      </c>
      <c r="D227" s="152"/>
      <c r="E227" s="170"/>
      <c r="F227" s="95"/>
      <c r="G227" s="153" t="str">
        <f t="shared" si="19"/>
        <v/>
      </c>
      <c r="H227" s="10" t="s">
        <v>20</v>
      </c>
      <c r="I227" s="331">
        <v>0.04</v>
      </c>
      <c r="J227" s="50">
        <f t="shared" si="20"/>
        <v>0</v>
      </c>
    </row>
    <row r="228" spans="1:10" x14ac:dyDescent="0.35">
      <c r="A228" s="103"/>
      <c r="B228" s="12" t="s">
        <v>9</v>
      </c>
      <c r="C228" s="10" t="s">
        <v>370</v>
      </c>
      <c r="D228" s="152"/>
      <c r="E228" s="170"/>
      <c r="F228" s="95"/>
      <c r="G228" s="153" t="str">
        <f t="shared" si="19"/>
        <v/>
      </c>
      <c r="H228" s="10" t="s">
        <v>20</v>
      </c>
      <c r="I228" s="331">
        <v>7.0999999999999994E-2</v>
      </c>
      <c r="J228" s="50">
        <f t="shared" si="20"/>
        <v>0</v>
      </c>
    </row>
    <row r="229" spans="1:10" hidden="1" x14ac:dyDescent="0.35">
      <c r="A229" s="103"/>
      <c r="B229" s="12" t="s">
        <v>9</v>
      </c>
      <c r="C229" s="10" t="s">
        <v>411</v>
      </c>
      <c r="D229" s="152"/>
      <c r="E229" s="170"/>
      <c r="F229" s="95"/>
      <c r="G229" s="153"/>
      <c r="H229" s="10" t="s">
        <v>20</v>
      </c>
      <c r="I229" s="331">
        <v>1.97</v>
      </c>
      <c r="J229" s="50"/>
    </row>
    <row r="230" spans="1:10" hidden="1" x14ac:dyDescent="0.35">
      <c r="A230" s="103"/>
      <c r="B230" s="12" t="s">
        <v>9</v>
      </c>
      <c r="C230" s="10" t="s">
        <v>371</v>
      </c>
      <c r="D230" s="152"/>
      <c r="E230" s="170"/>
      <c r="F230" s="95"/>
      <c r="G230" s="153" t="str">
        <f t="shared" si="19"/>
        <v/>
      </c>
      <c r="H230" s="10" t="s">
        <v>61</v>
      </c>
      <c r="I230" s="331">
        <v>163.80000000000001</v>
      </c>
      <c r="J230" s="50">
        <f t="shared" si="20"/>
        <v>0</v>
      </c>
    </row>
    <row r="231" spans="1:10" hidden="1" x14ac:dyDescent="0.35">
      <c r="A231" s="103"/>
      <c r="B231" s="12" t="s">
        <v>9</v>
      </c>
      <c r="C231" s="10" t="s">
        <v>410</v>
      </c>
      <c r="D231" s="152"/>
      <c r="E231" s="170"/>
      <c r="F231" s="151"/>
      <c r="G231" s="153" t="str">
        <f t="shared" si="19"/>
        <v/>
      </c>
      <c r="H231" s="10" t="s">
        <v>61</v>
      </c>
      <c r="I231" s="331">
        <v>49.33</v>
      </c>
      <c r="J231" s="50">
        <f t="shared" si="20"/>
        <v>0</v>
      </c>
    </row>
    <row r="232" spans="1:10" hidden="1" x14ac:dyDescent="0.35">
      <c r="A232" s="103"/>
      <c r="B232" s="12" t="s">
        <v>9</v>
      </c>
      <c r="C232" s="10" t="s">
        <v>373</v>
      </c>
      <c r="D232" s="152"/>
      <c r="E232" s="170"/>
      <c r="F232" s="151"/>
      <c r="G232" s="153" t="str">
        <f t="shared" si="19"/>
        <v/>
      </c>
      <c r="H232" s="10" t="s">
        <v>61</v>
      </c>
      <c r="I232" s="331">
        <v>105.6</v>
      </c>
      <c r="J232" s="50">
        <f t="shared" si="20"/>
        <v>0</v>
      </c>
    </row>
    <row r="233" spans="1:10" hidden="1" x14ac:dyDescent="0.35">
      <c r="A233" s="103"/>
      <c r="B233" s="12" t="s">
        <v>9</v>
      </c>
      <c r="C233" s="10" t="s">
        <v>374</v>
      </c>
      <c r="D233" s="152"/>
      <c r="E233" s="170"/>
      <c r="F233" s="151"/>
      <c r="G233" s="153" t="str">
        <f t="shared" si="19"/>
        <v/>
      </c>
      <c r="H233" s="10" t="s">
        <v>61</v>
      </c>
      <c r="I233" s="331">
        <v>114.75</v>
      </c>
      <c r="J233" s="50">
        <f t="shared" si="20"/>
        <v>0</v>
      </c>
    </row>
    <row r="234" spans="1:10" hidden="1" x14ac:dyDescent="0.35">
      <c r="A234" s="103"/>
      <c r="B234" s="12" t="s">
        <v>9</v>
      </c>
      <c r="C234" s="10" t="s">
        <v>375</v>
      </c>
      <c r="D234" s="152"/>
      <c r="E234" s="170"/>
      <c r="F234" s="95"/>
      <c r="G234" s="153" t="str">
        <f t="shared" si="19"/>
        <v/>
      </c>
      <c r="H234" s="10" t="s">
        <v>61</v>
      </c>
      <c r="I234" s="331">
        <v>105.55</v>
      </c>
      <c r="J234" s="50">
        <f t="shared" si="20"/>
        <v>0</v>
      </c>
    </row>
    <row r="235" spans="1:10" x14ac:dyDescent="0.35">
      <c r="A235" s="103"/>
      <c r="B235" s="12" t="s">
        <v>9</v>
      </c>
      <c r="C235" s="10" t="s">
        <v>376</v>
      </c>
      <c r="D235" s="152">
        <v>1</v>
      </c>
      <c r="E235" s="170"/>
      <c r="F235" s="95"/>
      <c r="G235" s="153" t="str">
        <f t="shared" si="19"/>
        <v/>
      </c>
      <c r="H235" s="10" t="s">
        <v>61</v>
      </c>
      <c r="I235" s="331">
        <v>33.25</v>
      </c>
      <c r="J235" s="50">
        <f t="shared" si="20"/>
        <v>0</v>
      </c>
    </row>
    <row r="236" spans="1:10" hidden="1" x14ac:dyDescent="0.35">
      <c r="A236" s="103"/>
      <c r="B236" s="12" t="s">
        <v>9</v>
      </c>
      <c r="C236" s="10" t="s">
        <v>377</v>
      </c>
      <c r="D236" s="152"/>
      <c r="E236" s="170"/>
      <c r="F236" s="95"/>
      <c r="G236" s="153" t="str">
        <f t="shared" si="19"/>
        <v/>
      </c>
      <c r="H236" s="10" t="s">
        <v>20</v>
      </c>
      <c r="I236" s="331">
        <v>0.28999999999999998</v>
      </c>
      <c r="J236" s="50">
        <f t="shared" si="20"/>
        <v>0</v>
      </c>
    </row>
    <row r="237" spans="1:10" hidden="1" x14ac:dyDescent="0.35">
      <c r="A237" s="103"/>
      <c r="B237" s="12" t="s">
        <v>9</v>
      </c>
      <c r="C237" s="10" t="s">
        <v>378</v>
      </c>
      <c r="D237" s="152"/>
      <c r="E237" s="170"/>
      <c r="F237" s="95"/>
      <c r="G237" s="153" t="str">
        <f t="shared" si="19"/>
        <v/>
      </c>
      <c r="H237" s="10" t="s">
        <v>61</v>
      </c>
      <c r="I237" s="336">
        <v>37.85</v>
      </c>
      <c r="J237" s="50">
        <f t="shared" si="20"/>
        <v>0</v>
      </c>
    </row>
    <row r="238" spans="1:10" x14ac:dyDescent="0.35">
      <c r="A238" s="103"/>
      <c r="B238" s="12" t="s">
        <v>9</v>
      </c>
      <c r="C238" s="10" t="s">
        <v>425</v>
      </c>
      <c r="D238" s="152">
        <v>1</v>
      </c>
      <c r="E238" s="170"/>
      <c r="F238" s="95"/>
      <c r="G238" s="153" t="str">
        <f t="shared" si="19"/>
        <v/>
      </c>
      <c r="H238" s="10" t="s">
        <v>61</v>
      </c>
      <c r="I238" s="336">
        <v>111.47</v>
      </c>
      <c r="J238" s="50">
        <f t="shared" si="20"/>
        <v>0</v>
      </c>
    </row>
    <row r="239" spans="1:10" hidden="1" x14ac:dyDescent="0.35">
      <c r="A239" s="103"/>
      <c r="B239" s="12" t="s">
        <v>9</v>
      </c>
      <c r="C239" s="10" t="s">
        <v>379</v>
      </c>
      <c r="D239" s="152"/>
      <c r="E239" s="170"/>
      <c r="F239" s="95"/>
      <c r="G239" s="153" t="str">
        <f t="shared" si="19"/>
        <v/>
      </c>
      <c r="H239" s="10" t="s">
        <v>61</v>
      </c>
      <c r="I239" s="336">
        <v>174.97</v>
      </c>
      <c r="J239" s="50">
        <f t="shared" si="20"/>
        <v>0</v>
      </c>
    </row>
    <row r="240" spans="1:10" x14ac:dyDescent="0.35">
      <c r="A240" s="103"/>
      <c r="B240" s="12" t="s">
        <v>9</v>
      </c>
      <c r="C240" s="10" t="s">
        <v>380</v>
      </c>
      <c r="D240" s="152"/>
      <c r="E240" s="170"/>
      <c r="F240" s="95"/>
      <c r="G240" s="153" t="str">
        <f t="shared" si="19"/>
        <v/>
      </c>
      <c r="H240" s="10" t="s">
        <v>61</v>
      </c>
      <c r="I240" s="336">
        <v>44.93</v>
      </c>
      <c r="J240" s="50">
        <f t="shared" si="20"/>
        <v>0</v>
      </c>
    </row>
    <row r="241" spans="1:10" x14ac:dyDescent="0.35">
      <c r="A241" s="103"/>
      <c r="B241" s="12" t="s">
        <v>9</v>
      </c>
      <c r="C241" s="10" t="s">
        <v>426</v>
      </c>
      <c r="D241" s="152">
        <v>2</v>
      </c>
      <c r="E241" s="170">
        <v>2</v>
      </c>
      <c r="F241" s="95"/>
      <c r="G241" s="153" t="str">
        <f t="shared" si="19"/>
        <v/>
      </c>
      <c r="H241" s="10" t="s">
        <v>20</v>
      </c>
      <c r="I241" s="336">
        <v>29.2</v>
      </c>
      <c r="J241" s="50">
        <f t="shared" si="20"/>
        <v>58.4</v>
      </c>
    </row>
    <row r="242" spans="1:10" x14ac:dyDescent="0.35">
      <c r="A242" s="103"/>
      <c r="B242" s="12" t="s">
        <v>9</v>
      </c>
      <c r="C242" s="10" t="s">
        <v>427</v>
      </c>
      <c r="D242" s="152">
        <v>2</v>
      </c>
      <c r="E242" s="170"/>
      <c r="F242" s="95"/>
      <c r="G242" s="153" t="str">
        <f t="shared" si="19"/>
        <v/>
      </c>
      <c r="H242" s="10" t="s">
        <v>20</v>
      </c>
      <c r="I242" s="336">
        <v>19.03</v>
      </c>
      <c r="J242" s="50">
        <f t="shared" si="20"/>
        <v>0</v>
      </c>
    </row>
    <row r="243" spans="1:10" x14ac:dyDescent="0.35">
      <c r="A243" s="103"/>
      <c r="B243" s="12" t="s">
        <v>9</v>
      </c>
      <c r="C243" s="10" t="s">
        <v>428</v>
      </c>
      <c r="D243" s="152"/>
      <c r="E243" s="170"/>
      <c r="F243" s="95"/>
      <c r="G243" s="153" t="str">
        <f t="shared" si="19"/>
        <v/>
      </c>
      <c r="H243" s="10" t="s">
        <v>20</v>
      </c>
      <c r="I243" s="336">
        <v>8.4600000000000009</v>
      </c>
      <c r="J243" s="50">
        <f t="shared" si="20"/>
        <v>0</v>
      </c>
    </row>
    <row r="244" spans="1:10" hidden="1" x14ac:dyDescent="0.35">
      <c r="A244" s="103"/>
      <c r="B244" s="12" t="s">
        <v>9</v>
      </c>
      <c r="C244" s="10" t="s">
        <v>381</v>
      </c>
      <c r="D244" s="152"/>
      <c r="E244" s="170"/>
      <c r="F244" s="95"/>
      <c r="G244" s="153" t="str">
        <f t="shared" si="19"/>
        <v/>
      </c>
      <c r="H244" s="10" t="s">
        <v>20</v>
      </c>
      <c r="I244" s="336">
        <v>0.02</v>
      </c>
      <c r="J244" s="50">
        <f t="shared" si="20"/>
        <v>0</v>
      </c>
    </row>
    <row r="245" spans="1:10" ht="15.5" x14ac:dyDescent="0.35">
      <c r="A245" s="108" t="s">
        <v>382</v>
      </c>
      <c r="B245" s="108"/>
      <c r="C245" s="108"/>
      <c r="D245" s="223"/>
      <c r="E245" s="169"/>
      <c r="F245" s="109"/>
      <c r="G245" s="165" t="str">
        <f t="shared" si="19"/>
        <v/>
      </c>
      <c r="H245" s="108"/>
      <c r="I245" s="106" t="s">
        <v>18</v>
      </c>
      <c r="J245" s="107">
        <f>SUM(J246:J256)</f>
        <v>0</v>
      </c>
    </row>
    <row r="246" spans="1:10" x14ac:dyDescent="0.35">
      <c r="A246" s="103"/>
      <c r="B246" s="12" t="s">
        <v>31</v>
      </c>
      <c r="C246" s="10" t="s">
        <v>383</v>
      </c>
      <c r="D246" s="152"/>
      <c r="E246" s="170"/>
      <c r="F246" s="95"/>
      <c r="G246" s="153" t="str">
        <f t="shared" si="19"/>
        <v/>
      </c>
      <c r="H246" s="10" t="s">
        <v>20</v>
      </c>
      <c r="I246" s="331">
        <v>5.5</v>
      </c>
      <c r="J246" s="12">
        <f t="shared" ref="J246:J256" si="21">E246*I246</f>
        <v>0</v>
      </c>
    </row>
    <row r="247" spans="1:10" x14ac:dyDescent="0.35">
      <c r="A247" s="103"/>
      <c r="B247" s="12" t="s">
        <v>31</v>
      </c>
      <c r="C247" s="10" t="s">
        <v>39</v>
      </c>
      <c r="D247" s="152">
        <v>2</v>
      </c>
      <c r="E247" s="170"/>
      <c r="F247" s="95"/>
      <c r="G247" s="153" t="str">
        <f t="shared" si="19"/>
        <v/>
      </c>
      <c r="H247" s="10" t="s">
        <v>20</v>
      </c>
      <c r="I247" s="331">
        <v>4.55</v>
      </c>
      <c r="J247" s="12">
        <f t="shared" si="21"/>
        <v>0</v>
      </c>
    </row>
    <row r="248" spans="1:10" x14ac:dyDescent="0.35">
      <c r="A248" s="103"/>
      <c r="B248" s="12" t="s">
        <v>31</v>
      </c>
      <c r="C248" s="10" t="s">
        <v>422</v>
      </c>
      <c r="D248" s="152">
        <v>2</v>
      </c>
      <c r="E248" s="170"/>
      <c r="F248" s="95"/>
      <c r="G248" s="153" t="str">
        <f t="shared" si="19"/>
        <v/>
      </c>
      <c r="H248" s="10" t="s">
        <v>20</v>
      </c>
      <c r="I248" s="331">
        <v>3.7</v>
      </c>
      <c r="J248" s="12">
        <f t="shared" si="21"/>
        <v>0</v>
      </c>
    </row>
    <row r="249" spans="1:10" x14ac:dyDescent="0.35">
      <c r="A249" s="103"/>
      <c r="B249" s="12" t="s">
        <v>31</v>
      </c>
      <c r="C249" s="10" t="s">
        <v>67</v>
      </c>
      <c r="D249" s="152">
        <v>1</v>
      </c>
      <c r="E249" s="170"/>
      <c r="F249" s="95"/>
      <c r="G249" s="153" t="str">
        <f t="shared" si="19"/>
        <v/>
      </c>
      <c r="H249" s="10" t="s">
        <v>20</v>
      </c>
      <c r="I249" s="331">
        <v>15.56</v>
      </c>
      <c r="J249" s="12">
        <f t="shared" si="21"/>
        <v>0</v>
      </c>
    </row>
    <row r="250" spans="1:10" hidden="1" x14ac:dyDescent="0.35">
      <c r="A250" s="103"/>
      <c r="B250" s="12" t="s">
        <v>31</v>
      </c>
      <c r="C250" s="10" t="s">
        <v>384</v>
      </c>
      <c r="D250" s="152"/>
      <c r="E250" s="170"/>
      <c r="F250" s="95"/>
      <c r="G250" s="153" t="str">
        <f t="shared" si="19"/>
        <v/>
      </c>
      <c r="H250" s="10" t="s">
        <v>20</v>
      </c>
      <c r="I250" s="331">
        <v>0.8</v>
      </c>
      <c r="J250" s="12">
        <f t="shared" si="21"/>
        <v>0</v>
      </c>
    </row>
    <row r="251" spans="1:10" hidden="1" x14ac:dyDescent="0.35">
      <c r="A251" s="103"/>
      <c r="B251" s="12" t="s">
        <v>31</v>
      </c>
      <c r="C251" s="10" t="s">
        <v>385</v>
      </c>
      <c r="D251" s="152"/>
      <c r="E251" s="170"/>
      <c r="F251" s="95"/>
      <c r="G251" s="153" t="str">
        <f t="shared" si="19"/>
        <v/>
      </c>
      <c r="H251" s="10" t="s">
        <v>20</v>
      </c>
      <c r="I251" s="331">
        <v>1.83</v>
      </c>
      <c r="J251" s="12">
        <f t="shared" si="21"/>
        <v>0</v>
      </c>
    </row>
    <row r="252" spans="1:10" x14ac:dyDescent="0.35">
      <c r="A252" s="103"/>
      <c r="B252" s="12" t="s">
        <v>31</v>
      </c>
      <c r="C252" s="10" t="s">
        <v>386</v>
      </c>
      <c r="D252" s="152">
        <v>2</v>
      </c>
      <c r="E252" s="170"/>
      <c r="F252" s="95"/>
      <c r="G252" s="153" t="str">
        <f t="shared" si="19"/>
        <v/>
      </c>
      <c r="H252" s="10" t="s">
        <v>20</v>
      </c>
      <c r="I252" s="331">
        <v>2.65</v>
      </c>
      <c r="J252" s="12">
        <f t="shared" si="21"/>
        <v>0</v>
      </c>
    </row>
    <row r="253" spans="1:10" x14ac:dyDescent="0.35">
      <c r="A253" s="103"/>
      <c r="B253" s="12" t="s">
        <v>31</v>
      </c>
      <c r="C253" s="10" t="s">
        <v>65</v>
      </c>
      <c r="D253" s="152">
        <v>1</v>
      </c>
      <c r="E253" s="170"/>
      <c r="F253" s="95"/>
      <c r="G253" s="153" t="str">
        <f t="shared" si="19"/>
        <v/>
      </c>
      <c r="H253" s="10" t="s">
        <v>20</v>
      </c>
      <c r="I253" s="331">
        <v>13.43</v>
      </c>
      <c r="J253" s="12">
        <f t="shared" si="21"/>
        <v>0</v>
      </c>
    </row>
    <row r="254" spans="1:10" hidden="1" x14ac:dyDescent="0.35">
      <c r="A254" s="103"/>
      <c r="B254" s="12" t="s">
        <v>31</v>
      </c>
      <c r="C254" s="10" t="s">
        <v>66</v>
      </c>
      <c r="D254" s="152"/>
      <c r="E254" s="170"/>
      <c r="F254" s="95"/>
      <c r="G254" s="153" t="str">
        <f t="shared" si="19"/>
        <v/>
      </c>
      <c r="H254" s="10" t="s">
        <v>20</v>
      </c>
      <c r="I254" s="331">
        <v>75.38</v>
      </c>
      <c r="J254" s="12">
        <f t="shared" si="21"/>
        <v>0</v>
      </c>
    </row>
    <row r="255" spans="1:10" x14ac:dyDescent="0.35">
      <c r="A255" s="103"/>
      <c r="B255" s="12" t="s">
        <v>31</v>
      </c>
      <c r="C255" s="10" t="s">
        <v>412</v>
      </c>
      <c r="D255" s="152">
        <v>1</v>
      </c>
      <c r="E255" s="170"/>
      <c r="F255" s="95"/>
      <c r="G255" s="153" t="str">
        <f t="shared" si="19"/>
        <v/>
      </c>
      <c r="H255" s="10" t="s">
        <v>20</v>
      </c>
      <c r="I255" s="331">
        <v>8.43</v>
      </c>
      <c r="J255" s="12">
        <f t="shared" si="21"/>
        <v>0</v>
      </c>
    </row>
    <row r="256" spans="1:10" x14ac:dyDescent="0.35">
      <c r="A256" s="103"/>
      <c r="B256" s="12" t="s">
        <v>31</v>
      </c>
      <c r="C256" s="10" t="s">
        <v>69</v>
      </c>
      <c r="D256" s="152">
        <v>1</v>
      </c>
      <c r="E256" s="170"/>
      <c r="F256" s="95"/>
      <c r="G256" s="153" t="str">
        <f t="shared" si="19"/>
        <v/>
      </c>
      <c r="H256" s="10" t="s">
        <v>63</v>
      </c>
      <c r="I256" s="331">
        <v>3.5</v>
      </c>
      <c r="J256" s="12">
        <f t="shared" si="21"/>
        <v>0</v>
      </c>
    </row>
    <row r="257" spans="1:10" ht="15.5" x14ac:dyDescent="0.35">
      <c r="A257" s="108" t="s">
        <v>57</v>
      </c>
      <c r="B257" s="108"/>
      <c r="C257" s="108"/>
      <c r="D257" s="231"/>
      <c r="E257" s="169"/>
      <c r="F257" s="109"/>
      <c r="G257" s="165" t="str">
        <f t="shared" si="19"/>
        <v/>
      </c>
      <c r="H257" s="108"/>
      <c r="I257" s="106" t="s">
        <v>18</v>
      </c>
      <c r="J257" s="107">
        <f>SUM(J258:J259)</f>
        <v>0</v>
      </c>
    </row>
    <row r="258" spans="1:10" hidden="1" x14ac:dyDescent="0.35">
      <c r="A258" s="103"/>
      <c r="B258" s="12" t="s">
        <v>56</v>
      </c>
      <c r="C258" s="10" t="s">
        <v>58</v>
      </c>
      <c r="D258" s="94"/>
      <c r="E258" s="170"/>
      <c r="F258" s="94"/>
      <c r="G258" s="94" t="str">
        <f t="shared" ref="G258:G259" si="22">IF(D258-E258&gt;0,D258-E258,"")</f>
        <v/>
      </c>
      <c r="H258" s="10" t="s">
        <v>20</v>
      </c>
      <c r="I258" s="331">
        <v>54.05</v>
      </c>
      <c r="J258" s="12">
        <f>E258*I258</f>
        <v>0</v>
      </c>
    </row>
    <row r="259" spans="1:10" hidden="1" x14ac:dyDescent="0.35">
      <c r="A259" s="103"/>
      <c r="B259" s="12" t="s">
        <v>56</v>
      </c>
      <c r="C259" s="10" t="s">
        <v>388</v>
      </c>
      <c r="D259" s="94"/>
      <c r="E259" s="170"/>
      <c r="F259" s="94"/>
      <c r="G259" s="94" t="str">
        <f t="shared" si="22"/>
        <v/>
      </c>
      <c r="H259" s="10" t="s">
        <v>20</v>
      </c>
      <c r="I259" s="331">
        <v>0</v>
      </c>
      <c r="J259" s="12">
        <f>E259*I259</f>
        <v>0</v>
      </c>
    </row>
  </sheetData>
  <mergeCells count="2">
    <mergeCell ref="B1:C1"/>
    <mergeCell ref="B2:C2"/>
  </mergeCells>
  <pageMargins left="0.7" right="0.7" top="0.75" bottom="0.75" header="0.3" footer="0.3"/>
  <pageSetup paperSize="9" scale="73" fitToHeight="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D12E8-8ABA-4FC7-8457-3CAA1BC31EB2}">
  <sheetPr codeName="Feuil20">
    <tabColor theme="8" tint="0.39997558519241921"/>
  </sheetPr>
  <dimension ref="A1:K259"/>
  <sheetViews>
    <sheetView topLeftCell="A15" zoomScaleNormal="100" workbookViewId="0">
      <selection activeCell="J209" sqref="J209"/>
    </sheetView>
  </sheetViews>
  <sheetFormatPr baseColWidth="10" defaultColWidth="10.7265625" defaultRowHeight="14.5" x14ac:dyDescent="0.35"/>
  <cols>
    <col min="1" max="1" width="2.54296875" customWidth="1"/>
    <col min="2" max="2" width="32.26953125" customWidth="1"/>
    <col min="3" max="3" width="44.54296875" bestFit="1" customWidth="1"/>
    <col min="4" max="4" width="19.7265625" bestFit="1" customWidth="1"/>
    <col min="5" max="5" width="18.81640625" style="34" bestFit="1" customWidth="1"/>
    <col min="6" max="6" width="18.26953125" hidden="1" customWidth="1"/>
    <col min="7" max="7" width="14" bestFit="1" customWidth="1"/>
    <col min="8" max="8" width="6.81640625" bestFit="1" customWidth="1"/>
    <col min="9" max="9" width="8.453125" style="86" bestFit="1" customWidth="1"/>
    <col min="10" max="10" width="7.1796875" customWidth="1"/>
  </cols>
  <sheetData>
    <row r="1" spans="2:7" ht="15" thickBot="1" x14ac:dyDescent="0.4">
      <c r="B1" s="321" t="s">
        <v>198</v>
      </c>
      <c r="C1" s="322"/>
      <c r="F1" s="89"/>
      <c r="G1" s="89"/>
    </row>
    <row r="2" spans="2:7" ht="15" thickBot="1" x14ac:dyDescent="0.4">
      <c r="B2" s="319"/>
      <c r="C2" s="320"/>
      <c r="F2" s="90"/>
      <c r="G2" s="90"/>
    </row>
    <row r="3" spans="2:7" x14ac:dyDescent="0.35">
      <c r="B3" s="75"/>
      <c r="C3" s="75"/>
      <c r="F3" s="75"/>
      <c r="G3" s="75"/>
    </row>
    <row r="4" spans="2:7" ht="15.5" x14ac:dyDescent="0.35">
      <c r="B4" s="70" t="s">
        <v>0</v>
      </c>
      <c r="C4" s="70" t="s">
        <v>1</v>
      </c>
      <c r="F4" s="91"/>
      <c r="G4" s="91"/>
    </row>
    <row r="5" spans="2:7" x14ac:dyDescent="0.35">
      <c r="B5" s="71" t="s">
        <v>2</v>
      </c>
      <c r="C5" s="72">
        <f>J23</f>
        <v>111.9</v>
      </c>
      <c r="F5" s="92"/>
      <c r="G5" s="92"/>
    </row>
    <row r="6" spans="2:7" x14ac:dyDescent="0.35">
      <c r="B6" s="71" t="s">
        <v>7</v>
      </c>
      <c r="C6" s="72">
        <f>J4</f>
        <v>0</v>
      </c>
      <c r="F6" s="92"/>
      <c r="G6" s="92"/>
    </row>
    <row r="7" spans="2:7" x14ac:dyDescent="0.35">
      <c r="B7" s="71" t="s">
        <v>13</v>
      </c>
      <c r="C7" s="72">
        <f>J50</f>
        <v>0</v>
      </c>
      <c r="F7" s="92"/>
      <c r="G7" s="92"/>
    </row>
    <row r="8" spans="2:7" x14ac:dyDescent="0.35">
      <c r="B8" s="71" t="s">
        <v>3</v>
      </c>
      <c r="C8" s="72">
        <f>J78</f>
        <v>0</v>
      </c>
      <c r="F8" s="92"/>
      <c r="G8" s="92"/>
    </row>
    <row r="9" spans="2:7" x14ac:dyDescent="0.35">
      <c r="B9" s="71" t="s">
        <v>4</v>
      </c>
      <c r="C9" s="72">
        <f>J122</f>
        <v>198.85000000000002</v>
      </c>
      <c r="F9" s="92"/>
      <c r="G9" s="92"/>
    </row>
    <row r="10" spans="2:7" x14ac:dyDescent="0.35">
      <c r="B10" s="71" t="s">
        <v>199</v>
      </c>
      <c r="C10" s="72">
        <f>J176</f>
        <v>0</v>
      </c>
      <c r="F10" s="92"/>
      <c r="G10" s="92"/>
    </row>
    <row r="11" spans="2:7" x14ac:dyDescent="0.35">
      <c r="B11" s="71" t="s">
        <v>200</v>
      </c>
      <c r="C11" s="72">
        <f>J187</f>
        <v>0</v>
      </c>
      <c r="F11" s="92"/>
      <c r="G11" s="92"/>
    </row>
    <row r="12" spans="2:7" x14ac:dyDescent="0.35">
      <c r="B12" s="71" t="s">
        <v>201</v>
      </c>
      <c r="C12" s="72">
        <f>J193</f>
        <v>0</v>
      </c>
      <c r="F12" s="92"/>
      <c r="G12" s="92"/>
    </row>
    <row r="13" spans="2:7" x14ac:dyDescent="0.35">
      <c r="B13" s="71" t="s">
        <v>202</v>
      </c>
      <c r="C13" s="72">
        <f>J195</f>
        <v>0</v>
      </c>
      <c r="F13" s="92"/>
      <c r="G13" s="92"/>
    </row>
    <row r="14" spans="2:7" x14ac:dyDescent="0.35">
      <c r="B14" s="71" t="s">
        <v>203</v>
      </c>
      <c r="C14" s="72">
        <f>J208</f>
        <v>679.75</v>
      </c>
      <c r="F14" s="92"/>
      <c r="G14" s="92"/>
    </row>
    <row r="15" spans="2:7" x14ac:dyDescent="0.35">
      <c r="B15" s="71" t="s">
        <v>12</v>
      </c>
      <c r="C15" s="72">
        <f>J214</f>
        <v>0</v>
      </c>
      <c r="F15" s="92"/>
      <c r="G15" s="92"/>
    </row>
    <row r="16" spans="2:7" x14ac:dyDescent="0.35">
      <c r="B16" s="71" t="s">
        <v>204</v>
      </c>
      <c r="C16" s="72">
        <f>J222</f>
        <v>0</v>
      </c>
      <c r="F16" s="92"/>
      <c r="G16" s="92"/>
    </row>
    <row r="17" spans="1:10" x14ac:dyDescent="0.35">
      <c r="B17" s="71" t="s">
        <v>9</v>
      </c>
      <c r="C17" s="72">
        <f>J224</f>
        <v>813.25</v>
      </c>
      <c r="F17" s="92"/>
      <c r="G17" s="92"/>
    </row>
    <row r="18" spans="1:10" x14ac:dyDescent="0.35">
      <c r="B18" s="71" t="s">
        <v>205</v>
      </c>
      <c r="C18" s="72">
        <f>J245</f>
        <v>21.7</v>
      </c>
      <c r="F18" s="92"/>
      <c r="G18" s="92"/>
    </row>
    <row r="19" spans="1:10" x14ac:dyDescent="0.35">
      <c r="B19" s="71" t="s">
        <v>56</v>
      </c>
      <c r="C19" s="72">
        <f>J257</f>
        <v>0</v>
      </c>
      <c r="F19" s="92"/>
      <c r="G19" s="92"/>
    </row>
    <row r="20" spans="1:10" x14ac:dyDescent="0.35">
      <c r="B20" s="73" t="s">
        <v>14</v>
      </c>
      <c r="C20" s="74">
        <f>C5+C6+C7+C8+C9+C10+C11+C12+C13+C14+C15+C16+C17+C18+C19</f>
        <v>1825.45</v>
      </c>
      <c r="F20" s="93"/>
      <c r="G20" s="93"/>
    </row>
    <row r="21" spans="1:10" ht="18.5" x14ac:dyDescent="0.45">
      <c r="A21" s="76" t="s">
        <v>207</v>
      </c>
      <c r="B21" s="76"/>
      <c r="C21" s="76"/>
      <c r="D21" s="76"/>
      <c r="E21" s="167"/>
      <c r="F21" s="76"/>
      <c r="G21" s="76"/>
      <c r="H21" s="76"/>
      <c r="I21" s="262"/>
      <c r="J21" s="76"/>
    </row>
    <row r="22" spans="1:10" x14ac:dyDescent="0.35">
      <c r="A22" s="129"/>
      <c r="B22" s="129" t="s">
        <v>15</v>
      </c>
      <c r="C22" s="129" t="s">
        <v>16</v>
      </c>
      <c r="D22" s="130" t="s">
        <v>398</v>
      </c>
      <c r="E22" s="168" t="s">
        <v>401</v>
      </c>
      <c r="F22" s="130" t="s">
        <v>399</v>
      </c>
      <c r="G22" s="164" t="s">
        <v>400</v>
      </c>
      <c r="H22" s="132" t="s">
        <v>406</v>
      </c>
      <c r="I22" s="341" t="s">
        <v>45</v>
      </c>
      <c r="J22" s="132" t="s">
        <v>402</v>
      </c>
    </row>
    <row r="23" spans="1:10" ht="15.5" x14ac:dyDescent="0.35">
      <c r="A23" s="108" t="s">
        <v>208</v>
      </c>
      <c r="B23" s="108"/>
      <c r="C23" s="108"/>
      <c r="D23" s="108"/>
      <c r="E23" s="169" t="s">
        <v>421</v>
      </c>
      <c r="F23" s="108"/>
      <c r="G23" s="108"/>
      <c r="H23" s="108"/>
      <c r="I23" s="110" t="s">
        <v>18</v>
      </c>
      <c r="J23" s="107">
        <f>SUM(J24:J40)</f>
        <v>111.9</v>
      </c>
    </row>
    <row r="24" spans="1:10" x14ac:dyDescent="0.35">
      <c r="A24" s="103"/>
      <c r="B24" s="7" t="s">
        <v>2</v>
      </c>
      <c r="C24" s="14" t="s">
        <v>19</v>
      </c>
      <c r="D24" s="152">
        <v>2</v>
      </c>
      <c r="E24" s="170">
        <v>2</v>
      </c>
      <c r="F24" s="95"/>
      <c r="G24" s="153" t="str">
        <f>IF(E24="","",IF(D24-E24&gt;0,D24-E24,""))</f>
        <v/>
      </c>
      <c r="H24" s="10" t="s">
        <v>20</v>
      </c>
      <c r="I24" s="331">
        <v>55.95</v>
      </c>
      <c r="J24" s="12">
        <f t="shared" ref="J24:J40" si="0">E24*I24</f>
        <v>111.9</v>
      </c>
    </row>
    <row r="25" spans="1:10" hidden="1" x14ac:dyDescent="0.35">
      <c r="A25" s="103"/>
      <c r="B25" s="7" t="s">
        <v>2</v>
      </c>
      <c r="C25" s="14" t="s">
        <v>209</v>
      </c>
      <c r="D25" s="152"/>
      <c r="E25" s="170"/>
      <c r="F25" s="95"/>
      <c r="G25" s="153" t="str">
        <f t="shared" ref="G25:G88" si="1">IF(E25="","",IF(D25-E25&gt;0,D25-E25,""))</f>
        <v/>
      </c>
      <c r="H25" s="10" t="s">
        <v>20</v>
      </c>
      <c r="I25" s="331">
        <v>173.1</v>
      </c>
      <c r="J25" s="12">
        <f t="shared" si="0"/>
        <v>0</v>
      </c>
    </row>
    <row r="26" spans="1:10" x14ac:dyDescent="0.35">
      <c r="A26" s="103"/>
      <c r="B26" s="12" t="s">
        <v>2</v>
      </c>
      <c r="C26" s="10" t="s">
        <v>21</v>
      </c>
      <c r="D26" s="152">
        <v>20</v>
      </c>
      <c r="E26" s="170"/>
      <c r="F26" s="95"/>
      <c r="G26" s="153" t="str">
        <f t="shared" si="1"/>
        <v/>
      </c>
      <c r="H26" s="10" t="s">
        <v>20</v>
      </c>
      <c r="I26" s="331">
        <v>75.400000000000006</v>
      </c>
      <c r="J26" s="12">
        <f t="shared" si="0"/>
        <v>0</v>
      </c>
    </row>
    <row r="27" spans="1:10" x14ac:dyDescent="0.35">
      <c r="A27" s="103"/>
      <c r="B27" s="12" t="s">
        <v>2</v>
      </c>
      <c r="C27" s="10" t="s">
        <v>210</v>
      </c>
      <c r="D27" s="152">
        <v>20</v>
      </c>
      <c r="E27" s="170"/>
      <c r="F27" s="95"/>
      <c r="G27" s="153" t="str">
        <f t="shared" si="1"/>
        <v/>
      </c>
      <c r="H27" s="10" t="s">
        <v>20</v>
      </c>
      <c r="I27" s="331">
        <v>84.9</v>
      </c>
      <c r="J27" s="12">
        <f t="shared" si="0"/>
        <v>0</v>
      </c>
    </row>
    <row r="28" spans="1:10" hidden="1" x14ac:dyDescent="0.35">
      <c r="A28" s="103"/>
      <c r="B28" s="12" t="s">
        <v>2</v>
      </c>
      <c r="C28" s="10" t="s">
        <v>211</v>
      </c>
      <c r="D28" s="152"/>
      <c r="E28" s="170"/>
      <c r="F28" s="95"/>
      <c r="G28" s="153" t="str">
        <f t="shared" si="1"/>
        <v/>
      </c>
      <c r="H28" s="10" t="s">
        <v>20</v>
      </c>
      <c r="I28" s="331">
        <v>2.96</v>
      </c>
      <c r="J28" s="12">
        <f t="shared" si="0"/>
        <v>0</v>
      </c>
    </row>
    <row r="29" spans="1:10" hidden="1" x14ac:dyDescent="0.35">
      <c r="A29" s="103"/>
      <c r="B29" s="12" t="s">
        <v>2</v>
      </c>
      <c r="C29" s="10" t="s">
        <v>212</v>
      </c>
      <c r="D29" s="152"/>
      <c r="E29" s="170"/>
      <c r="F29" s="95"/>
      <c r="G29" s="153" t="str">
        <f t="shared" si="1"/>
        <v/>
      </c>
      <c r="H29" s="10" t="s">
        <v>20</v>
      </c>
      <c r="I29" s="331">
        <v>2.96</v>
      </c>
      <c r="J29" s="12">
        <f t="shared" si="0"/>
        <v>0</v>
      </c>
    </row>
    <row r="30" spans="1:10" ht="15.75" hidden="1" customHeight="1" x14ac:dyDescent="0.35">
      <c r="A30" s="103"/>
      <c r="B30" s="12" t="s">
        <v>2</v>
      </c>
      <c r="C30" s="10" t="s">
        <v>213</v>
      </c>
      <c r="D30" s="152"/>
      <c r="E30" s="170"/>
      <c r="F30" s="95"/>
      <c r="G30" s="153" t="str">
        <f t="shared" si="1"/>
        <v/>
      </c>
      <c r="H30" s="10" t="s">
        <v>20</v>
      </c>
      <c r="I30" s="331">
        <v>2.96</v>
      </c>
      <c r="J30" s="12">
        <f t="shared" si="0"/>
        <v>0</v>
      </c>
    </row>
    <row r="31" spans="1:10" hidden="1" x14ac:dyDescent="0.35">
      <c r="A31" s="103"/>
      <c r="B31" s="7" t="s">
        <v>2</v>
      </c>
      <c r="C31" s="14" t="s">
        <v>22</v>
      </c>
      <c r="D31" s="152"/>
      <c r="E31" s="170"/>
      <c r="F31" s="95"/>
      <c r="G31" s="153" t="str">
        <f t="shared" si="1"/>
        <v/>
      </c>
      <c r="H31" s="10" t="s">
        <v>20</v>
      </c>
      <c r="I31" s="331">
        <v>107.2</v>
      </c>
      <c r="J31" s="12">
        <f t="shared" si="0"/>
        <v>0</v>
      </c>
    </row>
    <row r="32" spans="1:10" hidden="1" x14ac:dyDescent="0.35">
      <c r="A32" s="103"/>
      <c r="B32" s="7" t="s">
        <v>2</v>
      </c>
      <c r="C32" s="14" t="s">
        <v>214</v>
      </c>
      <c r="D32" s="152"/>
      <c r="E32" s="170"/>
      <c r="F32" s="95"/>
      <c r="G32" s="153" t="str">
        <f t="shared" si="1"/>
        <v/>
      </c>
      <c r="H32" s="10" t="s">
        <v>20</v>
      </c>
      <c r="I32" s="331">
        <v>170.7</v>
      </c>
      <c r="J32" s="12">
        <f t="shared" si="0"/>
        <v>0</v>
      </c>
    </row>
    <row r="33" spans="1:10" hidden="1" x14ac:dyDescent="0.35">
      <c r="A33" s="103"/>
      <c r="B33" s="12" t="s">
        <v>2</v>
      </c>
      <c r="C33" s="10" t="s">
        <v>215</v>
      </c>
      <c r="D33" s="152"/>
      <c r="E33" s="170"/>
      <c r="F33" s="95"/>
      <c r="G33" s="153" t="str">
        <f t="shared" si="1"/>
        <v/>
      </c>
      <c r="H33" s="10" t="s">
        <v>216</v>
      </c>
      <c r="I33" s="331">
        <v>3.77</v>
      </c>
      <c r="J33" s="12">
        <f t="shared" si="0"/>
        <v>0</v>
      </c>
    </row>
    <row r="34" spans="1:10" hidden="1" x14ac:dyDescent="0.35">
      <c r="A34" s="103"/>
      <c r="B34" s="12" t="s">
        <v>2</v>
      </c>
      <c r="C34" s="10" t="s">
        <v>217</v>
      </c>
      <c r="D34" s="152"/>
      <c r="E34" s="170"/>
      <c r="F34" s="95"/>
      <c r="G34" s="153" t="str">
        <f t="shared" si="1"/>
        <v/>
      </c>
      <c r="H34" s="10" t="s">
        <v>20</v>
      </c>
      <c r="I34" s="331">
        <v>2.56</v>
      </c>
      <c r="J34" s="12">
        <f t="shared" si="0"/>
        <v>0</v>
      </c>
    </row>
    <row r="35" spans="1:10" hidden="1" x14ac:dyDescent="0.35">
      <c r="A35" s="103"/>
      <c r="B35" s="12" t="s">
        <v>2</v>
      </c>
      <c r="C35" s="10" t="s">
        <v>218</v>
      </c>
      <c r="D35" s="152"/>
      <c r="E35" s="170"/>
      <c r="F35" s="95"/>
      <c r="G35" s="153" t="str">
        <f t="shared" si="1"/>
        <v/>
      </c>
      <c r="H35" s="10" t="s">
        <v>20</v>
      </c>
      <c r="I35" s="331">
        <v>3.08</v>
      </c>
      <c r="J35" s="12">
        <f t="shared" si="0"/>
        <v>0</v>
      </c>
    </row>
    <row r="36" spans="1:10" hidden="1" x14ac:dyDescent="0.35">
      <c r="A36" s="103"/>
      <c r="B36" s="12" t="s">
        <v>2</v>
      </c>
      <c r="C36" s="10" t="s">
        <v>219</v>
      </c>
      <c r="D36" s="152"/>
      <c r="E36" s="170"/>
      <c r="F36" s="95"/>
      <c r="G36" s="153" t="str">
        <f t="shared" si="1"/>
        <v/>
      </c>
      <c r="H36" s="10" t="s">
        <v>20</v>
      </c>
      <c r="I36" s="331">
        <v>2.56</v>
      </c>
      <c r="J36" s="12">
        <f t="shared" si="0"/>
        <v>0</v>
      </c>
    </row>
    <row r="37" spans="1:10" hidden="1" x14ac:dyDescent="0.35">
      <c r="A37" s="103"/>
      <c r="B37" s="12" t="s">
        <v>2</v>
      </c>
      <c r="C37" s="10" t="s">
        <v>220</v>
      </c>
      <c r="D37" s="152"/>
      <c r="E37" s="170"/>
      <c r="F37" s="95"/>
      <c r="G37" s="153" t="str">
        <f t="shared" si="1"/>
        <v/>
      </c>
      <c r="H37" s="10" t="s">
        <v>20</v>
      </c>
      <c r="I37" s="331">
        <v>1.41</v>
      </c>
      <c r="J37" s="12">
        <f t="shared" si="0"/>
        <v>0</v>
      </c>
    </row>
    <row r="38" spans="1:10" hidden="1" x14ac:dyDescent="0.35">
      <c r="A38" s="103"/>
      <c r="B38" s="12" t="s">
        <v>2</v>
      </c>
      <c r="C38" s="10" t="s">
        <v>221</v>
      </c>
      <c r="D38" s="152"/>
      <c r="E38" s="170"/>
      <c r="F38" s="95"/>
      <c r="G38" s="153" t="str">
        <f t="shared" si="1"/>
        <v/>
      </c>
      <c r="H38" s="10" t="s">
        <v>20</v>
      </c>
      <c r="I38" s="331">
        <v>1.73</v>
      </c>
      <c r="J38" s="12">
        <f t="shared" si="0"/>
        <v>0</v>
      </c>
    </row>
    <row r="39" spans="1:10" hidden="1" x14ac:dyDescent="0.35">
      <c r="A39" s="103"/>
      <c r="B39" s="12" t="s">
        <v>2</v>
      </c>
      <c r="C39" s="10" t="s">
        <v>222</v>
      </c>
      <c r="D39" s="152"/>
      <c r="E39" s="170"/>
      <c r="F39" s="95"/>
      <c r="G39" s="153" t="str">
        <f t="shared" si="1"/>
        <v/>
      </c>
      <c r="H39" s="10" t="s">
        <v>20</v>
      </c>
      <c r="I39" s="331">
        <v>1.46</v>
      </c>
      <c r="J39" s="12">
        <f t="shared" si="0"/>
        <v>0</v>
      </c>
    </row>
    <row r="40" spans="1:10" hidden="1" x14ac:dyDescent="0.35">
      <c r="A40" s="103"/>
      <c r="B40" s="12" t="s">
        <v>2</v>
      </c>
      <c r="C40" s="10" t="s">
        <v>223</v>
      </c>
      <c r="D40" s="222"/>
      <c r="E40" s="170"/>
      <c r="F40" s="141"/>
      <c r="G40" s="153" t="str">
        <f t="shared" si="1"/>
        <v/>
      </c>
      <c r="H40" s="10" t="s">
        <v>20</v>
      </c>
      <c r="I40" s="332">
        <v>3.45</v>
      </c>
      <c r="J40" s="12">
        <f t="shared" si="0"/>
        <v>0</v>
      </c>
    </row>
    <row r="41" spans="1:10" ht="15.5" x14ac:dyDescent="0.35">
      <c r="A41" s="108" t="s">
        <v>119</v>
      </c>
      <c r="B41" s="108"/>
      <c r="C41" s="108"/>
      <c r="D41" s="223"/>
      <c r="E41" s="169"/>
      <c r="F41" s="109"/>
      <c r="G41" s="165" t="str">
        <f t="shared" si="1"/>
        <v/>
      </c>
      <c r="H41" s="108"/>
      <c r="I41" s="106" t="s">
        <v>18</v>
      </c>
      <c r="J41" s="107">
        <f>SUM(J42:J49)</f>
        <v>200</v>
      </c>
    </row>
    <row r="42" spans="1:10" x14ac:dyDescent="0.35">
      <c r="A42" s="103"/>
      <c r="B42" s="12" t="s">
        <v>7</v>
      </c>
      <c r="C42" s="10" t="s">
        <v>224</v>
      </c>
      <c r="D42" s="152"/>
      <c r="E42" s="166">
        <f>E24</f>
        <v>2</v>
      </c>
      <c r="F42" s="95"/>
      <c r="G42" s="153" t="str">
        <f t="shared" si="1"/>
        <v/>
      </c>
      <c r="H42" s="10" t="s">
        <v>20</v>
      </c>
      <c r="I42" s="331">
        <v>100</v>
      </c>
      <c r="J42" s="12">
        <f t="shared" ref="J42:J49" si="2">E42*I42</f>
        <v>200</v>
      </c>
    </row>
    <row r="43" spans="1:10" hidden="1" x14ac:dyDescent="0.35">
      <c r="A43" s="103"/>
      <c r="B43" s="12" t="s">
        <v>7</v>
      </c>
      <c r="C43" s="10" t="s">
        <v>225</v>
      </c>
      <c r="D43" s="152"/>
      <c r="E43" s="170"/>
      <c r="F43" s="95"/>
      <c r="G43" s="153" t="str">
        <f t="shared" si="1"/>
        <v/>
      </c>
      <c r="H43" s="10" t="s">
        <v>20</v>
      </c>
      <c r="I43" s="331">
        <v>12.2</v>
      </c>
      <c r="J43" s="12">
        <f t="shared" si="2"/>
        <v>0</v>
      </c>
    </row>
    <row r="44" spans="1:10" hidden="1" x14ac:dyDescent="0.35">
      <c r="A44" s="103"/>
      <c r="B44" s="12" t="s">
        <v>7</v>
      </c>
      <c r="C44" s="10" t="s">
        <v>226</v>
      </c>
      <c r="D44" s="152"/>
      <c r="E44" s="170"/>
      <c r="F44" s="95"/>
      <c r="G44" s="153" t="str">
        <f t="shared" si="1"/>
        <v/>
      </c>
      <c r="H44" s="10" t="s">
        <v>20</v>
      </c>
      <c r="I44" s="331">
        <v>11</v>
      </c>
      <c r="J44" s="12">
        <f t="shared" si="2"/>
        <v>0</v>
      </c>
    </row>
    <row r="45" spans="1:10" hidden="1" x14ac:dyDescent="0.35">
      <c r="A45" s="103"/>
      <c r="B45" s="12" t="s">
        <v>7</v>
      </c>
      <c r="C45" s="10" t="s">
        <v>227</v>
      </c>
      <c r="D45" s="152"/>
      <c r="E45" s="170"/>
      <c r="F45" s="95"/>
      <c r="G45" s="153" t="str">
        <f t="shared" si="1"/>
        <v/>
      </c>
      <c r="H45" s="10" t="s">
        <v>20</v>
      </c>
      <c r="I45" s="331">
        <v>5</v>
      </c>
      <c r="J45" s="12">
        <f t="shared" si="2"/>
        <v>0</v>
      </c>
    </row>
    <row r="46" spans="1:10" x14ac:dyDescent="0.35">
      <c r="A46" s="103"/>
      <c r="B46" s="12" t="s">
        <v>7</v>
      </c>
      <c r="C46" s="10" t="s">
        <v>46</v>
      </c>
      <c r="D46" s="152"/>
      <c r="E46" s="170"/>
      <c r="F46" s="95"/>
      <c r="G46" s="153" t="str">
        <f t="shared" si="1"/>
        <v/>
      </c>
      <c r="H46" s="10" t="s">
        <v>20</v>
      </c>
      <c r="I46" s="331">
        <v>5</v>
      </c>
      <c r="J46" s="12">
        <f t="shared" si="2"/>
        <v>0</v>
      </c>
    </row>
    <row r="47" spans="1:10" hidden="1" x14ac:dyDescent="0.35">
      <c r="A47" s="103"/>
      <c r="B47" s="12" t="s">
        <v>7</v>
      </c>
      <c r="C47" s="10" t="s">
        <v>228</v>
      </c>
      <c r="D47" s="152"/>
      <c r="E47" s="170"/>
      <c r="F47" s="95"/>
      <c r="G47" s="153" t="str">
        <f t="shared" si="1"/>
        <v/>
      </c>
      <c r="H47" s="10" t="s">
        <v>20</v>
      </c>
      <c r="I47" s="331">
        <v>11</v>
      </c>
      <c r="J47" s="12">
        <f t="shared" si="2"/>
        <v>0</v>
      </c>
    </row>
    <row r="48" spans="1:10" x14ac:dyDescent="0.35">
      <c r="A48" s="103"/>
      <c r="B48" s="12" t="s">
        <v>7</v>
      </c>
      <c r="C48" s="10" t="s">
        <v>229</v>
      </c>
      <c r="D48" s="152"/>
      <c r="E48" s="166">
        <f>E27+E26</f>
        <v>0</v>
      </c>
      <c r="F48" s="95"/>
      <c r="G48" s="153" t="str">
        <f t="shared" si="1"/>
        <v/>
      </c>
      <c r="H48" s="10" t="s">
        <v>20</v>
      </c>
      <c r="I48" s="331">
        <v>50</v>
      </c>
      <c r="J48" s="12">
        <f t="shared" si="2"/>
        <v>0</v>
      </c>
    </row>
    <row r="49" spans="1:11" hidden="1" x14ac:dyDescent="0.35">
      <c r="A49" s="103"/>
      <c r="B49" s="12" t="s">
        <v>7</v>
      </c>
      <c r="C49" s="78" t="s">
        <v>206</v>
      </c>
      <c r="D49" s="224"/>
      <c r="E49" s="170"/>
      <c r="F49" s="142"/>
      <c r="G49" s="153" t="str">
        <f t="shared" si="1"/>
        <v/>
      </c>
      <c r="H49" s="10" t="s">
        <v>20</v>
      </c>
      <c r="I49" s="333">
        <v>5</v>
      </c>
      <c r="J49" s="12">
        <f t="shared" si="2"/>
        <v>0</v>
      </c>
    </row>
    <row r="50" spans="1:11" ht="15.5" x14ac:dyDescent="0.35">
      <c r="A50" s="103"/>
      <c r="B50" s="104" t="s">
        <v>230</v>
      </c>
      <c r="C50" s="105"/>
      <c r="D50" s="225"/>
      <c r="E50" s="171"/>
      <c r="F50" s="143"/>
      <c r="G50" s="165" t="str">
        <f t="shared" si="1"/>
        <v/>
      </c>
      <c r="H50" s="105"/>
      <c r="I50" s="106" t="s">
        <v>18</v>
      </c>
      <c r="J50" s="107">
        <f>SUM(J52:J77)</f>
        <v>0</v>
      </c>
    </row>
    <row r="51" spans="1:11" ht="15.5" x14ac:dyDescent="0.35">
      <c r="A51" s="111"/>
      <c r="B51" s="126" t="s">
        <v>231</v>
      </c>
      <c r="C51" s="127"/>
      <c r="D51" s="226"/>
      <c r="E51" s="172"/>
      <c r="F51" s="144"/>
      <c r="G51" s="165" t="str">
        <f t="shared" si="1"/>
        <v/>
      </c>
      <c r="H51" s="127"/>
      <c r="I51" s="239"/>
      <c r="J51" s="128"/>
    </row>
    <row r="52" spans="1:11" hidden="1" x14ac:dyDescent="0.35">
      <c r="A52" s="103"/>
      <c r="B52" s="12" t="s">
        <v>13</v>
      </c>
      <c r="C52" s="10" t="s">
        <v>78</v>
      </c>
      <c r="D52" s="152"/>
      <c r="E52" s="170"/>
      <c r="F52" s="95"/>
      <c r="G52" s="153" t="str">
        <f t="shared" si="1"/>
        <v/>
      </c>
      <c r="H52" s="10" t="s">
        <v>20</v>
      </c>
      <c r="I52" s="331">
        <v>13</v>
      </c>
      <c r="J52" s="12">
        <f t="shared" ref="J52:J58" si="3">E52*I52</f>
        <v>0</v>
      </c>
    </row>
    <row r="53" spans="1:11" hidden="1" x14ac:dyDescent="0.35">
      <c r="A53" s="103"/>
      <c r="B53" s="12" t="s">
        <v>13</v>
      </c>
      <c r="C53" s="10" t="s">
        <v>232</v>
      </c>
      <c r="D53" s="152"/>
      <c r="E53" s="170"/>
      <c r="F53" s="95"/>
      <c r="G53" s="153" t="str">
        <f t="shared" si="1"/>
        <v/>
      </c>
      <c r="H53" s="10" t="s">
        <v>20</v>
      </c>
      <c r="I53" s="331">
        <v>13</v>
      </c>
      <c r="J53" s="12">
        <f t="shared" si="3"/>
        <v>0</v>
      </c>
      <c r="K53" s="87"/>
    </row>
    <row r="54" spans="1:11" hidden="1" x14ac:dyDescent="0.35">
      <c r="A54" s="103"/>
      <c r="B54" s="12" t="s">
        <v>13</v>
      </c>
      <c r="C54" s="10" t="s">
        <v>233</v>
      </c>
      <c r="D54" s="152"/>
      <c r="E54" s="170"/>
      <c r="F54" s="95"/>
      <c r="G54" s="153" t="str">
        <f t="shared" si="1"/>
        <v/>
      </c>
      <c r="H54" s="10" t="s">
        <v>20</v>
      </c>
      <c r="I54" s="331">
        <v>8.9</v>
      </c>
      <c r="J54" s="12">
        <f t="shared" si="3"/>
        <v>0</v>
      </c>
    </row>
    <row r="55" spans="1:11" x14ac:dyDescent="0.35">
      <c r="A55" s="103"/>
      <c r="B55" s="12" t="s">
        <v>13</v>
      </c>
      <c r="C55" s="10" t="s">
        <v>32</v>
      </c>
      <c r="D55" s="152">
        <v>6</v>
      </c>
      <c r="E55" s="170"/>
      <c r="F55" s="95"/>
      <c r="G55" s="153" t="str">
        <f t="shared" si="1"/>
        <v/>
      </c>
      <c r="H55" s="10" t="s">
        <v>20</v>
      </c>
      <c r="I55" s="331">
        <v>8.35</v>
      </c>
      <c r="J55" s="12">
        <f t="shared" si="3"/>
        <v>0</v>
      </c>
    </row>
    <row r="56" spans="1:11" x14ac:dyDescent="0.35">
      <c r="A56" s="103"/>
      <c r="B56" s="12" t="s">
        <v>13</v>
      </c>
      <c r="C56" s="10" t="s">
        <v>33</v>
      </c>
      <c r="D56" s="152">
        <v>6</v>
      </c>
      <c r="E56" s="170"/>
      <c r="F56" s="95"/>
      <c r="G56" s="153" t="str">
        <f t="shared" si="1"/>
        <v/>
      </c>
      <c r="H56" s="10" t="s">
        <v>20</v>
      </c>
      <c r="I56" s="331">
        <v>8.9</v>
      </c>
      <c r="J56" s="12">
        <f t="shared" si="3"/>
        <v>0</v>
      </c>
    </row>
    <row r="57" spans="1:11" x14ac:dyDescent="0.35">
      <c r="A57" s="103"/>
      <c r="B57" s="12" t="s">
        <v>13</v>
      </c>
      <c r="C57" s="10" t="s">
        <v>59</v>
      </c>
      <c r="D57" s="152">
        <v>6</v>
      </c>
      <c r="E57" s="170"/>
      <c r="F57" s="95"/>
      <c r="G57" s="153" t="str">
        <f t="shared" si="1"/>
        <v/>
      </c>
      <c r="H57" s="10" t="s">
        <v>20</v>
      </c>
      <c r="I57" s="331">
        <v>8.6999999999999993</v>
      </c>
      <c r="J57" s="12">
        <f t="shared" si="3"/>
        <v>0</v>
      </c>
    </row>
    <row r="58" spans="1:11" hidden="1" x14ac:dyDescent="0.35">
      <c r="A58" s="103"/>
      <c r="B58" s="12" t="s">
        <v>13</v>
      </c>
      <c r="C58" s="10" t="s">
        <v>234</v>
      </c>
      <c r="D58" s="152"/>
      <c r="E58" s="170"/>
      <c r="F58" s="95"/>
      <c r="G58" s="153" t="str">
        <f t="shared" si="1"/>
        <v/>
      </c>
      <c r="H58" s="10" t="s">
        <v>20</v>
      </c>
      <c r="I58" s="331">
        <v>12.15</v>
      </c>
      <c r="J58" s="12">
        <f t="shared" si="3"/>
        <v>0</v>
      </c>
    </row>
    <row r="59" spans="1:11" hidden="1" x14ac:dyDescent="0.35">
      <c r="A59" s="103"/>
      <c r="B59" s="12" t="s">
        <v>13</v>
      </c>
      <c r="C59" s="10" t="s">
        <v>235</v>
      </c>
      <c r="D59" s="152"/>
      <c r="E59" s="170"/>
      <c r="F59" s="95"/>
      <c r="G59" s="153" t="str">
        <f t="shared" si="1"/>
        <v/>
      </c>
      <c r="H59" s="10" t="s">
        <v>20</v>
      </c>
      <c r="I59" s="331">
        <v>11.35</v>
      </c>
      <c r="J59" s="12">
        <f t="shared" ref="J59:J64" si="4">E59*I59</f>
        <v>0</v>
      </c>
    </row>
    <row r="60" spans="1:11" hidden="1" x14ac:dyDescent="0.35">
      <c r="A60" s="103"/>
      <c r="B60" s="12" t="s">
        <v>13</v>
      </c>
      <c r="C60" s="10" t="s">
        <v>236</v>
      </c>
      <c r="D60" s="152"/>
      <c r="E60" s="170"/>
      <c r="F60" s="95"/>
      <c r="G60" s="153" t="str">
        <f t="shared" si="1"/>
        <v/>
      </c>
      <c r="H60" s="10" t="s">
        <v>20</v>
      </c>
      <c r="I60" s="331">
        <v>14.65</v>
      </c>
      <c r="J60" s="12">
        <f t="shared" si="4"/>
        <v>0</v>
      </c>
    </row>
    <row r="61" spans="1:11" hidden="1" x14ac:dyDescent="0.35">
      <c r="A61" s="103"/>
      <c r="B61" s="12" t="s">
        <v>13</v>
      </c>
      <c r="C61" s="10" t="s">
        <v>237</v>
      </c>
      <c r="D61" s="152"/>
      <c r="E61" s="170"/>
      <c r="F61" s="95"/>
      <c r="G61" s="153" t="str">
        <f t="shared" si="1"/>
        <v/>
      </c>
      <c r="H61" s="10" t="s">
        <v>20</v>
      </c>
      <c r="I61" s="331">
        <v>16.25</v>
      </c>
      <c r="J61" s="12">
        <f t="shared" si="4"/>
        <v>0</v>
      </c>
    </row>
    <row r="62" spans="1:11" hidden="1" x14ac:dyDescent="0.35">
      <c r="A62" s="103"/>
      <c r="B62" s="12" t="s">
        <v>13</v>
      </c>
      <c r="C62" s="10" t="s">
        <v>238</v>
      </c>
      <c r="D62" s="152"/>
      <c r="E62" s="170"/>
      <c r="F62" s="95"/>
      <c r="G62" s="153" t="str">
        <f t="shared" si="1"/>
        <v/>
      </c>
      <c r="H62" s="10" t="s">
        <v>20</v>
      </c>
      <c r="I62" s="331">
        <v>17.899999999999999</v>
      </c>
      <c r="J62" s="12">
        <f t="shared" si="4"/>
        <v>0</v>
      </c>
    </row>
    <row r="63" spans="1:11" hidden="1" x14ac:dyDescent="0.35">
      <c r="A63" s="103"/>
      <c r="B63" s="12" t="s">
        <v>13</v>
      </c>
      <c r="C63" s="10" t="s">
        <v>239</v>
      </c>
      <c r="D63" s="152"/>
      <c r="E63" s="170"/>
      <c r="F63" s="95"/>
      <c r="G63" s="153" t="str">
        <f t="shared" si="1"/>
        <v/>
      </c>
      <c r="H63" s="10" t="s">
        <v>20</v>
      </c>
      <c r="I63" s="331">
        <v>15.95</v>
      </c>
      <c r="J63" s="12">
        <f t="shared" si="4"/>
        <v>0</v>
      </c>
    </row>
    <row r="64" spans="1:11" hidden="1" x14ac:dyDescent="0.35">
      <c r="A64" s="103"/>
      <c r="B64" s="12" t="s">
        <v>13</v>
      </c>
      <c r="C64" s="10" t="s">
        <v>240</v>
      </c>
      <c r="D64" s="152"/>
      <c r="E64" s="170"/>
      <c r="F64" s="95"/>
      <c r="G64" s="153" t="str">
        <f t="shared" si="1"/>
        <v/>
      </c>
      <c r="H64" s="10" t="s">
        <v>20</v>
      </c>
      <c r="I64" s="331">
        <v>15.45</v>
      </c>
      <c r="J64" s="12">
        <f t="shared" si="4"/>
        <v>0</v>
      </c>
    </row>
    <row r="65" spans="1:10" ht="15.5" hidden="1" x14ac:dyDescent="0.35">
      <c r="A65" s="111"/>
      <c r="B65" s="126" t="s">
        <v>241</v>
      </c>
      <c r="C65" s="127"/>
      <c r="D65" s="226"/>
      <c r="E65" s="172"/>
      <c r="F65" s="144"/>
      <c r="G65" s="153" t="str">
        <f t="shared" si="1"/>
        <v/>
      </c>
      <c r="H65" s="127"/>
      <c r="I65" s="239"/>
      <c r="J65" s="128"/>
    </row>
    <row r="66" spans="1:10" hidden="1" x14ac:dyDescent="0.35">
      <c r="A66" s="103"/>
      <c r="B66" s="12" t="s">
        <v>13</v>
      </c>
      <c r="C66" s="10" t="s">
        <v>242</v>
      </c>
      <c r="D66" s="152"/>
      <c r="E66" s="170"/>
      <c r="F66" s="95"/>
      <c r="G66" s="153" t="str">
        <f t="shared" si="1"/>
        <v/>
      </c>
      <c r="H66" s="10" t="s">
        <v>20</v>
      </c>
      <c r="I66" s="331">
        <v>31.05</v>
      </c>
      <c r="J66" s="12">
        <f t="shared" ref="J66:J72" si="5">E66*I66</f>
        <v>0</v>
      </c>
    </row>
    <row r="67" spans="1:10" hidden="1" x14ac:dyDescent="0.35">
      <c r="A67" s="103"/>
      <c r="B67" s="12" t="s">
        <v>13</v>
      </c>
      <c r="C67" s="10" t="s">
        <v>243</v>
      </c>
      <c r="D67" s="152"/>
      <c r="E67" s="170"/>
      <c r="F67" s="95"/>
      <c r="G67" s="153" t="str">
        <f t="shared" si="1"/>
        <v/>
      </c>
      <c r="H67" s="10" t="s">
        <v>20</v>
      </c>
      <c r="I67" s="331">
        <v>60.79</v>
      </c>
      <c r="J67" s="12">
        <f t="shared" si="5"/>
        <v>0</v>
      </c>
    </row>
    <row r="68" spans="1:10" hidden="1" x14ac:dyDescent="0.35">
      <c r="A68" s="103"/>
      <c r="B68" s="12" t="s">
        <v>13</v>
      </c>
      <c r="C68" s="10" t="s">
        <v>244</v>
      </c>
      <c r="D68" s="152"/>
      <c r="E68" s="170"/>
      <c r="F68" s="95"/>
      <c r="G68" s="153" t="str">
        <f t="shared" si="1"/>
        <v/>
      </c>
      <c r="H68" s="10" t="s">
        <v>20</v>
      </c>
      <c r="I68" s="331">
        <v>56.55</v>
      </c>
      <c r="J68" s="12">
        <f t="shared" si="5"/>
        <v>0</v>
      </c>
    </row>
    <row r="69" spans="1:10" hidden="1" x14ac:dyDescent="0.35">
      <c r="A69" s="103"/>
      <c r="B69" s="12" t="s">
        <v>13</v>
      </c>
      <c r="C69" s="10" t="s">
        <v>245</v>
      </c>
      <c r="D69" s="152"/>
      <c r="E69" s="170"/>
      <c r="F69" s="95"/>
      <c r="G69" s="153" t="str">
        <f t="shared" si="1"/>
        <v/>
      </c>
      <c r="H69" s="10" t="s">
        <v>20</v>
      </c>
      <c r="I69" s="331">
        <v>107.44</v>
      </c>
      <c r="J69" s="12">
        <f t="shared" si="5"/>
        <v>0</v>
      </c>
    </row>
    <row r="70" spans="1:10" hidden="1" x14ac:dyDescent="0.35">
      <c r="A70" s="103"/>
      <c r="B70" s="12" t="s">
        <v>13</v>
      </c>
      <c r="C70" s="10" t="s">
        <v>246</v>
      </c>
      <c r="D70" s="152"/>
      <c r="E70" s="170"/>
      <c r="F70" s="95"/>
      <c r="G70" s="153" t="str">
        <f t="shared" si="1"/>
        <v/>
      </c>
      <c r="H70" s="10" t="s">
        <v>20</v>
      </c>
      <c r="I70" s="331">
        <v>47.4</v>
      </c>
      <c r="J70" s="12">
        <f t="shared" si="5"/>
        <v>0</v>
      </c>
    </row>
    <row r="71" spans="1:10" hidden="1" x14ac:dyDescent="0.35">
      <c r="A71" s="103"/>
      <c r="B71" s="12" t="s">
        <v>13</v>
      </c>
      <c r="C71" s="10" t="s">
        <v>247</v>
      </c>
      <c r="D71" s="152"/>
      <c r="E71" s="170"/>
      <c r="F71" s="95"/>
      <c r="G71" s="153" t="str">
        <f t="shared" si="1"/>
        <v/>
      </c>
      <c r="H71" s="10" t="s">
        <v>20</v>
      </c>
      <c r="I71" s="331">
        <v>87.63</v>
      </c>
      <c r="J71" s="12">
        <f t="shared" si="5"/>
        <v>0</v>
      </c>
    </row>
    <row r="72" spans="1:10" hidden="1" x14ac:dyDescent="0.35">
      <c r="A72" s="103"/>
      <c r="B72" s="12" t="s">
        <v>13</v>
      </c>
      <c r="C72" s="10" t="s">
        <v>248</v>
      </c>
      <c r="D72" s="152"/>
      <c r="E72" s="170"/>
      <c r="F72" s="95"/>
      <c r="G72" s="153" t="str">
        <f t="shared" si="1"/>
        <v/>
      </c>
      <c r="H72" s="10" t="s">
        <v>20</v>
      </c>
      <c r="I72" s="331">
        <v>52.31</v>
      </c>
      <c r="J72" s="12">
        <f t="shared" si="5"/>
        <v>0</v>
      </c>
    </row>
    <row r="73" spans="1:10" ht="15.5" hidden="1" x14ac:dyDescent="0.35">
      <c r="A73" s="111"/>
      <c r="B73" s="126" t="s">
        <v>249</v>
      </c>
      <c r="C73" s="127"/>
      <c r="D73" s="226"/>
      <c r="E73" s="172"/>
      <c r="F73" s="144"/>
      <c r="G73" s="153" t="str">
        <f t="shared" si="1"/>
        <v/>
      </c>
      <c r="H73" s="127"/>
      <c r="I73" s="239"/>
      <c r="J73" s="128"/>
    </row>
    <row r="74" spans="1:10" hidden="1" x14ac:dyDescent="0.35">
      <c r="A74" s="103"/>
      <c r="B74" s="12" t="s">
        <v>13</v>
      </c>
      <c r="C74" s="10" t="s">
        <v>250</v>
      </c>
      <c r="D74" s="152"/>
      <c r="E74" s="170"/>
      <c r="F74" s="95"/>
      <c r="G74" s="153" t="str">
        <f t="shared" si="1"/>
        <v/>
      </c>
      <c r="H74" s="10" t="s">
        <v>20</v>
      </c>
      <c r="I74" s="331">
        <v>10.8</v>
      </c>
      <c r="J74" s="12">
        <f>E74*I74</f>
        <v>0</v>
      </c>
    </row>
    <row r="75" spans="1:10" hidden="1" x14ac:dyDescent="0.35">
      <c r="A75" s="103"/>
      <c r="B75" s="12" t="s">
        <v>13</v>
      </c>
      <c r="C75" s="10" t="s">
        <v>251</v>
      </c>
      <c r="D75" s="152"/>
      <c r="E75" s="170"/>
      <c r="F75" s="95"/>
      <c r="G75" s="153" t="str">
        <f t="shared" si="1"/>
        <v/>
      </c>
      <c r="H75" s="10" t="s">
        <v>20</v>
      </c>
      <c r="I75" s="331">
        <v>11.2</v>
      </c>
      <c r="J75" s="12">
        <f>E75*I75</f>
        <v>0</v>
      </c>
    </row>
    <row r="76" spans="1:10" x14ac:dyDescent="0.35">
      <c r="A76" s="103"/>
      <c r="B76" s="12" t="s">
        <v>13</v>
      </c>
      <c r="C76" s="10" t="s">
        <v>252</v>
      </c>
      <c r="D76" s="152"/>
      <c r="E76" s="170"/>
      <c r="F76" s="95"/>
      <c r="G76" s="153" t="str">
        <f t="shared" si="1"/>
        <v/>
      </c>
      <c r="H76" s="10" t="s">
        <v>23</v>
      </c>
      <c r="I76" s="331">
        <v>4.5599999999999996</v>
      </c>
      <c r="J76" s="12">
        <f>E76*I76</f>
        <v>0</v>
      </c>
    </row>
    <row r="77" spans="1:10" x14ac:dyDescent="0.35">
      <c r="A77" s="103"/>
      <c r="B77" s="12" t="s">
        <v>13</v>
      </c>
      <c r="C77" s="10" t="s">
        <v>253</v>
      </c>
      <c r="D77" s="152"/>
      <c r="E77" s="170"/>
      <c r="F77" s="95"/>
      <c r="G77" s="153" t="str">
        <f t="shared" si="1"/>
        <v/>
      </c>
      <c r="H77" s="10" t="s">
        <v>23</v>
      </c>
      <c r="I77" s="331">
        <v>37.700000000000003</v>
      </c>
      <c r="J77" s="12">
        <f>E77*I77</f>
        <v>0</v>
      </c>
    </row>
    <row r="78" spans="1:10" ht="15.5" hidden="1" x14ac:dyDescent="0.35">
      <c r="A78" s="108" t="s">
        <v>254</v>
      </c>
      <c r="B78" s="108"/>
      <c r="C78" s="108"/>
      <c r="D78" s="223"/>
      <c r="E78" s="169"/>
      <c r="F78" s="109"/>
      <c r="G78" s="153" t="str">
        <f t="shared" si="1"/>
        <v/>
      </c>
      <c r="H78" s="108"/>
      <c r="I78" s="110" t="s">
        <v>18</v>
      </c>
      <c r="J78" s="115">
        <f>SUM(J80:J121)</f>
        <v>0</v>
      </c>
    </row>
    <row r="79" spans="1:10" ht="15.5" hidden="1" x14ac:dyDescent="0.35">
      <c r="A79" s="111"/>
      <c r="B79" s="126" t="s">
        <v>255</v>
      </c>
      <c r="C79" s="127"/>
      <c r="D79" s="226"/>
      <c r="E79" s="172"/>
      <c r="F79" s="144"/>
      <c r="G79" s="153" t="str">
        <f t="shared" si="1"/>
        <v/>
      </c>
      <c r="H79" s="127"/>
      <c r="I79" s="239"/>
      <c r="J79" s="128"/>
    </row>
    <row r="80" spans="1:10" hidden="1" x14ac:dyDescent="0.35">
      <c r="A80" s="103"/>
      <c r="B80" s="12" t="s">
        <v>3</v>
      </c>
      <c r="C80" s="10" t="s">
        <v>256</v>
      </c>
      <c r="D80" s="152"/>
      <c r="E80" s="170"/>
      <c r="F80" s="95"/>
      <c r="G80" s="153" t="str">
        <f t="shared" si="1"/>
        <v/>
      </c>
      <c r="H80" s="10" t="s">
        <v>20</v>
      </c>
      <c r="I80" s="331">
        <v>32.950000000000003</v>
      </c>
      <c r="J80" s="12">
        <f t="shared" ref="J80:J86" si="6">E80*I80</f>
        <v>0</v>
      </c>
    </row>
    <row r="81" spans="1:10" hidden="1" x14ac:dyDescent="0.35">
      <c r="A81" s="103"/>
      <c r="B81" s="12" t="s">
        <v>3</v>
      </c>
      <c r="C81" s="10" t="s">
        <v>257</v>
      </c>
      <c r="D81" s="152"/>
      <c r="E81" s="170"/>
      <c r="F81" s="95"/>
      <c r="G81" s="153" t="str">
        <f t="shared" si="1"/>
        <v/>
      </c>
      <c r="H81" s="10" t="s">
        <v>20</v>
      </c>
      <c r="I81" s="331">
        <v>56.95</v>
      </c>
      <c r="J81" s="12">
        <f t="shared" si="6"/>
        <v>0</v>
      </c>
    </row>
    <row r="82" spans="1:10" hidden="1" x14ac:dyDescent="0.35">
      <c r="A82" s="103"/>
      <c r="B82" s="12" t="s">
        <v>3</v>
      </c>
      <c r="C82" s="10" t="s">
        <v>258</v>
      </c>
      <c r="D82" s="152"/>
      <c r="E82" s="170"/>
      <c r="F82" s="95"/>
      <c r="G82" s="153" t="str">
        <f t="shared" si="1"/>
        <v/>
      </c>
      <c r="H82" s="10" t="s">
        <v>20</v>
      </c>
      <c r="I82" s="331">
        <v>15.95</v>
      </c>
      <c r="J82" s="12">
        <f t="shared" si="6"/>
        <v>0</v>
      </c>
    </row>
    <row r="83" spans="1:10" hidden="1" x14ac:dyDescent="0.35">
      <c r="A83" s="103"/>
      <c r="B83" s="12" t="s">
        <v>3</v>
      </c>
      <c r="C83" s="10" t="s">
        <v>259</v>
      </c>
      <c r="D83" s="152"/>
      <c r="E83" s="170"/>
      <c r="F83" s="95"/>
      <c r="G83" s="153" t="str">
        <f t="shared" si="1"/>
        <v/>
      </c>
      <c r="H83" s="10" t="s">
        <v>20</v>
      </c>
      <c r="I83" s="331">
        <v>19.95</v>
      </c>
      <c r="J83" s="12">
        <f t="shared" si="6"/>
        <v>0</v>
      </c>
    </row>
    <row r="84" spans="1:10" hidden="1" x14ac:dyDescent="0.35">
      <c r="A84" s="103"/>
      <c r="B84" s="12" t="s">
        <v>3</v>
      </c>
      <c r="C84" s="10" t="s">
        <v>260</v>
      </c>
      <c r="D84" s="152"/>
      <c r="E84" s="170"/>
      <c r="F84" s="95"/>
      <c r="G84" s="153" t="str">
        <f t="shared" si="1"/>
        <v/>
      </c>
      <c r="H84" s="10" t="s">
        <v>20</v>
      </c>
      <c r="I84" s="331">
        <v>46.95</v>
      </c>
      <c r="J84" s="12">
        <f t="shared" si="6"/>
        <v>0</v>
      </c>
    </row>
    <row r="85" spans="1:10" hidden="1" x14ac:dyDescent="0.35">
      <c r="A85" s="103"/>
      <c r="B85" s="12" t="s">
        <v>3</v>
      </c>
      <c r="C85" s="10" t="s">
        <v>261</v>
      </c>
      <c r="D85" s="152"/>
      <c r="E85" s="170"/>
      <c r="F85" s="95"/>
      <c r="G85" s="153" t="str">
        <f t="shared" si="1"/>
        <v/>
      </c>
      <c r="H85" s="10" t="s">
        <v>20</v>
      </c>
      <c r="I85" s="331">
        <v>34.950000000000003</v>
      </c>
      <c r="J85" s="12">
        <f t="shared" si="6"/>
        <v>0</v>
      </c>
    </row>
    <row r="86" spans="1:10" hidden="1" x14ac:dyDescent="0.35">
      <c r="A86" s="103"/>
      <c r="B86" s="12" t="s">
        <v>3</v>
      </c>
      <c r="C86" s="10" t="s">
        <v>262</v>
      </c>
      <c r="D86" s="152"/>
      <c r="E86" s="170"/>
      <c r="F86" s="95"/>
      <c r="G86" s="153" t="str">
        <f t="shared" si="1"/>
        <v/>
      </c>
      <c r="H86" s="10" t="s">
        <v>20</v>
      </c>
      <c r="I86" s="331">
        <v>24.95</v>
      </c>
      <c r="J86" s="12">
        <f t="shared" si="6"/>
        <v>0</v>
      </c>
    </row>
    <row r="87" spans="1:10" ht="15.5" hidden="1" x14ac:dyDescent="0.35">
      <c r="A87" s="111"/>
      <c r="B87" s="126" t="s">
        <v>263</v>
      </c>
      <c r="C87" s="127"/>
      <c r="D87" s="226"/>
      <c r="E87" s="172"/>
      <c r="F87" s="144"/>
      <c r="G87" s="153" t="str">
        <f t="shared" si="1"/>
        <v/>
      </c>
      <c r="H87" s="127"/>
      <c r="I87" s="239"/>
      <c r="J87" s="128"/>
    </row>
    <row r="88" spans="1:10" hidden="1" x14ac:dyDescent="0.35">
      <c r="A88" s="103"/>
      <c r="B88" s="12" t="s">
        <v>3</v>
      </c>
      <c r="C88" s="10" t="s">
        <v>264</v>
      </c>
      <c r="D88" s="152"/>
      <c r="E88" s="170"/>
      <c r="F88" s="95"/>
      <c r="G88" s="153" t="str">
        <f t="shared" si="1"/>
        <v/>
      </c>
      <c r="H88" s="10" t="s">
        <v>20</v>
      </c>
      <c r="I88" s="331">
        <v>19.5</v>
      </c>
      <c r="J88" s="12">
        <f t="shared" ref="J88:J94" si="7">E88*I88</f>
        <v>0</v>
      </c>
    </row>
    <row r="89" spans="1:10" hidden="1" x14ac:dyDescent="0.35">
      <c r="A89" s="103"/>
      <c r="B89" s="12" t="s">
        <v>3</v>
      </c>
      <c r="C89" s="10" t="s">
        <v>265</v>
      </c>
      <c r="D89" s="152"/>
      <c r="E89" s="170"/>
      <c r="F89" s="95"/>
      <c r="G89" s="153" t="str">
        <f t="shared" ref="G89:G152" si="8">IF(E89="","",IF(D89-E89&gt;0,D89-E89,""))</f>
        <v/>
      </c>
      <c r="H89" s="10" t="s">
        <v>20</v>
      </c>
      <c r="I89" s="331">
        <v>16.95</v>
      </c>
      <c r="J89" s="12">
        <f t="shared" si="7"/>
        <v>0</v>
      </c>
    </row>
    <row r="90" spans="1:10" hidden="1" x14ac:dyDescent="0.35">
      <c r="A90" s="103"/>
      <c r="B90" s="12" t="s">
        <v>3</v>
      </c>
      <c r="C90" s="10" t="s">
        <v>266</v>
      </c>
      <c r="D90" s="152"/>
      <c r="E90" s="170"/>
      <c r="F90" s="95"/>
      <c r="G90" s="153" t="str">
        <f t="shared" si="8"/>
        <v/>
      </c>
      <c r="H90" s="10" t="s">
        <v>20</v>
      </c>
      <c r="I90" s="331">
        <v>17.95</v>
      </c>
      <c r="J90" s="12">
        <f t="shared" si="7"/>
        <v>0</v>
      </c>
    </row>
    <row r="91" spans="1:10" hidden="1" x14ac:dyDescent="0.35">
      <c r="A91" s="103"/>
      <c r="B91" s="12" t="s">
        <v>3</v>
      </c>
      <c r="C91" s="10" t="s">
        <v>267</v>
      </c>
      <c r="D91" s="152"/>
      <c r="E91" s="170"/>
      <c r="F91" s="95"/>
      <c r="G91" s="153" t="str">
        <f t="shared" si="8"/>
        <v/>
      </c>
      <c r="H91" s="10" t="s">
        <v>20</v>
      </c>
      <c r="I91" s="331">
        <v>15.95</v>
      </c>
      <c r="J91" s="12">
        <f t="shared" si="7"/>
        <v>0</v>
      </c>
    </row>
    <row r="92" spans="1:10" hidden="1" x14ac:dyDescent="0.35">
      <c r="A92" s="103"/>
      <c r="B92" s="12" t="s">
        <v>3</v>
      </c>
      <c r="C92" s="10" t="s">
        <v>268</v>
      </c>
      <c r="D92" s="152"/>
      <c r="E92" s="170"/>
      <c r="F92" s="95"/>
      <c r="G92" s="153" t="str">
        <f t="shared" si="8"/>
        <v/>
      </c>
      <c r="H92" s="10" t="s">
        <v>20</v>
      </c>
      <c r="I92" s="331">
        <v>20.95</v>
      </c>
      <c r="J92" s="12">
        <f t="shared" si="7"/>
        <v>0</v>
      </c>
    </row>
    <row r="93" spans="1:10" hidden="1" x14ac:dyDescent="0.35">
      <c r="A93" s="103"/>
      <c r="B93" s="12" t="s">
        <v>3</v>
      </c>
      <c r="C93" s="10" t="s">
        <v>269</v>
      </c>
      <c r="D93" s="152"/>
      <c r="E93" s="170"/>
      <c r="F93" s="95"/>
      <c r="G93" s="153" t="str">
        <f t="shared" si="8"/>
        <v/>
      </c>
      <c r="H93" s="10" t="s">
        <v>20</v>
      </c>
      <c r="I93" s="331">
        <v>26.95</v>
      </c>
      <c r="J93" s="12">
        <f t="shared" si="7"/>
        <v>0</v>
      </c>
    </row>
    <row r="94" spans="1:10" hidden="1" x14ac:dyDescent="0.35">
      <c r="A94" s="103"/>
      <c r="B94" s="12" t="s">
        <v>3</v>
      </c>
      <c r="C94" s="10" t="s">
        <v>270</v>
      </c>
      <c r="D94" s="152"/>
      <c r="E94" s="170"/>
      <c r="F94" s="95"/>
      <c r="G94" s="153" t="str">
        <f t="shared" si="8"/>
        <v/>
      </c>
      <c r="H94" s="10" t="s">
        <v>20</v>
      </c>
      <c r="I94" s="331">
        <v>26.95</v>
      </c>
      <c r="J94" s="12">
        <f t="shared" si="7"/>
        <v>0</v>
      </c>
    </row>
    <row r="95" spans="1:10" ht="15.5" hidden="1" x14ac:dyDescent="0.35">
      <c r="A95" s="111"/>
      <c r="B95" s="126" t="s">
        <v>271</v>
      </c>
      <c r="C95" s="127"/>
      <c r="D95" s="226"/>
      <c r="E95" s="172"/>
      <c r="F95" s="144"/>
      <c r="G95" s="153" t="str">
        <f t="shared" si="8"/>
        <v/>
      </c>
      <c r="H95" s="127"/>
      <c r="I95" s="239"/>
      <c r="J95" s="128"/>
    </row>
    <row r="96" spans="1:10" hidden="1" x14ac:dyDescent="0.35">
      <c r="A96" s="103"/>
      <c r="B96" s="12" t="s">
        <v>3</v>
      </c>
      <c r="C96" s="10" t="s">
        <v>272</v>
      </c>
      <c r="D96" s="152"/>
      <c r="E96" s="170"/>
      <c r="F96" s="95"/>
      <c r="G96" s="153" t="str">
        <f t="shared" si="8"/>
        <v/>
      </c>
      <c r="H96" s="10" t="s">
        <v>20</v>
      </c>
      <c r="I96" s="331">
        <v>20.95</v>
      </c>
      <c r="J96" s="12">
        <f>E96*I96</f>
        <v>0</v>
      </c>
    </row>
    <row r="97" spans="1:10" hidden="1" x14ac:dyDescent="0.35">
      <c r="A97" s="103"/>
      <c r="B97" s="12" t="s">
        <v>3</v>
      </c>
      <c r="C97" s="10" t="s">
        <v>273</v>
      </c>
      <c r="D97" s="152"/>
      <c r="E97" s="170"/>
      <c r="F97" s="95"/>
      <c r="G97" s="153" t="str">
        <f t="shared" si="8"/>
        <v/>
      </c>
      <c r="H97" s="10" t="s">
        <v>20</v>
      </c>
      <c r="I97" s="331">
        <v>23.95</v>
      </c>
      <c r="J97" s="12">
        <f>E97*I97</f>
        <v>0</v>
      </c>
    </row>
    <row r="98" spans="1:10" hidden="1" x14ac:dyDescent="0.35">
      <c r="A98" s="103"/>
      <c r="B98" s="12" t="s">
        <v>3</v>
      </c>
      <c r="C98" s="10" t="s">
        <v>274</v>
      </c>
      <c r="D98" s="152"/>
      <c r="E98" s="170"/>
      <c r="F98" s="95"/>
      <c r="G98" s="153" t="str">
        <f t="shared" si="8"/>
        <v/>
      </c>
      <c r="H98" s="10" t="s">
        <v>20</v>
      </c>
      <c r="I98" s="331">
        <v>22.5</v>
      </c>
      <c r="J98" s="12">
        <f>E98*I98</f>
        <v>0</v>
      </c>
    </row>
    <row r="99" spans="1:10" hidden="1" x14ac:dyDescent="0.35">
      <c r="A99" s="103"/>
      <c r="B99" s="12" t="s">
        <v>3</v>
      </c>
      <c r="C99" s="10" t="s">
        <v>275</v>
      </c>
      <c r="D99" s="152"/>
      <c r="E99" s="170"/>
      <c r="F99" s="95"/>
      <c r="G99" s="153" t="str">
        <f t="shared" si="8"/>
        <v/>
      </c>
      <c r="H99" s="10" t="s">
        <v>20</v>
      </c>
      <c r="I99" s="331">
        <v>29.95</v>
      </c>
      <c r="J99" s="12">
        <f>E99*I99</f>
        <v>0</v>
      </c>
    </row>
    <row r="100" spans="1:10" ht="15.5" hidden="1" x14ac:dyDescent="0.35">
      <c r="A100" s="111"/>
      <c r="B100" s="126" t="s">
        <v>276</v>
      </c>
      <c r="C100" s="127"/>
      <c r="D100" s="226"/>
      <c r="E100" s="172"/>
      <c r="F100" s="144"/>
      <c r="G100" s="153" t="str">
        <f t="shared" si="8"/>
        <v/>
      </c>
      <c r="H100" s="127"/>
      <c r="I100" s="239"/>
      <c r="J100" s="128"/>
    </row>
    <row r="101" spans="1:10" hidden="1" x14ac:dyDescent="0.35">
      <c r="A101" s="103"/>
      <c r="B101" s="12" t="s">
        <v>3</v>
      </c>
      <c r="C101" s="10" t="s">
        <v>277</v>
      </c>
      <c r="D101" s="152"/>
      <c r="E101" s="170"/>
      <c r="F101" s="95"/>
      <c r="G101" s="153" t="str">
        <f t="shared" si="8"/>
        <v/>
      </c>
      <c r="H101" s="10" t="s">
        <v>20</v>
      </c>
      <c r="I101" s="331">
        <v>17.95</v>
      </c>
      <c r="J101" s="12">
        <f>E101*I101</f>
        <v>0</v>
      </c>
    </row>
    <row r="102" spans="1:10" hidden="1" x14ac:dyDescent="0.35">
      <c r="A102" s="103"/>
      <c r="B102" s="12" t="s">
        <v>3</v>
      </c>
      <c r="C102" s="10" t="s">
        <v>278</v>
      </c>
      <c r="D102" s="152"/>
      <c r="E102" s="170"/>
      <c r="F102" s="95"/>
      <c r="G102" s="153" t="str">
        <f t="shared" si="8"/>
        <v/>
      </c>
      <c r="H102" s="10" t="s">
        <v>20</v>
      </c>
      <c r="I102" s="331">
        <v>20.95</v>
      </c>
      <c r="J102" s="12">
        <f>E102*I102</f>
        <v>0</v>
      </c>
    </row>
    <row r="103" spans="1:10" hidden="1" x14ac:dyDescent="0.35">
      <c r="A103" s="103"/>
      <c r="B103" s="12" t="s">
        <v>3</v>
      </c>
      <c r="C103" s="10" t="s">
        <v>279</v>
      </c>
      <c r="D103" s="152"/>
      <c r="E103" s="170"/>
      <c r="F103" s="95"/>
      <c r="G103" s="153" t="str">
        <f t="shared" si="8"/>
        <v/>
      </c>
      <c r="H103" s="10" t="s">
        <v>20</v>
      </c>
      <c r="I103" s="331">
        <v>19.95</v>
      </c>
      <c r="J103" s="12">
        <f>E103*I103</f>
        <v>0</v>
      </c>
    </row>
    <row r="104" spans="1:10" hidden="1" x14ac:dyDescent="0.35">
      <c r="A104" s="103"/>
      <c r="B104" s="40" t="s">
        <v>3</v>
      </c>
      <c r="C104" s="41" t="s">
        <v>280</v>
      </c>
      <c r="D104" s="227"/>
      <c r="E104" s="170"/>
      <c r="F104" s="145"/>
      <c r="G104" s="153" t="str">
        <f t="shared" si="8"/>
        <v/>
      </c>
      <c r="H104" s="41" t="s">
        <v>20</v>
      </c>
      <c r="I104" s="334">
        <v>59.95</v>
      </c>
      <c r="J104" s="40">
        <f>E104*I104</f>
        <v>0</v>
      </c>
    </row>
    <row r="105" spans="1:10" ht="15.5" hidden="1" x14ac:dyDescent="0.35">
      <c r="A105" s="111"/>
      <c r="B105" s="126" t="s">
        <v>281</v>
      </c>
      <c r="C105" s="127"/>
      <c r="D105" s="226"/>
      <c r="E105" s="172"/>
      <c r="F105" s="144"/>
      <c r="G105" s="153" t="str">
        <f t="shared" si="8"/>
        <v/>
      </c>
      <c r="H105" s="127"/>
      <c r="I105" s="239"/>
      <c r="J105" s="128"/>
    </row>
    <row r="106" spans="1:10" hidden="1" x14ac:dyDescent="0.35">
      <c r="A106" s="103"/>
      <c r="B106" s="12" t="s">
        <v>3</v>
      </c>
      <c r="C106" s="10" t="s">
        <v>282</v>
      </c>
      <c r="D106" s="152"/>
      <c r="E106" s="170"/>
      <c r="F106" s="95"/>
      <c r="G106" s="153" t="str">
        <f t="shared" si="8"/>
        <v/>
      </c>
      <c r="H106" s="10" t="s">
        <v>20</v>
      </c>
      <c r="I106" s="331">
        <v>54.95</v>
      </c>
      <c r="J106" s="12">
        <f>E106*I106</f>
        <v>0</v>
      </c>
    </row>
    <row r="107" spans="1:10" hidden="1" x14ac:dyDescent="0.35">
      <c r="A107" s="103"/>
      <c r="B107" s="12" t="s">
        <v>3</v>
      </c>
      <c r="C107" s="10" t="s">
        <v>283</v>
      </c>
      <c r="D107" s="152"/>
      <c r="E107" s="170"/>
      <c r="F107" s="95"/>
      <c r="G107" s="153" t="str">
        <f t="shared" si="8"/>
        <v/>
      </c>
      <c r="H107" s="10" t="s">
        <v>20</v>
      </c>
      <c r="I107" s="331">
        <v>49.95</v>
      </c>
      <c r="J107" s="12">
        <f>E107*I107</f>
        <v>0</v>
      </c>
    </row>
    <row r="108" spans="1:10" ht="15.5" hidden="1" x14ac:dyDescent="0.35">
      <c r="A108" s="111"/>
      <c r="B108" s="126" t="s">
        <v>284</v>
      </c>
      <c r="C108" s="127"/>
      <c r="D108" s="226"/>
      <c r="E108" s="172"/>
      <c r="F108" s="144"/>
      <c r="G108" s="153" t="str">
        <f t="shared" si="8"/>
        <v/>
      </c>
      <c r="H108" s="127"/>
      <c r="I108" s="239"/>
      <c r="J108" s="128"/>
    </row>
    <row r="109" spans="1:10" hidden="1" x14ac:dyDescent="0.35">
      <c r="A109" s="103"/>
      <c r="B109" s="12" t="s">
        <v>3</v>
      </c>
      <c r="C109" s="10" t="s">
        <v>285</v>
      </c>
      <c r="D109" s="152"/>
      <c r="E109" s="170"/>
      <c r="F109" s="95"/>
      <c r="G109" s="153" t="str">
        <f t="shared" si="8"/>
        <v/>
      </c>
      <c r="H109" s="10" t="s">
        <v>20</v>
      </c>
      <c r="I109" s="331">
        <v>41.5</v>
      </c>
      <c r="J109" s="12">
        <f t="shared" ref="J109:J114" si="9">E109*I109</f>
        <v>0</v>
      </c>
    </row>
    <row r="110" spans="1:10" hidden="1" x14ac:dyDescent="0.35">
      <c r="A110" s="103"/>
      <c r="B110" s="12" t="s">
        <v>3</v>
      </c>
      <c r="C110" s="10" t="s">
        <v>286</v>
      </c>
      <c r="D110" s="152"/>
      <c r="E110" s="170"/>
      <c r="F110" s="95"/>
      <c r="G110" s="153" t="str">
        <f t="shared" si="8"/>
        <v/>
      </c>
      <c r="H110" s="10" t="s">
        <v>20</v>
      </c>
      <c r="I110" s="331">
        <v>36.200000000000003</v>
      </c>
      <c r="J110" s="12">
        <f t="shared" si="9"/>
        <v>0</v>
      </c>
    </row>
    <row r="111" spans="1:10" hidden="1" x14ac:dyDescent="0.35">
      <c r="A111" s="103"/>
      <c r="B111" s="12" t="s">
        <v>3</v>
      </c>
      <c r="C111" s="10" t="s">
        <v>287</v>
      </c>
      <c r="D111" s="152"/>
      <c r="E111" s="170"/>
      <c r="F111" s="95"/>
      <c r="G111" s="153" t="str">
        <f t="shared" si="8"/>
        <v/>
      </c>
      <c r="H111" s="10" t="s">
        <v>20</v>
      </c>
      <c r="I111" s="331">
        <v>25.95</v>
      </c>
      <c r="J111" s="12">
        <f t="shared" si="9"/>
        <v>0</v>
      </c>
    </row>
    <row r="112" spans="1:10" hidden="1" x14ac:dyDescent="0.35">
      <c r="A112" s="103"/>
      <c r="B112" s="12" t="s">
        <v>3</v>
      </c>
      <c r="C112" s="10" t="s">
        <v>288</v>
      </c>
      <c r="D112" s="152"/>
      <c r="E112" s="170"/>
      <c r="F112" s="95"/>
      <c r="G112" s="153" t="str">
        <f t="shared" si="8"/>
        <v/>
      </c>
      <c r="H112" s="10" t="s">
        <v>20</v>
      </c>
      <c r="I112" s="331">
        <v>32.799999999999997</v>
      </c>
      <c r="J112" s="12">
        <f t="shared" si="9"/>
        <v>0</v>
      </c>
    </row>
    <row r="113" spans="1:10" hidden="1" x14ac:dyDescent="0.35">
      <c r="A113" s="103"/>
      <c r="B113" s="12" t="s">
        <v>3</v>
      </c>
      <c r="C113" s="10" t="s">
        <v>289</v>
      </c>
      <c r="D113" s="152"/>
      <c r="E113" s="170"/>
      <c r="F113" s="95"/>
      <c r="G113" s="153" t="str">
        <f t="shared" si="8"/>
        <v/>
      </c>
      <c r="H113" s="10" t="s">
        <v>20</v>
      </c>
      <c r="I113" s="331">
        <v>29.2</v>
      </c>
      <c r="J113" s="12">
        <f t="shared" si="9"/>
        <v>0</v>
      </c>
    </row>
    <row r="114" spans="1:10" hidden="1" x14ac:dyDescent="0.35">
      <c r="A114" s="103"/>
      <c r="B114" s="12" t="s">
        <v>3</v>
      </c>
      <c r="C114" s="10" t="s">
        <v>290</v>
      </c>
      <c r="D114" s="152"/>
      <c r="E114" s="170"/>
      <c r="F114" s="95"/>
      <c r="G114" s="153" t="str">
        <f t="shared" si="8"/>
        <v/>
      </c>
      <c r="H114" s="10" t="s">
        <v>20</v>
      </c>
      <c r="I114" s="331">
        <v>22.95</v>
      </c>
      <c r="J114" s="12">
        <f t="shared" si="9"/>
        <v>0</v>
      </c>
    </row>
    <row r="115" spans="1:10" ht="15.5" hidden="1" x14ac:dyDescent="0.35">
      <c r="A115" s="111"/>
      <c r="B115" s="126" t="s">
        <v>291</v>
      </c>
      <c r="C115" s="127"/>
      <c r="D115" s="226"/>
      <c r="E115" s="172"/>
      <c r="F115" s="144"/>
      <c r="G115" s="153" t="str">
        <f t="shared" si="8"/>
        <v/>
      </c>
      <c r="H115" s="127"/>
      <c r="I115" s="239"/>
      <c r="J115" s="128"/>
    </row>
    <row r="116" spans="1:10" hidden="1" x14ac:dyDescent="0.35">
      <c r="A116" s="103"/>
      <c r="B116" s="12" t="s">
        <v>3</v>
      </c>
      <c r="C116" s="10" t="s">
        <v>292</v>
      </c>
      <c r="D116" s="152"/>
      <c r="E116" s="170"/>
      <c r="F116" s="95"/>
      <c r="G116" s="153" t="str">
        <f t="shared" si="8"/>
        <v/>
      </c>
      <c r="H116" s="10" t="s">
        <v>20</v>
      </c>
      <c r="I116" s="331">
        <v>17.95</v>
      </c>
      <c r="J116" s="12">
        <f t="shared" ref="J116:J121" si="10">E116*I116</f>
        <v>0</v>
      </c>
    </row>
    <row r="117" spans="1:10" hidden="1" x14ac:dyDescent="0.35">
      <c r="A117" s="103"/>
      <c r="B117" s="12" t="s">
        <v>3</v>
      </c>
      <c r="C117" s="10" t="s">
        <v>293</v>
      </c>
      <c r="D117" s="152"/>
      <c r="E117" s="170"/>
      <c r="F117" s="95"/>
      <c r="G117" s="153" t="str">
        <f t="shared" si="8"/>
        <v/>
      </c>
      <c r="H117" s="10" t="s">
        <v>20</v>
      </c>
      <c r="I117" s="331">
        <v>12.95</v>
      </c>
      <c r="J117" s="12">
        <f t="shared" si="10"/>
        <v>0</v>
      </c>
    </row>
    <row r="118" spans="1:10" hidden="1" x14ac:dyDescent="0.35">
      <c r="A118" s="103"/>
      <c r="B118" s="12" t="s">
        <v>3</v>
      </c>
      <c r="C118" s="10" t="s">
        <v>294</v>
      </c>
      <c r="D118" s="152"/>
      <c r="E118" s="170"/>
      <c r="F118" s="95"/>
      <c r="G118" s="153" t="str">
        <f t="shared" si="8"/>
        <v/>
      </c>
      <c r="H118" s="10" t="s">
        <v>20</v>
      </c>
      <c r="I118" s="331">
        <v>21.95</v>
      </c>
      <c r="J118" s="12">
        <f t="shared" si="10"/>
        <v>0</v>
      </c>
    </row>
    <row r="119" spans="1:10" hidden="1" x14ac:dyDescent="0.35">
      <c r="A119" s="103"/>
      <c r="B119" s="12" t="s">
        <v>3</v>
      </c>
      <c r="C119" s="10" t="s">
        <v>295</v>
      </c>
      <c r="D119" s="152"/>
      <c r="E119" s="170"/>
      <c r="F119" s="95"/>
      <c r="G119" s="153" t="str">
        <f t="shared" si="8"/>
        <v/>
      </c>
      <c r="H119" s="10" t="s">
        <v>20</v>
      </c>
      <c r="I119" s="331"/>
      <c r="J119" s="12">
        <f t="shared" si="10"/>
        <v>0</v>
      </c>
    </row>
    <row r="120" spans="1:10" hidden="1" x14ac:dyDescent="0.35">
      <c r="A120" s="103"/>
      <c r="B120" s="12" t="s">
        <v>3</v>
      </c>
      <c r="C120" s="10" t="s">
        <v>296</v>
      </c>
      <c r="D120" s="152"/>
      <c r="E120" s="170"/>
      <c r="F120" s="95"/>
      <c r="G120" s="153" t="str">
        <f t="shared" si="8"/>
        <v/>
      </c>
      <c r="H120" s="10" t="s">
        <v>20</v>
      </c>
      <c r="I120" s="331"/>
      <c r="J120" s="12">
        <f t="shared" si="10"/>
        <v>0</v>
      </c>
    </row>
    <row r="121" spans="1:10" hidden="1" x14ac:dyDescent="0.35">
      <c r="A121" s="103"/>
      <c r="B121" s="12" t="s">
        <v>3</v>
      </c>
      <c r="C121" s="10" t="s">
        <v>297</v>
      </c>
      <c r="D121" s="152"/>
      <c r="E121" s="170"/>
      <c r="F121" s="95"/>
      <c r="G121" s="153" t="str">
        <f t="shared" si="8"/>
        <v/>
      </c>
      <c r="H121" s="10" t="s">
        <v>20</v>
      </c>
      <c r="I121" s="331">
        <v>22.95</v>
      </c>
      <c r="J121" s="12">
        <f t="shared" si="10"/>
        <v>0</v>
      </c>
    </row>
    <row r="122" spans="1:10" ht="15.5" hidden="1" x14ac:dyDescent="0.35">
      <c r="A122" s="112" t="s">
        <v>298</v>
      </c>
      <c r="B122" s="116"/>
      <c r="C122" s="116"/>
      <c r="D122" s="228"/>
      <c r="E122" s="173"/>
      <c r="F122" s="146"/>
      <c r="G122" s="153" t="str">
        <f t="shared" si="8"/>
        <v/>
      </c>
      <c r="H122" s="117"/>
      <c r="I122" s="106" t="s">
        <v>18</v>
      </c>
      <c r="J122" s="115">
        <f>SUM(J123:J175)</f>
        <v>198.85000000000002</v>
      </c>
    </row>
    <row r="123" spans="1:10" hidden="1" x14ac:dyDescent="0.35">
      <c r="A123" s="103"/>
      <c r="B123" s="20" t="s">
        <v>4</v>
      </c>
      <c r="C123" s="18" t="s">
        <v>62</v>
      </c>
      <c r="D123" s="229"/>
      <c r="E123" s="170"/>
      <c r="F123" s="147"/>
      <c r="G123" s="153" t="str">
        <f t="shared" si="8"/>
        <v/>
      </c>
      <c r="H123" s="18" t="s">
        <v>20</v>
      </c>
      <c r="I123" s="335">
        <v>7.35</v>
      </c>
      <c r="J123" s="20">
        <f>E123*I123</f>
        <v>0</v>
      </c>
    </row>
    <row r="124" spans="1:10" hidden="1" x14ac:dyDescent="0.35">
      <c r="A124" s="103"/>
      <c r="B124" s="20" t="s">
        <v>4</v>
      </c>
      <c r="C124" s="18" t="s">
        <v>60</v>
      </c>
      <c r="D124" s="229"/>
      <c r="E124" s="170"/>
      <c r="F124" s="147"/>
      <c r="G124" s="153" t="str">
        <f t="shared" si="8"/>
        <v/>
      </c>
      <c r="H124" s="18" t="s">
        <v>20</v>
      </c>
      <c r="I124" s="335">
        <v>10.65</v>
      </c>
      <c r="J124" s="20">
        <f>E124*I124</f>
        <v>0</v>
      </c>
    </row>
    <row r="125" spans="1:10" hidden="1" x14ac:dyDescent="0.35">
      <c r="A125" s="113" t="s">
        <v>40</v>
      </c>
      <c r="B125" s="124"/>
      <c r="C125" s="124"/>
      <c r="D125" s="230"/>
      <c r="E125" s="174"/>
      <c r="F125" s="148"/>
      <c r="G125" s="153" t="str">
        <f t="shared" si="8"/>
        <v/>
      </c>
      <c r="H125" s="124"/>
      <c r="I125" s="241"/>
      <c r="J125" s="125"/>
    </row>
    <row r="126" spans="1:10" hidden="1" x14ac:dyDescent="0.35">
      <c r="A126" s="103"/>
      <c r="B126" s="20" t="s">
        <v>4</v>
      </c>
      <c r="C126" s="18" t="s">
        <v>299</v>
      </c>
      <c r="D126" s="229"/>
      <c r="E126" s="170"/>
      <c r="F126" s="147"/>
      <c r="G126" s="153" t="str">
        <f t="shared" si="8"/>
        <v/>
      </c>
      <c r="H126" s="18" t="s">
        <v>20</v>
      </c>
      <c r="I126" s="335">
        <v>1.31</v>
      </c>
      <c r="J126" s="12">
        <f t="shared" ref="J126:J137" si="11">E126*I126</f>
        <v>0</v>
      </c>
    </row>
    <row r="127" spans="1:10" hidden="1" x14ac:dyDescent="0.35">
      <c r="A127" s="103"/>
      <c r="B127" s="12" t="s">
        <v>4</v>
      </c>
      <c r="C127" s="10" t="s">
        <v>300</v>
      </c>
      <c r="D127" s="152"/>
      <c r="E127" s="170"/>
      <c r="F127" s="95"/>
      <c r="G127" s="153" t="str">
        <f t="shared" si="8"/>
        <v/>
      </c>
      <c r="H127" s="10" t="s">
        <v>20</v>
      </c>
      <c r="I127" s="331">
        <v>1.31</v>
      </c>
      <c r="J127" s="12">
        <f t="shared" si="11"/>
        <v>0</v>
      </c>
    </row>
    <row r="128" spans="1:10" hidden="1" x14ac:dyDescent="0.35">
      <c r="A128" s="103"/>
      <c r="B128" s="20" t="s">
        <v>4</v>
      </c>
      <c r="C128" s="18" t="s">
        <v>301</v>
      </c>
      <c r="D128" s="229"/>
      <c r="E128" s="170"/>
      <c r="F128" s="147"/>
      <c r="G128" s="153" t="str">
        <f t="shared" si="8"/>
        <v/>
      </c>
      <c r="H128" s="18" t="s">
        <v>20</v>
      </c>
      <c r="I128" s="335">
        <v>1.4039999999999999</v>
      </c>
      <c r="J128" s="12">
        <f t="shared" si="11"/>
        <v>0</v>
      </c>
    </row>
    <row r="129" spans="1:10" hidden="1" x14ac:dyDescent="0.35">
      <c r="A129" s="103"/>
      <c r="B129" s="12" t="s">
        <v>4</v>
      </c>
      <c r="C129" s="10" t="s">
        <v>302</v>
      </c>
      <c r="D129" s="152"/>
      <c r="E129" s="170"/>
      <c r="F129" s="95"/>
      <c r="G129" s="153" t="str">
        <f t="shared" si="8"/>
        <v/>
      </c>
      <c r="H129" s="10" t="s">
        <v>20</v>
      </c>
      <c r="I129" s="331">
        <v>1.4039999999999999</v>
      </c>
      <c r="J129" s="12">
        <f t="shared" si="11"/>
        <v>0</v>
      </c>
    </row>
    <row r="130" spans="1:10" hidden="1" x14ac:dyDescent="0.35">
      <c r="A130" s="103"/>
      <c r="B130" s="12" t="s">
        <v>4</v>
      </c>
      <c r="C130" s="10" t="s">
        <v>303</v>
      </c>
      <c r="D130" s="152"/>
      <c r="E130" s="170"/>
      <c r="F130" s="95"/>
      <c r="G130" s="153" t="str">
        <f t="shared" si="8"/>
        <v/>
      </c>
      <c r="H130" s="10" t="s">
        <v>20</v>
      </c>
      <c r="I130" s="331">
        <v>1.53</v>
      </c>
      <c r="J130" s="12">
        <f t="shared" si="11"/>
        <v>0</v>
      </c>
    </row>
    <row r="131" spans="1:10" hidden="1" x14ac:dyDescent="0.35">
      <c r="A131" s="103"/>
      <c r="B131" s="12" t="s">
        <v>4</v>
      </c>
      <c r="C131" s="10" t="s">
        <v>304</v>
      </c>
      <c r="D131" s="152"/>
      <c r="E131" s="170"/>
      <c r="F131" s="95"/>
      <c r="G131" s="153" t="str">
        <f t="shared" si="8"/>
        <v/>
      </c>
      <c r="H131" s="10" t="s">
        <v>20</v>
      </c>
      <c r="I131" s="331">
        <v>1.65</v>
      </c>
      <c r="J131" s="12">
        <f t="shared" si="11"/>
        <v>0</v>
      </c>
    </row>
    <row r="132" spans="1:10" hidden="1" x14ac:dyDescent="0.35">
      <c r="A132" s="103"/>
      <c r="B132" s="12" t="s">
        <v>4</v>
      </c>
      <c r="C132" s="10" t="s">
        <v>83</v>
      </c>
      <c r="D132" s="152"/>
      <c r="E132" s="170"/>
      <c r="F132" s="95"/>
      <c r="G132" s="153" t="str">
        <f t="shared" si="8"/>
        <v/>
      </c>
      <c r="H132" s="10" t="s">
        <v>20</v>
      </c>
      <c r="I132" s="331">
        <v>1.04</v>
      </c>
      <c r="J132" s="12">
        <f t="shared" si="11"/>
        <v>0</v>
      </c>
    </row>
    <row r="133" spans="1:10" hidden="1" x14ac:dyDescent="0.35">
      <c r="A133" s="103"/>
      <c r="B133" s="12" t="s">
        <v>4</v>
      </c>
      <c r="C133" s="10" t="s">
        <v>305</v>
      </c>
      <c r="D133" s="152"/>
      <c r="E133" s="170"/>
      <c r="F133" s="95"/>
      <c r="G133" s="153" t="str">
        <f t="shared" si="8"/>
        <v/>
      </c>
      <c r="H133" s="10" t="s">
        <v>20</v>
      </c>
      <c r="I133" s="331">
        <v>1.04</v>
      </c>
      <c r="J133" s="12">
        <f t="shared" si="11"/>
        <v>0</v>
      </c>
    </row>
    <row r="134" spans="1:10" hidden="1" x14ac:dyDescent="0.35">
      <c r="A134" s="103"/>
      <c r="B134" s="12" t="s">
        <v>4</v>
      </c>
      <c r="C134" s="10" t="s">
        <v>306</v>
      </c>
      <c r="D134" s="152"/>
      <c r="E134" s="170"/>
      <c r="F134" s="95"/>
      <c r="G134" s="153" t="str">
        <f t="shared" si="8"/>
        <v/>
      </c>
      <c r="H134" s="10" t="s">
        <v>20</v>
      </c>
      <c r="I134" s="331">
        <v>1.06</v>
      </c>
      <c r="J134" s="12">
        <f t="shared" si="11"/>
        <v>0</v>
      </c>
    </row>
    <row r="135" spans="1:10" hidden="1" x14ac:dyDescent="0.35">
      <c r="A135" s="103"/>
      <c r="B135" s="12" t="s">
        <v>4</v>
      </c>
      <c r="C135" s="10" t="s">
        <v>307</v>
      </c>
      <c r="D135" s="152"/>
      <c r="E135" s="170"/>
      <c r="F135" s="95"/>
      <c r="G135" s="153" t="str">
        <f t="shared" si="8"/>
        <v/>
      </c>
      <c r="H135" s="10" t="s">
        <v>20</v>
      </c>
      <c r="I135" s="331">
        <v>1.06</v>
      </c>
      <c r="J135" s="12">
        <f t="shared" si="11"/>
        <v>0</v>
      </c>
    </row>
    <row r="136" spans="1:10" hidden="1" x14ac:dyDescent="0.35">
      <c r="A136" s="103"/>
      <c r="B136" s="12" t="s">
        <v>4</v>
      </c>
      <c r="C136" s="10" t="s">
        <v>308</v>
      </c>
      <c r="D136" s="152"/>
      <c r="E136" s="170"/>
      <c r="F136" s="95"/>
      <c r="G136" s="153" t="str">
        <f t="shared" si="8"/>
        <v/>
      </c>
      <c r="H136" s="10" t="s">
        <v>20</v>
      </c>
      <c r="I136" s="331">
        <v>1.2869999999999999</v>
      </c>
      <c r="J136" s="12">
        <f t="shared" si="11"/>
        <v>0</v>
      </c>
    </row>
    <row r="137" spans="1:10" hidden="1" x14ac:dyDescent="0.35">
      <c r="A137" s="103"/>
      <c r="B137" s="12" t="s">
        <v>4</v>
      </c>
      <c r="C137" s="10" t="s">
        <v>309</v>
      </c>
      <c r="D137" s="152"/>
      <c r="E137" s="170"/>
      <c r="F137" s="95"/>
      <c r="G137" s="153" t="str">
        <f t="shared" si="8"/>
        <v/>
      </c>
      <c r="H137" s="10" t="s">
        <v>20</v>
      </c>
      <c r="I137" s="331">
        <v>1.59</v>
      </c>
      <c r="J137" s="12">
        <f t="shared" si="11"/>
        <v>0</v>
      </c>
    </row>
    <row r="138" spans="1:10" hidden="1" x14ac:dyDescent="0.35">
      <c r="A138" s="113" t="s">
        <v>310</v>
      </c>
      <c r="B138" s="124"/>
      <c r="C138" s="124"/>
      <c r="D138" s="230"/>
      <c r="E138" s="174"/>
      <c r="F138" s="148"/>
      <c r="G138" s="153" t="str">
        <f t="shared" si="8"/>
        <v/>
      </c>
      <c r="H138" s="124"/>
      <c r="I138" s="241"/>
      <c r="J138" s="125"/>
    </row>
    <row r="139" spans="1:10" hidden="1" x14ac:dyDescent="0.35">
      <c r="A139" s="103"/>
      <c r="B139" s="12" t="s">
        <v>4</v>
      </c>
      <c r="C139" s="10" t="s">
        <v>311</v>
      </c>
      <c r="D139" s="152"/>
      <c r="E139" s="170"/>
      <c r="F139" s="95"/>
      <c r="G139" s="153" t="str">
        <f t="shared" si="8"/>
        <v/>
      </c>
      <c r="H139" s="10" t="s">
        <v>20</v>
      </c>
      <c r="I139" s="331">
        <v>1.1000000000000001</v>
      </c>
      <c r="J139" s="12">
        <f t="shared" ref="J139:J149" si="12">E139*I139</f>
        <v>0</v>
      </c>
    </row>
    <row r="140" spans="1:10" hidden="1" x14ac:dyDescent="0.35">
      <c r="A140" s="103"/>
      <c r="B140" s="12" t="s">
        <v>4</v>
      </c>
      <c r="C140" s="10" t="s">
        <v>312</v>
      </c>
      <c r="D140" s="152"/>
      <c r="E140" s="170"/>
      <c r="F140" s="95"/>
      <c r="G140" s="153" t="str">
        <f t="shared" si="8"/>
        <v/>
      </c>
      <c r="H140" s="10" t="s">
        <v>20</v>
      </c>
      <c r="I140" s="331">
        <v>1.1000000000000001</v>
      </c>
      <c r="J140" s="12">
        <f t="shared" si="12"/>
        <v>0</v>
      </c>
    </row>
    <row r="141" spans="1:10" hidden="1" x14ac:dyDescent="0.35">
      <c r="A141" s="103"/>
      <c r="B141" s="12" t="s">
        <v>4</v>
      </c>
      <c r="C141" s="10" t="s">
        <v>313</v>
      </c>
      <c r="D141" s="152"/>
      <c r="E141" s="170"/>
      <c r="F141" s="95"/>
      <c r="G141" s="153" t="str">
        <f t="shared" si="8"/>
        <v/>
      </c>
      <c r="H141" s="10" t="s">
        <v>20</v>
      </c>
      <c r="I141" s="331">
        <v>1.3</v>
      </c>
      <c r="J141" s="12">
        <f t="shared" si="12"/>
        <v>0</v>
      </c>
    </row>
    <row r="142" spans="1:10" hidden="1" x14ac:dyDescent="0.35">
      <c r="A142" s="103"/>
      <c r="B142" s="12" t="s">
        <v>4</v>
      </c>
      <c r="C142" s="10" t="s">
        <v>314</v>
      </c>
      <c r="D142" s="152"/>
      <c r="E142" s="170"/>
      <c r="F142" s="95"/>
      <c r="G142" s="153" t="str">
        <f t="shared" si="8"/>
        <v/>
      </c>
      <c r="H142" s="10" t="s">
        <v>20</v>
      </c>
      <c r="I142" s="331">
        <v>1.36</v>
      </c>
      <c r="J142" s="12">
        <f t="shared" si="12"/>
        <v>0</v>
      </c>
    </row>
    <row r="143" spans="1:10" hidden="1" x14ac:dyDescent="0.35">
      <c r="A143" s="103"/>
      <c r="B143" s="12" t="s">
        <v>4</v>
      </c>
      <c r="C143" s="10" t="s">
        <v>315</v>
      </c>
      <c r="D143" s="152"/>
      <c r="E143" s="170"/>
      <c r="F143" s="95"/>
      <c r="G143" s="153" t="str">
        <f t="shared" si="8"/>
        <v/>
      </c>
      <c r="H143" s="10" t="s">
        <v>20</v>
      </c>
      <c r="I143" s="331">
        <v>1.3</v>
      </c>
      <c r="J143" s="12">
        <f t="shared" si="12"/>
        <v>0</v>
      </c>
    </row>
    <row r="144" spans="1:10" hidden="1" x14ac:dyDescent="0.35">
      <c r="A144" s="103"/>
      <c r="B144" s="12" t="s">
        <v>4</v>
      </c>
      <c r="C144" s="10" t="s">
        <v>316</v>
      </c>
      <c r="D144" s="152"/>
      <c r="E144" s="170"/>
      <c r="F144" s="95"/>
      <c r="G144" s="153" t="str">
        <f t="shared" si="8"/>
        <v/>
      </c>
      <c r="H144" s="10" t="s">
        <v>20</v>
      </c>
      <c r="I144" s="331">
        <v>1.35</v>
      </c>
      <c r="J144" s="12">
        <f t="shared" si="12"/>
        <v>0</v>
      </c>
    </row>
    <row r="145" spans="1:10" hidden="1" x14ac:dyDescent="0.35">
      <c r="A145" s="103"/>
      <c r="B145" s="12" t="s">
        <v>4</v>
      </c>
      <c r="C145" s="10" t="s">
        <v>317</v>
      </c>
      <c r="D145" s="152"/>
      <c r="E145" s="170"/>
      <c r="F145" s="95"/>
      <c r="G145" s="153" t="str">
        <f t="shared" si="8"/>
        <v/>
      </c>
      <c r="H145" s="10" t="s">
        <v>20</v>
      </c>
      <c r="I145" s="331">
        <v>1.28</v>
      </c>
      <c r="J145" s="12">
        <f t="shared" si="12"/>
        <v>0</v>
      </c>
    </row>
    <row r="146" spans="1:10" hidden="1" x14ac:dyDescent="0.35">
      <c r="A146" s="103"/>
      <c r="B146" s="12" t="s">
        <v>4</v>
      </c>
      <c r="C146" s="10" t="s">
        <v>318</v>
      </c>
      <c r="D146" s="152"/>
      <c r="E146" s="170"/>
      <c r="F146" s="95"/>
      <c r="G146" s="153" t="str">
        <f t="shared" si="8"/>
        <v/>
      </c>
      <c r="H146" s="10" t="s">
        <v>20</v>
      </c>
      <c r="I146" s="331">
        <v>1.1000000000000001</v>
      </c>
      <c r="J146" s="12">
        <f t="shared" si="12"/>
        <v>0</v>
      </c>
    </row>
    <row r="147" spans="1:10" hidden="1" x14ac:dyDescent="0.35">
      <c r="A147" s="103"/>
      <c r="B147" s="12" t="s">
        <v>4</v>
      </c>
      <c r="C147" s="10" t="s">
        <v>319</v>
      </c>
      <c r="D147" s="152"/>
      <c r="E147" s="170"/>
      <c r="F147" s="95"/>
      <c r="G147" s="153" t="str">
        <f t="shared" si="8"/>
        <v/>
      </c>
      <c r="H147" s="10" t="s">
        <v>20</v>
      </c>
      <c r="I147" s="331">
        <v>1.1000000000000001</v>
      </c>
      <c r="J147" s="12">
        <f t="shared" si="12"/>
        <v>0</v>
      </c>
    </row>
    <row r="148" spans="1:10" hidden="1" x14ac:dyDescent="0.35">
      <c r="A148" s="103"/>
      <c r="B148" s="12" t="s">
        <v>4</v>
      </c>
      <c r="C148" s="10" t="s">
        <v>320</v>
      </c>
      <c r="D148" s="152"/>
      <c r="E148" s="170"/>
      <c r="F148" s="95"/>
      <c r="G148" s="153" t="str">
        <f t="shared" si="8"/>
        <v/>
      </c>
      <c r="H148" s="10" t="s">
        <v>20</v>
      </c>
      <c r="I148" s="331">
        <v>1.1000000000000001</v>
      </c>
      <c r="J148" s="12">
        <f t="shared" si="12"/>
        <v>0</v>
      </c>
    </row>
    <row r="149" spans="1:10" hidden="1" x14ac:dyDescent="0.35">
      <c r="A149" s="103"/>
      <c r="B149" s="12" t="s">
        <v>4</v>
      </c>
      <c r="C149" s="10" t="s">
        <v>321</v>
      </c>
      <c r="D149" s="152"/>
      <c r="E149" s="170"/>
      <c r="F149" s="95"/>
      <c r="G149" s="153" t="str">
        <f t="shared" si="8"/>
        <v/>
      </c>
      <c r="H149" s="10" t="s">
        <v>20</v>
      </c>
      <c r="I149" s="331">
        <v>1.1000000000000001</v>
      </c>
      <c r="J149" s="12">
        <f t="shared" si="12"/>
        <v>0</v>
      </c>
    </row>
    <row r="150" spans="1:10" x14ac:dyDescent="0.35">
      <c r="A150" s="113" t="s">
        <v>41</v>
      </c>
      <c r="B150" s="124"/>
      <c r="C150" s="124"/>
      <c r="D150" s="230"/>
      <c r="E150" s="174"/>
      <c r="F150" s="148"/>
      <c r="G150" s="165" t="str">
        <f t="shared" si="8"/>
        <v/>
      </c>
      <c r="H150" s="124"/>
      <c r="I150" s="241"/>
      <c r="J150" s="125"/>
    </row>
    <row r="151" spans="1:10" x14ac:dyDescent="0.35">
      <c r="A151" s="103"/>
      <c r="B151" s="12" t="s">
        <v>4</v>
      </c>
      <c r="C151" s="10" t="s">
        <v>24</v>
      </c>
      <c r="D151" s="152">
        <v>30</v>
      </c>
      <c r="E151" s="170"/>
      <c r="F151" s="95"/>
      <c r="G151" s="153" t="str">
        <f t="shared" si="8"/>
        <v/>
      </c>
      <c r="H151" s="10" t="s">
        <v>20</v>
      </c>
      <c r="I151" s="331">
        <v>3.04</v>
      </c>
      <c r="J151" s="12">
        <f t="shared" ref="J151:J164" si="13">E151*I151</f>
        <v>0</v>
      </c>
    </row>
    <row r="152" spans="1:10" x14ac:dyDescent="0.35">
      <c r="A152" s="103"/>
      <c r="B152" s="12" t="s">
        <v>4</v>
      </c>
      <c r="C152" s="10" t="s">
        <v>80</v>
      </c>
      <c r="D152" s="152">
        <v>60</v>
      </c>
      <c r="E152" s="170"/>
      <c r="F152" s="95"/>
      <c r="G152" s="153" t="str">
        <f t="shared" si="8"/>
        <v/>
      </c>
      <c r="H152" s="10" t="s">
        <v>20</v>
      </c>
      <c r="I152" s="331">
        <v>2.31</v>
      </c>
      <c r="J152" s="12">
        <f t="shared" si="13"/>
        <v>0</v>
      </c>
    </row>
    <row r="153" spans="1:10" x14ac:dyDescent="0.35">
      <c r="A153" s="103"/>
      <c r="B153" s="12" t="s">
        <v>4</v>
      </c>
      <c r="C153" s="10" t="s">
        <v>84</v>
      </c>
      <c r="D153" s="152">
        <v>30</v>
      </c>
      <c r="E153" s="170">
        <v>20</v>
      </c>
      <c r="F153" s="95"/>
      <c r="G153" s="153">
        <f t="shared" ref="G153:G223" si="14">IF(E153="","",IF(D153-E153&gt;0,D153-E153,""))</f>
        <v>10</v>
      </c>
      <c r="H153" s="10" t="s">
        <v>20</v>
      </c>
      <c r="I153" s="331">
        <v>2.31</v>
      </c>
      <c r="J153" s="12">
        <f t="shared" si="13"/>
        <v>46.2</v>
      </c>
    </row>
    <row r="154" spans="1:10" hidden="1" x14ac:dyDescent="0.35">
      <c r="A154" s="103"/>
      <c r="B154" s="12" t="s">
        <v>4</v>
      </c>
      <c r="C154" s="10" t="s">
        <v>394</v>
      </c>
      <c r="D154" s="152"/>
      <c r="E154" s="170"/>
      <c r="F154" s="95"/>
      <c r="G154" s="153" t="str">
        <f t="shared" si="14"/>
        <v/>
      </c>
      <c r="H154" s="10" t="s">
        <v>20</v>
      </c>
      <c r="I154" s="331">
        <v>2.54</v>
      </c>
      <c r="J154" s="12">
        <f t="shared" si="13"/>
        <v>0</v>
      </c>
    </row>
    <row r="155" spans="1:10" hidden="1" x14ac:dyDescent="0.35">
      <c r="A155" s="103"/>
      <c r="B155" s="12" t="s">
        <v>4</v>
      </c>
      <c r="C155" s="10" t="s">
        <v>394</v>
      </c>
      <c r="D155" s="152"/>
      <c r="E155" s="170"/>
      <c r="F155" s="95"/>
      <c r="G155" s="153" t="str">
        <f t="shared" si="14"/>
        <v/>
      </c>
      <c r="H155" s="10" t="s">
        <v>20</v>
      </c>
      <c r="I155" s="331">
        <v>2.54</v>
      </c>
      <c r="J155" s="12">
        <f t="shared" si="13"/>
        <v>0</v>
      </c>
    </row>
    <row r="156" spans="1:10" x14ac:dyDescent="0.35">
      <c r="A156" s="103"/>
      <c r="B156" s="12" t="s">
        <v>4</v>
      </c>
      <c r="C156" s="10" t="s">
        <v>25</v>
      </c>
      <c r="D156" s="152">
        <v>30</v>
      </c>
      <c r="E156" s="170">
        <v>76</v>
      </c>
      <c r="F156" s="95"/>
      <c r="G156" s="153" t="str">
        <f t="shared" si="14"/>
        <v/>
      </c>
      <c r="H156" s="10" t="s">
        <v>20</v>
      </c>
      <c r="I156" s="331">
        <v>1.79</v>
      </c>
      <c r="J156" s="12">
        <f t="shared" si="13"/>
        <v>136.04</v>
      </c>
    </row>
    <row r="157" spans="1:10" hidden="1" x14ac:dyDescent="0.35">
      <c r="A157" s="103"/>
      <c r="B157" s="12" t="s">
        <v>4</v>
      </c>
      <c r="C157" s="10" t="s">
        <v>322</v>
      </c>
      <c r="D157" s="152"/>
      <c r="E157" s="170"/>
      <c r="F157" s="95"/>
      <c r="G157" s="153" t="str">
        <f t="shared" si="14"/>
        <v/>
      </c>
      <c r="H157" s="10" t="s">
        <v>20</v>
      </c>
      <c r="I157" s="331">
        <v>2.46</v>
      </c>
      <c r="J157" s="12">
        <f t="shared" si="13"/>
        <v>0</v>
      </c>
    </row>
    <row r="158" spans="1:10" x14ac:dyDescent="0.35">
      <c r="A158" s="103"/>
      <c r="B158" s="12" t="s">
        <v>4</v>
      </c>
      <c r="C158" s="10" t="s">
        <v>393</v>
      </c>
      <c r="D158" s="152">
        <v>60</v>
      </c>
      <c r="E158" s="170"/>
      <c r="F158" s="95"/>
      <c r="G158" s="153" t="str">
        <f t="shared" si="14"/>
        <v/>
      </c>
      <c r="H158" s="10" t="s">
        <v>20</v>
      </c>
      <c r="I158" s="331">
        <v>2.46</v>
      </c>
      <c r="J158" s="12">
        <f t="shared" si="13"/>
        <v>0</v>
      </c>
    </row>
    <row r="159" spans="1:10" hidden="1" x14ac:dyDescent="0.35">
      <c r="A159" s="103"/>
      <c r="B159" s="12" t="s">
        <v>4</v>
      </c>
      <c r="C159" s="10" t="s">
        <v>43</v>
      </c>
      <c r="D159" s="152"/>
      <c r="E159" s="170"/>
      <c r="F159" s="95"/>
      <c r="G159" s="153" t="str">
        <f t="shared" si="14"/>
        <v/>
      </c>
      <c r="H159" s="10" t="s">
        <v>20</v>
      </c>
      <c r="I159" s="331">
        <v>2.5499999999999998</v>
      </c>
      <c r="J159" s="12">
        <f t="shared" si="13"/>
        <v>0</v>
      </c>
    </row>
    <row r="160" spans="1:10" x14ac:dyDescent="0.35">
      <c r="A160" s="103"/>
      <c r="B160" s="12" t="s">
        <v>4</v>
      </c>
      <c r="C160" s="10" t="s">
        <v>81</v>
      </c>
      <c r="D160" s="152">
        <v>60</v>
      </c>
      <c r="E160" s="170">
        <v>5</v>
      </c>
      <c r="F160" s="95"/>
      <c r="G160" s="153">
        <f t="shared" si="14"/>
        <v>55</v>
      </c>
      <c r="H160" s="10" t="s">
        <v>20</v>
      </c>
      <c r="I160" s="331">
        <v>1.51</v>
      </c>
      <c r="J160" s="12">
        <f t="shared" si="13"/>
        <v>7.55</v>
      </c>
    </row>
    <row r="161" spans="1:10" x14ac:dyDescent="0.35">
      <c r="A161" s="103"/>
      <c r="B161" s="12" t="s">
        <v>4</v>
      </c>
      <c r="C161" s="10" t="s">
        <v>82</v>
      </c>
      <c r="D161" s="152">
        <v>60</v>
      </c>
      <c r="E161" s="170">
        <v>6</v>
      </c>
      <c r="F161" s="95"/>
      <c r="G161" s="153">
        <f t="shared" si="14"/>
        <v>54</v>
      </c>
      <c r="H161" s="10" t="s">
        <v>20</v>
      </c>
      <c r="I161" s="331">
        <v>1.51</v>
      </c>
      <c r="J161" s="12">
        <f t="shared" si="13"/>
        <v>9.06</v>
      </c>
    </row>
    <row r="162" spans="1:10" hidden="1" x14ac:dyDescent="0.35">
      <c r="A162" s="103"/>
      <c r="B162" s="12" t="s">
        <v>4</v>
      </c>
      <c r="C162" s="10" t="s">
        <v>323</v>
      </c>
      <c r="D162" s="152"/>
      <c r="E162" s="170"/>
      <c r="F162" s="95"/>
      <c r="G162" s="153" t="str">
        <f t="shared" si="14"/>
        <v/>
      </c>
      <c r="H162" s="10" t="s">
        <v>20</v>
      </c>
      <c r="I162" s="331">
        <v>1.54</v>
      </c>
      <c r="J162" s="12">
        <f t="shared" si="13"/>
        <v>0</v>
      </c>
    </row>
    <row r="163" spans="1:10" hidden="1" x14ac:dyDescent="0.35">
      <c r="A163" s="103"/>
      <c r="B163" s="12" t="s">
        <v>4</v>
      </c>
      <c r="C163" s="10" t="s">
        <v>324</v>
      </c>
      <c r="D163" s="152"/>
      <c r="E163" s="170"/>
      <c r="F163" s="95"/>
      <c r="G163" s="153" t="str">
        <f t="shared" si="14"/>
        <v/>
      </c>
      <c r="H163" s="10" t="s">
        <v>20</v>
      </c>
      <c r="I163" s="331">
        <v>1.6</v>
      </c>
      <c r="J163" s="12">
        <f t="shared" si="13"/>
        <v>0</v>
      </c>
    </row>
    <row r="164" spans="1:10" hidden="1" x14ac:dyDescent="0.35">
      <c r="A164" s="103"/>
      <c r="B164" s="12" t="s">
        <v>4</v>
      </c>
      <c r="C164" s="78" t="s">
        <v>325</v>
      </c>
      <c r="D164" s="224"/>
      <c r="E164" s="170"/>
      <c r="F164" s="142"/>
      <c r="G164" s="153" t="str">
        <f t="shared" si="14"/>
        <v/>
      </c>
      <c r="H164" s="10" t="s">
        <v>20</v>
      </c>
      <c r="I164" s="333">
        <v>49.95</v>
      </c>
      <c r="J164" s="12">
        <f t="shared" si="13"/>
        <v>0</v>
      </c>
    </row>
    <row r="165" spans="1:10" x14ac:dyDescent="0.35">
      <c r="A165" s="113" t="s">
        <v>44</v>
      </c>
      <c r="B165" s="124"/>
      <c r="C165" s="124"/>
      <c r="D165" s="230"/>
      <c r="E165" s="174"/>
      <c r="F165" s="148"/>
      <c r="G165" s="165" t="str">
        <f t="shared" si="14"/>
        <v/>
      </c>
      <c r="H165" s="124"/>
      <c r="I165" s="241"/>
      <c r="J165" s="125"/>
    </row>
    <row r="166" spans="1:10" x14ac:dyDescent="0.35">
      <c r="A166" s="103"/>
      <c r="B166" s="12" t="s">
        <v>4</v>
      </c>
      <c r="C166" s="10" t="s">
        <v>48</v>
      </c>
      <c r="D166" s="152">
        <v>10</v>
      </c>
      <c r="E166" s="170"/>
      <c r="F166" s="95"/>
      <c r="G166" s="153" t="str">
        <f t="shared" si="14"/>
        <v/>
      </c>
      <c r="H166" s="10" t="s">
        <v>20</v>
      </c>
      <c r="I166" s="331">
        <v>1.94</v>
      </c>
      <c r="J166" s="12">
        <f t="shared" ref="J166:J175" si="15">E166*I166</f>
        <v>0</v>
      </c>
    </row>
    <row r="167" spans="1:10" x14ac:dyDescent="0.35">
      <c r="A167" s="103"/>
      <c r="B167" s="12" t="s">
        <v>4</v>
      </c>
      <c r="C167" s="10" t="s">
        <v>49</v>
      </c>
      <c r="D167" s="152">
        <v>10</v>
      </c>
      <c r="E167" s="170"/>
      <c r="F167" s="95"/>
      <c r="G167" s="153" t="str">
        <f t="shared" si="14"/>
        <v/>
      </c>
      <c r="H167" s="10" t="s">
        <v>20</v>
      </c>
      <c r="I167" s="331">
        <v>1.94</v>
      </c>
      <c r="J167" s="12">
        <f t="shared" si="15"/>
        <v>0</v>
      </c>
    </row>
    <row r="168" spans="1:10" x14ac:dyDescent="0.35">
      <c r="A168" s="103"/>
      <c r="B168" s="12" t="s">
        <v>4</v>
      </c>
      <c r="C168" s="10" t="s">
        <v>50</v>
      </c>
      <c r="D168" s="152">
        <v>10</v>
      </c>
      <c r="E168" s="170"/>
      <c r="F168" s="95"/>
      <c r="G168" s="153" t="str">
        <f t="shared" si="14"/>
        <v/>
      </c>
      <c r="H168" s="10" t="s">
        <v>20</v>
      </c>
      <c r="I168" s="331">
        <v>1.94</v>
      </c>
      <c r="J168" s="12">
        <f t="shared" si="15"/>
        <v>0</v>
      </c>
    </row>
    <row r="169" spans="1:10" hidden="1" x14ac:dyDescent="0.35">
      <c r="A169" s="103"/>
      <c r="B169" s="12" t="s">
        <v>4</v>
      </c>
      <c r="C169" s="10" t="s">
        <v>415</v>
      </c>
      <c r="D169" s="152"/>
      <c r="E169" s="170"/>
      <c r="F169" s="95"/>
      <c r="G169" s="153" t="str">
        <f t="shared" si="14"/>
        <v/>
      </c>
      <c r="H169" s="10" t="s">
        <v>20</v>
      </c>
      <c r="I169" s="331">
        <v>1.98</v>
      </c>
      <c r="J169" s="12">
        <f t="shared" si="15"/>
        <v>0</v>
      </c>
    </row>
    <row r="170" spans="1:10" hidden="1" x14ac:dyDescent="0.35">
      <c r="A170" s="103"/>
      <c r="B170" s="12" t="s">
        <v>4</v>
      </c>
      <c r="C170" s="10" t="s">
        <v>414</v>
      </c>
      <c r="D170" s="152"/>
      <c r="E170" s="170"/>
      <c r="F170" s="95"/>
      <c r="G170" s="153" t="str">
        <f t="shared" si="14"/>
        <v/>
      </c>
      <c r="H170" s="10" t="s">
        <v>20</v>
      </c>
      <c r="I170" s="331">
        <v>1.98</v>
      </c>
      <c r="J170" s="12">
        <f t="shared" si="15"/>
        <v>0</v>
      </c>
    </row>
    <row r="171" spans="1:10" hidden="1" x14ac:dyDescent="0.35">
      <c r="A171" s="103"/>
      <c r="B171" s="12" t="s">
        <v>4</v>
      </c>
      <c r="C171" s="10" t="s">
        <v>328</v>
      </c>
      <c r="D171" s="152"/>
      <c r="E171" s="170"/>
      <c r="F171" s="95"/>
      <c r="G171" s="153" t="str">
        <f t="shared" si="14"/>
        <v/>
      </c>
      <c r="H171" s="10" t="s">
        <v>20</v>
      </c>
      <c r="I171" s="331">
        <v>1.98</v>
      </c>
      <c r="J171" s="12">
        <f t="shared" si="15"/>
        <v>0</v>
      </c>
    </row>
    <row r="172" spans="1:10" hidden="1" x14ac:dyDescent="0.35">
      <c r="A172" s="103"/>
      <c r="B172" s="12" t="s">
        <v>4</v>
      </c>
      <c r="C172" s="10" t="s">
        <v>329</v>
      </c>
      <c r="D172" s="152"/>
      <c r="E172" s="170"/>
      <c r="F172" s="95"/>
      <c r="G172" s="153" t="str">
        <f t="shared" si="14"/>
        <v/>
      </c>
      <c r="H172" s="10" t="s">
        <v>20</v>
      </c>
      <c r="I172" s="331">
        <v>1.98</v>
      </c>
      <c r="J172" s="12">
        <f t="shared" si="15"/>
        <v>0</v>
      </c>
    </row>
    <row r="173" spans="1:10" hidden="1" x14ac:dyDescent="0.35">
      <c r="A173" s="103"/>
      <c r="B173" s="40" t="s">
        <v>4</v>
      </c>
      <c r="C173" s="41" t="s">
        <v>330</v>
      </c>
      <c r="D173" s="227"/>
      <c r="E173" s="170"/>
      <c r="F173" s="145"/>
      <c r="G173" s="153" t="str">
        <f t="shared" si="14"/>
        <v/>
      </c>
      <c r="H173" s="10" t="s">
        <v>20</v>
      </c>
      <c r="I173" s="331">
        <v>1.98</v>
      </c>
      <c r="J173" s="12">
        <f t="shared" si="15"/>
        <v>0</v>
      </c>
    </row>
    <row r="174" spans="1:10" hidden="1" x14ac:dyDescent="0.35">
      <c r="A174" s="103"/>
      <c r="B174" s="40" t="s">
        <v>4</v>
      </c>
      <c r="C174" s="41" t="s">
        <v>331</v>
      </c>
      <c r="D174" s="227"/>
      <c r="E174" s="170"/>
      <c r="F174" s="145"/>
      <c r="G174" s="153" t="str">
        <f t="shared" si="14"/>
        <v/>
      </c>
      <c r="H174" s="10" t="s">
        <v>20</v>
      </c>
      <c r="I174" s="331">
        <v>1.98</v>
      </c>
      <c r="J174" s="12">
        <f t="shared" si="15"/>
        <v>0</v>
      </c>
    </row>
    <row r="175" spans="1:10" hidden="1" x14ac:dyDescent="0.35">
      <c r="A175" s="103"/>
      <c r="B175" s="40" t="s">
        <v>4</v>
      </c>
      <c r="C175" s="41" t="s">
        <v>413</v>
      </c>
      <c r="D175" s="227"/>
      <c r="E175" s="170"/>
      <c r="F175" s="145"/>
      <c r="G175" s="153" t="str">
        <f t="shared" si="14"/>
        <v/>
      </c>
      <c r="H175" s="41" t="s">
        <v>20</v>
      </c>
      <c r="I175" s="334">
        <v>1.98</v>
      </c>
      <c r="J175" s="12">
        <f t="shared" si="15"/>
        <v>0</v>
      </c>
    </row>
    <row r="176" spans="1:10" ht="15.5" hidden="1" x14ac:dyDescent="0.35">
      <c r="A176" s="114" t="s">
        <v>333</v>
      </c>
      <c r="B176" s="120"/>
      <c r="C176" s="120"/>
      <c r="D176" s="228"/>
      <c r="E176" s="175"/>
      <c r="F176" s="149"/>
      <c r="G176" s="153" t="str">
        <f t="shared" si="14"/>
        <v/>
      </c>
      <c r="H176" s="121"/>
      <c r="I176" s="122" t="s">
        <v>18</v>
      </c>
      <c r="J176" s="123">
        <f>SUM(J177:J186)</f>
        <v>0</v>
      </c>
    </row>
    <row r="177" spans="1:10" hidden="1" x14ac:dyDescent="0.35">
      <c r="A177" s="103"/>
      <c r="B177" s="12" t="s">
        <v>26</v>
      </c>
      <c r="C177" s="10" t="s">
        <v>334</v>
      </c>
      <c r="D177" s="152"/>
      <c r="E177" s="170"/>
      <c r="F177" s="95"/>
      <c r="G177" s="153" t="str">
        <f t="shared" si="14"/>
        <v/>
      </c>
      <c r="H177" s="10" t="s">
        <v>335</v>
      </c>
      <c r="I177" s="331">
        <v>20</v>
      </c>
      <c r="J177" s="12">
        <f t="shared" ref="J177:J186" si="16">E177*I177</f>
        <v>0</v>
      </c>
    </row>
    <row r="178" spans="1:10" hidden="1" x14ac:dyDescent="0.35">
      <c r="A178" s="103"/>
      <c r="B178" s="20" t="s">
        <v>26</v>
      </c>
      <c r="C178" s="18" t="s">
        <v>53</v>
      </c>
      <c r="D178" s="229"/>
      <c r="E178" s="170"/>
      <c r="F178" s="147"/>
      <c r="G178" s="153" t="str">
        <f t="shared" si="14"/>
        <v/>
      </c>
      <c r="H178" s="18" t="s">
        <v>20</v>
      </c>
      <c r="I178" s="335">
        <v>0.43</v>
      </c>
      <c r="J178" s="20">
        <f t="shared" si="16"/>
        <v>0</v>
      </c>
    </row>
    <row r="179" spans="1:10" hidden="1" x14ac:dyDescent="0.35">
      <c r="A179" s="103"/>
      <c r="B179" s="20" t="s">
        <v>26</v>
      </c>
      <c r="C179" s="18" t="s">
        <v>336</v>
      </c>
      <c r="D179" s="229"/>
      <c r="E179" s="170"/>
      <c r="F179" s="147"/>
      <c r="G179" s="153" t="str">
        <f t="shared" si="14"/>
        <v/>
      </c>
      <c r="H179" s="18" t="s">
        <v>20</v>
      </c>
      <c r="I179" s="335">
        <v>0.43</v>
      </c>
      <c r="J179" s="20">
        <f t="shared" si="16"/>
        <v>0</v>
      </c>
    </row>
    <row r="180" spans="1:10" hidden="1" x14ac:dyDescent="0.35">
      <c r="A180" s="103"/>
      <c r="B180" s="12" t="s">
        <v>26</v>
      </c>
      <c r="C180" s="10" t="s">
        <v>337</v>
      </c>
      <c r="D180" s="152"/>
      <c r="E180" s="170"/>
      <c r="F180" s="95"/>
      <c r="G180" s="153" t="str">
        <f t="shared" si="14"/>
        <v/>
      </c>
      <c r="H180" s="10" t="s">
        <v>20</v>
      </c>
      <c r="I180" s="331">
        <v>0.43</v>
      </c>
      <c r="J180" s="12">
        <f t="shared" si="16"/>
        <v>0</v>
      </c>
    </row>
    <row r="181" spans="1:10" hidden="1" x14ac:dyDescent="0.35">
      <c r="A181" s="103"/>
      <c r="B181" s="12" t="s">
        <v>26</v>
      </c>
      <c r="C181" s="10" t="s">
        <v>51</v>
      </c>
      <c r="D181" s="152"/>
      <c r="E181" s="170"/>
      <c r="F181" s="95"/>
      <c r="G181" s="153" t="str">
        <f t="shared" si="14"/>
        <v/>
      </c>
      <c r="H181" s="10" t="s">
        <v>61</v>
      </c>
      <c r="I181" s="331">
        <v>14</v>
      </c>
      <c r="J181" s="12">
        <f t="shared" si="16"/>
        <v>0</v>
      </c>
    </row>
    <row r="182" spans="1:10" hidden="1" x14ac:dyDescent="0.35">
      <c r="A182" s="103"/>
      <c r="B182" s="12" t="s">
        <v>26</v>
      </c>
      <c r="C182" s="10" t="s">
        <v>338</v>
      </c>
      <c r="D182" s="152"/>
      <c r="E182" s="170"/>
      <c r="F182" s="95"/>
      <c r="G182" s="153" t="str">
        <f t="shared" si="14"/>
        <v/>
      </c>
      <c r="H182" s="10" t="s">
        <v>61</v>
      </c>
      <c r="I182" s="331">
        <v>14.78</v>
      </c>
      <c r="J182" s="12">
        <f t="shared" si="16"/>
        <v>0</v>
      </c>
    </row>
    <row r="183" spans="1:10" hidden="1" x14ac:dyDescent="0.35">
      <c r="A183" s="103"/>
      <c r="B183" s="12" t="s">
        <v>26</v>
      </c>
      <c r="C183" s="10" t="s">
        <v>339</v>
      </c>
      <c r="D183" s="152"/>
      <c r="E183" s="170"/>
      <c r="F183" s="95"/>
      <c r="G183" s="153" t="str">
        <f t="shared" si="14"/>
        <v/>
      </c>
      <c r="H183" s="10" t="s">
        <v>61</v>
      </c>
      <c r="I183" s="331">
        <v>14.78</v>
      </c>
      <c r="J183" s="12">
        <f t="shared" si="16"/>
        <v>0</v>
      </c>
    </row>
    <row r="184" spans="1:10" hidden="1" x14ac:dyDescent="0.35">
      <c r="A184" s="103"/>
      <c r="B184" s="12" t="s">
        <v>26</v>
      </c>
      <c r="C184" s="10" t="s">
        <v>340</v>
      </c>
      <c r="D184" s="152"/>
      <c r="E184" s="170"/>
      <c r="F184" s="95"/>
      <c r="G184" s="153" t="str">
        <f t="shared" si="14"/>
        <v/>
      </c>
      <c r="H184" s="10" t="s">
        <v>61</v>
      </c>
      <c r="I184" s="331">
        <v>14.78</v>
      </c>
      <c r="J184" s="12">
        <f t="shared" si="16"/>
        <v>0</v>
      </c>
    </row>
    <row r="185" spans="1:10" hidden="1" x14ac:dyDescent="0.35">
      <c r="A185" s="103"/>
      <c r="B185" s="12" t="s">
        <v>26</v>
      </c>
      <c r="C185" s="10" t="s">
        <v>341</v>
      </c>
      <c r="D185" s="152"/>
      <c r="E185" s="170"/>
      <c r="F185" s="95"/>
      <c r="G185" s="153" t="str">
        <f t="shared" si="14"/>
        <v/>
      </c>
      <c r="H185" s="10" t="s">
        <v>61</v>
      </c>
      <c r="I185" s="331">
        <v>14.78</v>
      </c>
      <c r="J185" s="12">
        <f t="shared" si="16"/>
        <v>0</v>
      </c>
    </row>
    <row r="186" spans="1:10" hidden="1" x14ac:dyDescent="0.35">
      <c r="A186" s="103"/>
      <c r="B186" s="12" t="s">
        <v>26</v>
      </c>
      <c r="C186" s="10" t="s">
        <v>342</v>
      </c>
      <c r="D186" s="152"/>
      <c r="E186" s="170"/>
      <c r="F186" s="95"/>
      <c r="G186" s="153" t="str">
        <f t="shared" si="14"/>
        <v/>
      </c>
      <c r="H186" s="10" t="s">
        <v>61</v>
      </c>
      <c r="I186" s="331">
        <v>14.78</v>
      </c>
      <c r="J186" s="10">
        <f t="shared" si="16"/>
        <v>0</v>
      </c>
    </row>
    <row r="187" spans="1:10" ht="15.5" x14ac:dyDescent="0.35">
      <c r="A187" s="108" t="s">
        <v>343</v>
      </c>
      <c r="B187" s="108"/>
      <c r="C187" s="108"/>
      <c r="D187" s="223"/>
      <c r="E187" s="169"/>
      <c r="F187" s="109"/>
      <c r="G187" s="165" t="str">
        <f t="shared" si="14"/>
        <v/>
      </c>
      <c r="H187" s="108"/>
      <c r="I187" s="106" t="s">
        <v>18</v>
      </c>
      <c r="J187" s="107">
        <f>SUM(J188:J192)</f>
        <v>0</v>
      </c>
    </row>
    <row r="188" spans="1:10" hidden="1" x14ac:dyDescent="0.35">
      <c r="A188" s="103"/>
      <c r="B188" s="7" t="s">
        <v>6</v>
      </c>
      <c r="C188" s="14" t="s">
        <v>344</v>
      </c>
      <c r="D188" s="152"/>
      <c r="E188" s="170"/>
      <c r="F188" s="95"/>
      <c r="G188" s="153" t="str">
        <f t="shared" si="14"/>
        <v/>
      </c>
      <c r="H188" s="14" t="s">
        <v>20</v>
      </c>
      <c r="I188" s="336">
        <v>0.79</v>
      </c>
      <c r="J188" s="7">
        <f>E188*I188</f>
        <v>0</v>
      </c>
    </row>
    <row r="189" spans="1:10" x14ac:dyDescent="0.35">
      <c r="A189" s="103"/>
      <c r="B189" s="7" t="s">
        <v>6</v>
      </c>
      <c r="C189" s="14" t="s">
        <v>345</v>
      </c>
      <c r="D189" s="152">
        <v>10</v>
      </c>
      <c r="E189" s="170"/>
      <c r="F189" s="95"/>
      <c r="G189" s="153" t="str">
        <f t="shared" si="14"/>
        <v/>
      </c>
      <c r="H189" s="14" t="s">
        <v>20</v>
      </c>
      <c r="I189" s="336">
        <v>2.76</v>
      </c>
      <c r="J189" s="7">
        <f>E189*I189</f>
        <v>0</v>
      </c>
    </row>
    <row r="190" spans="1:10" x14ac:dyDescent="0.35">
      <c r="A190" s="103"/>
      <c r="B190" s="7" t="s">
        <v>6</v>
      </c>
      <c r="C190" s="14" t="s">
        <v>346</v>
      </c>
      <c r="D190" s="152"/>
      <c r="E190" s="170"/>
      <c r="F190" s="95"/>
      <c r="G190" s="153" t="str">
        <f t="shared" si="14"/>
        <v/>
      </c>
      <c r="H190" s="14" t="s">
        <v>20</v>
      </c>
      <c r="I190" s="336">
        <v>1</v>
      </c>
      <c r="J190" s="7">
        <f>E190*I190</f>
        <v>0</v>
      </c>
    </row>
    <row r="191" spans="1:10" x14ac:dyDescent="0.35">
      <c r="A191" s="103"/>
      <c r="B191" s="7" t="s">
        <v>6</v>
      </c>
      <c r="C191" s="14" t="s">
        <v>34</v>
      </c>
      <c r="D191" s="152">
        <v>20</v>
      </c>
      <c r="E191" s="170"/>
      <c r="F191" s="95"/>
      <c r="G191" s="153" t="str">
        <f t="shared" si="14"/>
        <v/>
      </c>
      <c r="H191" s="14" t="s">
        <v>20</v>
      </c>
      <c r="I191" s="336">
        <v>1.8</v>
      </c>
      <c r="J191" s="7">
        <f>E191*I191</f>
        <v>0</v>
      </c>
    </row>
    <row r="192" spans="1:10" x14ac:dyDescent="0.35">
      <c r="A192" s="103"/>
      <c r="B192" s="7" t="s">
        <v>6</v>
      </c>
      <c r="C192" s="14" t="s">
        <v>35</v>
      </c>
      <c r="D192" s="152">
        <v>20</v>
      </c>
      <c r="E192" s="170"/>
      <c r="F192" s="95"/>
      <c r="G192" s="153" t="str">
        <f t="shared" si="14"/>
        <v/>
      </c>
      <c r="H192" s="14" t="s">
        <v>20</v>
      </c>
      <c r="I192" s="336">
        <v>1.8</v>
      </c>
      <c r="J192" s="7">
        <f>E192*I192</f>
        <v>0</v>
      </c>
    </row>
    <row r="193" spans="1:10" ht="15.5" x14ac:dyDescent="0.35">
      <c r="A193" s="112" t="s">
        <v>347</v>
      </c>
      <c r="B193" s="116"/>
      <c r="C193" s="116"/>
      <c r="D193" s="228"/>
      <c r="E193" s="173"/>
      <c r="F193" s="146"/>
      <c r="G193" s="165" t="str">
        <f t="shared" si="14"/>
        <v/>
      </c>
      <c r="H193" s="117"/>
      <c r="I193" s="118" t="s">
        <v>18</v>
      </c>
      <c r="J193" s="119">
        <f>SUM(J194)</f>
        <v>0</v>
      </c>
    </row>
    <row r="194" spans="1:10" x14ac:dyDescent="0.35">
      <c r="A194" s="103"/>
      <c r="B194" s="12" t="s">
        <v>5</v>
      </c>
      <c r="C194" s="10" t="s">
        <v>55</v>
      </c>
      <c r="D194" s="152"/>
      <c r="E194" s="170"/>
      <c r="F194" s="95"/>
      <c r="G194" s="153" t="str">
        <f t="shared" si="14"/>
        <v/>
      </c>
      <c r="H194" s="10" t="s">
        <v>20</v>
      </c>
      <c r="I194" s="331">
        <v>1.01</v>
      </c>
      <c r="J194" s="12">
        <f>E194*I194</f>
        <v>0</v>
      </c>
    </row>
    <row r="195" spans="1:10" ht="15.5" x14ac:dyDescent="0.35">
      <c r="A195" s="112" t="s">
        <v>348</v>
      </c>
      <c r="B195" s="116"/>
      <c r="C195" s="116"/>
      <c r="D195" s="228"/>
      <c r="E195" s="173"/>
      <c r="F195" s="146"/>
      <c r="G195" s="165" t="str">
        <f t="shared" si="14"/>
        <v/>
      </c>
      <c r="H195" s="117"/>
      <c r="I195" s="118" t="s">
        <v>18</v>
      </c>
      <c r="J195" s="119">
        <f>SUM(J196:J207)</f>
        <v>0</v>
      </c>
    </row>
    <row r="196" spans="1:10" x14ac:dyDescent="0.35">
      <c r="A196" s="103"/>
      <c r="B196" s="20" t="s">
        <v>8</v>
      </c>
      <c r="C196" s="18" t="s">
        <v>349</v>
      </c>
      <c r="D196" s="229">
        <v>1</v>
      </c>
      <c r="E196" s="170"/>
      <c r="F196" s="147"/>
      <c r="G196" s="153" t="str">
        <f t="shared" si="14"/>
        <v/>
      </c>
      <c r="H196" s="18" t="s">
        <v>27</v>
      </c>
      <c r="I196" s="337">
        <v>28.62</v>
      </c>
      <c r="J196" s="12">
        <f t="shared" ref="J196:J207" si="17">E196*I196</f>
        <v>0</v>
      </c>
    </row>
    <row r="197" spans="1:10" x14ac:dyDescent="0.35">
      <c r="A197" s="103"/>
      <c r="B197" s="12" t="s">
        <v>8</v>
      </c>
      <c r="C197" s="10" t="s">
        <v>350</v>
      </c>
      <c r="D197" s="152"/>
      <c r="E197" s="170"/>
      <c r="F197" s="95"/>
      <c r="G197" s="153" t="str">
        <f t="shared" si="14"/>
        <v/>
      </c>
      <c r="H197" s="10" t="s">
        <v>335</v>
      </c>
      <c r="I197" s="338">
        <v>30</v>
      </c>
      <c r="J197" s="12">
        <f t="shared" si="17"/>
        <v>0</v>
      </c>
    </row>
    <row r="198" spans="1:10" x14ac:dyDescent="0.35">
      <c r="A198" s="103"/>
      <c r="B198" s="12" t="s">
        <v>8</v>
      </c>
      <c r="C198" s="10" t="s">
        <v>351</v>
      </c>
      <c r="D198" s="152"/>
      <c r="E198" s="170"/>
      <c r="F198" s="95"/>
      <c r="G198" s="153" t="str">
        <f t="shared" si="14"/>
        <v/>
      </c>
      <c r="H198" s="10" t="s">
        <v>335</v>
      </c>
      <c r="I198" s="331">
        <v>1.1499999999999999</v>
      </c>
      <c r="J198" s="12">
        <f t="shared" si="17"/>
        <v>0</v>
      </c>
    </row>
    <row r="199" spans="1:10" x14ac:dyDescent="0.35">
      <c r="A199" s="103"/>
      <c r="B199" s="12" t="s">
        <v>8</v>
      </c>
      <c r="C199" s="10" t="s">
        <v>352</v>
      </c>
      <c r="D199" s="152">
        <v>3</v>
      </c>
      <c r="E199" s="170"/>
      <c r="F199" s="95"/>
      <c r="G199" s="153" t="str">
        <f t="shared" si="14"/>
        <v/>
      </c>
      <c r="H199" s="10" t="s">
        <v>27</v>
      </c>
      <c r="I199" s="331">
        <v>23.83</v>
      </c>
      <c r="J199" s="12">
        <f t="shared" si="17"/>
        <v>0</v>
      </c>
    </row>
    <row r="200" spans="1:10" x14ac:dyDescent="0.35">
      <c r="A200" s="103"/>
      <c r="B200" s="12" t="s">
        <v>8</v>
      </c>
      <c r="C200" s="10" t="s">
        <v>353</v>
      </c>
      <c r="D200" s="152">
        <v>3</v>
      </c>
      <c r="E200" s="170"/>
      <c r="F200" s="95"/>
      <c r="G200" s="153" t="str">
        <f t="shared" si="14"/>
        <v/>
      </c>
      <c r="H200" s="10" t="s">
        <v>27</v>
      </c>
      <c r="I200" s="331">
        <v>28.89</v>
      </c>
      <c r="J200" s="12">
        <f t="shared" si="17"/>
        <v>0</v>
      </c>
    </row>
    <row r="201" spans="1:10" x14ac:dyDescent="0.35">
      <c r="A201" s="103"/>
      <c r="B201" s="12" t="s">
        <v>8</v>
      </c>
      <c r="C201" s="10" t="s">
        <v>354</v>
      </c>
      <c r="D201" s="152">
        <v>3</v>
      </c>
      <c r="E201" s="170"/>
      <c r="F201" s="95"/>
      <c r="G201" s="153" t="str">
        <f>IF(E201="","",IF(D201-E201&gt;0,D201-E201,""))</f>
        <v/>
      </c>
      <c r="H201" s="10" t="s">
        <v>27</v>
      </c>
      <c r="I201" s="331">
        <v>19.37</v>
      </c>
      <c r="J201" s="12">
        <f>E201*I201</f>
        <v>0</v>
      </c>
    </row>
    <row r="202" spans="1:10" x14ac:dyDescent="0.35">
      <c r="A202" s="103"/>
      <c r="B202" s="12" t="s">
        <v>8</v>
      </c>
      <c r="C202" s="10" t="s">
        <v>429</v>
      </c>
      <c r="D202" s="152"/>
      <c r="E202" s="170"/>
      <c r="F202" s="95"/>
      <c r="G202" s="153"/>
      <c r="H202" s="10" t="s">
        <v>27</v>
      </c>
      <c r="I202" s="331">
        <v>14.07</v>
      </c>
      <c r="J202" s="12"/>
    </row>
    <row r="203" spans="1:10" x14ac:dyDescent="0.35">
      <c r="A203" s="103"/>
      <c r="B203" s="12" t="s">
        <v>8</v>
      </c>
      <c r="C203" s="10" t="s">
        <v>430</v>
      </c>
      <c r="D203" s="152"/>
      <c r="E203" s="170"/>
      <c r="F203" s="95"/>
      <c r="G203" s="153"/>
      <c r="H203" s="10" t="s">
        <v>27</v>
      </c>
      <c r="I203" s="331">
        <v>16.07</v>
      </c>
      <c r="J203" s="12"/>
    </row>
    <row r="204" spans="1:10" x14ac:dyDescent="0.35">
      <c r="A204" s="103"/>
      <c r="B204" s="12" t="s">
        <v>8</v>
      </c>
      <c r="C204" s="10" t="s">
        <v>431</v>
      </c>
      <c r="D204" s="152"/>
      <c r="G204" s="153"/>
      <c r="H204" s="10" t="s">
        <v>27</v>
      </c>
      <c r="I204" s="339">
        <v>14.62</v>
      </c>
      <c r="J204" s="12"/>
    </row>
    <row r="205" spans="1:10" hidden="1" x14ac:dyDescent="0.35">
      <c r="A205" s="103"/>
      <c r="B205" s="12" t="s">
        <v>8</v>
      </c>
      <c r="C205" s="10" t="s">
        <v>355</v>
      </c>
      <c r="D205" s="152"/>
      <c r="E205" s="170"/>
      <c r="F205" s="95"/>
      <c r="G205" s="153" t="str">
        <f t="shared" si="14"/>
        <v/>
      </c>
      <c r="H205" s="10" t="s">
        <v>61</v>
      </c>
      <c r="I205" s="331">
        <v>17.11</v>
      </c>
      <c r="J205" s="12">
        <f t="shared" si="17"/>
        <v>0</v>
      </c>
    </row>
    <row r="206" spans="1:10" hidden="1" x14ac:dyDescent="0.35">
      <c r="A206" s="103"/>
      <c r="B206" s="12" t="s">
        <v>8</v>
      </c>
      <c r="C206" s="10" t="s">
        <v>356</v>
      </c>
      <c r="D206" s="152"/>
      <c r="E206" s="170"/>
      <c r="F206" s="95"/>
      <c r="G206" s="153" t="str">
        <f t="shared" si="14"/>
        <v/>
      </c>
      <c r="H206" s="10" t="s">
        <v>61</v>
      </c>
      <c r="I206" s="331">
        <v>22.13</v>
      </c>
      <c r="J206" s="12">
        <f t="shared" si="17"/>
        <v>0</v>
      </c>
    </row>
    <row r="207" spans="1:10" hidden="1" x14ac:dyDescent="0.35">
      <c r="A207" s="103"/>
      <c r="B207" s="40" t="s">
        <v>8</v>
      </c>
      <c r="C207" s="41" t="s">
        <v>357</v>
      </c>
      <c r="D207" s="227"/>
      <c r="E207" s="170"/>
      <c r="F207" s="145"/>
      <c r="G207" s="153" t="str">
        <f t="shared" si="14"/>
        <v/>
      </c>
      <c r="H207" s="41" t="s">
        <v>61</v>
      </c>
      <c r="I207" s="334">
        <v>18.8</v>
      </c>
      <c r="J207" s="40">
        <f t="shared" si="17"/>
        <v>0</v>
      </c>
    </row>
    <row r="208" spans="1:10" ht="15.5" x14ac:dyDescent="0.35">
      <c r="A208" s="112" t="s">
        <v>358</v>
      </c>
      <c r="B208" s="116"/>
      <c r="C208" s="116"/>
      <c r="D208" s="228"/>
      <c r="E208" s="173"/>
      <c r="F208" s="146"/>
      <c r="G208" s="165" t="str">
        <f t="shared" si="14"/>
        <v/>
      </c>
      <c r="H208" s="117"/>
      <c r="I208" s="118" t="s">
        <v>18</v>
      </c>
      <c r="J208" s="119">
        <f>J209+J210+J211+J212+J213</f>
        <v>679.75</v>
      </c>
    </row>
    <row r="209" spans="1:10" x14ac:dyDescent="0.35">
      <c r="A209" s="103"/>
      <c r="B209" s="13" t="s">
        <v>11</v>
      </c>
      <c r="C209" s="298" t="s">
        <v>359</v>
      </c>
      <c r="D209" s="299">
        <v>40</v>
      </c>
      <c r="E209" s="300">
        <v>5</v>
      </c>
      <c r="F209" s="301"/>
      <c r="G209" s="302">
        <f t="shared" si="14"/>
        <v>35</v>
      </c>
      <c r="H209" s="41" t="s">
        <v>52</v>
      </c>
      <c r="I209" s="334">
        <v>11.63</v>
      </c>
      <c r="J209" s="40">
        <f>E209*I209</f>
        <v>58.150000000000006</v>
      </c>
    </row>
    <row r="210" spans="1:10" x14ac:dyDescent="0.35">
      <c r="A210" s="103"/>
      <c r="B210" s="12" t="s">
        <v>11</v>
      </c>
      <c r="C210" s="10" t="s">
        <v>436</v>
      </c>
      <c r="D210" s="152"/>
      <c r="E210" s="170">
        <v>37</v>
      </c>
      <c r="F210" s="95"/>
      <c r="G210" s="153"/>
      <c r="H210" s="10" t="s">
        <v>52</v>
      </c>
      <c r="I210" s="331">
        <v>16.8</v>
      </c>
      <c r="J210" s="40">
        <f t="shared" ref="J210:J213" si="18">E210*I210</f>
        <v>621.6</v>
      </c>
    </row>
    <row r="211" spans="1:10" x14ac:dyDescent="0.35">
      <c r="A211" s="103"/>
      <c r="B211" s="12" t="s">
        <v>11</v>
      </c>
      <c r="C211" s="10" t="s">
        <v>437</v>
      </c>
      <c r="D211" s="152"/>
      <c r="E211" s="170"/>
      <c r="F211" s="95"/>
      <c r="G211" s="153"/>
      <c r="H211" s="10" t="s">
        <v>440</v>
      </c>
      <c r="I211" s="331">
        <v>9.35</v>
      </c>
      <c r="J211" s="40">
        <f>E211*I211</f>
        <v>0</v>
      </c>
    </row>
    <row r="212" spans="1:10" x14ac:dyDescent="0.35">
      <c r="A212" s="103"/>
      <c r="B212" s="12" t="s">
        <v>11</v>
      </c>
      <c r="C212" s="10" t="s">
        <v>438</v>
      </c>
      <c r="D212" s="152"/>
      <c r="E212" s="170"/>
      <c r="F212" s="95"/>
      <c r="G212" s="153"/>
      <c r="H212" s="10" t="s">
        <v>52</v>
      </c>
      <c r="I212" s="331">
        <v>87</v>
      </c>
      <c r="J212" s="40">
        <f t="shared" si="18"/>
        <v>0</v>
      </c>
    </row>
    <row r="213" spans="1:10" x14ac:dyDescent="0.35">
      <c r="A213" s="103"/>
      <c r="B213" s="12" t="s">
        <v>11</v>
      </c>
      <c r="C213" s="10" t="s">
        <v>439</v>
      </c>
      <c r="D213" s="152"/>
      <c r="E213" s="170"/>
      <c r="F213" s="95"/>
      <c r="G213" s="153"/>
      <c r="H213" s="10" t="s">
        <v>52</v>
      </c>
      <c r="I213" s="331">
        <v>55</v>
      </c>
      <c r="J213" s="40">
        <f t="shared" si="18"/>
        <v>0</v>
      </c>
    </row>
    <row r="214" spans="1:10" ht="15.5" x14ac:dyDescent="0.35">
      <c r="A214" s="108" t="s">
        <v>360</v>
      </c>
      <c r="B214" s="108"/>
      <c r="C214" s="108"/>
      <c r="D214" s="223"/>
      <c r="E214" s="169"/>
      <c r="F214" s="109"/>
      <c r="G214" s="310" t="str">
        <f t="shared" si="14"/>
        <v/>
      </c>
      <c r="H214" s="108"/>
      <c r="I214" s="106" t="s">
        <v>18</v>
      </c>
      <c r="J214" s="107">
        <f>SUM(J215:J216)</f>
        <v>0</v>
      </c>
    </row>
    <row r="215" spans="1:10" x14ac:dyDescent="0.35">
      <c r="A215" s="103"/>
      <c r="B215" s="12" t="s">
        <v>12</v>
      </c>
      <c r="C215" s="10" t="s">
        <v>70</v>
      </c>
      <c r="D215" s="152">
        <v>40</v>
      </c>
      <c r="E215" s="170"/>
      <c r="F215" s="95"/>
      <c r="G215" s="153" t="str">
        <f t="shared" si="14"/>
        <v/>
      </c>
      <c r="H215" s="10" t="s">
        <v>27</v>
      </c>
      <c r="I215" s="331">
        <v>20.7</v>
      </c>
      <c r="J215" s="12">
        <f>+E215*I215</f>
        <v>0</v>
      </c>
    </row>
    <row r="216" spans="1:10" x14ac:dyDescent="0.35">
      <c r="A216" s="103"/>
      <c r="B216" s="12" t="s">
        <v>12</v>
      </c>
      <c r="C216" s="10" t="s">
        <v>71</v>
      </c>
      <c r="D216" s="152">
        <v>40</v>
      </c>
      <c r="E216" s="170"/>
      <c r="F216" s="95"/>
      <c r="G216" s="153" t="str">
        <f t="shared" si="14"/>
        <v/>
      </c>
      <c r="H216" s="10" t="s">
        <v>27</v>
      </c>
      <c r="I216" s="331">
        <v>13.7</v>
      </c>
      <c r="J216" s="12">
        <f>+E216*I216</f>
        <v>0</v>
      </c>
    </row>
    <row r="217" spans="1:10" ht="15.5" hidden="1" x14ac:dyDescent="0.35">
      <c r="A217" s="108" t="s">
        <v>361</v>
      </c>
      <c r="B217" s="108"/>
      <c r="C217" s="108"/>
      <c r="D217" s="223"/>
      <c r="E217" s="169"/>
      <c r="F217" s="109"/>
      <c r="G217" s="153" t="str">
        <f t="shared" si="14"/>
        <v/>
      </c>
      <c r="H217" s="108"/>
      <c r="I217" s="106" t="s">
        <v>18</v>
      </c>
      <c r="J217" s="107">
        <f>SUM(J218:J221)</f>
        <v>0</v>
      </c>
    </row>
    <row r="218" spans="1:10" hidden="1" x14ac:dyDescent="0.35">
      <c r="A218" s="103"/>
      <c r="B218" s="12" t="s">
        <v>10</v>
      </c>
      <c r="C218" s="10" t="s">
        <v>362</v>
      </c>
      <c r="D218" s="152"/>
      <c r="E218" s="170"/>
      <c r="F218" s="95"/>
      <c r="G218" s="153" t="str">
        <f t="shared" si="14"/>
        <v/>
      </c>
      <c r="H218" s="10" t="s">
        <v>20</v>
      </c>
      <c r="I218" s="331">
        <v>11.08</v>
      </c>
      <c r="J218" s="12">
        <f>E218*I218</f>
        <v>0</v>
      </c>
    </row>
    <row r="219" spans="1:10" hidden="1" x14ac:dyDescent="0.35">
      <c r="A219" s="103"/>
      <c r="B219" s="12" t="s">
        <v>10</v>
      </c>
      <c r="C219" s="10" t="s">
        <v>363</v>
      </c>
      <c r="D219" s="152"/>
      <c r="E219" s="170"/>
      <c r="F219" s="95"/>
      <c r="G219" s="153" t="str">
        <f t="shared" si="14"/>
        <v/>
      </c>
      <c r="H219" s="10" t="s">
        <v>27</v>
      </c>
      <c r="I219" s="331">
        <v>16.21</v>
      </c>
      <c r="J219" s="12">
        <f>E219*I219</f>
        <v>0</v>
      </c>
    </row>
    <row r="220" spans="1:10" hidden="1" x14ac:dyDescent="0.35">
      <c r="A220" s="103"/>
      <c r="B220" s="12" t="s">
        <v>10</v>
      </c>
      <c r="C220" s="10" t="s">
        <v>364</v>
      </c>
      <c r="D220" s="152"/>
      <c r="E220" s="170"/>
      <c r="F220" s="95"/>
      <c r="G220" s="153" t="str">
        <f t="shared" si="14"/>
        <v/>
      </c>
      <c r="H220" s="10" t="s">
        <v>27</v>
      </c>
      <c r="I220" s="331">
        <v>19.350000000000001</v>
      </c>
      <c r="J220" s="12">
        <f>E220*I220</f>
        <v>0</v>
      </c>
    </row>
    <row r="221" spans="1:10" hidden="1" x14ac:dyDescent="0.35">
      <c r="A221" s="103"/>
      <c r="B221" s="12" t="s">
        <v>10</v>
      </c>
      <c r="C221" s="10" t="s">
        <v>365</v>
      </c>
      <c r="D221" s="152"/>
      <c r="E221" s="170"/>
      <c r="F221" s="95"/>
      <c r="G221" s="153" t="str">
        <f t="shared" si="14"/>
        <v/>
      </c>
      <c r="H221" s="10" t="s">
        <v>27</v>
      </c>
      <c r="I221" s="331">
        <v>19.809999999999999</v>
      </c>
      <c r="J221" s="12">
        <f>E221*I221</f>
        <v>0</v>
      </c>
    </row>
    <row r="222" spans="1:10" ht="15.5" x14ac:dyDescent="0.35">
      <c r="A222" s="108" t="s">
        <v>366</v>
      </c>
      <c r="B222" s="108"/>
      <c r="C222" s="108"/>
      <c r="D222" s="223"/>
      <c r="E222" s="169"/>
      <c r="F222" s="109"/>
      <c r="G222" s="165" t="str">
        <f t="shared" si="14"/>
        <v/>
      </c>
      <c r="H222" s="108"/>
      <c r="I222" s="106" t="s">
        <v>18</v>
      </c>
      <c r="J222" s="107">
        <f>J223</f>
        <v>0</v>
      </c>
    </row>
    <row r="223" spans="1:10" x14ac:dyDescent="0.35">
      <c r="A223" s="103"/>
      <c r="B223" s="12" t="s">
        <v>28</v>
      </c>
      <c r="C223" s="10" t="s">
        <v>29</v>
      </c>
      <c r="D223" s="152">
        <v>1</v>
      </c>
      <c r="E223" s="170"/>
      <c r="F223" s="150"/>
      <c r="G223" s="153" t="str">
        <f t="shared" si="14"/>
        <v/>
      </c>
      <c r="H223" s="10" t="s">
        <v>54</v>
      </c>
      <c r="I223" s="331">
        <v>104</v>
      </c>
      <c r="J223" s="12">
        <f>I223*E223</f>
        <v>0</v>
      </c>
    </row>
    <row r="224" spans="1:10" ht="15.5" x14ac:dyDescent="0.35">
      <c r="A224" s="108" t="s">
        <v>367</v>
      </c>
      <c r="B224" s="108"/>
      <c r="C224" s="108"/>
      <c r="D224" s="223"/>
      <c r="E224" s="169"/>
      <c r="F224" s="109"/>
      <c r="G224" s="165" t="str">
        <f t="shared" ref="G224:G257" si="19">IF(E224="","",IF(D224-E224&gt;0,D224-E224,""))</f>
        <v/>
      </c>
      <c r="H224" s="108"/>
      <c r="I224" s="106" t="s">
        <v>18</v>
      </c>
      <c r="J224" s="115">
        <f>SUM(J225:J244)</f>
        <v>813.25</v>
      </c>
    </row>
    <row r="225" spans="1:10" x14ac:dyDescent="0.35">
      <c r="A225" s="103"/>
      <c r="B225" s="12" t="s">
        <v>9</v>
      </c>
      <c r="C225" s="10" t="s">
        <v>423</v>
      </c>
      <c r="D225" s="152"/>
      <c r="E225" s="170">
        <v>10</v>
      </c>
      <c r="F225" s="95"/>
      <c r="G225" s="153" t="str">
        <f t="shared" si="19"/>
        <v/>
      </c>
      <c r="H225" s="10" t="s">
        <v>20</v>
      </c>
      <c r="I225" s="331">
        <v>78</v>
      </c>
      <c r="J225" s="50">
        <f t="shared" ref="J225:J244" si="20">E225*I225</f>
        <v>780</v>
      </c>
    </row>
    <row r="226" spans="1:10" x14ac:dyDescent="0.35">
      <c r="A226" s="103"/>
      <c r="B226" s="12" t="s">
        <v>9</v>
      </c>
      <c r="C226" s="10" t="s">
        <v>424</v>
      </c>
      <c r="D226" s="152"/>
      <c r="E226" s="170"/>
      <c r="F226" s="95"/>
      <c r="G226" s="153" t="str">
        <f t="shared" si="19"/>
        <v/>
      </c>
      <c r="H226" s="10" t="s">
        <v>61</v>
      </c>
      <c r="I226" s="340">
        <v>107.12</v>
      </c>
      <c r="J226" s="50">
        <f t="shared" si="20"/>
        <v>0</v>
      </c>
    </row>
    <row r="227" spans="1:10" x14ac:dyDescent="0.35">
      <c r="A227" s="103"/>
      <c r="B227" s="12" t="s">
        <v>9</v>
      </c>
      <c r="C227" s="10" t="s">
        <v>369</v>
      </c>
      <c r="D227" s="152"/>
      <c r="E227" s="170"/>
      <c r="F227" s="95"/>
      <c r="G227" s="153" t="str">
        <f t="shared" si="19"/>
        <v/>
      </c>
      <c r="H227" s="10" t="s">
        <v>20</v>
      </c>
      <c r="I227" s="331">
        <v>0.04</v>
      </c>
      <c r="J227" s="50">
        <f t="shared" si="20"/>
        <v>0</v>
      </c>
    </row>
    <row r="228" spans="1:10" x14ac:dyDescent="0.35">
      <c r="A228" s="103"/>
      <c r="B228" s="12" t="s">
        <v>9</v>
      </c>
      <c r="C228" s="10" t="s">
        <v>370</v>
      </c>
      <c r="D228" s="152"/>
      <c r="E228" s="170"/>
      <c r="F228" s="95"/>
      <c r="G228" s="153" t="str">
        <f t="shared" si="19"/>
        <v/>
      </c>
      <c r="H228" s="10" t="s">
        <v>20</v>
      </c>
      <c r="I228" s="331">
        <v>7.0999999999999994E-2</v>
      </c>
      <c r="J228" s="50">
        <f t="shared" si="20"/>
        <v>0</v>
      </c>
    </row>
    <row r="229" spans="1:10" hidden="1" x14ac:dyDescent="0.35">
      <c r="A229" s="103"/>
      <c r="B229" s="12" t="s">
        <v>9</v>
      </c>
      <c r="C229" s="10" t="s">
        <v>411</v>
      </c>
      <c r="D229" s="152"/>
      <c r="E229" s="170"/>
      <c r="F229" s="95"/>
      <c r="G229" s="153"/>
      <c r="H229" s="10" t="s">
        <v>20</v>
      </c>
      <c r="I229" s="331">
        <v>1.97</v>
      </c>
      <c r="J229" s="50"/>
    </row>
    <row r="230" spans="1:10" hidden="1" x14ac:dyDescent="0.35">
      <c r="A230" s="103"/>
      <c r="B230" s="12" t="s">
        <v>9</v>
      </c>
      <c r="C230" s="10" t="s">
        <v>371</v>
      </c>
      <c r="D230" s="152"/>
      <c r="E230" s="170"/>
      <c r="F230" s="95"/>
      <c r="G230" s="153" t="str">
        <f t="shared" si="19"/>
        <v/>
      </c>
      <c r="H230" s="10" t="s">
        <v>61</v>
      </c>
      <c r="I230" s="331">
        <v>163.80000000000001</v>
      </c>
      <c r="J230" s="50">
        <f t="shared" si="20"/>
        <v>0</v>
      </c>
    </row>
    <row r="231" spans="1:10" hidden="1" x14ac:dyDescent="0.35">
      <c r="A231" s="103"/>
      <c r="B231" s="12" t="s">
        <v>9</v>
      </c>
      <c r="C231" s="10" t="s">
        <v>410</v>
      </c>
      <c r="D231" s="152"/>
      <c r="E231" s="170"/>
      <c r="F231" s="151"/>
      <c r="G231" s="153" t="str">
        <f t="shared" si="19"/>
        <v/>
      </c>
      <c r="H231" s="10" t="s">
        <v>61</v>
      </c>
      <c r="I231" s="331">
        <v>49.33</v>
      </c>
      <c r="J231" s="50">
        <f t="shared" si="20"/>
        <v>0</v>
      </c>
    </row>
    <row r="232" spans="1:10" hidden="1" x14ac:dyDescent="0.35">
      <c r="A232" s="103"/>
      <c r="B232" s="12" t="s">
        <v>9</v>
      </c>
      <c r="C232" s="10" t="s">
        <v>373</v>
      </c>
      <c r="D232" s="152"/>
      <c r="E232" s="170"/>
      <c r="F232" s="151"/>
      <c r="G232" s="153" t="str">
        <f t="shared" si="19"/>
        <v/>
      </c>
      <c r="H232" s="10" t="s">
        <v>61</v>
      </c>
      <c r="I232" s="331">
        <v>105.6</v>
      </c>
      <c r="J232" s="50">
        <f t="shared" si="20"/>
        <v>0</v>
      </c>
    </row>
    <row r="233" spans="1:10" hidden="1" x14ac:dyDescent="0.35">
      <c r="A233" s="103"/>
      <c r="B233" s="12" t="s">
        <v>9</v>
      </c>
      <c r="C233" s="10" t="s">
        <v>374</v>
      </c>
      <c r="D233" s="152"/>
      <c r="E233" s="170"/>
      <c r="F233" s="151"/>
      <c r="G233" s="153" t="str">
        <f t="shared" si="19"/>
        <v/>
      </c>
      <c r="H233" s="10" t="s">
        <v>61</v>
      </c>
      <c r="I233" s="331">
        <v>114.75</v>
      </c>
      <c r="J233" s="50">
        <f t="shared" si="20"/>
        <v>0</v>
      </c>
    </row>
    <row r="234" spans="1:10" hidden="1" x14ac:dyDescent="0.35">
      <c r="A234" s="103"/>
      <c r="B234" s="12" t="s">
        <v>9</v>
      </c>
      <c r="C234" s="10" t="s">
        <v>375</v>
      </c>
      <c r="D234" s="152"/>
      <c r="E234" s="170"/>
      <c r="F234" s="95"/>
      <c r="G234" s="153" t="str">
        <f t="shared" si="19"/>
        <v/>
      </c>
      <c r="H234" s="10" t="s">
        <v>61</v>
      </c>
      <c r="I234" s="331">
        <v>105.55</v>
      </c>
      <c r="J234" s="50">
        <f t="shared" si="20"/>
        <v>0</v>
      </c>
    </row>
    <row r="235" spans="1:10" x14ac:dyDescent="0.35">
      <c r="A235" s="103"/>
      <c r="B235" s="12" t="s">
        <v>9</v>
      </c>
      <c r="C235" s="10" t="s">
        <v>376</v>
      </c>
      <c r="D235" s="152">
        <v>1</v>
      </c>
      <c r="E235" s="170">
        <v>1</v>
      </c>
      <c r="F235" s="95"/>
      <c r="G235" s="153" t="str">
        <f t="shared" si="19"/>
        <v/>
      </c>
      <c r="H235" s="10" t="s">
        <v>61</v>
      </c>
      <c r="I235" s="331">
        <v>33.25</v>
      </c>
      <c r="J235" s="50">
        <f t="shared" si="20"/>
        <v>33.25</v>
      </c>
    </row>
    <row r="236" spans="1:10" hidden="1" x14ac:dyDescent="0.35">
      <c r="A236" s="103"/>
      <c r="B236" s="12" t="s">
        <v>9</v>
      </c>
      <c r="C236" s="10" t="s">
        <v>377</v>
      </c>
      <c r="D236" s="152"/>
      <c r="E236" s="170"/>
      <c r="F236" s="95"/>
      <c r="G236" s="153" t="str">
        <f t="shared" si="19"/>
        <v/>
      </c>
      <c r="H236" s="10" t="s">
        <v>20</v>
      </c>
      <c r="I236" s="331">
        <v>0.28999999999999998</v>
      </c>
      <c r="J236" s="50">
        <f t="shared" si="20"/>
        <v>0</v>
      </c>
    </row>
    <row r="237" spans="1:10" hidden="1" x14ac:dyDescent="0.35">
      <c r="A237" s="103"/>
      <c r="B237" s="12" t="s">
        <v>9</v>
      </c>
      <c r="C237" s="10" t="s">
        <v>378</v>
      </c>
      <c r="D237" s="152"/>
      <c r="E237" s="170"/>
      <c r="F237" s="95"/>
      <c r="G237" s="153" t="str">
        <f t="shared" si="19"/>
        <v/>
      </c>
      <c r="H237" s="10" t="s">
        <v>61</v>
      </c>
      <c r="I237" s="336">
        <v>37.85</v>
      </c>
      <c r="J237" s="50">
        <f t="shared" si="20"/>
        <v>0</v>
      </c>
    </row>
    <row r="238" spans="1:10" x14ac:dyDescent="0.35">
      <c r="A238" s="103"/>
      <c r="B238" s="12" t="s">
        <v>9</v>
      </c>
      <c r="C238" s="10" t="s">
        <v>425</v>
      </c>
      <c r="D238" s="152">
        <v>1</v>
      </c>
      <c r="E238" s="170"/>
      <c r="F238" s="95"/>
      <c r="G238" s="153" t="str">
        <f t="shared" si="19"/>
        <v/>
      </c>
      <c r="H238" s="10" t="s">
        <v>61</v>
      </c>
      <c r="I238" s="336">
        <v>111.47</v>
      </c>
      <c r="J238" s="50">
        <f t="shared" si="20"/>
        <v>0</v>
      </c>
    </row>
    <row r="239" spans="1:10" hidden="1" x14ac:dyDescent="0.35">
      <c r="A239" s="103"/>
      <c r="B239" s="12" t="s">
        <v>9</v>
      </c>
      <c r="C239" s="10" t="s">
        <v>379</v>
      </c>
      <c r="D239" s="152"/>
      <c r="E239" s="170"/>
      <c r="F239" s="95"/>
      <c r="G239" s="153" t="str">
        <f t="shared" si="19"/>
        <v/>
      </c>
      <c r="H239" s="10" t="s">
        <v>61</v>
      </c>
      <c r="I239" s="336">
        <v>174.97</v>
      </c>
      <c r="J239" s="50">
        <f t="shared" si="20"/>
        <v>0</v>
      </c>
    </row>
    <row r="240" spans="1:10" x14ac:dyDescent="0.35">
      <c r="A240" s="103"/>
      <c r="B240" s="12" t="s">
        <v>9</v>
      </c>
      <c r="C240" s="10" t="s">
        <v>380</v>
      </c>
      <c r="D240" s="152"/>
      <c r="E240" s="170"/>
      <c r="F240" s="95"/>
      <c r="G240" s="153" t="str">
        <f t="shared" si="19"/>
        <v/>
      </c>
      <c r="H240" s="10" t="s">
        <v>61</v>
      </c>
      <c r="I240" s="336">
        <v>44.93</v>
      </c>
      <c r="J240" s="50">
        <f t="shared" si="20"/>
        <v>0</v>
      </c>
    </row>
    <row r="241" spans="1:10" x14ac:dyDescent="0.35">
      <c r="A241" s="103"/>
      <c r="B241" s="12" t="s">
        <v>9</v>
      </c>
      <c r="C241" s="10" t="s">
        <v>426</v>
      </c>
      <c r="D241" s="152">
        <v>2</v>
      </c>
      <c r="E241" s="170"/>
      <c r="F241" s="95"/>
      <c r="G241" s="153" t="str">
        <f t="shared" si="19"/>
        <v/>
      </c>
      <c r="H241" s="10" t="s">
        <v>20</v>
      </c>
      <c r="I241" s="336">
        <v>29.2</v>
      </c>
      <c r="J241" s="50">
        <f t="shared" si="20"/>
        <v>0</v>
      </c>
    </row>
    <row r="242" spans="1:10" x14ac:dyDescent="0.35">
      <c r="A242" s="103"/>
      <c r="B242" s="12" t="s">
        <v>9</v>
      </c>
      <c r="C242" s="10" t="s">
        <v>427</v>
      </c>
      <c r="D242" s="152">
        <v>2</v>
      </c>
      <c r="E242" s="170"/>
      <c r="F242" s="95"/>
      <c r="G242" s="153" t="str">
        <f t="shared" si="19"/>
        <v/>
      </c>
      <c r="H242" s="10" t="s">
        <v>20</v>
      </c>
      <c r="I242" s="336">
        <v>19.03</v>
      </c>
      <c r="J242" s="50">
        <f t="shared" si="20"/>
        <v>0</v>
      </c>
    </row>
    <row r="243" spans="1:10" x14ac:dyDescent="0.35">
      <c r="A243" s="103"/>
      <c r="B243" s="12" t="s">
        <v>9</v>
      </c>
      <c r="C243" s="10" t="s">
        <v>428</v>
      </c>
      <c r="D243" s="152"/>
      <c r="E243" s="170"/>
      <c r="F243" s="95"/>
      <c r="G243" s="153" t="str">
        <f t="shared" si="19"/>
        <v/>
      </c>
      <c r="H243" s="10" t="s">
        <v>20</v>
      </c>
      <c r="I243" s="336">
        <v>8.4600000000000009</v>
      </c>
      <c r="J243" s="50">
        <f t="shared" si="20"/>
        <v>0</v>
      </c>
    </row>
    <row r="244" spans="1:10" hidden="1" x14ac:dyDescent="0.35">
      <c r="A244" s="103"/>
      <c r="B244" s="12" t="s">
        <v>9</v>
      </c>
      <c r="C244" s="10" t="s">
        <v>381</v>
      </c>
      <c r="D244" s="152"/>
      <c r="E244" s="170"/>
      <c r="F244" s="95"/>
      <c r="G244" s="153" t="str">
        <f t="shared" si="19"/>
        <v/>
      </c>
      <c r="H244" s="10" t="s">
        <v>20</v>
      </c>
      <c r="I244" s="336">
        <v>0.02</v>
      </c>
      <c r="J244" s="50">
        <f t="shared" si="20"/>
        <v>0</v>
      </c>
    </row>
    <row r="245" spans="1:10" ht="15.5" x14ac:dyDescent="0.35">
      <c r="A245" s="108" t="s">
        <v>382</v>
      </c>
      <c r="B245" s="108"/>
      <c r="C245" s="108"/>
      <c r="D245" s="223"/>
      <c r="E245" s="169"/>
      <c r="F245" s="109"/>
      <c r="G245" s="165" t="str">
        <f t="shared" si="19"/>
        <v/>
      </c>
      <c r="H245" s="108"/>
      <c r="I245" s="106" t="s">
        <v>18</v>
      </c>
      <c r="J245" s="107">
        <f>SUM(J246:J256)</f>
        <v>21.7</v>
      </c>
    </row>
    <row r="246" spans="1:10" x14ac:dyDescent="0.35">
      <c r="A246" s="103"/>
      <c r="B246" s="12" t="s">
        <v>31</v>
      </c>
      <c r="C246" s="10" t="s">
        <v>383</v>
      </c>
      <c r="D246" s="152"/>
      <c r="E246" s="170"/>
      <c r="F246" s="95"/>
      <c r="G246" s="153" t="str">
        <f t="shared" si="19"/>
        <v/>
      </c>
      <c r="H246" s="10" t="s">
        <v>20</v>
      </c>
      <c r="I246" s="331">
        <v>5.5</v>
      </c>
      <c r="J246" s="12">
        <f t="shared" ref="J246:J256" si="21">E246*I246</f>
        <v>0</v>
      </c>
    </row>
    <row r="247" spans="1:10" x14ac:dyDescent="0.35">
      <c r="A247" s="103"/>
      <c r="B247" s="12" t="s">
        <v>31</v>
      </c>
      <c r="C247" s="10" t="s">
        <v>39</v>
      </c>
      <c r="D247" s="152">
        <v>2</v>
      </c>
      <c r="E247" s="170">
        <v>4</v>
      </c>
      <c r="F247" s="95"/>
      <c r="G247" s="153" t="str">
        <f t="shared" si="19"/>
        <v/>
      </c>
      <c r="H247" s="10" t="s">
        <v>20</v>
      </c>
      <c r="I247" s="331">
        <v>4.55</v>
      </c>
      <c r="J247" s="12">
        <f t="shared" si="21"/>
        <v>18.2</v>
      </c>
    </row>
    <row r="248" spans="1:10" x14ac:dyDescent="0.35">
      <c r="A248" s="103"/>
      <c r="B248" s="12" t="s">
        <v>31</v>
      </c>
      <c r="C248" s="10" t="s">
        <v>422</v>
      </c>
      <c r="D248" s="152">
        <v>2</v>
      </c>
      <c r="E248" s="170"/>
      <c r="F248" s="95"/>
      <c r="G248" s="153" t="str">
        <f t="shared" si="19"/>
        <v/>
      </c>
      <c r="H248" s="10" t="s">
        <v>20</v>
      </c>
      <c r="I248" s="331">
        <v>3.7</v>
      </c>
      <c r="J248" s="12">
        <f t="shared" si="21"/>
        <v>0</v>
      </c>
    </row>
    <row r="249" spans="1:10" x14ac:dyDescent="0.35">
      <c r="A249" s="103"/>
      <c r="B249" s="12" t="s">
        <v>31</v>
      </c>
      <c r="C249" s="10" t="s">
        <v>67</v>
      </c>
      <c r="D249" s="152">
        <v>1</v>
      </c>
      <c r="E249" s="170"/>
      <c r="F249" s="95"/>
      <c r="G249" s="153" t="str">
        <f t="shared" si="19"/>
        <v/>
      </c>
      <c r="H249" s="10" t="s">
        <v>20</v>
      </c>
      <c r="I249" s="331">
        <v>15.56</v>
      </c>
      <c r="J249" s="12">
        <f t="shared" si="21"/>
        <v>0</v>
      </c>
    </row>
    <row r="250" spans="1:10" hidden="1" x14ac:dyDescent="0.35">
      <c r="A250" s="103"/>
      <c r="B250" s="12" t="s">
        <v>31</v>
      </c>
      <c r="C250" s="10" t="s">
        <v>384</v>
      </c>
      <c r="D250" s="152"/>
      <c r="E250" s="170"/>
      <c r="F250" s="95"/>
      <c r="G250" s="153" t="str">
        <f t="shared" si="19"/>
        <v/>
      </c>
      <c r="H250" s="10" t="s">
        <v>20</v>
      </c>
      <c r="I250" s="331">
        <v>0.8</v>
      </c>
      <c r="J250" s="12">
        <f t="shared" si="21"/>
        <v>0</v>
      </c>
    </row>
    <row r="251" spans="1:10" hidden="1" x14ac:dyDescent="0.35">
      <c r="A251" s="103"/>
      <c r="B251" s="12" t="s">
        <v>31</v>
      </c>
      <c r="C251" s="10" t="s">
        <v>385</v>
      </c>
      <c r="D251" s="152"/>
      <c r="E251" s="170"/>
      <c r="F251" s="95"/>
      <c r="G251" s="153" t="str">
        <f t="shared" si="19"/>
        <v/>
      </c>
      <c r="H251" s="10" t="s">
        <v>20</v>
      </c>
      <c r="I251" s="331">
        <v>1.83</v>
      </c>
      <c r="J251" s="12">
        <f t="shared" si="21"/>
        <v>0</v>
      </c>
    </row>
    <row r="252" spans="1:10" x14ac:dyDescent="0.35">
      <c r="A252" s="103"/>
      <c r="B252" s="12" t="s">
        <v>31</v>
      </c>
      <c r="C252" s="10" t="s">
        <v>386</v>
      </c>
      <c r="D252" s="152">
        <v>2</v>
      </c>
      <c r="E252" s="170"/>
      <c r="F252" s="95"/>
      <c r="G252" s="153" t="str">
        <f t="shared" si="19"/>
        <v/>
      </c>
      <c r="H252" s="10" t="s">
        <v>20</v>
      </c>
      <c r="I252" s="331">
        <v>2.65</v>
      </c>
      <c r="J252" s="12">
        <f t="shared" si="21"/>
        <v>0</v>
      </c>
    </row>
    <row r="253" spans="1:10" x14ac:dyDescent="0.35">
      <c r="A253" s="103"/>
      <c r="B253" s="12" t="s">
        <v>31</v>
      </c>
      <c r="C253" s="10" t="s">
        <v>65</v>
      </c>
      <c r="D253" s="152">
        <v>1</v>
      </c>
      <c r="E253" s="170"/>
      <c r="F253" s="95"/>
      <c r="G253" s="153" t="str">
        <f t="shared" si="19"/>
        <v/>
      </c>
      <c r="H253" s="10" t="s">
        <v>20</v>
      </c>
      <c r="I253" s="331">
        <v>13.43</v>
      </c>
      <c r="J253" s="12">
        <f t="shared" si="21"/>
        <v>0</v>
      </c>
    </row>
    <row r="254" spans="1:10" hidden="1" x14ac:dyDescent="0.35">
      <c r="A254" s="103"/>
      <c r="B254" s="12" t="s">
        <v>31</v>
      </c>
      <c r="C254" s="10" t="s">
        <v>66</v>
      </c>
      <c r="D254" s="152"/>
      <c r="E254" s="170"/>
      <c r="F254" s="95"/>
      <c r="G254" s="153" t="str">
        <f t="shared" si="19"/>
        <v/>
      </c>
      <c r="H254" s="10" t="s">
        <v>20</v>
      </c>
      <c r="I254" s="331">
        <v>75.38</v>
      </c>
      <c r="J254" s="12">
        <f t="shared" si="21"/>
        <v>0</v>
      </c>
    </row>
    <row r="255" spans="1:10" x14ac:dyDescent="0.35">
      <c r="A255" s="103"/>
      <c r="B255" s="12" t="s">
        <v>31</v>
      </c>
      <c r="C255" s="10" t="s">
        <v>412</v>
      </c>
      <c r="D255" s="152">
        <v>1</v>
      </c>
      <c r="E255" s="170"/>
      <c r="F255" s="95"/>
      <c r="G255" s="153" t="str">
        <f t="shared" si="19"/>
        <v/>
      </c>
      <c r="H255" s="10" t="s">
        <v>20</v>
      </c>
      <c r="I255" s="331">
        <v>8.43</v>
      </c>
      <c r="J255" s="12">
        <f t="shared" si="21"/>
        <v>0</v>
      </c>
    </row>
    <row r="256" spans="1:10" x14ac:dyDescent="0.35">
      <c r="A256" s="103"/>
      <c r="B256" s="12" t="s">
        <v>31</v>
      </c>
      <c r="C256" s="10" t="s">
        <v>69</v>
      </c>
      <c r="D256" s="152">
        <v>1</v>
      </c>
      <c r="E256" s="170">
        <v>1</v>
      </c>
      <c r="F256" s="95"/>
      <c r="G256" s="153" t="str">
        <f t="shared" si="19"/>
        <v/>
      </c>
      <c r="H256" s="10" t="s">
        <v>63</v>
      </c>
      <c r="I256" s="331">
        <v>3.5</v>
      </c>
      <c r="J256" s="12">
        <f t="shared" si="21"/>
        <v>3.5</v>
      </c>
    </row>
    <row r="257" spans="1:10" ht="15.5" x14ac:dyDescent="0.35">
      <c r="A257" s="108" t="s">
        <v>57</v>
      </c>
      <c r="B257" s="108"/>
      <c r="C257" s="108"/>
      <c r="D257" s="231"/>
      <c r="E257" s="169"/>
      <c r="F257" s="109"/>
      <c r="G257" s="165" t="str">
        <f t="shared" si="19"/>
        <v/>
      </c>
      <c r="H257" s="108"/>
      <c r="I257" s="106" t="s">
        <v>18</v>
      </c>
      <c r="J257" s="107">
        <f>SUM(J258:J259)</f>
        <v>0</v>
      </c>
    </row>
    <row r="258" spans="1:10" hidden="1" x14ac:dyDescent="0.35">
      <c r="A258" s="103"/>
      <c r="B258" s="12" t="s">
        <v>56</v>
      </c>
      <c r="C258" s="10" t="s">
        <v>58</v>
      </c>
      <c r="D258" s="94"/>
      <c r="E258" s="170"/>
      <c r="F258" s="94"/>
      <c r="G258" s="94" t="str">
        <f t="shared" ref="G258:G259" si="22">IF(D258-E258&gt;0,D258-E258,"")</f>
        <v/>
      </c>
      <c r="H258" s="10" t="s">
        <v>20</v>
      </c>
      <c r="I258" s="331">
        <v>54.05</v>
      </c>
      <c r="J258" s="12">
        <f>E258*I258</f>
        <v>0</v>
      </c>
    </row>
    <row r="259" spans="1:10" hidden="1" x14ac:dyDescent="0.35">
      <c r="A259" s="103"/>
      <c r="B259" s="12" t="s">
        <v>56</v>
      </c>
      <c r="C259" s="10" t="s">
        <v>388</v>
      </c>
      <c r="D259" s="94"/>
      <c r="E259" s="170"/>
      <c r="F259" s="94"/>
      <c r="G259" s="94" t="str">
        <f t="shared" si="22"/>
        <v/>
      </c>
      <c r="H259" s="10" t="s">
        <v>20</v>
      </c>
      <c r="I259" s="331">
        <v>0</v>
      </c>
      <c r="J259" s="12">
        <f>E259*I259</f>
        <v>0</v>
      </c>
    </row>
  </sheetData>
  <mergeCells count="2">
    <mergeCell ref="B1:C1"/>
    <mergeCell ref="B2:C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DF1AF-E466-9946-A80D-644107C707D1}">
  <sheetPr codeName="Feuil21">
    <tabColor theme="8" tint="0.39997558519241921"/>
    <pageSetUpPr fitToPage="1"/>
  </sheetPr>
  <dimension ref="A1:N259"/>
  <sheetViews>
    <sheetView zoomScaleNormal="100" workbookViewId="0">
      <selection activeCell="J209" sqref="J209"/>
    </sheetView>
  </sheetViews>
  <sheetFormatPr baseColWidth="10" defaultColWidth="8.453125" defaultRowHeight="14.5" x14ac:dyDescent="0.35"/>
  <cols>
    <col min="1" max="1" width="2.54296875" customWidth="1"/>
    <col min="2" max="2" width="32.26953125" customWidth="1"/>
    <col min="3" max="3" width="44.54296875" bestFit="1" customWidth="1"/>
    <col min="4" max="4" width="19.7265625" bestFit="1" customWidth="1"/>
    <col min="5" max="5" width="18.81640625" style="34" bestFit="1" customWidth="1"/>
    <col min="6" max="6" width="18.26953125" hidden="1" customWidth="1"/>
    <col min="7" max="7" width="14" bestFit="1" customWidth="1"/>
    <col min="8" max="8" width="6.81640625" bestFit="1" customWidth="1"/>
    <col min="9" max="9" width="8.453125" style="86" bestFit="1" customWidth="1"/>
    <col min="10" max="10" width="7.1796875" customWidth="1"/>
  </cols>
  <sheetData>
    <row r="1" spans="2:7" ht="15" thickBot="1" x14ac:dyDescent="0.4">
      <c r="B1" s="321" t="s">
        <v>198</v>
      </c>
      <c r="C1" s="322"/>
      <c r="F1" s="89"/>
      <c r="G1" s="89"/>
    </row>
    <row r="2" spans="2:7" ht="15" thickBot="1" x14ac:dyDescent="0.4">
      <c r="B2" s="319"/>
      <c r="C2" s="320"/>
      <c r="F2" s="90"/>
      <c r="G2" s="90"/>
    </row>
    <row r="3" spans="2:7" x14ac:dyDescent="0.35">
      <c r="B3" s="75"/>
      <c r="C3" s="75"/>
      <c r="F3" s="75"/>
      <c r="G3" s="75"/>
    </row>
    <row r="4" spans="2:7" ht="15.5" x14ac:dyDescent="0.35">
      <c r="B4" s="70" t="s">
        <v>0</v>
      </c>
      <c r="C4" s="70" t="s">
        <v>1</v>
      </c>
      <c r="F4" s="91"/>
      <c r="G4" s="91"/>
    </row>
    <row r="5" spans="2:7" x14ac:dyDescent="0.35">
      <c r="B5" s="71" t="s">
        <v>2</v>
      </c>
      <c r="C5" s="72">
        <f>J23</f>
        <v>4616.4500000000007</v>
      </c>
      <c r="F5" s="92"/>
      <c r="G5" s="92"/>
    </row>
    <row r="6" spans="2:7" x14ac:dyDescent="0.35">
      <c r="B6" s="71" t="s">
        <v>7</v>
      </c>
      <c r="C6" s="72">
        <f>J4</f>
        <v>0</v>
      </c>
      <c r="F6" s="92"/>
      <c r="G6" s="92"/>
    </row>
    <row r="7" spans="2:7" x14ac:dyDescent="0.35">
      <c r="B7" s="71" t="s">
        <v>13</v>
      </c>
      <c r="C7" s="72">
        <f>J50</f>
        <v>131.1</v>
      </c>
      <c r="F7" s="92"/>
      <c r="G7" s="92"/>
    </row>
    <row r="8" spans="2:7" x14ac:dyDescent="0.35">
      <c r="B8" s="71" t="s">
        <v>3</v>
      </c>
      <c r="C8" s="72">
        <f>J78</f>
        <v>0</v>
      </c>
      <c r="F8" s="92"/>
      <c r="G8" s="92"/>
    </row>
    <row r="9" spans="2:7" x14ac:dyDescent="0.35">
      <c r="B9" s="71" t="s">
        <v>4</v>
      </c>
      <c r="C9" s="72">
        <f>J122</f>
        <v>469.35</v>
      </c>
      <c r="F9" s="92"/>
      <c r="G9" s="92"/>
    </row>
    <row r="10" spans="2:7" x14ac:dyDescent="0.35">
      <c r="B10" s="71" t="s">
        <v>199</v>
      </c>
      <c r="C10" s="72">
        <f>J176</f>
        <v>0</v>
      </c>
      <c r="F10" s="92"/>
      <c r="G10" s="92"/>
    </row>
    <row r="11" spans="2:7" x14ac:dyDescent="0.35">
      <c r="B11" s="71" t="s">
        <v>200</v>
      </c>
      <c r="C11" s="72">
        <f>J187</f>
        <v>165.6</v>
      </c>
      <c r="F11" s="92"/>
      <c r="G11" s="92"/>
    </row>
    <row r="12" spans="2:7" x14ac:dyDescent="0.35">
      <c r="B12" s="71" t="s">
        <v>201</v>
      </c>
      <c r="C12" s="72">
        <f>J193</f>
        <v>0</v>
      </c>
      <c r="F12" s="92"/>
      <c r="G12" s="92"/>
    </row>
    <row r="13" spans="2:7" x14ac:dyDescent="0.35">
      <c r="B13" s="71" t="s">
        <v>202</v>
      </c>
      <c r="C13" s="72">
        <f>J195</f>
        <v>116.07999999999998</v>
      </c>
      <c r="F13" s="92"/>
      <c r="G13" s="92"/>
    </row>
    <row r="14" spans="2:7" x14ac:dyDescent="0.35">
      <c r="B14" s="71" t="s">
        <v>203</v>
      </c>
      <c r="C14" s="72">
        <f>J208</f>
        <v>0</v>
      </c>
      <c r="F14" s="92"/>
      <c r="G14" s="92"/>
    </row>
    <row r="15" spans="2:7" x14ac:dyDescent="0.35">
      <c r="B15" s="71" t="s">
        <v>12</v>
      </c>
      <c r="C15" s="72">
        <f>J214</f>
        <v>0</v>
      </c>
      <c r="F15" s="92"/>
      <c r="G15" s="92"/>
    </row>
    <row r="16" spans="2:7" x14ac:dyDescent="0.35">
      <c r="B16" s="71" t="s">
        <v>204</v>
      </c>
      <c r="C16" s="72">
        <f>J222</f>
        <v>0</v>
      </c>
      <c r="F16" s="92"/>
      <c r="G16" s="92"/>
    </row>
    <row r="17" spans="1:11" x14ac:dyDescent="0.35">
      <c r="B17" s="71" t="s">
        <v>9</v>
      </c>
      <c r="C17" s="72">
        <f>J224</f>
        <v>695.95</v>
      </c>
      <c r="F17" s="92"/>
      <c r="G17" s="92"/>
    </row>
    <row r="18" spans="1:11" x14ac:dyDescent="0.35">
      <c r="B18" s="71" t="s">
        <v>205</v>
      </c>
      <c r="C18" s="72">
        <f>J245</f>
        <v>59.98</v>
      </c>
      <c r="F18" s="92"/>
      <c r="G18" s="92"/>
    </row>
    <row r="19" spans="1:11" x14ac:dyDescent="0.35">
      <c r="B19" s="71" t="s">
        <v>56</v>
      </c>
      <c r="C19" s="72">
        <f>J257</f>
        <v>0</v>
      </c>
      <c r="F19" s="92"/>
      <c r="G19" s="92"/>
    </row>
    <row r="20" spans="1:11" x14ac:dyDescent="0.35">
      <c r="B20" s="73" t="s">
        <v>14</v>
      </c>
      <c r="C20" s="74">
        <f>C5+C6+C7+C8+C9+C10+C11+C12+C13+C14+C15+C16+C17+C18+C19</f>
        <v>6254.5100000000011</v>
      </c>
      <c r="F20" s="93"/>
      <c r="G20" s="93"/>
    </row>
    <row r="21" spans="1:11" ht="18.75" customHeight="1" x14ac:dyDescent="0.45">
      <c r="A21" s="76" t="s">
        <v>207</v>
      </c>
      <c r="B21" s="76"/>
      <c r="C21" s="76"/>
      <c r="D21" s="76"/>
      <c r="E21" s="167"/>
      <c r="F21" s="76"/>
      <c r="G21" s="76"/>
      <c r="H21" s="76"/>
      <c r="I21" s="262"/>
      <c r="J21" s="76"/>
    </row>
    <row r="22" spans="1:11" ht="14.25" customHeight="1" x14ac:dyDescent="0.35">
      <c r="A22" s="129"/>
      <c r="B22" s="129" t="s">
        <v>15</v>
      </c>
      <c r="C22" s="129" t="s">
        <v>16</v>
      </c>
      <c r="D22" s="130" t="s">
        <v>398</v>
      </c>
      <c r="E22" s="168" t="s">
        <v>401</v>
      </c>
      <c r="F22" s="130" t="s">
        <v>399</v>
      </c>
      <c r="G22" s="164" t="s">
        <v>400</v>
      </c>
      <c r="H22" s="132" t="s">
        <v>406</v>
      </c>
      <c r="I22" s="341" t="s">
        <v>45</v>
      </c>
      <c r="J22" s="132" t="s">
        <v>402</v>
      </c>
    </row>
    <row r="23" spans="1:11" s="6" customFormat="1" ht="15.5" x14ac:dyDescent="0.35">
      <c r="A23" s="108" t="s">
        <v>208</v>
      </c>
      <c r="B23" s="108"/>
      <c r="C23" s="108"/>
      <c r="D23" s="108"/>
      <c r="E23" s="169" t="s">
        <v>421</v>
      </c>
      <c r="F23" s="108"/>
      <c r="G23" s="108"/>
      <c r="H23" s="108"/>
      <c r="I23" s="110" t="s">
        <v>18</v>
      </c>
      <c r="J23" s="107">
        <f>SUM(J24:J40)</f>
        <v>4616.4500000000007</v>
      </c>
    </row>
    <row r="24" spans="1:11" x14ac:dyDescent="0.35">
      <c r="A24" s="103"/>
      <c r="B24" s="7" t="s">
        <v>2</v>
      </c>
      <c r="C24" s="14" t="s">
        <v>19</v>
      </c>
      <c r="D24" s="94"/>
      <c r="E24" s="170">
        <v>3</v>
      </c>
      <c r="F24" s="94"/>
      <c r="G24" s="94" t="str">
        <f>IF(E24="","",IF(D24-E24&gt;0,D24-E24,""))</f>
        <v/>
      </c>
      <c r="H24" s="10" t="s">
        <v>20</v>
      </c>
      <c r="I24" s="331">
        <v>55.95</v>
      </c>
      <c r="J24" s="12">
        <f t="shared" ref="J24:J40" si="0">E24*I24</f>
        <v>167.85000000000002</v>
      </c>
      <c r="K24" s="13"/>
    </row>
    <row r="25" spans="1:11" hidden="1" x14ac:dyDescent="0.35">
      <c r="A25" s="103"/>
      <c r="B25" s="7" t="s">
        <v>2</v>
      </c>
      <c r="C25" s="14" t="s">
        <v>209</v>
      </c>
      <c r="D25" s="94"/>
      <c r="E25" s="170"/>
      <c r="F25" s="94"/>
      <c r="G25" s="94" t="str">
        <f t="shared" ref="G25:G88" si="1">IF(E25="","",IF(D25-E25&gt;0,D25-E25,""))</f>
        <v/>
      </c>
      <c r="H25" s="10" t="s">
        <v>20</v>
      </c>
      <c r="I25" s="331">
        <v>173.1</v>
      </c>
      <c r="J25" s="12">
        <f t="shared" si="0"/>
        <v>0</v>
      </c>
      <c r="K25" s="13"/>
    </row>
    <row r="26" spans="1:11" x14ac:dyDescent="0.35">
      <c r="A26" s="103"/>
      <c r="B26" s="12" t="s">
        <v>2</v>
      </c>
      <c r="C26" s="10" t="s">
        <v>21</v>
      </c>
      <c r="D26" s="94"/>
      <c r="E26" s="170">
        <v>59</v>
      </c>
      <c r="F26" s="94"/>
      <c r="G26" s="94" t="str">
        <f t="shared" si="1"/>
        <v/>
      </c>
      <c r="H26" s="10" t="s">
        <v>20</v>
      </c>
      <c r="I26" s="331">
        <v>75.400000000000006</v>
      </c>
      <c r="J26" s="12">
        <f t="shared" si="0"/>
        <v>4448.6000000000004</v>
      </c>
      <c r="K26" s="13"/>
    </row>
    <row r="27" spans="1:11" ht="14.5" customHeight="1" x14ac:dyDescent="0.35">
      <c r="A27" s="103"/>
      <c r="B27" s="12" t="s">
        <v>2</v>
      </c>
      <c r="C27" s="10" t="s">
        <v>210</v>
      </c>
      <c r="D27" s="94"/>
      <c r="E27" s="170"/>
      <c r="F27" s="94"/>
      <c r="G27" s="94" t="str">
        <f t="shared" si="1"/>
        <v/>
      </c>
      <c r="H27" s="10" t="s">
        <v>20</v>
      </c>
      <c r="I27" s="331">
        <v>84.9</v>
      </c>
      <c r="J27" s="12">
        <f t="shared" si="0"/>
        <v>0</v>
      </c>
      <c r="K27" s="13"/>
    </row>
    <row r="28" spans="1:11" ht="14.5" hidden="1" customHeight="1" x14ac:dyDescent="0.35">
      <c r="A28" s="103"/>
      <c r="B28" s="12" t="s">
        <v>2</v>
      </c>
      <c r="C28" s="10" t="s">
        <v>211</v>
      </c>
      <c r="D28" s="94"/>
      <c r="E28" s="170"/>
      <c r="F28" s="94"/>
      <c r="G28" s="94" t="str">
        <f t="shared" si="1"/>
        <v/>
      </c>
      <c r="H28" s="10" t="s">
        <v>20</v>
      </c>
      <c r="I28" s="331">
        <v>2.96</v>
      </c>
      <c r="J28" s="12">
        <f t="shared" si="0"/>
        <v>0</v>
      </c>
      <c r="K28" s="13"/>
    </row>
    <row r="29" spans="1:11" ht="14.5" hidden="1" customHeight="1" x14ac:dyDescent="0.35">
      <c r="A29" s="103"/>
      <c r="B29" s="12" t="s">
        <v>2</v>
      </c>
      <c r="C29" s="10" t="s">
        <v>212</v>
      </c>
      <c r="D29" s="94"/>
      <c r="E29" s="170"/>
      <c r="F29" s="94"/>
      <c r="G29" s="94" t="str">
        <f t="shared" si="1"/>
        <v/>
      </c>
      <c r="H29" s="10" t="s">
        <v>20</v>
      </c>
      <c r="I29" s="331">
        <v>2.96</v>
      </c>
      <c r="J29" s="12">
        <f t="shared" si="0"/>
        <v>0</v>
      </c>
      <c r="K29" s="13"/>
    </row>
    <row r="30" spans="1:11" hidden="1" x14ac:dyDescent="0.35">
      <c r="A30" s="103"/>
      <c r="B30" s="12" t="s">
        <v>2</v>
      </c>
      <c r="C30" s="10" t="s">
        <v>213</v>
      </c>
      <c r="D30" s="94"/>
      <c r="E30" s="170"/>
      <c r="F30" s="94"/>
      <c r="G30" s="94" t="str">
        <f t="shared" si="1"/>
        <v/>
      </c>
      <c r="H30" s="10" t="s">
        <v>20</v>
      </c>
      <c r="I30" s="331">
        <v>2.96</v>
      </c>
      <c r="J30" s="12">
        <f t="shared" si="0"/>
        <v>0</v>
      </c>
      <c r="K30" s="13"/>
    </row>
    <row r="31" spans="1:11" hidden="1" x14ac:dyDescent="0.35">
      <c r="A31" s="103"/>
      <c r="B31" s="7" t="s">
        <v>2</v>
      </c>
      <c r="C31" s="14" t="s">
        <v>22</v>
      </c>
      <c r="D31" s="94"/>
      <c r="E31" s="170"/>
      <c r="F31" s="94"/>
      <c r="G31" s="94" t="str">
        <f t="shared" si="1"/>
        <v/>
      </c>
      <c r="H31" s="10" t="s">
        <v>20</v>
      </c>
      <c r="I31" s="331">
        <v>107.2</v>
      </c>
      <c r="J31" s="12">
        <f t="shared" si="0"/>
        <v>0</v>
      </c>
      <c r="K31" s="13"/>
    </row>
    <row r="32" spans="1:11" ht="14.5" hidden="1" customHeight="1" x14ac:dyDescent="0.35">
      <c r="A32" s="103"/>
      <c r="B32" s="7" t="s">
        <v>2</v>
      </c>
      <c r="C32" s="14" t="s">
        <v>214</v>
      </c>
      <c r="D32" s="94"/>
      <c r="E32" s="170"/>
      <c r="F32" s="94"/>
      <c r="G32" s="94" t="str">
        <f t="shared" si="1"/>
        <v/>
      </c>
      <c r="H32" s="10" t="s">
        <v>20</v>
      </c>
      <c r="I32" s="331">
        <v>170.7</v>
      </c>
      <c r="J32" s="12">
        <f t="shared" si="0"/>
        <v>0</v>
      </c>
      <c r="K32" s="13"/>
    </row>
    <row r="33" spans="1:11" ht="14.5" hidden="1" customHeight="1" x14ac:dyDescent="0.35">
      <c r="A33" s="103"/>
      <c r="B33" s="12" t="s">
        <v>2</v>
      </c>
      <c r="C33" s="10" t="s">
        <v>215</v>
      </c>
      <c r="D33" s="94"/>
      <c r="E33" s="170"/>
      <c r="F33" s="94"/>
      <c r="G33" s="94" t="str">
        <f t="shared" si="1"/>
        <v/>
      </c>
      <c r="H33" s="10" t="s">
        <v>216</v>
      </c>
      <c r="I33" s="331">
        <v>3.77</v>
      </c>
      <c r="J33" s="12">
        <f t="shared" si="0"/>
        <v>0</v>
      </c>
      <c r="K33" s="13"/>
    </row>
    <row r="34" spans="1:11" s="6" customFormat="1" ht="15.65" hidden="1" customHeight="1" x14ac:dyDescent="0.35">
      <c r="A34" s="103"/>
      <c r="B34" s="12" t="s">
        <v>2</v>
      </c>
      <c r="C34" s="10" t="s">
        <v>217</v>
      </c>
      <c r="D34" s="94"/>
      <c r="E34" s="170"/>
      <c r="F34" s="94"/>
      <c r="G34" s="94" t="str">
        <f t="shared" si="1"/>
        <v/>
      </c>
      <c r="H34" s="10" t="s">
        <v>20</v>
      </c>
      <c r="I34" s="331">
        <v>2.56</v>
      </c>
      <c r="J34" s="12">
        <f t="shared" si="0"/>
        <v>0</v>
      </c>
    </row>
    <row r="35" spans="1:11" ht="14.5" hidden="1" customHeight="1" x14ac:dyDescent="0.35">
      <c r="A35" s="103"/>
      <c r="B35" s="12" t="s">
        <v>2</v>
      </c>
      <c r="C35" s="10" t="s">
        <v>218</v>
      </c>
      <c r="D35" s="94"/>
      <c r="E35" s="170"/>
      <c r="F35" s="94"/>
      <c r="G35" s="94" t="str">
        <f t="shared" si="1"/>
        <v/>
      </c>
      <c r="H35" s="10" t="s">
        <v>20</v>
      </c>
      <c r="I35" s="331">
        <v>3.08</v>
      </c>
      <c r="J35" s="12">
        <f t="shared" si="0"/>
        <v>0</v>
      </c>
      <c r="K35" s="13"/>
    </row>
    <row r="36" spans="1:11" ht="14.5" hidden="1" customHeight="1" x14ac:dyDescent="0.35">
      <c r="A36" s="103"/>
      <c r="B36" s="12" t="s">
        <v>2</v>
      </c>
      <c r="C36" s="10" t="s">
        <v>219</v>
      </c>
      <c r="D36" s="94"/>
      <c r="E36" s="170"/>
      <c r="F36" s="94"/>
      <c r="G36" s="94" t="str">
        <f t="shared" si="1"/>
        <v/>
      </c>
      <c r="H36" s="10" t="s">
        <v>20</v>
      </c>
      <c r="I36" s="331">
        <v>2.56</v>
      </c>
      <c r="J36" s="12">
        <f t="shared" si="0"/>
        <v>0</v>
      </c>
      <c r="K36" s="13"/>
    </row>
    <row r="37" spans="1:11" hidden="1" x14ac:dyDescent="0.35">
      <c r="A37" s="103"/>
      <c r="B37" s="12" t="s">
        <v>2</v>
      </c>
      <c r="C37" s="10" t="s">
        <v>220</v>
      </c>
      <c r="D37" s="94"/>
      <c r="E37" s="170"/>
      <c r="F37" s="94"/>
      <c r="G37" s="94" t="str">
        <f t="shared" si="1"/>
        <v/>
      </c>
      <c r="H37" s="10" t="s">
        <v>20</v>
      </c>
      <c r="I37" s="331">
        <v>1.41</v>
      </c>
      <c r="J37" s="12">
        <f t="shared" si="0"/>
        <v>0</v>
      </c>
      <c r="K37" s="13"/>
    </row>
    <row r="38" spans="1:11" hidden="1" x14ac:dyDescent="0.35">
      <c r="A38" s="103"/>
      <c r="B38" s="12" t="s">
        <v>2</v>
      </c>
      <c r="C38" s="10" t="s">
        <v>221</v>
      </c>
      <c r="D38" s="94"/>
      <c r="E38" s="170"/>
      <c r="F38" s="94"/>
      <c r="G38" s="94" t="str">
        <f t="shared" si="1"/>
        <v/>
      </c>
      <c r="H38" s="10" t="s">
        <v>20</v>
      </c>
      <c r="I38" s="331">
        <v>1.73</v>
      </c>
      <c r="J38" s="12">
        <f t="shared" si="0"/>
        <v>0</v>
      </c>
      <c r="K38" s="13"/>
    </row>
    <row r="39" spans="1:11" hidden="1" x14ac:dyDescent="0.35">
      <c r="A39" s="103"/>
      <c r="B39" s="12" t="s">
        <v>2</v>
      </c>
      <c r="C39" s="10" t="s">
        <v>222</v>
      </c>
      <c r="D39" s="94"/>
      <c r="E39" s="170"/>
      <c r="F39" s="94"/>
      <c r="G39" s="94" t="str">
        <f t="shared" si="1"/>
        <v/>
      </c>
      <c r="H39" s="10" t="s">
        <v>20</v>
      </c>
      <c r="I39" s="331">
        <v>1.46</v>
      </c>
      <c r="J39" s="12">
        <f t="shared" si="0"/>
        <v>0</v>
      </c>
      <c r="K39" s="13"/>
    </row>
    <row r="40" spans="1:11" ht="14.5" hidden="1" customHeight="1" x14ac:dyDescent="0.35">
      <c r="A40" s="103"/>
      <c r="B40" s="12" t="s">
        <v>2</v>
      </c>
      <c r="C40" s="10" t="s">
        <v>223</v>
      </c>
      <c r="D40" s="96"/>
      <c r="E40" s="170"/>
      <c r="F40" s="96"/>
      <c r="G40" s="94" t="str">
        <f t="shared" si="1"/>
        <v/>
      </c>
      <c r="H40" s="10" t="s">
        <v>20</v>
      </c>
      <c r="I40" s="332">
        <v>3.45</v>
      </c>
      <c r="J40" s="12">
        <f t="shared" si="0"/>
        <v>0</v>
      </c>
      <c r="K40" s="13"/>
    </row>
    <row r="41" spans="1:11" s="6" customFormat="1" ht="15.65" hidden="1" customHeight="1" x14ac:dyDescent="0.35">
      <c r="A41" s="108" t="s">
        <v>119</v>
      </c>
      <c r="B41" s="108"/>
      <c r="C41" s="108"/>
      <c r="D41" s="108"/>
      <c r="E41" s="162"/>
      <c r="F41" s="108"/>
      <c r="G41" s="221" t="str">
        <f t="shared" si="1"/>
        <v/>
      </c>
      <c r="H41" s="108"/>
      <c r="I41" s="106" t="s">
        <v>18</v>
      </c>
      <c r="J41" s="107">
        <f>SUM(J42:J49)</f>
        <v>20</v>
      </c>
    </row>
    <row r="42" spans="1:11" ht="14.5" customHeight="1" x14ac:dyDescent="0.35">
      <c r="A42" s="103"/>
      <c r="B42" s="12" t="s">
        <v>7</v>
      </c>
      <c r="C42" s="10" t="s">
        <v>224</v>
      </c>
      <c r="D42" s="94"/>
      <c r="E42" s="166"/>
      <c r="F42" s="94"/>
      <c r="G42" s="94" t="str">
        <f t="shared" si="1"/>
        <v/>
      </c>
      <c r="H42" s="10" t="s">
        <v>20</v>
      </c>
      <c r="I42" s="331">
        <v>100</v>
      </c>
      <c r="J42" s="12">
        <f t="shared" ref="J42:J49" si="2">E42*I42</f>
        <v>0</v>
      </c>
      <c r="K42" s="13"/>
    </row>
    <row r="43" spans="1:11" hidden="1" x14ac:dyDescent="0.35">
      <c r="A43" s="103"/>
      <c r="B43" s="12" t="s">
        <v>7</v>
      </c>
      <c r="C43" s="10" t="s">
        <v>225</v>
      </c>
      <c r="D43" s="94"/>
      <c r="E43" s="170"/>
      <c r="F43" s="94"/>
      <c r="G43" s="94" t="str">
        <f t="shared" si="1"/>
        <v/>
      </c>
      <c r="H43" s="10" t="s">
        <v>20</v>
      </c>
      <c r="I43" s="331">
        <v>12.2</v>
      </c>
      <c r="J43" s="12">
        <f t="shared" si="2"/>
        <v>0</v>
      </c>
      <c r="K43" s="13"/>
    </row>
    <row r="44" spans="1:11" ht="14.5" hidden="1" customHeight="1" x14ac:dyDescent="0.35">
      <c r="A44" s="103"/>
      <c r="B44" s="12" t="s">
        <v>7</v>
      </c>
      <c r="C44" s="10" t="s">
        <v>226</v>
      </c>
      <c r="D44" s="94"/>
      <c r="E44" s="170"/>
      <c r="F44" s="94"/>
      <c r="G44" s="94" t="str">
        <f t="shared" si="1"/>
        <v/>
      </c>
      <c r="H44" s="10" t="s">
        <v>20</v>
      </c>
      <c r="I44" s="331">
        <v>11</v>
      </c>
      <c r="J44" s="12">
        <f t="shared" si="2"/>
        <v>0</v>
      </c>
      <c r="K44" s="88"/>
    </row>
    <row r="45" spans="1:11" hidden="1" x14ac:dyDescent="0.35">
      <c r="A45" s="103"/>
      <c r="B45" s="12" t="s">
        <v>7</v>
      </c>
      <c r="C45" s="10" t="s">
        <v>227</v>
      </c>
      <c r="D45" s="94"/>
      <c r="E45" s="170"/>
      <c r="F45" s="94"/>
      <c r="G45" s="94" t="str">
        <f t="shared" si="1"/>
        <v/>
      </c>
      <c r="H45" s="10" t="s">
        <v>20</v>
      </c>
      <c r="I45" s="331">
        <v>5</v>
      </c>
      <c r="J45" s="12">
        <f t="shared" si="2"/>
        <v>0</v>
      </c>
      <c r="K45" s="13" t="s">
        <v>47</v>
      </c>
    </row>
    <row r="46" spans="1:11" x14ac:dyDescent="0.35">
      <c r="A46" s="103"/>
      <c r="B46" s="12" t="s">
        <v>7</v>
      </c>
      <c r="C46" s="10" t="s">
        <v>46</v>
      </c>
      <c r="D46" s="94"/>
      <c r="E46" s="170">
        <v>4</v>
      </c>
      <c r="F46" s="94"/>
      <c r="G46" s="94" t="str">
        <f t="shared" si="1"/>
        <v/>
      </c>
      <c r="H46" s="10" t="s">
        <v>20</v>
      </c>
      <c r="I46" s="331">
        <v>5</v>
      </c>
      <c r="J46" s="12">
        <f t="shared" si="2"/>
        <v>20</v>
      </c>
      <c r="K46" s="13"/>
    </row>
    <row r="47" spans="1:11" ht="14.5" hidden="1" customHeight="1" x14ac:dyDescent="0.35">
      <c r="A47" s="103"/>
      <c r="B47" s="12" t="s">
        <v>7</v>
      </c>
      <c r="C47" s="10" t="s">
        <v>228</v>
      </c>
      <c r="D47" s="94"/>
      <c r="E47" s="170"/>
      <c r="F47" s="94"/>
      <c r="G47" s="94" t="str">
        <f t="shared" si="1"/>
        <v/>
      </c>
      <c r="H47" s="10" t="s">
        <v>20</v>
      </c>
      <c r="I47" s="331">
        <v>11</v>
      </c>
      <c r="J47" s="12">
        <f t="shared" si="2"/>
        <v>0</v>
      </c>
      <c r="K47" s="13"/>
    </row>
    <row r="48" spans="1:11" ht="16.399999999999999" customHeight="1" x14ac:dyDescent="0.35">
      <c r="A48" s="103"/>
      <c r="B48" s="12" t="s">
        <v>7</v>
      </c>
      <c r="C48" s="10" t="s">
        <v>229</v>
      </c>
      <c r="D48" s="94"/>
      <c r="E48" s="166"/>
      <c r="F48" s="94"/>
      <c r="G48" s="94" t="str">
        <f t="shared" si="1"/>
        <v/>
      </c>
      <c r="H48" s="10" t="s">
        <v>20</v>
      </c>
      <c r="I48" s="331">
        <v>50</v>
      </c>
      <c r="J48" s="12">
        <f t="shared" si="2"/>
        <v>0</v>
      </c>
      <c r="K48" s="13"/>
    </row>
    <row r="49" spans="1:11" hidden="1" x14ac:dyDescent="0.35">
      <c r="A49" s="103"/>
      <c r="B49" s="12" t="s">
        <v>7</v>
      </c>
      <c r="C49" s="78" t="s">
        <v>206</v>
      </c>
      <c r="D49" s="97"/>
      <c r="E49" s="170"/>
      <c r="F49" s="97"/>
      <c r="G49" s="94" t="str">
        <f t="shared" si="1"/>
        <v/>
      </c>
      <c r="H49" s="10" t="s">
        <v>20</v>
      </c>
      <c r="I49" s="333">
        <v>5</v>
      </c>
      <c r="J49" s="12">
        <f t="shared" si="2"/>
        <v>0</v>
      </c>
      <c r="K49" s="13"/>
    </row>
    <row r="50" spans="1:11" ht="14.5" hidden="1" customHeight="1" x14ac:dyDescent="0.35">
      <c r="A50" s="103"/>
      <c r="B50" s="104" t="s">
        <v>230</v>
      </c>
      <c r="C50" s="105"/>
      <c r="D50" s="105"/>
      <c r="E50" s="176"/>
      <c r="F50" s="105"/>
      <c r="G50" s="221" t="str">
        <f t="shared" si="1"/>
        <v/>
      </c>
      <c r="H50" s="105"/>
      <c r="I50" s="106" t="s">
        <v>18</v>
      </c>
      <c r="J50" s="107">
        <f>SUM(J52:J77)</f>
        <v>131.1</v>
      </c>
      <c r="K50" s="13"/>
    </row>
    <row r="51" spans="1:11" ht="14.5" customHeight="1" x14ac:dyDescent="0.35">
      <c r="A51" s="111"/>
      <c r="B51" s="126" t="s">
        <v>231</v>
      </c>
      <c r="C51" s="127"/>
      <c r="D51" s="127"/>
      <c r="E51" s="177"/>
      <c r="F51" s="127"/>
      <c r="G51" s="221" t="str">
        <f t="shared" si="1"/>
        <v/>
      </c>
      <c r="H51" s="127"/>
      <c r="I51" s="239"/>
      <c r="J51" s="128"/>
      <c r="K51" s="13"/>
    </row>
    <row r="52" spans="1:11" ht="14.5" hidden="1" customHeight="1" x14ac:dyDescent="0.35">
      <c r="A52" s="103"/>
      <c r="B52" s="12" t="s">
        <v>13</v>
      </c>
      <c r="C52" s="10" t="s">
        <v>78</v>
      </c>
      <c r="D52" s="94"/>
      <c r="E52" s="170"/>
      <c r="F52" s="94"/>
      <c r="G52" s="94" t="str">
        <f t="shared" si="1"/>
        <v/>
      </c>
      <c r="H52" s="10" t="s">
        <v>20</v>
      </c>
      <c r="I52" s="331">
        <v>13</v>
      </c>
      <c r="J52" s="12">
        <f t="shared" ref="J52:J58" si="3">E52*I52</f>
        <v>0</v>
      </c>
      <c r="K52" s="13"/>
    </row>
    <row r="53" spans="1:11" hidden="1" x14ac:dyDescent="0.35">
      <c r="A53" s="103"/>
      <c r="B53" s="12" t="s">
        <v>13</v>
      </c>
      <c r="C53" s="10" t="s">
        <v>232</v>
      </c>
      <c r="D53" s="94"/>
      <c r="E53" s="170"/>
      <c r="F53" s="94"/>
      <c r="G53" s="94" t="str">
        <f t="shared" si="1"/>
        <v/>
      </c>
      <c r="H53" s="10" t="s">
        <v>20</v>
      </c>
      <c r="I53" s="331">
        <v>13</v>
      </c>
      <c r="J53" s="12">
        <f t="shared" si="3"/>
        <v>0</v>
      </c>
      <c r="K53" s="134"/>
    </row>
    <row r="54" spans="1:11" hidden="1" x14ac:dyDescent="0.35">
      <c r="A54" s="103"/>
      <c r="B54" s="12" t="s">
        <v>13</v>
      </c>
      <c r="C54" s="10" t="s">
        <v>233</v>
      </c>
      <c r="D54" s="94"/>
      <c r="E54" s="170"/>
      <c r="F54" s="94"/>
      <c r="G54" s="94" t="str">
        <f t="shared" si="1"/>
        <v/>
      </c>
      <c r="H54" s="10" t="s">
        <v>20</v>
      </c>
      <c r="I54" s="331">
        <v>8.9</v>
      </c>
      <c r="J54" s="12">
        <f t="shared" si="3"/>
        <v>0</v>
      </c>
      <c r="K54" s="13"/>
    </row>
    <row r="55" spans="1:11" x14ac:dyDescent="0.35">
      <c r="A55" s="103"/>
      <c r="B55" s="12" t="s">
        <v>13</v>
      </c>
      <c r="C55" s="10" t="s">
        <v>32</v>
      </c>
      <c r="D55" s="94"/>
      <c r="E55" s="170">
        <v>4</v>
      </c>
      <c r="F55" s="94"/>
      <c r="G55" s="94" t="str">
        <f t="shared" si="1"/>
        <v/>
      </c>
      <c r="H55" s="10" t="s">
        <v>20</v>
      </c>
      <c r="I55" s="331">
        <v>8.35</v>
      </c>
      <c r="J55" s="12">
        <f t="shared" si="3"/>
        <v>33.4</v>
      </c>
      <c r="K55" s="13"/>
    </row>
    <row r="56" spans="1:11" s="6" customFormat="1" ht="15.65" customHeight="1" x14ac:dyDescent="0.35">
      <c r="A56" s="103"/>
      <c r="B56" s="12" t="s">
        <v>13</v>
      </c>
      <c r="C56" s="10" t="s">
        <v>33</v>
      </c>
      <c r="D56" s="94"/>
      <c r="E56" s="170">
        <v>10</v>
      </c>
      <c r="F56" s="94"/>
      <c r="G56" s="94" t="str">
        <f t="shared" si="1"/>
        <v/>
      </c>
      <c r="H56" s="10" t="s">
        <v>20</v>
      </c>
      <c r="I56" s="331">
        <v>8.9</v>
      </c>
      <c r="J56" s="12">
        <f t="shared" si="3"/>
        <v>89</v>
      </c>
    </row>
    <row r="57" spans="1:11" s="6" customFormat="1" ht="15.65" customHeight="1" x14ac:dyDescent="0.35">
      <c r="A57" s="103"/>
      <c r="B57" s="12" t="s">
        <v>13</v>
      </c>
      <c r="C57" s="10" t="s">
        <v>59</v>
      </c>
      <c r="D57" s="94"/>
      <c r="E57" s="170">
        <v>1</v>
      </c>
      <c r="F57" s="94"/>
      <c r="G57" s="94" t="str">
        <f t="shared" si="1"/>
        <v/>
      </c>
      <c r="H57" s="10" t="s">
        <v>20</v>
      </c>
      <c r="I57" s="331">
        <v>8.6999999999999993</v>
      </c>
      <c r="J57" s="12">
        <f t="shared" si="3"/>
        <v>8.6999999999999993</v>
      </c>
    </row>
    <row r="58" spans="1:11" ht="14.5" hidden="1" customHeight="1" x14ac:dyDescent="0.35">
      <c r="A58" s="103"/>
      <c r="B58" s="12" t="s">
        <v>13</v>
      </c>
      <c r="C58" s="10" t="s">
        <v>234</v>
      </c>
      <c r="D58" s="94"/>
      <c r="E58" s="170"/>
      <c r="F58" s="94"/>
      <c r="G58" s="94" t="str">
        <f t="shared" si="1"/>
        <v/>
      </c>
      <c r="H58" s="10" t="s">
        <v>20</v>
      </c>
      <c r="I58" s="331">
        <v>12.15</v>
      </c>
      <c r="J58" s="12">
        <f t="shared" si="3"/>
        <v>0</v>
      </c>
      <c r="K58" s="13"/>
    </row>
    <row r="59" spans="1:11" ht="14.5" hidden="1" customHeight="1" x14ac:dyDescent="0.35">
      <c r="A59" s="103"/>
      <c r="B59" s="12" t="s">
        <v>13</v>
      </c>
      <c r="C59" s="10" t="s">
        <v>235</v>
      </c>
      <c r="D59" s="94"/>
      <c r="E59" s="170"/>
      <c r="F59" s="94"/>
      <c r="G59" s="94" t="str">
        <f t="shared" si="1"/>
        <v/>
      </c>
      <c r="H59" s="10" t="s">
        <v>20</v>
      </c>
      <c r="I59" s="331">
        <v>11.35</v>
      </c>
      <c r="J59" s="12">
        <f t="shared" ref="J59:J64" si="4">E59*I59</f>
        <v>0</v>
      </c>
      <c r="K59" s="13"/>
    </row>
    <row r="60" spans="1:11" s="6" customFormat="1" ht="15.65" hidden="1" customHeight="1" x14ac:dyDescent="0.35">
      <c r="A60" s="103"/>
      <c r="B60" s="12" t="s">
        <v>13</v>
      </c>
      <c r="C60" s="10" t="s">
        <v>236</v>
      </c>
      <c r="D60" s="94"/>
      <c r="E60" s="170"/>
      <c r="F60" s="94"/>
      <c r="G60" s="94" t="str">
        <f t="shared" si="1"/>
        <v/>
      </c>
      <c r="H60" s="10" t="s">
        <v>20</v>
      </c>
      <c r="I60" s="331">
        <v>14.65</v>
      </c>
      <c r="J60" s="12">
        <f t="shared" si="4"/>
        <v>0</v>
      </c>
    </row>
    <row r="61" spans="1:11" ht="14.5" hidden="1" customHeight="1" x14ac:dyDescent="0.35">
      <c r="A61" s="103"/>
      <c r="B61" s="12" t="s">
        <v>13</v>
      </c>
      <c r="C61" s="10" t="s">
        <v>237</v>
      </c>
      <c r="D61" s="94"/>
      <c r="E61" s="170"/>
      <c r="F61" s="94"/>
      <c r="G61" s="94" t="str">
        <f t="shared" si="1"/>
        <v/>
      </c>
      <c r="H61" s="10" t="s">
        <v>20</v>
      </c>
      <c r="I61" s="331">
        <v>16.25</v>
      </c>
      <c r="J61" s="12">
        <f t="shared" si="4"/>
        <v>0</v>
      </c>
      <c r="K61" s="13"/>
    </row>
    <row r="62" spans="1:11" s="6" customFormat="1" ht="15.5" hidden="1" x14ac:dyDescent="0.35">
      <c r="A62" s="103"/>
      <c r="B62" s="12" t="s">
        <v>13</v>
      </c>
      <c r="C62" s="10" t="s">
        <v>238</v>
      </c>
      <c r="D62" s="94"/>
      <c r="E62" s="170"/>
      <c r="F62" s="94"/>
      <c r="G62" s="94" t="str">
        <f t="shared" si="1"/>
        <v/>
      </c>
      <c r="H62" s="10" t="s">
        <v>20</v>
      </c>
      <c r="I62" s="331">
        <v>17.899999999999999</v>
      </c>
      <c r="J62" s="12">
        <f t="shared" si="4"/>
        <v>0</v>
      </c>
    </row>
    <row r="63" spans="1:11" ht="12" hidden="1" customHeight="1" x14ac:dyDescent="0.35">
      <c r="A63" s="103"/>
      <c r="B63" s="12" t="s">
        <v>13</v>
      </c>
      <c r="C63" s="10" t="s">
        <v>239</v>
      </c>
      <c r="D63" s="94"/>
      <c r="E63" s="170"/>
      <c r="F63" s="94"/>
      <c r="G63" s="94" t="str">
        <f t="shared" si="1"/>
        <v/>
      </c>
      <c r="H63" s="10" t="s">
        <v>20</v>
      </c>
      <c r="I63" s="331">
        <v>15.95</v>
      </c>
      <c r="J63" s="12">
        <f t="shared" si="4"/>
        <v>0</v>
      </c>
      <c r="K63" s="13"/>
    </row>
    <row r="64" spans="1:11" ht="14.5" hidden="1" customHeight="1" x14ac:dyDescent="0.35">
      <c r="A64" s="103"/>
      <c r="B64" s="12" t="s">
        <v>13</v>
      </c>
      <c r="C64" s="10" t="s">
        <v>240</v>
      </c>
      <c r="D64" s="94"/>
      <c r="E64" s="170"/>
      <c r="F64" s="94"/>
      <c r="G64" s="94" t="str">
        <f t="shared" si="1"/>
        <v/>
      </c>
      <c r="H64" s="10" t="s">
        <v>20</v>
      </c>
      <c r="I64" s="331">
        <v>15.45</v>
      </c>
      <c r="J64" s="12">
        <f t="shared" si="4"/>
        <v>0</v>
      </c>
      <c r="K64" s="13"/>
    </row>
    <row r="65" spans="1:11" s="6" customFormat="1" ht="15.65" hidden="1" customHeight="1" x14ac:dyDescent="0.35">
      <c r="A65" s="111"/>
      <c r="B65" s="126" t="s">
        <v>241</v>
      </c>
      <c r="C65" s="127"/>
      <c r="D65" s="127"/>
      <c r="E65" s="177"/>
      <c r="F65" s="127"/>
      <c r="G65" s="94" t="str">
        <f t="shared" si="1"/>
        <v/>
      </c>
      <c r="H65" s="127"/>
      <c r="I65" s="239"/>
      <c r="J65" s="128"/>
    </row>
    <row r="66" spans="1:11" ht="14.5" hidden="1" customHeight="1" x14ac:dyDescent="0.35">
      <c r="A66" s="103"/>
      <c r="B66" s="12" t="s">
        <v>13</v>
      </c>
      <c r="C66" s="10" t="s">
        <v>242</v>
      </c>
      <c r="D66" s="94"/>
      <c r="E66" s="170"/>
      <c r="F66" s="94"/>
      <c r="G66" s="94" t="str">
        <f t="shared" si="1"/>
        <v/>
      </c>
      <c r="H66" s="10" t="s">
        <v>20</v>
      </c>
      <c r="I66" s="331">
        <v>31.05</v>
      </c>
      <c r="J66" s="12">
        <f t="shared" ref="J66:J72" si="5">E66*I66</f>
        <v>0</v>
      </c>
      <c r="K66" s="13"/>
    </row>
    <row r="67" spans="1:11" ht="14.5" hidden="1" customHeight="1" x14ac:dyDescent="0.35">
      <c r="A67" s="103"/>
      <c r="B67" s="12" t="s">
        <v>13</v>
      </c>
      <c r="C67" s="10" t="s">
        <v>243</v>
      </c>
      <c r="D67" s="94"/>
      <c r="E67" s="170"/>
      <c r="F67" s="94"/>
      <c r="G67" s="94" t="str">
        <f t="shared" si="1"/>
        <v/>
      </c>
      <c r="H67" s="10" t="s">
        <v>20</v>
      </c>
      <c r="I67" s="331">
        <v>60.79</v>
      </c>
      <c r="J67" s="12">
        <f t="shared" si="5"/>
        <v>0</v>
      </c>
      <c r="K67" s="13"/>
    </row>
    <row r="68" spans="1:11" ht="14.5" hidden="1" customHeight="1" x14ac:dyDescent="0.35">
      <c r="A68" s="103"/>
      <c r="B68" s="12" t="s">
        <v>13</v>
      </c>
      <c r="C68" s="10" t="s">
        <v>244</v>
      </c>
      <c r="D68" s="94"/>
      <c r="E68" s="170"/>
      <c r="F68" s="94"/>
      <c r="G68" s="94" t="str">
        <f t="shared" si="1"/>
        <v/>
      </c>
      <c r="H68" s="10" t="s">
        <v>20</v>
      </c>
      <c r="I68" s="331">
        <v>56.55</v>
      </c>
      <c r="J68" s="12">
        <f t="shared" si="5"/>
        <v>0</v>
      </c>
      <c r="K68" s="13"/>
    </row>
    <row r="69" spans="1:11" ht="14.5" hidden="1" customHeight="1" x14ac:dyDescent="0.35">
      <c r="A69" s="103"/>
      <c r="B69" s="12" t="s">
        <v>13</v>
      </c>
      <c r="C69" s="10" t="s">
        <v>245</v>
      </c>
      <c r="D69" s="94"/>
      <c r="E69" s="170"/>
      <c r="F69" s="94"/>
      <c r="G69" s="94" t="str">
        <f t="shared" si="1"/>
        <v/>
      </c>
      <c r="H69" s="10" t="s">
        <v>20</v>
      </c>
      <c r="I69" s="331">
        <v>107.44</v>
      </c>
      <c r="J69" s="12">
        <f t="shared" si="5"/>
        <v>0</v>
      </c>
      <c r="K69" s="13"/>
    </row>
    <row r="70" spans="1:11" ht="14.5" hidden="1" customHeight="1" x14ac:dyDescent="0.35">
      <c r="A70" s="103"/>
      <c r="B70" s="12" t="s">
        <v>13</v>
      </c>
      <c r="C70" s="10" t="s">
        <v>246</v>
      </c>
      <c r="D70" s="94"/>
      <c r="E70" s="170"/>
      <c r="F70" s="94"/>
      <c r="G70" s="94" t="str">
        <f t="shared" si="1"/>
        <v/>
      </c>
      <c r="H70" s="10" t="s">
        <v>20</v>
      </c>
      <c r="I70" s="331">
        <v>47.4</v>
      </c>
      <c r="J70" s="12">
        <f t="shared" si="5"/>
        <v>0</v>
      </c>
      <c r="K70" s="13"/>
    </row>
    <row r="71" spans="1:11" ht="15.65" hidden="1" customHeight="1" x14ac:dyDescent="0.35">
      <c r="A71" s="103"/>
      <c r="B71" s="12" t="s">
        <v>13</v>
      </c>
      <c r="C71" s="10" t="s">
        <v>247</v>
      </c>
      <c r="D71" s="94"/>
      <c r="E71" s="170"/>
      <c r="F71" s="94"/>
      <c r="G71" s="94" t="str">
        <f t="shared" si="1"/>
        <v/>
      </c>
      <c r="H71" s="10" t="s">
        <v>20</v>
      </c>
      <c r="I71" s="331">
        <v>87.63</v>
      </c>
      <c r="J71" s="12">
        <f t="shared" si="5"/>
        <v>0</v>
      </c>
      <c r="K71" s="13"/>
    </row>
    <row r="72" spans="1:11" ht="15.65" hidden="1" customHeight="1" x14ac:dyDescent="0.35">
      <c r="A72" s="103"/>
      <c r="B72" s="12" t="s">
        <v>13</v>
      </c>
      <c r="C72" s="10" t="s">
        <v>248</v>
      </c>
      <c r="D72" s="94"/>
      <c r="E72" s="170"/>
      <c r="F72" s="94"/>
      <c r="G72" s="94" t="str">
        <f t="shared" si="1"/>
        <v/>
      </c>
      <c r="H72" s="10" t="s">
        <v>20</v>
      </c>
      <c r="I72" s="331">
        <v>52.31</v>
      </c>
      <c r="J72" s="12">
        <f t="shared" si="5"/>
        <v>0</v>
      </c>
      <c r="K72" s="13"/>
    </row>
    <row r="73" spans="1:11" ht="16.399999999999999" hidden="1" customHeight="1" x14ac:dyDescent="0.35">
      <c r="A73" s="111"/>
      <c r="B73" s="126" t="s">
        <v>249</v>
      </c>
      <c r="C73" s="127"/>
      <c r="D73" s="127"/>
      <c r="E73" s="177"/>
      <c r="F73" s="127"/>
      <c r="G73" s="94" t="str">
        <f t="shared" si="1"/>
        <v/>
      </c>
      <c r="H73" s="127"/>
      <c r="I73" s="239"/>
      <c r="J73" s="128"/>
      <c r="K73" s="13"/>
    </row>
    <row r="74" spans="1:11" ht="14.5" hidden="1" customHeight="1" x14ac:dyDescent="0.35">
      <c r="A74" s="103"/>
      <c r="B74" s="12" t="s">
        <v>13</v>
      </c>
      <c r="C74" s="10" t="s">
        <v>250</v>
      </c>
      <c r="D74" s="94"/>
      <c r="E74" s="170"/>
      <c r="F74" s="94"/>
      <c r="G74" s="94" t="str">
        <f t="shared" si="1"/>
        <v/>
      </c>
      <c r="H74" s="10" t="s">
        <v>20</v>
      </c>
      <c r="I74" s="331">
        <v>10.8</v>
      </c>
      <c r="J74" s="12">
        <f>E74*I74</f>
        <v>0</v>
      </c>
      <c r="K74" s="13"/>
    </row>
    <row r="75" spans="1:11" ht="14.5" hidden="1" customHeight="1" x14ac:dyDescent="0.35">
      <c r="A75" s="103"/>
      <c r="B75" s="12" t="s">
        <v>13</v>
      </c>
      <c r="C75" s="10" t="s">
        <v>251</v>
      </c>
      <c r="D75" s="94"/>
      <c r="E75" s="170"/>
      <c r="F75" s="94"/>
      <c r="G75" s="94" t="str">
        <f t="shared" si="1"/>
        <v/>
      </c>
      <c r="H75" s="10" t="s">
        <v>20</v>
      </c>
      <c r="I75" s="331">
        <v>11.2</v>
      </c>
      <c r="J75" s="12">
        <f>E75*I75</f>
        <v>0</v>
      </c>
      <c r="K75" s="13"/>
    </row>
    <row r="76" spans="1:11" s="24" customFormat="1" ht="15.65" customHeight="1" x14ac:dyDescent="0.35">
      <c r="A76" s="103"/>
      <c r="B76" s="12" t="s">
        <v>13</v>
      </c>
      <c r="C76" s="10" t="s">
        <v>252</v>
      </c>
      <c r="D76" s="94"/>
      <c r="E76" s="170"/>
      <c r="F76" s="94"/>
      <c r="G76" s="94" t="str">
        <f t="shared" si="1"/>
        <v/>
      </c>
      <c r="H76" s="10" t="s">
        <v>23</v>
      </c>
      <c r="I76" s="331">
        <v>4.5599999999999996</v>
      </c>
      <c r="J76" s="12">
        <f>E76*I76</f>
        <v>0</v>
      </c>
    </row>
    <row r="77" spans="1:11" s="6" customFormat="1" ht="15.65" hidden="1" customHeight="1" x14ac:dyDescent="0.35">
      <c r="A77" s="103"/>
      <c r="B77" s="12" t="s">
        <v>13</v>
      </c>
      <c r="C77" s="10" t="s">
        <v>253</v>
      </c>
      <c r="D77" s="94"/>
      <c r="E77" s="170"/>
      <c r="F77" s="94"/>
      <c r="G77" s="94" t="str">
        <f t="shared" si="1"/>
        <v/>
      </c>
      <c r="H77" s="10" t="s">
        <v>23</v>
      </c>
      <c r="I77" s="331">
        <v>37.700000000000003</v>
      </c>
      <c r="J77" s="12">
        <f>E77*I77</f>
        <v>0</v>
      </c>
    </row>
    <row r="78" spans="1:11" ht="14.5" hidden="1" customHeight="1" x14ac:dyDescent="0.35">
      <c r="A78" s="108" t="s">
        <v>254</v>
      </c>
      <c r="B78" s="108"/>
      <c r="C78" s="108"/>
      <c r="D78" s="108"/>
      <c r="E78" s="162"/>
      <c r="F78" s="108"/>
      <c r="G78" s="94" t="str">
        <f t="shared" si="1"/>
        <v/>
      </c>
      <c r="H78" s="108"/>
      <c r="I78" s="110" t="s">
        <v>18</v>
      </c>
      <c r="J78" s="115">
        <f>SUM(J80:J121)</f>
        <v>0</v>
      </c>
    </row>
    <row r="79" spans="1:11" ht="14.5" hidden="1" customHeight="1" x14ac:dyDescent="0.35">
      <c r="A79" s="111"/>
      <c r="B79" s="126" t="s">
        <v>255</v>
      </c>
      <c r="C79" s="127"/>
      <c r="D79" s="127"/>
      <c r="E79" s="177"/>
      <c r="F79" s="127"/>
      <c r="G79" s="94" t="str">
        <f t="shared" si="1"/>
        <v/>
      </c>
      <c r="H79" s="127"/>
      <c r="I79" s="239"/>
      <c r="J79" s="128"/>
      <c r="K79" s="13"/>
    </row>
    <row r="80" spans="1:11" ht="14.5" hidden="1" customHeight="1" x14ac:dyDescent="0.35">
      <c r="A80" s="103"/>
      <c r="B80" s="12" t="s">
        <v>3</v>
      </c>
      <c r="C80" s="10" t="s">
        <v>256</v>
      </c>
      <c r="D80" s="94"/>
      <c r="E80" s="170"/>
      <c r="F80" s="94"/>
      <c r="G80" s="94" t="str">
        <f t="shared" si="1"/>
        <v/>
      </c>
      <c r="H80" s="10" t="s">
        <v>20</v>
      </c>
      <c r="I80" s="331">
        <v>32.950000000000003</v>
      </c>
      <c r="J80" s="12">
        <f t="shared" ref="J80:J86" si="6">E80*I80</f>
        <v>0</v>
      </c>
      <c r="K80" s="13"/>
    </row>
    <row r="81" spans="1:13" ht="14.5" hidden="1" customHeight="1" x14ac:dyDescent="0.35">
      <c r="A81" s="103"/>
      <c r="B81" s="12" t="s">
        <v>3</v>
      </c>
      <c r="C81" s="10" t="s">
        <v>257</v>
      </c>
      <c r="D81" s="94"/>
      <c r="E81" s="170"/>
      <c r="F81" s="94"/>
      <c r="G81" s="94" t="str">
        <f t="shared" si="1"/>
        <v/>
      </c>
      <c r="H81" s="10" t="s">
        <v>20</v>
      </c>
      <c r="I81" s="331">
        <v>56.95</v>
      </c>
      <c r="J81" s="12">
        <f t="shared" si="6"/>
        <v>0</v>
      </c>
      <c r="K81" s="13" t="s">
        <v>47</v>
      </c>
    </row>
    <row r="82" spans="1:13" ht="14.5" hidden="1" customHeight="1" x14ac:dyDescent="0.35">
      <c r="A82" s="103"/>
      <c r="B82" s="12" t="s">
        <v>3</v>
      </c>
      <c r="C82" s="10" t="s">
        <v>258</v>
      </c>
      <c r="D82" s="94"/>
      <c r="E82" s="170"/>
      <c r="F82" s="94"/>
      <c r="G82" s="94" t="str">
        <f t="shared" si="1"/>
        <v/>
      </c>
      <c r="H82" s="10" t="s">
        <v>20</v>
      </c>
      <c r="I82" s="331">
        <v>15.95</v>
      </c>
      <c r="J82" s="12">
        <f t="shared" si="6"/>
        <v>0</v>
      </c>
    </row>
    <row r="83" spans="1:13" ht="14.5" hidden="1" customHeight="1" x14ac:dyDescent="0.35">
      <c r="A83" s="103"/>
      <c r="B83" s="12" t="s">
        <v>3</v>
      </c>
      <c r="C83" s="10" t="s">
        <v>259</v>
      </c>
      <c r="D83" s="94"/>
      <c r="E83" s="170"/>
      <c r="F83" s="94"/>
      <c r="G83" s="94" t="str">
        <f t="shared" si="1"/>
        <v/>
      </c>
      <c r="H83" s="10" t="s">
        <v>20</v>
      </c>
      <c r="I83" s="331">
        <v>19.95</v>
      </c>
      <c r="J83" s="12">
        <f t="shared" si="6"/>
        <v>0</v>
      </c>
      <c r="K83" s="28"/>
    </row>
    <row r="84" spans="1:13" s="6" customFormat="1" ht="15.65" hidden="1" customHeight="1" x14ac:dyDescent="0.35">
      <c r="A84" s="103"/>
      <c r="B84" s="12" t="s">
        <v>3</v>
      </c>
      <c r="C84" s="10" t="s">
        <v>260</v>
      </c>
      <c r="D84" s="94"/>
      <c r="E84" s="170"/>
      <c r="F84" s="94"/>
      <c r="G84" s="94" t="str">
        <f t="shared" si="1"/>
        <v/>
      </c>
      <c r="H84" s="10" t="s">
        <v>20</v>
      </c>
      <c r="I84" s="331">
        <v>46.95</v>
      </c>
      <c r="J84" s="12">
        <f t="shared" si="6"/>
        <v>0</v>
      </c>
      <c r="K84" s="30"/>
    </row>
    <row r="85" spans="1:13" ht="14.5" hidden="1" customHeight="1" x14ac:dyDescent="0.35">
      <c r="A85" s="103"/>
      <c r="B85" s="12" t="s">
        <v>3</v>
      </c>
      <c r="C85" s="10" t="s">
        <v>261</v>
      </c>
      <c r="D85" s="94"/>
      <c r="E85" s="170"/>
      <c r="F85" s="94"/>
      <c r="G85" s="94" t="str">
        <f t="shared" si="1"/>
        <v/>
      </c>
      <c r="H85" s="10" t="s">
        <v>20</v>
      </c>
      <c r="I85" s="331">
        <v>34.950000000000003</v>
      </c>
      <c r="J85" s="12">
        <f t="shared" si="6"/>
        <v>0</v>
      </c>
      <c r="K85" s="28"/>
    </row>
    <row r="86" spans="1:13" s="6" customFormat="1" ht="15.65" hidden="1" customHeight="1" x14ac:dyDescent="0.35">
      <c r="A86" s="103"/>
      <c r="B86" s="12" t="s">
        <v>3</v>
      </c>
      <c r="C86" s="10" t="s">
        <v>262</v>
      </c>
      <c r="D86" s="94"/>
      <c r="E86" s="170"/>
      <c r="F86" s="94"/>
      <c r="G86" s="94" t="str">
        <f t="shared" si="1"/>
        <v/>
      </c>
      <c r="H86" s="10" t="s">
        <v>20</v>
      </c>
      <c r="I86" s="331">
        <v>24.95</v>
      </c>
      <c r="J86" s="12">
        <f t="shared" si="6"/>
        <v>0</v>
      </c>
    </row>
    <row r="87" spans="1:13" ht="15.5" hidden="1" x14ac:dyDescent="0.35">
      <c r="A87" s="111"/>
      <c r="B87" s="126" t="s">
        <v>263</v>
      </c>
      <c r="C87" s="127"/>
      <c r="D87" s="127"/>
      <c r="E87" s="177"/>
      <c r="F87" s="127"/>
      <c r="G87" s="94" t="str">
        <f t="shared" si="1"/>
        <v/>
      </c>
      <c r="H87" s="127"/>
      <c r="I87" s="239"/>
      <c r="J87" s="128"/>
      <c r="K87" s="28"/>
      <c r="M87" t="s">
        <v>47</v>
      </c>
    </row>
    <row r="88" spans="1:13" hidden="1" x14ac:dyDescent="0.35">
      <c r="A88" s="103"/>
      <c r="B88" s="12" t="s">
        <v>3</v>
      </c>
      <c r="C88" s="10" t="s">
        <v>264</v>
      </c>
      <c r="D88" s="94"/>
      <c r="E88" s="170"/>
      <c r="F88" s="94"/>
      <c r="G88" s="94" t="str">
        <f t="shared" si="1"/>
        <v/>
      </c>
      <c r="H88" s="10" t="s">
        <v>20</v>
      </c>
      <c r="I88" s="331">
        <v>19.5</v>
      </c>
      <c r="J88" s="12">
        <f t="shared" ref="J88:J94" si="7">E88*I88</f>
        <v>0</v>
      </c>
      <c r="K88" s="28"/>
    </row>
    <row r="89" spans="1:13" hidden="1" x14ac:dyDescent="0.35">
      <c r="A89" s="103"/>
      <c r="B89" s="12" t="s">
        <v>3</v>
      </c>
      <c r="C89" s="10" t="s">
        <v>265</v>
      </c>
      <c r="D89" s="94"/>
      <c r="E89" s="170"/>
      <c r="F89" s="94"/>
      <c r="G89" s="94" t="str">
        <f t="shared" ref="G89:G152" si="8">IF(E89="","",IF(D89-E89&gt;0,D89-E89,""))</f>
        <v/>
      </c>
      <c r="H89" s="10" t="s">
        <v>20</v>
      </c>
      <c r="I89" s="331">
        <v>16.95</v>
      </c>
      <c r="J89" s="12">
        <f t="shared" si="7"/>
        <v>0</v>
      </c>
      <c r="K89" s="28"/>
    </row>
    <row r="90" spans="1:13" hidden="1" x14ac:dyDescent="0.35">
      <c r="A90" s="103"/>
      <c r="B90" s="12" t="s">
        <v>3</v>
      </c>
      <c r="C90" s="10" t="s">
        <v>266</v>
      </c>
      <c r="D90" s="94"/>
      <c r="E90" s="170"/>
      <c r="F90" s="94"/>
      <c r="G90" s="94" t="str">
        <f t="shared" si="8"/>
        <v/>
      </c>
      <c r="H90" s="10" t="s">
        <v>20</v>
      </c>
      <c r="I90" s="331">
        <v>17.95</v>
      </c>
      <c r="J90" s="12">
        <f t="shared" si="7"/>
        <v>0</v>
      </c>
      <c r="K90" s="28"/>
    </row>
    <row r="91" spans="1:13" hidden="1" x14ac:dyDescent="0.35">
      <c r="A91" s="103"/>
      <c r="B91" s="12" t="s">
        <v>3</v>
      </c>
      <c r="C91" s="10" t="s">
        <v>267</v>
      </c>
      <c r="D91" s="94"/>
      <c r="E91" s="170"/>
      <c r="F91" s="94"/>
      <c r="G91" s="94" t="str">
        <f t="shared" si="8"/>
        <v/>
      </c>
      <c r="H91" s="10" t="s">
        <v>20</v>
      </c>
      <c r="I91" s="331">
        <v>15.95</v>
      </c>
      <c r="J91" s="12">
        <f t="shared" si="7"/>
        <v>0</v>
      </c>
      <c r="K91" s="28"/>
    </row>
    <row r="92" spans="1:13" s="6" customFormat="1" ht="15.5" hidden="1" x14ac:dyDescent="0.35">
      <c r="A92" s="103"/>
      <c r="B92" s="12" t="s">
        <v>3</v>
      </c>
      <c r="C92" s="10" t="s">
        <v>268</v>
      </c>
      <c r="D92" s="94"/>
      <c r="E92" s="170"/>
      <c r="F92" s="94"/>
      <c r="G92" s="94" t="str">
        <f t="shared" si="8"/>
        <v/>
      </c>
      <c r="H92" s="10" t="s">
        <v>20</v>
      </c>
      <c r="I92" s="331">
        <v>20.95</v>
      </c>
      <c r="J92" s="12">
        <f t="shared" si="7"/>
        <v>0</v>
      </c>
      <c r="K92" s="30"/>
    </row>
    <row r="93" spans="1:13" hidden="1" x14ac:dyDescent="0.35">
      <c r="A93" s="103"/>
      <c r="B93" s="12" t="s">
        <v>3</v>
      </c>
      <c r="C93" s="10" t="s">
        <v>269</v>
      </c>
      <c r="D93" s="94"/>
      <c r="E93" s="170"/>
      <c r="F93" s="94"/>
      <c r="G93" s="94" t="str">
        <f t="shared" si="8"/>
        <v/>
      </c>
      <c r="H93" s="10" t="s">
        <v>20</v>
      </c>
      <c r="I93" s="331">
        <v>26.95</v>
      </c>
      <c r="J93" s="12">
        <f t="shared" si="7"/>
        <v>0</v>
      </c>
      <c r="K93" s="31"/>
    </row>
    <row r="94" spans="1:13" hidden="1" x14ac:dyDescent="0.35">
      <c r="A94" s="103"/>
      <c r="B94" s="12" t="s">
        <v>3</v>
      </c>
      <c r="C94" s="10" t="s">
        <v>270</v>
      </c>
      <c r="D94" s="94"/>
      <c r="E94" s="170"/>
      <c r="F94" s="94"/>
      <c r="G94" s="94" t="str">
        <f t="shared" si="8"/>
        <v/>
      </c>
      <c r="H94" s="10" t="s">
        <v>20</v>
      </c>
      <c r="I94" s="331">
        <v>26.95</v>
      </c>
      <c r="J94" s="12">
        <f t="shared" si="7"/>
        <v>0</v>
      </c>
      <c r="K94" s="31"/>
    </row>
    <row r="95" spans="1:13" s="6" customFormat="1" ht="15.5" hidden="1" x14ac:dyDescent="0.35">
      <c r="A95" s="111"/>
      <c r="B95" s="126" t="s">
        <v>271</v>
      </c>
      <c r="C95" s="127"/>
      <c r="D95" s="127"/>
      <c r="E95" s="177"/>
      <c r="F95" s="127"/>
      <c r="G95" s="94" t="str">
        <f t="shared" si="8"/>
        <v/>
      </c>
      <c r="H95" s="127"/>
      <c r="I95" s="239"/>
      <c r="J95" s="128"/>
      <c r="K95" s="30"/>
    </row>
    <row r="96" spans="1:13" ht="14.15" hidden="1" customHeight="1" x14ac:dyDescent="0.35">
      <c r="A96" s="103"/>
      <c r="B96" s="12" t="s">
        <v>3</v>
      </c>
      <c r="C96" s="10" t="s">
        <v>272</v>
      </c>
      <c r="D96" s="94"/>
      <c r="E96" s="170"/>
      <c r="F96" s="94"/>
      <c r="G96" s="94" t="str">
        <f t="shared" si="8"/>
        <v/>
      </c>
      <c r="H96" s="10" t="s">
        <v>20</v>
      </c>
      <c r="I96" s="331">
        <v>20.95</v>
      </c>
      <c r="J96" s="12">
        <f>E96*I96</f>
        <v>0</v>
      </c>
      <c r="K96" s="28"/>
    </row>
    <row r="97" spans="1:11" hidden="1" x14ac:dyDescent="0.35">
      <c r="A97" s="103"/>
      <c r="B97" s="12" t="s">
        <v>3</v>
      </c>
      <c r="C97" s="10" t="s">
        <v>273</v>
      </c>
      <c r="D97" s="94"/>
      <c r="E97" s="170"/>
      <c r="F97" s="94"/>
      <c r="G97" s="94" t="str">
        <f t="shared" si="8"/>
        <v/>
      </c>
      <c r="H97" s="10" t="s">
        <v>20</v>
      </c>
      <c r="I97" s="331">
        <v>23.95</v>
      </c>
      <c r="J97" s="12">
        <f>E97*I97</f>
        <v>0</v>
      </c>
      <c r="K97" s="28"/>
    </row>
    <row r="98" spans="1:11" s="6" customFormat="1" ht="15.65" hidden="1" customHeight="1" x14ac:dyDescent="0.35">
      <c r="A98" s="103"/>
      <c r="B98" s="12" t="s">
        <v>3</v>
      </c>
      <c r="C98" s="10" t="s">
        <v>274</v>
      </c>
      <c r="D98" s="94"/>
      <c r="E98" s="170"/>
      <c r="F98" s="94"/>
      <c r="G98" s="94" t="str">
        <f t="shared" si="8"/>
        <v/>
      </c>
      <c r="H98" s="10" t="s">
        <v>20</v>
      </c>
      <c r="I98" s="331">
        <v>22.5</v>
      </c>
      <c r="J98" s="12">
        <f>E98*I98</f>
        <v>0</v>
      </c>
      <c r="K98" s="30"/>
    </row>
    <row r="99" spans="1:11" ht="14.5" hidden="1" customHeight="1" x14ac:dyDescent="0.35">
      <c r="A99" s="103"/>
      <c r="B99" s="12" t="s">
        <v>3</v>
      </c>
      <c r="C99" s="10" t="s">
        <v>275</v>
      </c>
      <c r="D99" s="94"/>
      <c r="E99" s="170"/>
      <c r="F99" s="94"/>
      <c r="G99" s="94" t="str">
        <f t="shared" si="8"/>
        <v/>
      </c>
      <c r="H99" s="10" t="s">
        <v>20</v>
      </c>
      <c r="I99" s="331">
        <v>29.95</v>
      </c>
      <c r="J99" s="12">
        <f>E99*I99</f>
        <v>0</v>
      </c>
      <c r="K99" s="31"/>
    </row>
    <row r="100" spans="1:11" s="6" customFormat="1" ht="15.65" hidden="1" customHeight="1" x14ac:dyDescent="0.35">
      <c r="A100" s="111"/>
      <c r="B100" s="126" t="s">
        <v>276</v>
      </c>
      <c r="C100" s="127"/>
      <c r="D100" s="127"/>
      <c r="E100" s="177"/>
      <c r="F100" s="127"/>
      <c r="G100" s="94" t="str">
        <f t="shared" si="8"/>
        <v/>
      </c>
      <c r="H100" s="127"/>
      <c r="I100" s="239"/>
      <c r="J100" s="128"/>
    </row>
    <row r="101" spans="1:11" hidden="1" x14ac:dyDescent="0.35">
      <c r="A101" s="103"/>
      <c r="B101" s="12" t="s">
        <v>3</v>
      </c>
      <c r="C101" s="10" t="s">
        <v>277</v>
      </c>
      <c r="D101" s="94"/>
      <c r="E101" s="170"/>
      <c r="F101" s="94"/>
      <c r="G101" s="94" t="str">
        <f t="shared" si="8"/>
        <v/>
      </c>
      <c r="H101" s="10" t="s">
        <v>20</v>
      </c>
      <c r="I101" s="331">
        <v>17.95</v>
      </c>
      <c r="J101" s="12">
        <f>E101*I101</f>
        <v>0</v>
      </c>
      <c r="K101" s="28"/>
    </row>
    <row r="102" spans="1:11" s="6" customFormat="1" ht="15.5" hidden="1" x14ac:dyDescent="0.35">
      <c r="A102" s="103"/>
      <c r="B102" s="12" t="s">
        <v>3</v>
      </c>
      <c r="C102" s="10" t="s">
        <v>278</v>
      </c>
      <c r="D102" s="94"/>
      <c r="E102" s="170"/>
      <c r="F102" s="94"/>
      <c r="G102" s="94" t="str">
        <f t="shared" si="8"/>
        <v/>
      </c>
      <c r="H102" s="10" t="s">
        <v>20</v>
      </c>
      <c r="I102" s="331">
        <v>20.95</v>
      </c>
      <c r="J102" s="12">
        <f>E102*I102</f>
        <v>0</v>
      </c>
    </row>
    <row r="103" spans="1:11" hidden="1" x14ac:dyDescent="0.35">
      <c r="A103" s="103"/>
      <c r="B103" s="12" t="s">
        <v>3</v>
      </c>
      <c r="C103" s="10" t="s">
        <v>279</v>
      </c>
      <c r="D103" s="94"/>
      <c r="E103" s="170"/>
      <c r="F103" s="94"/>
      <c r="G103" s="94" t="str">
        <f t="shared" si="8"/>
        <v/>
      </c>
      <c r="H103" s="10" t="s">
        <v>20</v>
      </c>
      <c r="I103" s="331">
        <v>19.95</v>
      </c>
      <c r="J103" s="12">
        <f>E103*I103</f>
        <v>0</v>
      </c>
      <c r="K103" s="13"/>
    </row>
    <row r="104" spans="1:11" hidden="1" x14ac:dyDescent="0.35">
      <c r="A104" s="103"/>
      <c r="B104" s="40" t="s">
        <v>3</v>
      </c>
      <c r="C104" s="41" t="s">
        <v>280</v>
      </c>
      <c r="D104" s="98"/>
      <c r="E104" s="170"/>
      <c r="F104" s="98"/>
      <c r="G104" s="94" t="str">
        <f t="shared" si="8"/>
        <v/>
      </c>
      <c r="H104" s="41" t="s">
        <v>20</v>
      </c>
      <c r="I104" s="334">
        <v>59.95</v>
      </c>
      <c r="J104" s="40">
        <f>E104*I104</f>
        <v>0</v>
      </c>
      <c r="K104" s="13"/>
    </row>
    <row r="105" spans="1:11" ht="15.65" hidden="1" customHeight="1" x14ac:dyDescent="0.35">
      <c r="A105" s="111"/>
      <c r="B105" s="126" t="s">
        <v>281</v>
      </c>
      <c r="C105" s="127"/>
      <c r="D105" s="127"/>
      <c r="E105" s="177"/>
      <c r="F105" s="127"/>
      <c r="G105" s="94" t="str">
        <f t="shared" si="8"/>
        <v/>
      </c>
      <c r="H105" s="127"/>
      <c r="I105" s="239"/>
      <c r="J105" s="128"/>
      <c r="K105" s="13"/>
    </row>
    <row r="106" spans="1:11" ht="14.5" hidden="1" customHeight="1" x14ac:dyDescent="0.35">
      <c r="A106" s="103"/>
      <c r="B106" s="12" t="s">
        <v>3</v>
      </c>
      <c r="C106" s="10" t="s">
        <v>282</v>
      </c>
      <c r="D106" s="94"/>
      <c r="E106" s="170"/>
      <c r="F106" s="94"/>
      <c r="G106" s="94" t="str">
        <f t="shared" si="8"/>
        <v/>
      </c>
      <c r="H106" s="10" t="s">
        <v>20</v>
      </c>
      <c r="I106" s="331">
        <v>54.95</v>
      </c>
      <c r="J106" s="12">
        <f>E106*I106</f>
        <v>0</v>
      </c>
      <c r="K106" s="13"/>
    </row>
    <row r="107" spans="1:11" ht="14.5" hidden="1" customHeight="1" x14ac:dyDescent="0.35">
      <c r="A107" s="103"/>
      <c r="B107" s="12" t="s">
        <v>3</v>
      </c>
      <c r="C107" s="10" t="s">
        <v>283</v>
      </c>
      <c r="D107" s="94"/>
      <c r="E107" s="170"/>
      <c r="F107" s="94"/>
      <c r="G107" s="94" t="str">
        <f t="shared" si="8"/>
        <v/>
      </c>
      <c r="H107" s="10" t="s">
        <v>20</v>
      </c>
      <c r="I107" s="331">
        <v>49.95</v>
      </c>
      <c r="J107" s="12">
        <f>E107*I107</f>
        <v>0</v>
      </c>
      <c r="K107" s="13"/>
    </row>
    <row r="108" spans="1:11" ht="14.5" hidden="1" customHeight="1" x14ac:dyDescent="0.35">
      <c r="A108" s="111"/>
      <c r="B108" s="126" t="s">
        <v>284</v>
      </c>
      <c r="C108" s="127"/>
      <c r="D108" s="127"/>
      <c r="E108" s="177"/>
      <c r="F108" s="127"/>
      <c r="G108" s="94" t="str">
        <f t="shared" si="8"/>
        <v/>
      </c>
      <c r="H108" s="127"/>
      <c r="I108" s="239"/>
      <c r="J108" s="128"/>
      <c r="K108" s="13"/>
    </row>
    <row r="109" spans="1:11" ht="14.5" hidden="1" customHeight="1" x14ac:dyDescent="0.35">
      <c r="A109" s="103"/>
      <c r="B109" s="12" t="s">
        <v>3</v>
      </c>
      <c r="C109" s="10" t="s">
        <v>285</v>
      </c>
      <c r="D109" s="94"/>
      <c r="E109" s="170"/>
      <c r="F109" s="94"/>
      <c r="G109" s="94" t="str">
        <f t="shared" si="8"/>
        <v/>
      </c>
      <c r="H109" s="10" t="s">
        <v>20</v>
      </c>
      <c r="I109" s="331">
        <v>41.5</v>
      </c>
      <c r="J109" s="12">
        <f t="shared" ref="J109:J114" si="9">E109*I109</f>
        <v>0</v>
      </c>
      <c r="K109" s="13"/>
    </row>
    <row r="110" spans="1:11" ht="15.65" hidden="1" customHeight="1" x14ac:dyDescent="0.35">
      <c r="A110" s="103"/>
      <c r="B110" s="12" t="s">
        <v>3</v>
      </c>
      <c r="C110" s="10" t="s">
        <v>286</v>
      </c>
      <c r="D110" s="94"/>
      <c r="E110" s="170"/>
      <c r="F110" s="94"/>
      <c r="G110" s="94" t="str">
        <f t="shared" si="8"/>
        <v/>
      </c>
      <c r="H110" s="10" t="s">
        <v>20</v>
      </c>
      <c r="I110" s="331">
        <v>36.200000000000003</v>
      </c>
      <c r="J110" s="12">
        <f t="shared" si="9"/>
        <v>0</v>
      </c>
      <c r="K110" s="13"/>
    </row>
    <row r="111" spans="1:11" hidden="1" x14ac:dyDescent="0.35">
      <c r="A111" s="103"/>
      <c r="B111" s="12" t="s">
        <v>3</v>
      </c>
      <c r="C111" s="10" t="s">
        <v>287</v>
      </c>
      <c r="D111" s="94"/>
      <c r="E111" s="170"/>
      <c r="F111" s="94"/>
      <c r="G111" s="94" t="str">
        <f t="shared" si="8"/>
        <v/>
      </c>
      <c r="H111" s="10" t="s">
        <v>20</v>
      </c>
      <c r="I111" s="331">
        <v>25.95</v>
      </c>
      <c r="J111" s="12">
        <f t="shared" si="9"/>
        <v>0</v>
      </c>
      <c r="K111" s="13"/>
    </row>
    <row r="112" spans="1:11" hidden="1" x14ac:dyDescent="0.35">
      <c r="A112" s="103"/>
      <c r="B112" s="12" t="s">
        <v>3</v>
      </c>
      <c r="C112" s="10" t="s">
        <v>288</v>
      </c>
      <c r="D112" s="94"/>
      <c r="E112" s="170"/>
      <c r="F112" s="94"/>
      <c r="G112" s="94" t="str">
        <f t="shared" si="8"/>
        <v/>
      </c>
      <c r="H112" s="10" t="s">
        <v>20</v>
      </c>
      <c r="I112" s="331">
        <v>32.799999999999997</v>
      </c>
      <c r="J112" s="12">
        <f t="shared" si="9"/>
        <v>0</v>
      </c>
      <c r="K112" s="13"/>
    </row>
    <row r="113" spans="1:11" s="6" customFormat="1" ht="15.5" hidden="1" x14ac:dyDescent="0.35">
      <c r="A113" s="103"/>
      <c r="B113" s="12" t="s">
        <v>3</v>
      </c>
      <c r="C113" s="10" t="s">
        <v>289</v>
      </c>
      <c r="D113" s="94"/>
      <c r="E113" s="170"/>
      <c r="F113" s="94"/>
      <c r="G113" s="94" t="str">
        <f t="shared" si="8"/>
        <v/>
      </c>
      <c r="H113" s="10" t="s">
        <v>20</v>
      </c>
      <c r="I113" s="331">
        <v>29.2</v>
      </c>
      <c r="J113" s="12">
        <f t="shared" si="9"/>
        <v>0</v>
      </c>
    </row>
    <row r="114" spans="1:11" hidden="1" x14ac:dyDescent="0.35">
      <c r="A114" s="103"/>
      <c r="B114" s="12" t="s">
        <v>3</v>
      </c>
      <c r="C114" s="10" t="s">
        <v>290</v>
      </c>
      <c r="D114" s="94"/>
      <c r="E114" s="170"/>
      <c r="F114" s="94"/>
      <c r="G114" s="94" t="str">
        <f t="shared" si="8"/>
        <v/>
      </c>
      <c r="H114" s="10" t="s">
        <v>20</v>
      </c>
      <c r="I114" s="331">
        <v>22.95</v>
      </c>
      <c r="J114" s="12">
        <f t="shared" si="9"/>
        <v>0</v>
      </c>
      <c r="K114" s="13"/>
    </row>
    <row r="115" spans="1:11" ht="15.65" hidden="1" customHeight="1" x14ac:dyDescent="0.35">
      <c r="A115" s="111"/>
      <c r="B115" s="126" t="s">
        <v>291</v>
      </c>
      <c r="C115" s="127"/>
      <c r="D115" s="127"/>
      <c r="E115" s="177"/>
      <c r="F115" s="127"/>
      <c r="G115" s="94" t="str">
        <f t="shared" si="8"/>
        <v/>
      </c>
      <c r="H115" s="127"/>
      <c r="I115" s="239"/>
      <c r="J115" s="128"/>
      <c r="K115" s="13"/>
    </row>
    <row r="116" spans="1:11" ht="15.65" hidden="1" customHeight="1" x14ac:dyDescent="0.35">
      <c r="A116" s="103"/>
      <c r="B116" s="12" t="s">
        <v>3</v>
      </c>
      <c r="C116" s="10" t="s">
        <v>292</v>
      </c>
      <c r="D116" s="94"/>
      <c r="E116" s="170"/>
      <c r="F116" s="94"/>
      <c r="G116" s="94" t="str">
        <f t="shared" si="8"/>
        <v/>
      </c>
      <c r="H116" s="10" t="s">
        <v>20</v>
      </c>
      <c r="I116" s="331">
        <v>17.95</v>
      </c>
      <c r="J116" s="12">
        <f t="shared" ref="J116:J121" si="10">E116*I116</f>
        <v>0</v>
      </c>
      <c r="K116" s="13"/>
    </row>
    <row r="117" spans="1:11" ht="15.65" hidden="1" customHeight="1" x14ac:dyDescent="0.35">
      <c r="A117" s="103"/>
      <c r="B117" s="12" t="s">
        <v>3</v>
      </c>
      <c r="C117" s="10" t="s">
        <v>293</v>
      </c>
      <c r="D117" s="94"/>
      <c r="E117" s="170"/>
      <c r="F117" s="94"/>
      <c r="G117" s="94" t="str">
        <f t="shared" si="8"/>
        <v/>
      </c>
      <c r="H117" s="10" t="s">
        <v>20</v>
      </c>
      <c r="I117" s="331">
        <v>12.95</v>
      </c>
      <c r="J117" s="12">
        <f t="shared" si="10"/>
        <v>0</v>
      </c>
      <c r="K117" s="13"/>
    </row>
    <row r="118" spans="1:11" ht="15.65" hidden="1" customHeight="1" x14ac:dyDescent="0.35">
      <c r="A118" s="103"/>
      <c r="B118" s="12" t="s">
        <v>3</v>
      </c>
      <c r="C118" s="10" t="s">
        <v>294</v>
      </c>
      <c r="D118" s="94"/>
      <c r="E118" s="170"/>
      <c r="F118" s="94"/>
      <c r="G118" s="94" t="str">
        <f t="shared" si="8"/>
        <v/>
      </c>
      <c r="H118" s="10" t="s">
        <v>20</v>
      </c>
      <c r="I118" s="331">
        <v>21.95</v>
      </c>
      <c r="J118" s="12">
        <f t="shared" si="10"/>
        <v>0</v>
      </c>
      <c r="K118" s="13"/>
    </row>
    <row r="119" spans="1:11" ht="15.65" hidden="1" customHeight="1" x14ac:dyDescent="0.35">
      <c r="A119" s="103"/>
      <c r="B119" s="12" t="s">
        <v>3</v>
      </c>
      <c r="C119" s="10" t="s">
        <v>295</v>
      </c>
      <c r="D119" s="94"/>
      <c r="E119" s="170"/>
      <c r="F119" s="94"/>
      <c r="G119" s="94" t="str">
        <f t="shared" si="8"/>
        <v/>
      </c>
      <c r="H119" s="10" t="s">
        <v>20</v>
      </c>
      <c r="I119" s="331"/>
      <c r="J119" s="12">
        <f t="shared" si="10"/>
        <v>0</v>
      </c>
      <c r="K119" s="13"/>
    </row>
    <row r="120" spans="1:11" ht="15.65" hidden="1" customHeight="1" x14ac:dyDescent="0.35">
      <c r="A120" s="103"/>
      <c r="B120" s="12" t="s">
        <v>3</v>
      </c>
      <c r="C120" s="10" t="s">
        <v>296</v>
      </c>
      <c r="D120" s="94"/>
      <c r="E120" s="170"/>
      <c r="F120" s="94"/>
      <c r="G120" s="94" t="str">
        <f t="shared" si="8"/>
        <v/>
      </c>
      <c r="H120" s="10" t="s">
        <v>20</v>
      </c>
      <c r="I120" s="331"/>
      <c r="J120" s="12">
        <f t="shared" si="10"/>
        <v>0</v>
      </c>
      <c r="K120" s="13"/>
    </row>
    <row r="121" spans="1:11" ht="15.65" hidden="1" customHeight="1" x14ac:dyDescent="0.35">
      <c r="A121" s="103"/>
      <c r="B121" s="12" t="s">
        <v>3</v>
      </c>
      <c r="C121" s="10" t="s">
        <v>297</v>
      </c>
      <c r="D121" s="94"/>
      <c r="E121" s="170"/>
      <c r="F121" s="94"/>
      <c r="G121" s="94" t="str">
        <f t="shared" si="8"/>
        <v/>
      </c>
      <c r="H121" s="10" t="s">
        <v>20</v>
      </c>
      <c r="I121" s="331">
        <v>22.95</v>
      </c>
      <c r="J121" s="12">
        <f t="shared" si="10"/>
        <v>0</v>
      </c>
      <c r="K121" s="13"/>
    </row>
    <row r="122" spans="1:11" ht="15.65" hidden="1" customHeight="1" x14ac:dyDescent="0.35">
      <c r="A122" s="112" t="s">
        <v>298</v>
      </c>
      <c r="B122" s="116"/>
      <c r="C122" s="116"/>
      <c r="D122" s="116"/>
      <c r="E122" s="178"/>
      <c r="F122" s="116"/>
      <c r="G122" s="94" t="str">
        <f t="shared" si="8"/>
        <v/>
      </c>
      <c r="H122" s="117"/>
      <c r="I122" s="106" t="s">
        <v>18</v>
      </c>
      <c r="J122" s="115">
        <f>SUM(J123:J175)</f>
        <v>469.35</v>
      </c>
      <c r="K122" s="13"/>
    </row>
    <row r="123" spans="1:11" ht="15.65" hidden="1" customHeight="1" x14ac:dyDescent="0.35">
      <c r="A123" s="103"/>
      <c r="B123" s="20" t="s">
        <v>4</v>
      </c>
      <c r="C123" s="18" t="s">
        <v>62</v>
      </c>
      <c r="D123" s="99"/>
      <c r="E123" s="170"/>
      <c r="F123" s="99"/>
      <c r="G123" s="94" t="str">
        <f t="shared" si="8"/>
        <v/>
      </c>
      <c r="H123" s="18" t="s">
        <v>20</v>
      </c>
      <c r="I123" s="335">
        <v>7.35</v>
      </c>
      <c r="J123" s="20">
        <f>E123*I123</f>
        <v>0</v>
      </c>
      <c r="K123" s="13"/>
    </row>
    <row r="124" spans="1:11" ht="15.65" hidden="1" customHeight="1" x14ac:dyDescent="0.35">
      <c r="A124" s="103"/>
      <c r="B124" s="20" t="s">
        <v>4</v>
      </c>
      <c r="C124" s="18" t="s">
        <v>60</v>
      </c>
      <c r="D124" s="99"/>
      <c r="E124" s="170"/>
      <c r="F124" s="99"/>
      <c r="G124" s="94" t="str">
        <f t="shared" si="8"/>
        <v/>
      </c>
      <c r="H124" s="18" t="s">
        <v>20</v>
      </c>
      <c r="I124" s="335">
        <v>10.65</v>
      </c>
      <c r="J124" s="20">
        <f>E124*I124</f>
        <v>0</v>
      </c>
      <c r="K124" s="13"/>
    </row>
    <row r="125" spans="1:11" ht="15.65" hidden="1" customHeight="1" x14ac:dyDescent="0.35">
      <c r="A125" s="113" t="s">
        <v>40</v>
      </c>
      <c r="B125" s="124"/>
      <c r="C125" s="124"/>
      <c r="D125" s="124"/>
      <c r="E125" s="179"/>
      <c r="F125" s="124"/>
      <c r="G125" s="94" t="str">
        <f t="shared" si="8"/>
        <v/>
      </c>
      <c r="H125" s="124"/>
      <c r="I125" s="241"/>
      <c r="J125" s="125"/>
      <c r="K125" s="13"/>
    </row>
    <row r="126" spans="1:11" hidden="1" x14ac:dyDescent="0.35">
      <c r="A126" s="103"/>
      <c r="B126" s="20" t="s">
        <v>4</v>
      </c>
      <c r="C126" s="18" t="s">
        <v>299</v>
      </c>
      <c r="D126" s="99"/>
      <c r="E126" s="170"/>
      <c r="F126" s="99"/>
      <c r="G126" s="94" t="str">
        <f t="shared" si="8"/>
        <v/>
      </c>
      <c r="H126" s="18" t="s">
        <v>20</v>
      </c>
      <c r="I126" s="335">
        <v>1.31</v>
      </c>
      <c r="J126" s="12">
        <f t="shared" ref="J126:J137" si="11">E126*I126</f>
        <v>0</v>
      </c>
      <c r="K126" s="13"/>
    </row>
    <row r="127" spans="1:11" ht="15.65" hidden="1" customHeight="1" x14ac:dyDescent="0.35">
      <c r="A127" s="103"/>
      <c r="B127" s="12" t="s">
        <v>4</v>
      </c>
      <c r="C127" s="10" t="s">
        <v>300</v>
      </c>
      <c r="D127" s="94"/>
      <c r="E127" s="170"/>
      <c r="F127" s="94"/>
      <c r="G127" s="94" t="str">
        <f t="shared" si="8"/>
        <v/>
      </c>
      <c r="H127" s="10" t="s">
        <v>20</v>
      </c>
      <c r="I127" s="331">
        <v>1.31</v>
      </c>
      <c r="J127" s="12">
        <f t="shared" si="11"/>
        <v>0</v>
      </c>
    </row>
    <row r="128" spans="1:11" ht="15.65" hidden="1" customHeight="1" x14ac:dyDescent="0.35">
      <c r="A128" s="103"/>
      <c r="B128" s="20" t="s">
        <v>4</v>
      </c>
      <c r="C128" s="18" t="s">
        <v>301</v>
      </c>
      <c r="D128" s="99"/>
      <c r="E128" s="170"/>
      <c r="F128" s="99"/>
      <c r="G128" s="94" t="str">
        <f t="shared" si="8"/>
        <v/>
      </c>
      <c r="H128" s="18" t="s">
        <v>20</v>
      </c>
      <c r="I128" s="335">
        <v>1.4039999999999999</v>
      </c>
      <c r="J128" s="12">
        <f t="shared" si="11"/>
        <v>0</v>
      </c>
    </row>
    <row r="129" spans="1:11" ht="15.65" hidden="1" customHeight="1" x14ac:dyDescent="0.35">
      <c r="A129" s="103"/>
      <c r="B129" s="12" t="s">
        <v>4</v>
      </c>
      <c r="C129" s="10" t="s">
        <v>302</v>
      </c>
      <c r="D129" s="94"/>
      <c r="E129" s="170"/>
      <c r="F129" s="94"/>
      <c r="G129" s="94" t="str">
        <f t="shared" si="8"/>
        <v/>
      </c>
      <c r="H129" s="10" t="s">
        <v>20</v>
      </c>
      <c r="I129" s="331">
        <v>1.4039999999999999</v>
      </c>
      <c r="J129" s="12">
        <f t="shared" si="11"/>
        <v>0</v>
      </c>
    </row>
    <row r="130" spans="1:11" ht="15.65" hidden="1" customHeight="1" x14ac:dyDescent="0.35">
      <c r="A130" s="103"/>
      <c r="B130" s="12" t="s">
        <v>4</v>
      </c>
      <c r="C130" s="10" t="s">
        <v>303</v>
      </c>
      <c r="D130" s="94"/>
      <c r="E130" s="170"/>
      <c r="F130" s="94"/>
      <c r="G130" s="94" t="str">
        <f t="shared" si="8"/>
        <v/>
      </c>
      <c r="H130" s="10" t="s">
        <v>20</v>
      </c>
      <c r="I130" s="331">
        <v>1.53</v>
      </c>
      <c r="J130" s="12">
        <f t="shared" si="11"/>
        <v>0</v>
      </c>
    </row>
    <row r="131" spans="1:11" hidden="1" x14ac:dyDescent="0.35">
      <c r="A131" s="103"/>
      <c r="B131" s="12" t="s">
        <v>4</v>
      </c>
      <c r="C131" s="10" t="s">
        <v>304</v>
      </c>
      <c r="D131" s="94"/>
      <c r="E131" s="170"/>
      <c r="F131" s="94"/>
      <c r="G131" s="94" t="str">
        <f t="shared" si="8"/>
        <v/>
      </c>
      <c r="H131" s="10" t="s">
        <v>20</v>
      </c>
      <c r="I131" s="331">
        <v>1.65</v>
      </c>
      <c r="J131" s="12">
        <f t="shared" si="11"/>
        <v>0</v>
      </c>
    </row>
    <row r="132" spans="1:11" hidden="1" x14ac:dyDescent="0.35">
      <c r="A132" s="103"/>
      <c r="B132" s="12" t="s">
        <v>4</v>
      </c>
      <c r="C132" s="10" t="s">
        <v>83</v>
      </c>
      <c r="D132" s="94"/>
      <c r="E132" s="170"/>
      <c r="F132" s="94"/>
      <c r="G132" s="94" t="str">
        <f t="shared" si="8"/>
        <v/>
      </c>
      <c r="H132" s="10" t="s">
        <v>20</v>
      </c>
      <c r="I132" s="331">
        <v>1.04</v>
      </c>
      <c r="J132" s="12">
        <f t="shared" si="11"/>
        <v>0</v>
      </c>
    </row>
    <row r="133" spans="1:11" hidden="1" x14ac:dyDescent="0.35">
      <c r="A133" s="103"/>
      <c r="B133" s="12" t="s">
        <v>4</v>
      </c>
      <c r="C133" s="10" t="s">
        <v>305</v>
      </c>
      <c r="D133" s="94"/>
      <c r="E133" s="170"/>
      <c r="F133" s="94"/>
      <c r="G133" s="94" t="str">
        <f t="shared" si="8"/>
        <v/>
      </c>
      <c r="H133" s="10" t="s">
        <v>20</v>
      </c>
      <c r="I133" s="331">
        <v>1.04</v>
      </c>
      <c r="J133" s="12">
        <f t="shared" si="11"/>
        <v>0</v>
      </c>
    </row>
    <row r="134" spans="1:11" ht="15.65" hidden="1" customHeight="1" x14ac:dyDescent="0.35">
      <c r="A134" s="103"/>
      <c r="B134" s="12" t="s">
        <v>4</v>
      </c>
      <c r="C134" s="10" t="s">
        <v>306</v>
      </c>
      <c r="D134" s="94"/>
      <c r="E134" s="170"/>
      <c r="F134" s="94"/>
      <c r="G134" s="94" t="str">
        <f t="shared" si="8"/>
        <v/>
      </c>
      <c r="H134" s="10" t="s">
        <v>20</v>
      </c>
      <c r="I134" s="331">
        <v>1.06</v>
      </c>
      <c r="J134" s="12">
        <f t="shared" si="11"/>
        <v>0</v>
      </c>
    </row>
    <row r="135" spans="1:11" ht="15.65" hidden="1" customHeight="1" x14ac:dyDescent="0.35">
      <c r="A135" s="103"/>
      <c r="B135" s="12" t="s">
        <v>4</v>
      </c>
      <c r="C135" s="10" t="s">
        <v>307</v>
      </c>
      <c r="D135" s="94"/>
      <c r="E135" s="170"/>
      <c r="F135" s="94"/>
      <c r="G135" s="94" t="str">
        <f t="shared" si="8"/>
        <v/>
      </c>
      <c r="H135" s="10" t="s">
        <v>20</v>
      </c>
      <c r="I135" s="331">
        <v>1.06</v>
      </c>
      <c r="J135" s="12">
        <f t="shared" si="11"/>
        <v>0</v>
      </c>
    </row>
    <row r="136" spans="1:11" ht="15.65" hidden="1" customHeight="1" x14ac:dyDescent="0.35">
      <c r="A136" s="103"/>
      <c r="B136" s="12" t="s">
        <v>4</v>
      </c>
      <c r="C136" s="10" t="s">
        <v>308</v>
      </c>
      <c r="D136" s="94"/>
      <c r="E136" s="170"/>
      <c r="F136" s="94"/>
      <c r="G136" s="94" t="str">
        <f t="shared" si="8"/>
        <v/>
      </c>
      <c r="H136" s="10" t="s">
        <v>20</v>
      </c>
      <c r="I136" s="331">
        <v>1.2869999999999999</v>
      </c>
      <c r="J136" s="12">
        <f t="shared" si="11"/>
        <v>0</v>
      </c>
    </row>
    <row r="137" spans="1:11" ht="15.65" hidden="1" customHeight="1" x14ac:dyDescent="0.35">
      <c r="A137" s="103"/>
      <c r="B137" s="12" t="s">
        <v>4</v>
      </c>
      <c r="C137" s="10" t="s">
        <v>309</v>
      </c>
      <c r="D137" s="94"/>
      <c r="E137" s="170"/>
      <c r="F137" s="94"/>
      <c r="G137" s="94" t="str">
        <f t="shared" si="8"/>
        <v/>
      </c>
      <c r="H137" s="10" t="s">
        <v>20</v>
      </c>
      <c r="I137" s="331">
        <v>1.59</v>
      </c>
      <c r="J137" s="12">
        <f t="shared" si="11"/>
        <v>0</v>
      </c>
      <c r="K137" s="13"/>
    </row>
    <row r="138" spans="1:11" ht="15.65" hidden="1" customHeight="1" x14ac:dyDescent="0.35">
      <c r="A138" s="113" t="s">
        <v>310</v>
      </c>
      <c r="B138" s="124"/>
      <c r="C138" s="124"/>
      <c r="D138" s="124"/>
      <c r="E138" s="179"/>
      <c r="F138" s="124"/>
      <c r="G138" s="94" t="str">
        <f t="shared" si="8"/>
        <v/>
      </c>
      <c r="H138" s="124"/>
      <c r="I138" s="241"/>
      <c r="J138" s="125"/>
    </row>
    <row r="139" spans="1:11" ht="15.65" hidden="1" customHeight="1" x14ac:dyDescent="0.35">
      <c r="A139" s="103"/>
      <c r="B139" s="12" t="s">
        <v>4</v>
      </c>
      <c r="C139" s="10" t="s">
        <v>311</v>
      </c>
      <c r="D139" s="94"/>
      <c r="E139" s="170"/>
      <c r="F139" s="94"/>
      <c r="G139" s="94" t="str">
        <f t="shared" si="8"/>
        <v/>
      </c>
      <c r="H139" s="10" t="s">
        <v>20</v>
      </c>
      <c r="I139" s="331">
        <v>1.1000000000000001</v>
      </c>
      <c r="J139" s="12">
        <f t="shared" ref="J139:J149" si="12">E139*I139</f>
        <v>0</v>
      </c>
    </row>
    <row r="140" spans="1:11" ht="15.65" hidden="1" customHeight="1" x14ac:dyDescent="0.35">
      <c r="A140" s="103"/>
      <c r="B140" s="12" t="s">
        <v>4</v>
      </c>
      <c r="C140" s="10" t="s">
        <v>312</v>
      </c>
      <c r="D140" s="94"/>
      <c r="E140" s="170"/>
      <c r="F140" s="94"/>
      <c r="G140" s="94" t="str">
        <f t="shared" si="8"/>
        <v/>
      </c>
      <c r="H140" s="10" t="s">
        <v>20</v>
      </c>
      <c r="I140" s="331">
        <v>1.1000000000000001</v>
      </c>
      <c r="J140" s="12">
        <f t="shared" si="12"/>
        <v>0</v>
      </c>
    </row>
    <row r="141" spans="1:11" ht="15.65" hidden="1" customHeight="1" x14ac:dyDescent="0.35">
      <c r="A141" s="103"/>
      <c r="B141" s="12" t="s">
        <v>4</v>
      </c>
      <c r="C141" s="10" t="s">
        <v>313</v>
      </c>
      <c r="D141" s="94"/>
      <c r="E141" s="170"/>
      <c r="F141" s="94"/>
      <c r="G141" s="94" t="str">
        <f t="shared" si="8"/>
        <v/>
      </c>
      <c r="H141" s="10" t="s">
        <v>20</v>
      </c>
      <c r="I141" s="331">
        <v>1.3</v>
      </c>
      <c r="J141" s="12">
        <f t="shared" si="12"/>
        <v>0</v>
      </c>
    </row>
    <row r="142" spans="1:11" ht="15.65" hidden="1" customHeight="1" x14ac:dyDescent="0.35">
      <c r="A142" s="103"/>
      <c r="B142" s="12" t="s">
        <v>4</v>
      </c>
      <c r="C142" s="10" t="s">
        <v>314</v>
      </c>
      <c r="D142" s="94"/>
      <c r="E142" s="170"/>
      <c r="F142" s="94"/>
      <c r="G142" s="94" t="str">
        <f t="shared" si="8"/>
        <v/>
      </c>
      <c r="H142" s="10" t="s">
        <v>20</v>
      </c>
      <c r="I142" s="331">
        <v>1.36</v>
      </c>
      <c r="J142" s="12">
        <f t="shared" si="12"/>
        <v>0</v>
      </c>
    </row>
    <row r="143" spans="1:11" ht="15.65" hidden="1" customHeight="1" x14ac:dyDescent="0.35">
      <c r="A143" s="103"/>
      <c r="B143" s="12" t="s">
        <v>4</v>
      </c>
      <c r="C143" s="10" t="s">
        <v>315</v>
      </c>
      <c r="D143" s="94"/>
      <c r="E143" s="170"/>
      <c r="F143" s="94"/>
      <c r="G143" s="94" t="str">
        <f t="shared" si="8"/>
        <v/>
      </c>
      <c r="H143" s="10" t="s">
        <v>20</v>
      </c>
      <c r="I143" s="331">
        <v>1.3</v>
      </c>
      <c r="J143" s="12">
        <f t="shared" si="12"/>
        <v>0</v>
      </c>
    </row>
    <row r="144" spans="1:11" ht="15.65" hidden="1" customHeight="1" x14ac:dyDescent="0.35">
      <c r="A144" s="103"/>
      <c r="B144" s="12" t="s">
        <v>4</v>
      </c>
      <c r="C144" s="10" t="s">
        <v>316</v>
      </c>
      <c r="D144" s="94"/>
      <c r="E144" s="170"/>
      <c r="F144" s="94"/>
      <c r="G144" s="94" t="str">
        <f t="shared" si="8"/>
        <v/>
      </c>
      <c r="H144" s="10" t="s">
        <v>20</v>
      </c>
      <c r="I144" s="331">
        <v>1.35</v>
      </c>
      <c r="J144" s="12">
        <f t="shared" si="12"/>
        <v>0</v>
      </c>
      <c r="K144" s="13"/>
    </row>
    <row r="145" spans="1:11" ht="15.65" hidden="1" customHeight="1" x14ac:dyDescent="0.35">
      <c r="A145" s="103"/>
      <c r="B145" s="12" t="s">
        <v>4</v>
      </c>
      <c r="C145" s="10" t="s">
        <v>317</v>
      </c>
      <c r="D145" s="94"/>
      <c r="E145" s="170"/>
      <c r="F145" s="94"/>
      <c r="G145" s="94" t="str">
        <f t="shared" si="8"/>
        <v/>
      </c>
      <c r="H145" s="10" t="s">
        <v>20</v>
      </c>
      <c r="I145" s="331">
        <v>1.28</v>
      </c>
      <c r="J145" s="12">
        <f t="shared" si="12"/>
        <v>0</v>
      </c>
    </row>
    <row r="146" spans="1:11" ht="15.65" hidden="1" customHeight="1" x14ac:dyDescent="0.35">
      <c r="A146" s="103"/>
      <c r="B146" s="12" t="s">
        <v>4</v>
      </c>
      <c r="C146" s="10" t="s">
        <v>318</v>
      </c>
      <c r="D146" s="94"/>
      <c r="E146" s="170"/>
      <c r="F146" s="94"/>
      <c r="G146" s="94" t="str">
        <f t="shared" si="8"/>
        <v/>
      </c>
      <c r="H146" s="10" t="s">
        <v>20</v>
      </c>
      <c r="I146" s="331">
        <v>1.1000000000000001</v>
      </c>
      <c r="J146" s="12">
        <f t="shared" si="12"/>
        <v>0</v>
      </c>
    </row>
    <row r="147" spans="1:11" ht="15.65" hidden="1" customHeight="1" x14ac:dyDescent="0.35">
      <c r="A147" s="103"/>
      <c r="B147" s="12" t="s">
        <v>4</v>
      </c>
      <c r="C147" s="10" t="s">
        <v>319</v>
      </c>
      <c r="D147" s="94"/>
      <c r="E147" s="170"/>
      <c r="F147" s="94"/>
      <c r="G147" s="94" t="str">
        <f t="shared" si="8"/>
        <v/>
      </c>
      <c r="H147" s="10" t="s">
        <v>20</v>
      </c>
      <c r="I147" s="331">
        <v>1.1000000000000001</v>
      </c>
      <c r="J147" s="12">
        <f t="shared" si="12"/>
        <v>0</v>
      </c>
    </row>
    <row r="148" spans="1:11" ht="15.65" hidden="1" customHeight="1" x14ac:dyDescent="0.35">
      <c r="A148" s="103"/>
      <c r="B148" s="12" t="s">
        <v>4</v>
      </c>
      <c r="C148" s="10" t="s">
        <v>320</v>
      </c>
      <c r="D148" s="94"/>
      <c r="E148" s="170"/>
      <c r="F148" s="94"/>
      <c r="G148" s="94" t="str">
        <f t="shared" si="8"/>
        <v/>
      </c>
      <c r="H148" s="10" t="s">
        <v>20</v>
      </c>
      <c r="I148" s="331">
        <v>1.1000000000000001</v>
      </c>
      <c r="J148" s="12">
        <f t="shared" si="12"/>
        <v>0</v>
      </c>
    </row>
    <row r="149" spans="1:11" ht="15.65" hidden="1" customHeight="1" x14ac:dyDescent="0.35">
      <c r="A149" s="103"/>
      <c r="B149" s="12" t="s">
        <v>4</v>
      </c>
      <c r="C149" s="10" t="s">
        <v>321</v>
      </c>
      <c r="D149" s="94"/>
      <c r="E149" s="170"/>
      <c r="F149" s="94"/>
      <c r="G149" s="94" t="str">
        <f t="shared" si="8"/>
        <v/>
      </c>
      <c r="H149" s="10" t="s">
        <v>20</v>
      </c>
      <c r="I149" s="331">
        <v>1.1000000000000001</v>
      </c>
      <c r="J149" s="12">
        <f t="shared" si="12"/>
        <v>0</v>
      </c>
    </row>
    <row r="150" spans="1:11" ht="15.65" customHeight="1" x14ac:dyDescent="0.35">
      <c r="A150" s="113" t="s">
        <v>41</v>
      </c>
      <c r="B150" s="124"/>
      <c r="C150" s="124"/>
      <c r="D150" s="124"/>
      <c r="E150" s="179"/>
      <c r="F150" s="124"/>
      <c r="G150" s="221" t="str">
        <f t="shared" si="8"/>
        <v/>
      </c>
      <c r="H150" s="124"/>
      <c r="I150" s="241"/>
      <c r="J150" s="125"/>
    </row>
    <row r="151" spans="1:11" ht="15.65" customHeight="1" x14ac:dyDescent="0.35">
      <c r="A151" s="103"/>
      <c r="B151" s="12" t="s">
        <v>4</v>
      </c>
      <c r="C151" s="10" t="s">
        <v>24</v>
      </c>
      <c r="D151" s="94"/>
      <c r="E151" s="170">
        <v>33</v>
      </c>
      <c r="F151" s="94"/>
      <c r="G151" s="94" t="str">
        <f t="shared" si="8"/>
        <v/>
      </c>
      <c r="H151" s="10" t="s">
        <v>20</v>
      </c>
      <c r="I151" s="331">
        <v>3.04</v>
      </c>
      <c r="J151" s="12">
        <f t="shared" ref="J151:J164" si="13">E151*I151</f>
        <v>100.32000000000001</v>
      </c>
      <c r="K151" s="13"/>
    </row>
    <row r="152" spans="1:11" ht="15.65" customHeight="1" x14ac:dyDescent="0.35">
      <c r="A152" s="103"/>
      <c r="B152" s="12" t="s">
        <v>4</v>
      </c>
      <c r="C152" s="10" t="s">
        <v>80</v>
      </c>
      <c r="D152" s="94"/>
      <c r="E152" s="170">
        <v>41</v>
      </c>
      <c r="F152" s="94"/>
      <c r="G152" s="94" t="str">
        <f t="shared" si="8"/>
        <v/>
      </c>
      <c r="H152" s="10" t="s">
        <v>20</v>
      </c>
      <c r="I152" s="331">
        <v>2.31</v>
      </c>
      <c r="J152" s="12">
        <f t="shared" si="13"/>
        <v>94.710000000000008</v>
      </c>
    </row>
    <row r="153" spans="1:11" ht="15.65" customHeight="1" x14ac:dyDescent="0.35">
      <c r="A153" s="103"/>
      <c r="B153" s="12" t="s">
        <v>4</v>
      </c>
      <c r="C153" s="10" t="s">
        <v>84</v>
      </c>
      <c r="D153" s="94"/>
      <c r="E153" s="170">
        <v>34</v>
      </c>
      <c r="F153" s="94"/>
      <c r="G153" s="94" t="str">
        <f t="shared" ref="G153:G223" si="14">IF(E153="","",IF(D153-E153&gt;0,D153-E153,""))</f>
        <v/>
      </c>
      <c r="H153" s="10" t="s">
        <v>20</v>
      </c>
      <c r="I153" s="331">
        <v>2.31</v>
      </c>
      <c r="J153" s="12">
        <f t="shared" si="13"/>
        <v>78.540000000000006</v>
      </c>
    </row>
    <row r="154" spans="1:11" ht="15.65" hidden="1" customHeight="1" x14ac:dyDescent="0.35">
      <c r="A154" s="103"/>
      <c r="B154" s="12" t="s">
        <v>4</v>
      </c>
      <c r="C154" s="10" t="s">
        <v>394</v>
      </c>
      <c r="D154" s="94"/>
      <c r="E154" s="170"/>
      <c r="F154" s="94"/>
      <c r="G154" s="94" t="str">
        <f t="shared" si="14"/>
        <v/>
      </c>
      <c r="H154" s="10" t="s">
        <v>20</v>
      </c>
      <c r="I154" s="331">
        <v>2.54</v>
      </c>
      <c r="J154" s="12">
        <f t="shared" si="13"/>
        <v>0</v>
      </c>
    </row>
    <row r="155" spans="1:11" ht="15.65" hidden="1" customHeight="1" x14ac:dyDescent="0.35">
      <c r="A155" s="103"/>
      <c r="B155" s="12" t="s">
        <v>4</v>
      </c>
      <c r="C155" s="10" t="s">
        <v>394</v>
      </c>
      <c r="D155" s="94"/>
      <c r="E155" s="170"/>
      <c r="F155" s="94"/>
      <c r="G155" s="94" t="str">
        <f t="shared" si="14"/>
        <v/>
      </c>
      <c r="H155" s="10" t="s">
        <v>20</v>
      </c>
      <c r="I155" s="331">
        <v>2.54</v>
      </c>
      <c r="J155" s="12">
        <f t="shared" si="13"/>
        <v>0</v>
      </c>
    </row>
    <row r="156" spans="1:11" ht="15.65" customHeight="1" x14ac:dyDescent="0.35">
      <c r="A156" s="103"/>
      <c r="B156" s="12" t="s">
        <v>4</v>
      </c>
      <c r="C156" s="10" t="s">
        <v>25</v>
      </c>
      <c r="D156" s="94"/>
      <c r="E156" s="170">
        <v>5</v>
      </c>
      <c r="F156" s="94"/>
      <c r="G156" s="94" t="str">
        <f t="shared" si="14"/>
        <v/>
      </c>
      <c r="H156" s="10" t="s">
        <v>20</v>
      </c>
      <c r="I156" s="331">
        <v>1.79</v>
      </c>
      <c r="J156" s="12">
        <f t="shared" si="13"/>
        <v>8.9499999999999993</v>
      </c>
      <c r="K156" s="13"/>
    </row>
    <row r="157" spans="1:11" ht="15.65" hidden="1" customHeight="1" x14ac:dyDescent="0.35">
      <c r="A157" s="103"/>
      <c r="B157" s="12" t="s">
        <v>4</v>
      </c>
      <c r="C157" s="10" t="s">
        <v>322</v>
      </c>
      <c r="D157" s="94"/>
      <c r="E157" s="170"/>
      <c r="F157" s="94"/>
      <c r="G157" s="94" t="str">
        <f t="shared" si="14"/>
        <v/>
      </c>
      <c r="H157" s="10" t="s">
        <v>20</v>
      </c>
      <c r="I157" s="331">
        <v>2.46</v>
      </c>
      <c r="J157" s="12">
        <f t="shared" si="13"/>
        <v>0</v>
      </c>
    </row>
    <row r="158" spans="1:11" ht="15.65" customHeight="1" x14ac:dyDescent="0.35">
      <c r="A158" s="103"/>
      <c r="B158" s="12" t="s">
        <v>4</v>
      </c>
      <c r="C158" s="10" t="s">
        <v>393</v>
      </c>
      <c r="D158" s="94"/>
      <c r="E158" s="170">
        <v>25</v>
      </c>
      <c r="F158" s="94"/>
      <c r="G158" s="94" t="str">
        <f t="shared" si="14"/>
        <v/>
      </c>
      <c r="H158" s="10" t="s">
        <v>20</v>
      </c>
      <c r="I158" s="331">
        <v>2.46</v>
      </c>
      <c r="J158" s="12">
        <f t="shared" si="13"/>
        <v>61.5</v>
      </c>
    </row>
    <row r="159" spans="1:11" ht="15.65" hidden="1" customHeight="1" x14ac:dyDescent="0.35">
      <c r="A159" s="103"/>
      <c r="B159" s="12" t="s">
        <v>4</v>
      </c>
      <c r="C159" s="10" t="s">
        <v>43</v>
      </c>
      <c r="D159" s="94"/>
      <c r="E159" s="170"/>
      <c r="F159" s="94"/>
      <c r="G159" s="94" t="str">
        <f t="shared" si="14"/>
        <v/>
      </c>
      <c r="H159" s="10" t="s">
        <v>20</v>
      </c>
      <c r="I159" s="331">
        <v>2.5499999999999998</v>
      </c>
      <c r="J159" s="12">
        <f t="shared" si="13"/>
        <v>0</v>
      </c>
    </row>
    <row r="160" spans="1:11" ht="15.65" customHeight="1" x14ac:dyDescent="0.35">
      <c r="A160" s="103"/>
      <c r="B160" s="12" t="s">
        <v>4</v>
      </c>
      <c r="C160" s="10" t="s">
        <v>81</v>
      </c>
      <c r="D160" s="94"/>
      <c r="E160" s="170">
        <v>38</v>
      </c>
      <c r="F160" s="94"/>
      <c r="G160" s="94" t="str">
        <f t="shared" si="14"/>
        <v/>
      </c>
      <c r="H160" s="10" t="s">
        <v>20</v>
      </c>
      <c r="I160" s="331">
        <v>1.51</v>
      </c>
      <c r="J160" s="12">
        <f t="shared" si="13"/>
        <v>57.38</v>
      </c>
      <c r="K160" s="13"/>
    </row>
    <row r="161" spans="1:11" ht="15.65" customHeight="1" x14ac:dyDescent="0.35">
      <c r="A161" s="103"/>
      <c r="B161" s="12" t="s">
        <v>4</v>
      </c>
      <c r="C161" s="10" t="s">
        <v>82</v>
      </c>
      <c r="D161" s="94"/>
      <c r="E161" s="170">
        <v>45</v>
      </c>
      <c r="F161" s="94"/>
      <c r="G161" s="94" t="str">
        <f t="shared" si="14"/>
        <v/>
      </c>
      <c r="H161" s="10" t="s">
        <v>20</v>
      </c>
      <c r="I161" s="331">
        <v>1.51</v>
      </c>
      <c r="J161" s="12">
        <f t="shared" si="13"/>
        <v>67.95</v>
      </c>
    </row>
    <row r="162" spans="1:11" ht="15.65" hidden="1" customHeight="1" x14ac:dyDescent="0.35">
      <c r="A162" s="103"/>
      <c r="B162" s="12" t="s">
        <v>4</v>
      </c>
      <c r="C162" s="10" t="s">
        <v>323</v>
      </c>
      <c r="D162" s="94"/>
      <c r="E162" s="170"/>
      <c r="F162" s="94"/>
      <c r="G162" s="94" t="str">
        <f t="shared" si="14"/>
        <v/>
      </c>
      <c r="H162" s="10" t="s">
        <v>20</v>
      </c>
      <c r="I162" s="331">
        <v>1.54</v>
      </c>
      <c r="J162" s="12">
        <f t="shared" si="13"/>
        <v>0</v>
      </c>
    </row>
    <row r="163" spans="1:11" hidden="1" x14ac:dyDescent="0.35">
      <c r="A163" s="103"/>
      <c r="B163" s="12" t="s">
        <v>4</v>
      </c>
      <c r="C163" s="10" t="s">
        <v>324</v>
      </c>
      <c r="D163" s="94"/>
      <c r="E163" s="170"/>
      <c r="F163" s="94"/>
      <c r="G163" s="94" t="str">
        <f t="shared" si="14"/>
        <v/>
      </c>
      <c r="H163" s="10" t="s">
        <v>20</v>
      </c>
      <c r="I163" s="331">
        <v>1.6</v>
      </c>
      <c r="J163" s="12">
        <f t="shared" si="13"/>
        <v>0</v>
      </c>
    </row>
    <row r="164" spans="1:11" hidden="1" x14ac:dyDescent="0.35">
      <c r="A164" s="103"/>
      <c r="B164" s="12" t="s">
        <v>4</v>
      </c>
      <c r="C164" s="78" t="s">
        <v>325</v>
      </c>
      <c r="D164" s="97"/>
      <c r="E164" s="170"/>
      <c r="F164" s="97"/>
      <c r="G164" s="94" t="str">
        <f t="shared" si="14"/>
        <v/>
      </c>
      <c r="H164" s="10" t="s">
        <v>20</v>
      </c>
      <c r="I164" s="333">
        <v>49.95</v>
      </c>
      <c r="J164" s="12">
        <f t="shared" si="13"/>
        <v>0</v>
      </c>
    </row>
    <row r="165" spans="1:11" x14ac:dyDescent="0.35">
      <c r="A165" s="113" t="s">
        <v>44</v>
      </c>
      <c r="B165" s="124"/>
      <c r="C165" s="124"/>
      <c r="D165" s="124"/>
      <c r="E165" s="179"/>
      <c r="F165" s="124"/>
      <c r="G165" s="221" t="str">
        <f t="shared" si="14"/>
        <v/>
      </c>
      <c r="H165" s="124"/>
      <c r="I165" s="241"/>
      <c r="J165" s="125"/>
    </row>
    <row r="166" spans="1:11" ht="14.5" customHeight="1" x14ac:dyDescent="0.35">
      <c r="A166" s="103"/>
      <c r="B166" s="12" t="s">
        <v>4</v>
      </c>
      <c r="C166" s="10" t="s">
        <v>48</v>
      </c>
      <c r="D166" s="94"/>
      <c r="E166" s="170"/>
      <c r="F166" s="94"/>
      <c r="G166" s="94" t="str">
        <f t="shared" si="14"/>
        <v/>
      </c>
      <c r="H166" s="10" t="s">
        <v>20</v>
      </c>
      <c r="I166" s="331">
        <v>1.94</v>
      </c>
      <c r="J166" s="12">
        <f t="shared" ref="J166:J175" si="15">E166*I166</f>
        <v>0</v>
      </c>
    </row>
    <row r="167" spans="1:11" x14ac:dyDescent="0.35">
      <c r="A167" s="103"/>
      <c r="B167" s="12" t="s">
        <v>4</v>
      </c>
      <c r="C167" s="10" t="s">
        <v>49</v>
      </c>
      <c r="D167" s="94"/>
      <c r="E167" s="170"/>
      <c r="F167" s="94"/>
      <c r="G167" s="94" t="str">
        <f t="shared" si="14"/>
        <v/>
      </c>
      <c r="H167" s="10" t="s">
        <v>20</v>
      </c>
      <c r="I167" s="331">
        <v>1.94</v>
      </c>
      <c r="J167" s="12">
        <f t="shared" si="15"/>
        <v>0</v>
      </c>
    </row>
    <row r="168" spans="1:11" x14ac:dyDescent="0.35">
      <c r="A168" s="103"/>
      <c r="B168" s="12" t="s">
        <v>4</v>
      </c>
      <c r="C168" s="10" t="s">
        <v>50</v>
      </c>
      <c r="D168" s="94"/>
      <c r="E168" s="170"/>
      <c r="F168" s="94"/>
      <c r="G168" s="94" t="str">
        <f t="shared" si="14"/>
        <v/>
      </c>
      <c r="H168" s="10" t="s">
        <v>20</v>
      </c>
      <c r="I168" s="331">
        <v>1.94</v>
      </c>
      <c r="J168" s="12">
        <f t="shared" si="15"/>
        <v>0</v>
      </c>
    </row>
    <row r="169" spans="1:11" hidden="1" x14ac:dyDescent="0.35">
      <c r="A169" s="103"/>
      <c r="B169" s="12" t="s">
        <v>4</v>
      </c>
      <c r="C169" s="10" t="s">
        <v>415</v>
      </c>
      <c r="D169" s="94"/>
      <c r="E169" s="170"/>
      <c r="F169" s="94"/>
      <c r="G169" s="94" t="str">
        <f t="shared" si="14"/>
        <v/>
      </c>
      <c r="H169" s="10" t="s">
        <v>20</v>
      </c>
      <c r="I169" s="331">
        <v>1.98</v>
      </c>
      <c r="J169" s="12">
        <f t="shared" si="15"/>
        <v>0</v>
      </c>
    </row>
    <row r="170" spans="1:11" ht="13.75" hidden="1" customHeight="1" x14ac:dyDescent="0.35">
      <c r="A170" s="103"/>
      <c r="B170" s="12" t="s">
        <v>4</v>
      </c>
      <c r="C170" s="10" t="s">
        <v>414</v>
      </c>
      <c r="D170" s="94"/>
      <c r="E170" s="170"/>
      <c r="F170" s="94"/>
      <c r="G170" s="94" t="str">
        <f t="shared" si="14"/>
        <v/>
      </c>
      <c r="H170" s="10" t="s">
        <v>20</v>
      </c>
      <c r="I170" s="331">
        <v>1.98</v>
      </c>
      <c r="J170" s="12">
        <f t="shared" si="15"/>
        <v>0</v>
      </c>
    </row>
    <row r="171" spans="1:11" ht="14.5" hidden="1" customHeight="1" x14ac:dyDescent="0.35">
      <c r="A171" s="103"/>
      <c r="B171" s="12" t="s">
        <v>4</v>
      </c>
      <c r="C171" s="10" t="s">
        <v>328</v>
      </c>
      <c r="D171" s="94"/>
      <c r="E171" s="170"/>
      <c r="F171" s="94"/>
      <c r="G171" s="94" t="str">
        <f t="shared" si="14"/>
        <v/>
      </c>
      <c r="H171" s="10" t="s">
        <v>20</v>
      </c>
      <c r="I171" s="331">
        <v>1.98</v>
      </c>
      <c r="J171" s="12">
        <f t="shared" si="15"/>
        <v>0</v>
      </c>
    </row>
    <row r="172" spans="1:11" hidden="1" x14ac:dyDescent="0.35">
      <c r="A172" s="103"/>
      <c r="B172" s="12" t="s">
        <v>4</v>
      </c>
      <c r="C172" s="10" t="s">
        <v>329</v>
      </c>
      <c r="D172" s="94"/>
      <c r="E172" s="170"/>
      <c r="F172" s="94"/>
      <c r="G172" s="94" t="str">
        <f t="shared" si="14"/>
        <v/>
      </c>
      <c r="H172" s="10" t="s">
        <v>20</v>
      </c>
      <c r="I172" s="331">
        <v>1.98</v>
      </c>
      <c r="J172" s="12">
        <f t="shared" si="15"/>
        <v>0</v>
      </c>
    </row>
    <row r="173" spans="1:11" ht="14.5" hidden="1" customHeight="1" x14ac:dyDescent="0.35">
      <c r="A173" s="103"/>
      <c r="B173" s="40" t="s">
        <v>4</v>
      </c>
      <c r="C173" s="41" t="s">
        <v>330</v>
      </c>
      <c r="D173" s="98"/>
      <c r="E173" s="170"/>
      <c r="F173" s="98"/>
      <c r="G173" s="94" t="str">
        <f t="shared" si="14"/>
        <v/>
      </c>
      <c r="H173" s="10" t="s">
        <v>20</v>
      </c>
      <c r="I173" s="331">
        <v>1.98</v>
      </c>
      <c r="J173" s="12">
        <f t="shared" si="15"/>
        <v>0</v>
      </c>
    </row>
    <row r="174" spans="1:11" ht="14.5" hidden="1" customHeight="1" x14ac:dyDescent="0.35">
      <c r="A174" s="103"/>
      <c r="B174" s="40" t="s">
        <v>4</v>
      </c>
      <c r="C174" s="41" t="s">
        <v>331</v>
      </c>
      <c r="D174" s="98"/>
      <c r="E174" s="170"/>
      <c r="F174" s="98"/>
      <c r="G174" s="94" t="str">
        <f t="shared" si="14"/>
        <v/>
      </c>
      <c r="H174" s="10" t="s">
        <v>20</v>
      </c>
      <c r="I174" s="331">
        <v>1.98</v>
      </c>
      <c r="J174" s="12">
        <f t="shared" si="15"/>
        <v>0</v>
      </c>
    </row>
    <row r="175" spans="1:11" ht="14.5" hidden="1" customHeight="1" x14ac:dyDescent="0.35">
      <c r="A175" s="103"/>
      <c r="B175" s="40" t="s">
        <v>4</v>
      </c>
      <c r="C175" s="41" t="s">
        <v>413</v>
      </c>
      <c r="D175" s="98"/>
      <c r="E175" s="170"/>
      <c r="F175" s="98"/>
      <c r="G175" s="94" t="str">
        <f t="shared" si="14"/>
        <v/>
      </c>
      <c r="H175" s="41" t="s">
        <v>20</v>
      </c>
      <c r="I175" s="334">
        <v>1.98</v>
      </c>
      <c r="J175" s="12">
        <f t="shared" si="15"/>
        <v>0</v>
      </c>
    </row>
    <row r="176" spans="1:11" ht="14.5" hidden="1" customHeight="1" x14ac:dyDescent="0.35">
      <c r="A176" s="114" t="s">
        <v>333</v>
      </c>
      <c r="B176" s="120"/>
      <c r="C176" s="120"/>
      <c r="D176" s="120"/>
      <c r="E176" s="180"/>
      <c r="F176" s="120"/>
      <c r="G176" s="94" t="str">
        <f t="shared" si="14"/>
        <v/>
      </c>
      <c r="H176" s="121"/>
      <c r="I176" s="122" t="s">
        <v>18</v>
      </c>
      <c r="J176" s="123">
        <f>SUM(J177:J186)</f>
        <v>0</v>
      </c>
      <c r="K176" s="13"/>
    </row>
    <row r="177" spans="1:14" ht="15.65" hidden="1" customHeight="1" x14ac:dyDescent="0.35">
      <c r="A177" s="103"/>
      <c r="B177" s="12" t="s">
        <v>26</v>
      </c>
      <c r="C177" s="10" t="s">
        <v>334</v>
      </c>
      <c r="D177" s="94"/>
      <c r="E177" s="170"/>
      <c r="F177" s="94"/>
      <c r="G177" s="94" t="str">
        <f t="shared" si="14"/>
        <v/>
      </c>
      <c r="H177" s="10" t="s">
        <v>335</v>
      </c>
      <c r="I177" s="331">
        <v>20</v>
      </c>
      <c r="J177" s="12">
        <f t="shared" ref="J177:J186" si="16">E177*I177</f>
        <v>0</v>
      </c>
    </row>
    <row r="178" spans="1:14" hidden="1" x14ac:dyDescent="0.35">
      <c r="A178" s="103"/>
      <c r="B178" s="20" t="s">
        <v>26</v>
      </c>
      <c r="C178" s="18" t="s">
        <v>53</v>
      </c>
      <c r="D178" s="99"/>
      <c r="E178" s="170"/>
      <c r="F178" s="99"/>
      <c r="G178" s="94" t="str">
        <f t="shared" si="14"/>
        <v/>
      </c>
      <c r="H178" s="18" t="s">
        <v>20</v>
      </c>
      <c r="I178" s="335">
        <v>0.43</v>
      </c>
      <c r="J178" s="20">
        <f t="shared" si="16"/>
        <v>0</v>
      </c>
      <c r="N178" t="s">
        <v>47</v>
      </c>
    </row>
    <row r="179" spans="1:14" hidden="1" x14ac:dyDescent="0.35">
      <c r="A179" s="103"/>
      <c r="B179" s="20" t="s">
        <v>26</v>
      </c>
      <c r="C179" s="18" t="s">
        <v>336</v>
      </c>
      <c r="D179" s="99"/>
      <c r="E179" s="170"/>
      <c r="F179" s="99"/>
      <c r="G179" s="94" t="str">
        <f t="shared" si="14"/>
        <v/>
      </c>
      <c r="H179" s="18" t="s">
        <v>20</v>
      </c>
      <c r="I179" s="335">
        <v>0.43</v>
      </c>
      <c r="J179" s="20">
        <f t="shared" si="16"/>
        <v>0</v>
      </c>
    </row>
    <row r="180" spans="1:14" ht="16.399999999999999" hidden="1" customHeight="1" x14ac:dyDescent="0.35">
      <c r="A180" s="103"/>
      <c r="B180" s="12" t="s">
        <v>26</v>
      </c>
      <c r="C180" s="10" t="s">
        <v>337</v>
      </c>
      <c r="D180" s="94"/>
      <c r="E180" s="170"/>
      <c r="F180" s="94"/>
      <c r="G180" s="94" t="str">
        <f t="shared" si="14"/>
        <v/>
      </c>
      <c r="H180" s="10" t="s">
        <v>20</v>
      </c>
      <c r="I180" s="331">
        <v>0.43</v>
      </c>
      <c r="J180" s="12">
        <f t="shared" si="16"/>
        <v>0</v>
      </c>
    </row>
    <row r="181" spans="1:14" hidden="1" x14ac:dyDescent="0.35">
      <c r="A181" s="103"/>
      <c r="B181" s="12" t="s">
        <v>26</v>
      </c>
      <c r="C181" s="10" t="s">
        <v>51</v>
      </c>
      <c r="D181" s="94"/>
      <c r="E181" s="170"/>
      <c r="F181" s="94"/>
      <c r="G181" s="94" t="str">
        <f t="shared" si="14"/>
        <v/>
      </c>
      <c r="H181" s="10" t="s">
        <v>61</v>
      </c>
      <c r="I181" s="331">
        <v>14</v>
      </c>
      <c r="J181" s="12">
        <f t="shared" si="16"/>
        <v>0</v>
      </c>
    </row>
    <row r="182" spans="1:14" hidden="1" x14ac:dyDescent="0.35">
      <c r="A182" s="103"/>
      <c r="B182" s="12" t="s">
        <v>26</v>
      </c>
      <c r="C182" s="10" t="s">
        <v>338</v>
      </c>
      <c r="D182" s="94"/>
      <c r="E182" s="170"/>
      <c r="F182" s="94"/>
      <c r="G182" s="94" t="str">
        <f t="shared" si="14"/>
        <v/>
      </c>
      <c r="H182" s="10" t="s">
        <v>61</v>
      </c>
      <c r="I182" s="331">
        <v>14.78</v>
      </c>
      <c r="J182" s="12">
        <f t="shared" si="16"/>
        <v>0</v>
      </c>
    </row>
    <row r="183" spans="1:14" hidden="1" x14ac:dyDescent="0.35">
      <c r="A183" s="103"/>
      <c r="B183" s="12" t="s">
        <v>26</v>
      </c>
      <c r="C183" s="10" t="s">
        <v>339</v>
      </c>
      <c r="D183" s="94"/>
      <c r="E183" s="170"/>
      <c r="F183" s="94"/>
      <c r="G183" s="94" t="str">
        <f t="shared" si="14"/>
        <v/>
      </c>
      <c r="H183" s="10" t="s">
        <v>61</v>
      </c>
      <c r="I183" s="331">
        <v>14.78</v>
      </c>
      <c r="J183" s="12">
        <f t="shared" si="16"/>
        <v>0</v>
      </c>
    </row>
    <row r="184" spans="1:14" ht="14.5" hidden="1" customHeight="1" x14ac:dyDescent="0.35">
      <c r="A184" s="103"/>
      <c r="B184" s="12" t="s">
        <v>26</v>
      </c>
      <c r="C184" s="10" t="s">
        <v>340</v>
      </c>
      <c r="D184" s="94"/>
      <c r="E184" s="170"/>
      <c r="F184" s="94"/>
      <c r="G184" s="94" t="str">
        <f t="shared" si="14"/>
        <v/>
      </c>
      <c r="H184" s="10" t="s">
        <v>61</v>
      </c>
      <c r="I184" s="331">
        <v>14.78</v>
      </c>
      <c r="J184" s="12">
        <f t="shared" si="16"/>
        <v>0</v>
      </c>
    </row>
    <row r="185" spans="1:14" hidden="1" x14ac:dyDescent="0.35">
      <c r="A185" s="103"/>
      <c r="B185" s="12" t="s">
        <v>26</v>
      </c>
      <c r="C185" s="10" t="s">
        <v>341</v>
      </c>
      <c r="D185" s="94"/>
      <c r="E185" s="170"/>
      <c r="F185" s="94"/>
      <c r="G185" s="94" t="str">
        <f t="shared" si="14"/>
        <v/>
      </c>
      <c r="H185" s="10" t="s">
        <v>61</v>
      </c>
      <c r="I185" s="331">
        <v>14.78</v>
      </c>
      <c r="J185" s="12">
        <f t="shared" si="16"/>
        <v>0</v>
      </c>
    </row>
    <row r="186" spans="1:14" hidden="1" x14ac:dyDescent="0.35">
      <c r="A186" s="103"/>
      <c r="B186" s="12" t="s">
        <v>26</v>
      </c>
      <c r="C186" s="10" t="s">
        <v>342</v>
      </c>
      <c r="D186" s="94"/>
      <c r="E186" s="170"/>
      <c r="F186" s="94"/>
      <c r="G186" s="94" t="str">
        <f t="shared" si="14"/>
        <v/>
      </c>
      <c r="H186" s="10" t="s">
        <v>61</v>
      </c>
      <c r="I186" s="331">
        <v>14.78</v>
      </c>
      <c r="J186" s="10">
        <f t="shared" si="16"/>
        <v>0</v>
      </c>
    </row>
    <row r="187" spans="1:14" ht="15.5" x14ac:dyDescent="0.35">
      <c r="A187" s="108" t="s">
        <v>343</v>
      </c>
      <c r="B187" s="108"/>
      <c r="C187" s="108"/>
      <c r="D187" s="108"/>
      <c r="E187" s="162"/>
      <c r="F187" s="108"/>
      <c r="G187" s="221" t="str">
        <f t="shared" si="14"/>
        <v/>
      </c>
      <c r="H187" s="108"/>
      <c r="I187" s="106" t="s">
        <v>18</v>
      </c>
      <c r="J187" s="107">
        <f>SUM(J188:J192)</f>
        <v>165.6</v>
      </c>
    </row>
    <row r="188" spans="1:14" hidden="1" x14ac:dyDescent="0.35">
      <c r="A188" s="103"/>
      <c r="B188" s="7" t="s">
        <v>6</v>
      </c>
      <c r="C188" s="14" t="s">
        <v>344</v>
      </c>
      <c r="D188" s="94"/>
      <c r="E188" s="170"/>
      <c r="F188" s="94"/>
      <c r="G188" s="94" t="str">
        <f t="shared" si="14"/>
        <v/>
      </c>
      <c r="H188" s="14" t="s">
        <v>20</v>
      </c>
      <c r="I188" s="336">
        <v>0.79</v>
      </c>
      <c r="J188" s="7">
        <f>E188*I188</f>
        <v>0</v>
      </c>
    </row>
    <row r="189" spans="1:14" ht="15.65" customHeight="1" x14ac:dyDescent="0.35">
      <c r="A189" s="103"/>
      <c r="B189" s="7" t="s">
        <v>6</v>
      </c>
      <c r="C189" s="14" t="s">
        <v>345</v>
      </c>
      <c r="D189" s="94"/>
      <c r="E189" s="170">
        <v>60</v>
      </c>
      <c r="F189" s="94"/>
      <c r="G189" s="94" t="str">
        <f t="shared" si="14"/>
        <v/>
      </c>
      <c r="H189" s="14" t="s">
        <v>20</v>
      </c>
      <c r="I189" s="336">
        <v>2.76</v>
      </c>
      <c r="J189" s="7">
        <f>E189*I189</f>
        <v>165.6</v>
      </c>
    </row>
    <row r="190" spans="1:14" ht="14.5" customHeight="1" x14ac:dyDescent="0.35">
      <c r="A190" s="103"/>
      <c r="B190" s="7" t="s">
        <v>6</v>
      </c>
      <c r="C190" s="14" t="s">
        <v>346</v>
      </c>
      <c r="D190" s="94"/>
      <c r="E190" s="170"/>
      <c r="F190" s="94"/>
      <c r="G190" s="94" t="str">
        <f t="shared" si="14"/>
        <v/>
      </c>
      <c r="H190" s="14" t="s">
        <v>20</v>
      </c>
      <c r="I190" s="336">
        <v>1</v>
      </c>
      <c r="J190" s="7">
        <f>E190*I190</f>
        <v>0</v>
      </c>
    </row>
    <row r="191" spans="1:14" x14ac:dyDescent="0.35">
      <c r="A191" s="103"/>
      <c r="B191" s="7" t="s">
        <v>6</v>
      </c>
      <c r="C191" s="14" t="s">
        <v>34</v>
      </c>
      <c r="D191" s="94"/>
      <c r="E191" s="170"/>
      <c r="F191" s="94"/>
      <c r="G191" s="94" t="str">
        <f t="shared" si="14"/>
        <v/>
      </c>
      <c r="H191" s="14" t="s">
        <v>20</v>
      </c>
      <c r="I191" s="336">
        <v>1.8</v>
      </c>
      <c r="J191" s="7">
        <f>E191*I191</f>
        <v>0</v>
      </c>
    </row>
    <row r="192" spans="1:14" x14ac:dyDescent="0.35">
      <c r="A192" s="103"/>
      <c r="B192" s="7" t="s">
        <v>6</v>
      </c>
      <c r="C192" s="14" t="s">
        <v>35</v>
      </c>
      <c r="D192" s="94"/>
      <c r="E192" s="170"/>
      <c r="F192" s="94"/>
      <c r="G192" s="94" t="str">
        <f t="shared" si="14"/>
        <v/>
      </c>
      <c r="H192" s="14" t="s">
        <v>20</v>
      </c>
      <c r="I192" s="336">
        <v>1.8</v>
      </c>
      <c r="J192" s="7">
        <f>E192*I192</f>
        <v>0</v>
      </c>
    </row>
    <row r="193" spans="1:10" ht="15.5" hidden="1" x14ac:dyDescent="0.35">
      <c r="A193" s="112" t="s">
        <v>347</v>
      </c>
      <c r="B193" s="116"/>
      <c r="C193" s="116"/>
      <c r="D193" s="116"/>
      <c r="E193" s="178"/>
      <c r="F193" s="116"/>
      <c r="G193" s="221" t="str">
        <f t="shared" si="14"/>
        <v/>
      </c>
      <c r="H193" s="117"/>
      <c r="I193" s="118" t="s">
        <v>18</v>
      </c>
      <c r="J193" s="119">
        <f>SUM(J194)</f>
        <v>0</v>
      </c>
    </row>
    <row r="194" spans="1:10" hidden="1" x14ac:dyDescent="0.35">
      <c r="A194" s="103"/>
      <c r="B194" s="12" t="s">
        <v>5</v>
      </c>
      <c r="C194" s="10" t="s">
        <v>55</v>
      </c>
      <c r="D194" s="94"/>
      <c r="E194" s="170"/>
      <c r="F194" s="94"/>
      <c r="G194" s="94" t="str">
        <f t="shared" si="14"/>
        <v/>
      </c>
      <c r="H194" s="10" t="s">
        <v>20</v>
      </c>
      <c r="I194" s="331">
        <v>1.01</v>
      </c>
      <c r="J194" s="12">
        <f>E194*I194</f>
        <v>0</v>
      </c>
    </row>
    <row r="195" spans="1:10" ht="15.5" x14ac:dyDescent="0.35">
      <c r="A195" s="112" t="s">
        <v>348</v>
      </c>
      <c r="B195" s="116"/>
      <c r="C195" s="116"/>
      <c r="D195" s="116"/>
      <c r="E195" s="178"/>
      <c r="F195" s="116"/>
      <c r="G195" s="221" t="str">
        <f t="shared" si="14"/>
        <v/>
      </c>
      <c r="H195" s="117"/>
      <c r="I195" s="118" t="s">
        <v>18</v>
      </c>
      <c r="J195" s="119">
        <f>SUM(J196:J207)</f>
        <v>116.07999999999998</v>
      </c>
    </row>
    <row r="196" spans="1:10" hidden="1" x14ac:dyDescent="0.35">
      <c r="A196" s="103"/>
      <c r="B196" s="20" t="s">
        <v>8</v>
      </c>
      <c r="C196" s="18" t="s">
        <v>349</v>
      </c>
      <c r="D196" s="99"/>
      <c r="E196" s="170"/>
      <c r="F196" s="99"/>
      <c r="G196" s="94" t="str">
        <f t="shared" si="14"/>
        <v/>
      </c>
      <c r="H196" s="18" t="s">
        <v>27</v>
      </c>
      <c r="I196" s="337">
        <v>28.62</v>
      </c>
      <c r="J196" s="12">
        <f t="shared" ref="J196:J207" si="17">E196*I196</f>
        <v>0</v>
      </c>
    </row>
    <row r="197" spans="1:10" hidden="1" x14ac:dyDescent="0.35">
      <c r="A197" s="103"/>
      <c r="B197" s="12" t="s">
        <v>8</v>
      </c>
      <c r="C197" s="10" t="s">
        <v>350</v>
      </c>
      <c r="D197" s="94"/>
      <c r="E197" s="170"/>
      <c r="F197" s="94"/>
      <c r="G197" s="94" t="str">
        <f t="shared" si="14"/>
        <v/>
      </c>
      <c r="H197" s="10" t="s">
        <v>335</v>
      </c>
      <c r="I197" s="338">
        <v>30</v>
      </c>
      <c r="J197" s="12">
        <f t="shared" si="17"/>
        <v>0</v>
      </c>
    </row>
    <row r="198" spans="1:10" hidden="1" x14ac:dyDescent="0.35">
      <c r="A198" s="103"/>
      <c r="B198" s="12" t="s">
        <v>8</v>
      </c>
      <c r="C198" s="10" t="s">
        <v>351</v>
      </c>
      <c r="D198" s="94"/>
      <c r="E198" s="170"/>
      <c r="F198" s="94"/>
      <c r="G198" s="94" t="str">
        <f t="shared" si="14"/>
        <v/>
      </c>
      <c r="H198" s="10" t="s">
        <v>335</v>
      </c>
      <c r="I198" s="331">
        <v>1.1499999999999999</v>
      </c>
      <c r="J198" s="12">
        <f t="shared" si="17"/>
        <v>0</v>
      </c>
    </row>
    <row r="199" spans="1:10" hidden="1" x14ac:dyDescent="0.35">
      <c r="A199" s="103"/>
      <c r="B199" s="12" t="s">
        <v>8</v>
      </c>
      <c r="C199" s="10" t="s">
        <v>352</v>
      </c>
      <c r="D199" s="94"/>
      <c r="E199" s="170"/>
      <c r="F199" s="94"/>
      <c r="G199" s="94" t="str">
        <f t="shared" si="14"/>
        <v/>
      </c>
      <c r="H199" s="10" t="s">
        <v>27</v>
      </c>
      <c r="I199" s="331">
        <v>23.83</v>
      </c>
      <c r="J199" s="12">
        <f t="shared" si="17"/>
        <v>0</v>
      </c>
    </row>
    <row r="200" spans="1:10" hidden="1" x14ac:dyDescent="0.35">
      <c r="A200" s="103"/>
      <c r="B200" s="12" t="s">
        <v>8</v>
      </c>
      <c r="C200" s="10" t="s">
        <v>353</v>
      </c>
      <c r="D200" s="94"/>
      <c r="E200" s="170"/>
      <c r="F200" s="94"/>
      <c r="G200" s="94" t="str">
        <f t="shared" si="14"/>
        <v/>
      </c>
      <c r="H200" s="10" t="s">
        <v>27</v>
      </c>
      <c r="I200" s="331">
        <v>28.89</v>
      </c>
      <c r="J200" s="12">
        <f t="shared" si="17"/>
        <v>0</v>
      </c>
    </row>
    <row r="201" spans="1:10" hidden="1" x14ac:dyDescent="0.35">
      <c r="A201" s="103"/>
      <c r="B201" s="12" t="s">
        <v>8</v>
      </c>
      <c r="C201" s="10" t="s">
        <v>354</v>
      </c>
      <c r="D201" s="94"/>
      <c r="E201" s="170"/>
      <c r="F201" s="94"/>
      <c r="G201" s="94" t="str">
        <f>IF(E201="","",IF(D201-E201&gt;0,D201-E201,""))</f>
        <v/>
      </c>
      <c r="H201" s="10" t="s">
        <v>27</v>
      </c>
      <c r="I201" s="331">
        <v>19.37</v>
      </c>
      <c r="J201" s="12">
        <f>E201*I201</f>
        <v>0</v>
      </c>
    </row>
    <row r="202" spans="1:10" hidden="1" x14ac:dyDescent="0.35">
      <c r="A202" s="103"/>
      <c r="B202" s="12" t="s">
        <v>8</v>
      </c>
      <c r="C202" s="10" t="s">
        <v>429</v>
      </c>
      <c r="D202" s="94"/>
      <c r="E202" s="170"/>
      <c r="F202" s="94"/>
      <c r="G202" s="94"/>
      <c r="H202" s="10" t="s">
        <v>27</v>
      </c>
      <c r="I202" s="331">
        <v>14.07</v>
      </c>
      <c r="J202" s="12"/>
    </row>
    <row r="203" spans="1:10" hidden="1" x14ac:dyDescent="0.35">
      <c r="A203" s="103"/>
      <c r="B203" s="12" t="s">
        <v>8</v>
      </c>
      <c r="C203" s="10" t="s">
        <v>430</v>
      </c>
      <c r="D203" s="94"/>
      <c r="E203" s="170"/>
      <c r="F203" s="94"/>
      <c r="G203" s="94"/>
      <c r="H203" s="10" t="s">
        <v>27</v>
      </c>
      <c r="I203" s="331">
        <v>16.07</v>
      </c>
      <c r="J203" s="12"/>
    </row>
    <row r="204" spans="1:10" hidden="1" x14ac:dyDescent="0.35">
      <c r="A204" s="103"/>
      <c r="B204" s="12" t="s">
        <v>8</v>
      </c>
      <c r="C204" s="10" t="s">
        <v>431</v>
      </c>
      <c r="D204" s="94"/>
      <c r="G204" s="94"/>
      <c r="H204" s="10" t="s">
        <v>27</v>
      </c>
      <c r="I204" s="339">
        <v>14.62</v>
      </c>
      <c r="J204" s="12"/>
    </row>
    <row r="205" spans="1:10" x14ac:dyDescent="0.35">
      <c r="A205" s="103"/>
      <c r="B205" s="12" t="s">
        <v>8</v>
      </c>
      <c r="C205" s="10" t="s">
        <v>355</v>
      </c>
      <c r="D205" s="94"/>
      <c r="E205" s="170">
        <v>2</v>
      </c>
      <c r="F205" s="94"/>
      <c r="G205" s="94" t="str">
        <f t="shared" si="14"/>
        <v/>
      </c>
      <c r="H205" s="10" t="s">
        <v>61</v>
      </c>
      <c r="I205" s="331">
        <v>17.11</v>
      </c>
      <c r="J205" s="12">
        <f t="shared" si="17"/>
        <v>34.22</v>
      </c>
    </row>
    <row r="206" spans="1:10" x14ac:dyDescent="0.35">
      <c r="A206" s="103"/>
      <c r="B206" s="12" t="s">
        <v>8</v>
      </c>
      <c r="C206" s="10" t="s">
        <v>356</v>
      </c>
      <c r="D206" s="94"/>
      <c r="E206" s="170">
        <v>2</v>
      </c>
      <c r="F206" s="94"/>
      <c r="G206" s="94" t="str">
        <f t="shared" si="14"/>
        <v/>
      </c>
      <c r="H206" s="10" t="s">
        <v>61</v>
      </c>
      <c r="I206" s="331">
        <v>22.13</v>
      </c>
      <c r="J206" s="12">
        <f t="shared" si="17"/>
        <v>44.26</v>
      </c>
    </row>
    <row r="207" spans="1:10" x14ac:dyDescent="0.35">
      <c r="A207" s="103"/>
      <c r="B207" s="40" t="s">
        <v>8</v>
      </c>
      <c r="C207" s="41" t="s">
        <v>357</v>
      </c>
      <c r="D207" s="98"/>
      <c r="E207" s="170">
        <v>2</v>
      </c>
      <c r="F207" s="98"/>
      <c r="G207" s="94" t="str">
        <f t="shared" si="14"/>
        <v/>
      </c>
      <c r="H207" s="41" t="s">
        <v>61</v>
      </c>
      <c r="I207" s="334">
        <v>18.8</v>
      </c>
      <c r="J207" s="40">
        <f t="shared" si="17"/>
        <v>37.6</v>
      </c>
    </row>
    <row r="208" spans="1:10" ht="15.5" hidden="1" x14ac:dyDescent="0.35">
      <c r="A208" s="112" t="s">
        <v>358</v>
      </c>
      <c r="B208" s="116"/>
      <c r="C208" s="116"/>
      <c r="D208" s="116"/>
      <c r="E208" s="178"/>
      <c r="F208" s="116"/>
      <c r="G208" s="221" t="str">
        <f t="shared" si="14"/>
        <v/>
      </c>
      <c r="H208" s="117"/>
      <c r="I208" s="118" t="s">
        <v>18</v>
      </c>
      <c r="J208" s="119">
        <f>J209+J210+J211+J212+J213</f>
        <v>0</v>
      </c>
    </row>
    <row r="209" spans="1:10" hidden="1" x14ac:dyDescent="0.35">
      <c r="A209" s="103"/>
      <c r="B209" s="13" t="s">
        <v>11</v>
      </c>
      <c r="C209" s="298" t="s">
        <v>359</v>
      </c>
      <c r="D209" s="303"/>
      <c r="E209" s="300"/>
      <c r="F209" s="303"/>
      <c r="G209" s="98" t="str">
        <f t="shared" si="14"/>
        <v/>
      </c>
      <c r="H209" s="41" t="s">
        <v>52</v>
      </c>
      <c r="I209" s="334">
        <v>11.63</v>
      </c>
      <c r="J209" s="40">
        <f>E209*I209</f>
        <v>0</v>
      </c>
    </row>
    <row r="210" spans="1:10" hidden="1" x14ac:dyDescent="0.35">
      <c r="A210" s="103"/>
      <c r="B210" s="12" t="s">
        <v>11</v>
      </c>
      <c r="C210" s="10" t="s">
        <v>436</v>
      </c>
      <c r="D210" s="94"/>
      <c r="E210" s="170"/>
      <c r="F210" s="94"/>
      <c r="G210" s="94"/>
      <c r="H210" s="10" t="s">
        <v>52</v>
      </c>
      <c r="I210" s="331">
        <v>16.8</v>
      </c>
      <c r="J210" s="40">
        <f t="shared" ref="J210:J213" si="18">E210*I210</f>
        <v>0</v>
      </c>
    </row>
    <row r="211" spans="1:10" hidden="1" x14ac:dyDescent="0.35">
      <c r="A211" s="103"/>
      <c r="B211" s="12" t="s">
        <v>11</v>
      </c>
      <c r="C211" s="10" t="s">
        <v>437</v>
      </c>
      <c r="D211" s="94"/>
      <c r="E211" s="170"/>
      <c r="F211" s="94"/>
      <c r="G211" s="94"/>
      <c r="H211" s="10" t="s">
        <v>440</v>
      </c>
      <c r="I211" s="331">
        <v>9.35</v>
      </c>
      <c r="J211" s="40">
        <f>E211*I211</f>
        <v>0</v>
      </c>
    </row>
    <row r="212" spans="1:10" hidden="1" x14ac:dyDescent="0.35">
      <c r="A212" s="103"/>
      <c r="B212" s="12" t="s">
        <v>11</v>
      </c>
      <c r="C212" s="10" t="s">
        <v>438</v>
      </c>
      <c r="D212" s="94"/>
      <c r="E212" s="170"/>
      <c r="F212" s="94"/>
      <c r="G212" s="94"/>
      <c r="H212" s="10" t="s">
        <v>52</v>
      </c>
      <c r="I212" s="331">
        <v>87</v>
      </c>
      <c r="J212" s="40">
        <f t="shared" si="18"/>
        <v>0</v>
      </c>
    </row>
    <row r="213" spans="1:10" hidden="1" x14ac:dyDescent="0.35">
      <c r="A213" s="103"/>
      <c r="B213" s="12" t="s">
        <v>11</v>
      </c>
      <c r="C213" s="10" t="s">
        <v>439</v>
      </c>
      <c r="D213" s="94"/>
      <c r="E213" s="170"/>
      <c r="F213" s="94"/>
      <c r="G213" s="94"/>
      <c r="H213" s="10" t="s">
        <v>52</v>
      </c>
      <c r="I213" s="331">
        <v>55</v>
      </c>
      <c r="J213" s="40">
        <f t="shared" si="18"/>
        <v>0</v>
      </c>
    </row>
    <row r="214" spans="1:10" ht="15.5" x14ac:dyDescent="0.35">
      <c r="A214" s="108" t="s">
        <v>360</v>
      </c>
      <c r="B214" s="108"/>
      <c r="C214" s="108"/>
      <c r="D214" s="108"/>
      <c r="E214" s="162"/>
      <c r="F214" s="108"/>
      <c r="G214" s="311" t="str">
        <f t="shared" si="14"/>
        <v/>
      </c>
      <c r="H214" s="108"/>
      <c r="I214" s="106" t="s">
        <v>18</v>
      </c>
      <c r="J214" s="107">
        <f>SUM(J215:J216)</f>
        <v>0</v>
      </c>
    </row>
    <row r="215" spans="1:10" x14ac:dyDescent="0.35">
      <c r="A215" s="103"/>
      <c r="B215" s="12" t="s">
        <v>12</v>
      </c>
      <c r="C215" s="10" t="s">
        <v>70</v>
      </c>
      <c r="D215" s="94"/>
      <c r="E215" s="170"/>
      <c r="F215" s="94"/>
      <c r="G215" s="94" t="str">
        <f t="shared" si="14"/>
        <v/>
      </c>
      <c r="H215" s="10" t="s">
        <v>27</v>
      </c>
      <c r="I215" s="331">
        <v>20.7</v>
      </c>
      <c r="J215" s="12">
        <f>+E215*I215</f>
        <v>0</v>
      </c>
    </row>
    <row r="216" spans="1:10" hidden="1" x14ac:dyDescent="0.35">
      <c r="A216" s="103"/>
      <c r="B216" s="12" t="s">
        <v>12</v>
      </c>
      <c r="C216" s="10" t="s">
        <v>71</v>
      </c>
      <c r="D216" s="94"/>
      <c r="E216" s="170"/>
      <c r="F216" s="94"/>
      <c r="G216" s="94" t="str">
        <f t="shared" si="14"/>
        <v/>
      </c>
      <c r="H216" s="10" t="s">
        <v>27</v>
      </c>
      <c r="I216" s="331">
        <v>13.7</v>
      </c>
      <c r="J216" s="12">
        <f>+E216*I216</f>
        <v>0</v>
      </c>
    </row>
    <row r="217" spans="1:10" ht="15.5" hidden="1" x14ac:dyDescent="0.35">
      <c r="A217" s="108" t="s">
        <v>361</v>
      </c>
      <c r="B217" s="108"/>
      <c r="C217" s="108"/>
      <c r="D217" s="108"/>
      <c r="E217" s="162"/>
      <c r="F217" s="108"/>
      <c r="G217" s="94" t="str">
        <f t="shared" si="14"/>
        <v/>
      </c>
      <c r="H217" s="108"/>
      <c r="I217" s="106" t="s">
        <v>18</v>
      </c>
      <c r="J217" s="107">
        <f>SUM(J218:J221)</f>
        <v>0</v>
      </c>
    </row>
    <row r="218" spans="1:10" hidden="1" x14ac:dyDescent="0.35">
      <c r="A218" s="103"/>
      <c r="B218" s="12" t="s">
        <v>10</v>
      </c>
      <c r="C218" s="10" t="s">
        <v>362</v>
      </c>
      <c r="D218" s="94"/>
      <c r="E218" s="170"/>
      <c r="F218" s="94"/>
      <c r="G218" s="94" t="str">
        <f t="shared" si="14"/>
        <v/>
      </c>
      <c r="H218" s="10" t="s">
        <v>20</v>
      </c>
      <c r="I218" s="331">
        <v>11.08</v>
      </c>
      <c r="J218" s="12">
        <f>E218*I218</f>
        <v>0</v>
      </c>
    </row>
    <row r="219" spans="1:10" hidden="1" x14ac:dyDescent="0.35">
      <c r="A219" s="103"/>
      <c r="B219" s="12" t="s">
        <v>10</v>
      </c>
      <c r="C219" s="10" t="s">
        <v>363</v>
      </c>
      <c r="D219" s="94"/>
      <c r="E219" s="170"/>
      <c r="F219" s="94"/>
      <c r="G219" s="94" t="str">
        <f t="shared" si="14"/>
        <v/>
      </c>
      <c r="H219" s="10" t="s">
        <v>27</v>
      </c>
      <c r="I219" s="331">
        <v>16.21</v>
      </c>
      <c r="J219" s="12">
        <f>E219*I219</f>
        <v>0</v>
      </c>
    </row>
    <row r="220" spans="1:10" hidden="1" x14ac:dyDescent="0.35">
      <c r="A220" s="103"/>
      <c r="B220" s="12" t="s">
        <v>10</v>
      </c>
      <c r="C220" s="10" t="s">
        <v>364</v>
      </c>
      <c r="D220" s="94"/>
      <c r="E220" s="170"/>
      <c r="F220" s="94"/>
      <c r="G220" s="94" t="str">
        <f t="shared" si="14"/>
        <v/>
      </c>
      <c r="H220" s="10" t="s">
        <v>27</v>
      </c>
      <c r="I220" s="331">
        <v>19.350000000000001</v>
      </c>
      <c r="J220" s="12">
        <f>E220*I220</f>
        <v>0</v>
      </c>
    </row>
    <row r="221" spans="1:10" hidden="1" x14ac:dyDescent="0.35">
      <c r="A221" s="103"/>
      <c r="B221" s="12" t="s">
        <v>10</v>
      </c>
      <c r="C221" s="10" t="s">
        <v>365</v>
      </c>
      <c r="D221" s="94"/>
      <c r="E221" s="170"/>
      <c r="F221" s="94"/>
      <c r="G221" s="94" t="str">
        <f t="shared" si="14"/>
        <v/>
      </c>
      <c r="H221" s="10" t="s">
        <v>27</v>
      </c>
      <c r="I221" s="331">
        <v>19.809999999999999</v>
      </c>
      <c r="J221" s="12">
        <f>E221*I221</f>
        <v>0</v>
      </c>
    </row>
    <row r="222" spans="1:10" ht="15.5" hidden="1" x14ac:dyDescent="0.35">
      <c r="A222" s="108" t="s">
        <v>366</v>
      </c>
      <c r="B222" s="108"/>
      <c r="C222" s="108"/>
      <c r="D222" s="108"/>
      <c r="E222" s="162"/>
      <c r="F222" s="108"/>
      <c r="G222" s="221" t="str">
        <f t="shared" si="14"/>
        <v/>
      </c>
      <c r="H222" s="108"/>
      <c r="I222" s="106" t="s">
        <v>18</v>
      </c>
      <c r="J222" s="107">
        <f>J223</f>
        <v>0</v>
      </c>
    </row>
    <row r="223" spans="1:10" hidden="1" x14ac:dyDescent="0.35">
      <c r="A223" s="103"/>
      <c r="B223" s="12" t="s">
        <v>28</v>
      </c>
      <c r="C223" s="10" t="s">
        <v>29</v>
      </c>
      <c r="D223" s="100"/>
      <c r="E223" s="170"/>
      <c r="F223" s="100"/>
      <c r="G223" s="94" t="str">
        <f t="shared" si="14"/>
        <v/>
      </c>
      <c r="H223" s="10" t="s">
        <v>54</v>
      </c>
      <c r="I223" s="331">
        <v>104</v>
      </c>
      <c r="J223" s="12">
        <f>I223*E223</f>
        <v>0</v>
      </c>
    </row>
    <row r="224" spans="1:10" ht="15.5" x14ac:dyDescent="0.35">
      <c r="A224" s="108" t="s">
        <v>367</v>
      </c>
      <c r="B224" s="108"/>
      <c r="C224" s="108"/>
      <c r="D224" s="108"/>
      <c r="E224" s="162"/>
      <c r="F224" s="108"/>
      <c r="G224" s="221" t="str">
        <f t="shared" ref="G224:G257" si="19">IF(E224="","",IF(D224-E224&gt;0,D224-E224,""))</f>
        <v/>
      </c>
      <c r="H224" s="108"/>
      <c r="I224" s="106" t="s">
        <v>18</v>
      </c>
      <c r="J224" s="115">
        <f>SUM(J225:J244)</f>
        <v>695.95</v>
      </c>
    </row>
    <row r="225" spans="1:10" x14ac:dyDescent="0.35">
      <c r="A225" s="103"/>
      <c r="B225" s="12" t="s">
        <v>9</v>
      </c>
      <c r="C225" s="10" t="s">
        <v>423</v>
      </c>
      <c r="D225" s="94"/>
      <c r="E225" s="170">
        <v>2</v>
      </c>
      <c r="F225" s="94"/>
      <c r="G225" s="94" t="str">
        <f t="shared" si="19"/>
        <v/>
      </c>
      <c r="H225" s="10" t="s">
        <v>20</v>
      </c>
      <c r="I225" s="331">
        <v>78</v>
      </c>
      <c r="J225" s="50">
        <f t="shared" ref="J225:J244" si="20">E225*I225</f>
        <v>156</v>
      </c>
    </row>
    <row r="226" spans="1:10" x14ac:dyDescent="0.35">
      <c r="A226" s="103"/>
      <c r="B226" s="12" t="s">
        <v>9</v>
      </c>
      <c r="C226" s="10" t="s">
        <v>424</v>
      </c>
      <c r="D226" s="94"/>
      <c r="E226" s="170">
        <v>4</v>
      </c>
      <c r="F226" s="94"/>
      <c r="G226" s="94" t="str">
        <f t="shared" si="19"/>
        <v/>
      </c>
      <c r="H226" s="10" t="s">
        <v>61</v>
      </c>
      <c r="I226" s="340">
        <v>107.12</v>
      </c>
      <c r="J226" s="50">
        <f t="shared" si="20"/>
        <v>428.48</v>
      </c>
    </row>
    <row r="227" spans="1:10" x14ac:dyDescent="0.35">
      <c r="A227" s="103"/>
      <c r="B227" s="12" t="s">
        <v>9</v>
      </c>
      <c r="C227" s="10" t="s">
        <v>369</v>
      </c>
      <c r="D227" s="94"/>
      <c r="E227" s="170"/>
      <c r="F227" s="94"/>
      <c r="G227" s="94" t="str">
        <f t="shared" si="19"/>
        <v/>
      </c>
      <c r="H227" s="10" t="s">
        <v>20</v>
      </c>
      <c r="I227" s="331">
        <v>0.04</v>
      </c>
      <c r="J227" s="50">
        <f t="shared" si="20"/>
        <v>0</v>
      </c>
    </row>
    <row r="228" spans="1:10" x14ac:dyDescent="0.35">
      <c r="A228" s="103"/>
      <c r="B228" s="12" t="s">
        <v>9</v>
      </c>
      <c r="C228" s="10" t="s">
        <v>370</v>
      </c>
      <c r="D228" s="94"/>
      <c r="E228" s="170"/>
      <c r="F228" s="94"/>
      <c r="G228" s="94" t="str">
        <f t="shared" si="19"/>
        <v/>
      </c>
      <c r="H228" s="10" t="s">
        <v>20</v>
      </c>
      <c r="I228" s="331">
        <v>7.0999999999999994E-2</v>
      </c>
      <c r="J228" s="50">
        <f t="shared" si="20"/>
        <v>0</v>
      </c>
    </row>
    <row r="229" spans="1:10" hidden="1" x14ac:dyDescent="0.35">
      <c r="A229" s="103"/>
      <c r="B229" s="12" t="s">
        <v>9</v>
      </c>
      <c r="C229" s="10" t="s">
        <v>411</v>
      </c>
      <c r="D229" s="94"/>
      <c r="E229" s="170"/>
      <c r="F229" s="94"/>
      <c r="G229" s="94"/>
      <c r="H229" s="10" t="s">
        <v>20</v>
      </c>
      <c r="I229" s="331">
        <v>1.97</v>
      </c>
      <c r="J229" s="50"/>
    </row>
    <row r="230" spans="1:10" hidden="1" x14ac:dyDescent="0.35">
      <c r="A230" s="103"/>
      <c r="B230" s="12" t="s">
        <v>9</v>
      </c>
      <c r="C230" s="10" t="s">
        <v>371</v>
      </c>
      <c r="D230" s="94"/>
      <c r="E230" s="170"/>
      <c r="F230" s="94"/>
      <c r="G230" s="94" t="str">
        <f t="shared" si="19"/>
        <v/>
      </c>
      <c r="H230" s="10" t="s">
        <v>61</v>
      </c>
      <c r="I230" s="331">
        <v>163.80000000000001</v>
      </c>
      <c r="J230" s="50">
        <f t="shared" si="20"/>
        <v>0</v>
      </c>
    </row>
    <row r="231" spans="1:10" hidden="1" x14ac:dyDescent="0.35">
      <c r="A231" s="103"/>
      <c r="B231" s="12" t="s">
        <v>9</v>
      </c>
      <c r="C231" s="10" t="s">
        <v>410</v>
      </c>
      <c r="D231" s="101"/>
      <c r="E231" s="170"/>
      <c r="F231" s="101"/>
      <c r="G231" s="94" t="str">
        <f t="shared" si="19"/>
        <v/>
      </c>
      <c r="H231" s="10" t="s">
        <v>61</v>
      </c>
      <c r="I231" s="331">
        <v>49.33</v>
      </c>
      <c r="J231" s="50">
        <f t="shared" si="20"/>
        <v>0</v>
      </c>
    </row>
    <row r="232" spans="1:10" hidden="1" x14ac:dyDescent="0.35">
      <c r="A232" s="103"/>
      <c r="B232" s="12" t="s">
        <v>9</v>
      </c>
      <c r="C232" s="10" t="s">
        <v>373</v>
      </c>
      <c r="D232" s="102"/>
      <c r="E232" s="170"/>
      <c r="F232" s="102"/>
      <c r="G232" s="94" t="str">
        <f t="shared" si="19"/>
        <v/>
      </c>
      <c r="H232" s="10" t="s">
        <v>61</v>
      </c>
      <c r="I232" s="331">
        <v>105.6</v>
      </c>
      <c r="J232" s="50">
        <f t="shared" si="20"/>
        <v>0</v>
      </c>
    </row>
    <row r="233" spans="1:10" hidden="1" x14ac:dyDescent="0.35">
      <c r="A233" s="103"/>
      <c r="B233" s="12" t="s">
        <v>9</v>
      </c>
      <c r="C233" s="10" t="s">
        <v>374</v>
      </c>
      <c r="D233" s="102"/>
      <c r="E233" s="170"/>
      <c r="F233" s="102"/>
      <c r="G233" s="94" t="str">
        <f t="shared" si="19"/>
        <v/>
      </c>
      <c r="H233" s="10" t="s">
        <v>61</v>
      </c>
      <c r="I233" s="331">
        <v>114.75</v>
      </c>
      <c r="J233" s="50">
        <f t="shared" si="20"/>
        <v>0</v>
      </c>
    </row>
    <row r="234" spans="1:10" hidden="1" x14ac:dyDescent="0.35">
      <c r="A234" s="103"/>
      <c r="B234" s="12" t="s">
        <v>9</v>
      </c>
      <c r="C234" s="10" t="s">
        <v>375</v>
      </c>
      <c r="D234" s="94"/>
      <c r="E234" s="170"/>
      <c r="F234" s="94"/>
      <c r="G234" s="94" t="str">
        <f t="shared" si="19"/>
        <v/>
      </c>
      <c r="H234" s="10" t="s">
        <v>61</v>
      </c>
      <c r="I234" s="331">
        <v>105.55</v>
      </c>
      <c r="J234" s="50">
        <f t="shared" si="20"/>
        <v>0</v>
      </c>
    </row>
    <row r="235" spans="1:10" x14ac:dyDescent="0.35">
      <c r="A235" s="103"/>
      <c r="B235" s="12" t="s">
        <v>9</v>
      </c>
      <c r="C235" s="10" t="s">
        <v>376</v>
      </c>
      <c r="D235" s="94"/>
      <c r="E235" s="170"/>
      <c r="F235" s="94"/>
      <c r="G235" s="94" t="str">
        <f t="shared" si="19"/>
        <v/>
      </c>
      <c r="H235" s="10" t="s">
        <v>61</v>
      </c>
      <c r="I235" s="331">
        <v>33.25</v>
      </c>
      <c r="J235" s="50">
        <f t="shared" si="20"/>
        <v>0</v>
      </c>
    </row>
    <row r="236" spans="1:10" hidden="1" x14ac:dyDescent="0.35">
      <c r="A236" s="103"/>
      <c r="B236" s="12" t="s">
        <v>9</v>
      </c>
      <c r="C236" s="10" t="s">
        <v>377</v>
      </c>
      <c r="D236" s="94"/>
      <c r="E236" s="170"/>
      <c r="F236" s="94"/>
      <c r="G236" s="94" t="str">
        <f t="shared" si="19"/>
        <v/>
      </c>
      <c r="H236" s="10" t="s">
        <v>20</v>
      </c>
      <c r="I236" s="331">
        <v>0.28999999999999998</v>
      </c>
      <c r="J236" s="50">
        <f t="shared" si="20"/>
        <v>0</v>
      </c>
    </row>
    <row r="237" spans="1:10" hidden="1" x14ac:dyDescent="0.35">
      <c r="A237" s="103"/>
      <c r="B237" s="12" t="s">
        <v>9</v>
      </c>
      <c r="C237" s="10" t="s">
        <v>378</v>
      </c>
      <c r="D237" s="94"/>
      <c r="E237" s="170"/>
      <c r="F237" s="94"/>
      <c r="G237" s="94" t="str">
        <f t="shared" si="19"/>
        <v/>
      </c>
      <c r="H237" s="10" t="s">
        <v>61</v>
      </c>
      <c r="I237" s="336">
        <v>37.85</v>
      </c>
      <c r="J237" s="50">
        <f t="shared" si="20"/>
        <v>0</v>
      </c>
    </row>
    <row r="238" spans="1:10" x14ac:dyDescent="0.35">
      <c r="A238" s="103"/>
      <c r="B238" s="12" t="s">
        <v>9</v>
      </c>
      <c r="C238" s="10" t="s">
        <v>425</v>
      </c>
      <c r="D238" s="94"/>
      <c r="E238" s="170">
        <v>1</v>
      </c>
      <c r="F238" s="94"/>
      <c r="G238" s="94" t="str">
        <f t="shared" si="19"/>
        <v/>
      </c>
      <c r="H238" s="10" t="s">
        <v>61</v>
      </c>
      <c r="I238" s="336">
        <v>111.47</v>
      </c>
      <c r="J238" s="50">
        <f t="shared" si="20"/>
        <v>111.47</v>
      </c>
    </row>
    <row r="239" spans="1:10" hidden="1" x14ac:dyDescent="0.35">
      <c r="A239" s="103"/>
      <c r="B239" s="12" t="s">
        <v>9</v>
      </c>
      <c r="C239" s="10" t="s">
        <v>379</v>
      </c>
      <c r="D239" s="94"/>
      <c r="E239" s="170"/>
      <c r="F239" s="94"/>
      <c r="G239" s="94" t="str">
        <f t="shared" si="19"/>
        <v/>
      </c>
      <c r="H239" s="10" t="s">
        <v>61</v>
      </c>
      <c r="I239" s="336">
        <v>174.97</v>
      </c>
      <c r="J239" s="50">
        <f t="shared" si="20"/>
        <v>0</v>
      </c>
    </row>
    <row r="240" spans="1:10" hidden="1" x14ac:dyDescent="0.35">
      <c r="A240" s="103"/>
      <c r="B240" s="12" t="s">
        <v>9</v>
      </c>
      <c r="C240" s="10" t="s">
        <v>380</v>
      </c>
      <c r="D240" s="94"/>
      <c r="E240" s="170"/>
      <c r="F240" s="94"/>
      <c r="G240" s="94" t="str">
        <f t="shared" si="19"/>
        <v/>
      </c>
      <c r="H240" s="10" t="s">
        <v>61</v>
      </c>
      <c r="I240" s="336">
        <v>44.93</v>
      </c>
      <c r="J240" s="50">
        <f t="shared" si="20"/>
        <v>0</v>
      </c>
    </row>
    <row r="241" spans="1:10" x14ac:dyDescent="0.35">
      <c r="A241" s="103"/>
      <c r="B241" s="12" t="s">
        <v>9</v>
      </c>
      <c r="C241" s="10" t="s">
        <v>426</v>
      </c>
      <c r="D241" s="94"/>
      <c r="E241" s="170"/>
      <c r="F241" s="94"/>
      <c r="G241" s="94" t="str">
        <f t="shared" si="19"/>
        <v/>
      </c>
      <c r="H241" s="10" t="s">
        <v>20</v>
      </c>
      <c r="I241" s="336">
        <v>29.2</v>
      </c>
      <c r="J241" s="50">
        <f t="shared" si="20"/>
        <v>0</v>
      </c>
    </row>
    <row r="242" spans="1:10" x14ac:dyDescent="0.35">
      <c r="A242" s="103"/>
      <c r="B242" s="12" t="s">
        <v>9</v>
      </c>
      <c r="C242" s="10" t="s">
        <v>427</v>
      </c>
      <c r="D242" s="94"/>
      <c r="E242" s="170"/>
      <c r="F242" s="94"/>
      <c r="G242" s="94" t="str">
        <f t="shared" si="19"/>
        <v/>
      </c>
      <c r="H242" s="10" t="s">
        <v>20</v>
      </c>
      <c r="I242" s="336">
        <v>19.03</v>
      </c>
      <c r="J242" s="50">
        <f t="shared" si="20"/>
        <v>0</v>
      </c>
    </row>
    <row r="243" spans="1:10" x14ac:dyDescent="0.35">
      <c r="A243" s="103"/>
      <c r="B243" s="12" t="s">
        <v>9</v>
      </c>
      <c r="C243" s="10" t="s">
        <v>428</v>
      </c>
      <c r="D243" s="94"/>
      <c r="E243" s="170"/>
      <c r="F243" s="94"/>
      <c r="G243" s="94" t="str">
        <f t="shared" si="19"/>
        <v/>
      </c>
      <c r="H243" s="10" t="s">
        <v>20</v>
      </c>
      <c r="I243" s="336">
        <v>8.4600000000000009</v>
      </c>
      <c r="J243" s="50">
        <f t="shared" si="20"/>
        <v>0</v>
      </c>
    </row>
    <row r="244" spans="1:10" hidden="1" x14ac:dyDescent="0.35">
      <c r="A244" s="103"/>
      <c r="B244" s="12" t="s">
        <v>9</v>
      </c>
      <c r="C244" s="10" t="s">
        <v>381</v>
      </c>
      <c r="D244" s="94"/>
      <c r="E244" s="170"/>
      <c r="F244" s="94"/>
      <c r="G244" s="94" t="str">
        <f t="shared" si="19"/>
        <v/>
      </c>
      <c r="H244" s="10" t="s">
        <v>20</v>
      </c>
      <c r="I244" s="336">
        <v>0.02</v>
      </c>
      <c r="J244" s="50">
        <f t="shared" si="20"/>
        <v>0</v>
      </c>
    </row>
    <row r="245" spans="1:10" ht="15.5" x14ac:dyDescent="0.35">
      <c r="A245" s="108" t="s">
        <v>382</v>
      </c>
      <c r="B245" s="108"/>
      <c r="C245" s="108"/>
      <c r="D245" s="108"/>
      <c r="E245" s="162"/>
      <c r="F245" s="108"/>
      <c r="G245" s="221" t="str">
        <f t="shared" si="19"/>
        <v/>
      </c>
      <c r="H245" s="108"/>
      <c r="I245" s="106" t="s">
        <v>18</v>
      </c>
      <c r="J245" s="107">
        <f>SUM(J246:J256)</f>
        <v>59.98</v>
      </c>
    </row>
    <row r="246" spans="1:10" x14ac:dyDescent="0.35">
      <c r="A246" s="103"/>
      <c r="B246" s="12" t="s">
        <v>31</v>
      </c>
      <c r="C246" s="10" t="s">
        <v>383</v>
      </c>
      <c r="D246" s="94"/>
      <c r="E246" s="170">
        <v>1</v>
      </c>
      <c r="F246" s="94"/>
      <c r="G246" s="94" t="str">
        <f t="shared" si="19"/>
        <v/>
      </c>
      <c r="H246" s="10" t="s">
        <v>20</v>
      </c>
      <c r="I246" s="331">
        <v>5.5</v>
      </c>
      <c r="J246" s="12">
        <f t="shared" ref="J246:J256" si="21">E246*I246</f>
        <v>5.5</v>
      </c>
    </row>
    <row r="247" spans="1:10" x14ac:dyDescent="0.35">
      <c r="A247" s="103"/>
      <c r="B247" s="12" t="s">
        <v>31</v>
      </c>
      <c r="C247" s="10" t="s">
        <v>39</v>
      </c>
      <c r="D247" s="94"/>
      <c r="E247" s="170">
        <v>8</v>
      </c>
      <c r="F247" s="94"/>
      <c r="G247" s="94" t="str">
        <f t="shared" si="19"/>
        <v/>
      </c>
      <c r="H247" s="10" t="s">
        <v>20</v>
      </c>
      <c r="I247" s="331">
        <v>4.55</v>
      </c>
      <c r="J247" s="12">
        <f t="shared" si="21"/>
        <v>36.4</v>
      </c>
    </row>
    <row r="248" spans="1:10" x14ac:dyDescent="0.35">
      <c r="A248" s="103"/>
      <c r="B248" s="12" t="s">
        <v>31</v>
      </c>
      <c r="C248" s="10" t="s">
        <v>422</v>
      </c>
      <c r="D248" s="94"/>
      <c r="E248" s="170"/>
      <c r="F248" s="94"/>
      <c r="G248" s="94" t="str">
        <f t="shared" si="19"/>
        <v/>
      </c>
      <c r="H248" s="10" t="s">
        <v>20</v>
      </c>
      <c r="I248" s="331">
        <v>3.7</v>
      </c>
      <c r="J248" s="12">
        <f t="shared" si="21"/>
        <v>0</v>
      </c>
    </row>
    <row r="249" spans="1:10" x14ac:dyDescent="0.35">
      <c r="A249" s="103"/>
      <c r="B249" s="12" t="s">
        <v>31</v>
      </c>
      <c r="C249" s="10" t="s">
        <v>67</v>
      </c>
      <c r="D249" s="94"/>
      <c r="E249" s="170"/>
      <c r="F249" s="94"/>
      <c r="G249" s="94" t="str">
        <f t="shared" si="19"/>
        <v/>
      </c>
      <c r="H249" s="10" t="s">
        <v>20</v>
      </c>
      <c r="I249" s="331">
        <v>15.56</v>
      </c>
      <c r="J249" s="12">
        <f t="shared" si="21"/>
        <v>0</v>
      </c>
    </row>
    <row r="250" spans="1:10" hidden="1" x14ac:dyDescent="0.35">
      <c r="A250" s="103"/>
      <c r="B250" s="12" t="s">
        <v>31</v>
      </c>
      <c r="C250" s="10" t="s">
        <v>384</v>
      </c>
      <c r="D250" s="94"/>
      <c r="E250" s="170"/>
      <c r="F250" s="94"/>
      <c r="G250" s="94" t="str">
        <f t="shared" si="19"/>
        <v/>
      </c>
      <c r="H250" s="10" t="s">
        <v>20</v>
      </c>
      <c r="I250" s="331">
        <v>0.8</v>
      </c>
      <c r="J250" s="12">
        <f t="shared" si="21"/>
        <v>0</v>
      </c>
    </row>
    <row r="251" spans="1:10" hidden="1" x14ac:dyDescent="0.35">
      <c r="A251" s="103"/>
      <c r="B251" s="12" t="s">
        <v>31</v>
      </c>
      <c r="C251" s="10" t="s">
        <v>385</v>
      </c>
      <c r="D251" s="94"/>
      <c r="E251" s="170"/>
      <c r="F251" s="94"/>
      <c r="G251" s="94" t="str">
        <f t="shared" si="19"/>
        <v/>
      </c>
      <c r="H251" s="10" t="s">
        <v>20</v>
      </c>
      <c r="I251" s="331">
        <v>1.83</v>
      </c>
      <c r="J251" s="12">
        <f t="shared" si="21"/>
        <v>0</v>
      </c>
    </row>
    <row r="252" spans="1:10" x14ac:dyDescent="0.35">
      <c r="A252" s="103"/>
      <c r="B252" s="12" t="s">
        <v>31</v>
      </c>
      <c r="C252" s="10" t="s">
        <v>386</v>
      </c>
      <c r="D252" s="94"/>
      <c r="E252" s="170">
        <v>1</v>
      </c>
      <c r="F252" s="94"/>
      <c r="G252" s="94" t="str">
        <f t="shared" si="19"/>
        <v/>
      </c>
      <c r="H252" s="10" t="s">
        <v>20</v>
      </c>
      <c r="I252" s="331">
        <v>2.65</v>
      </c>
      <c r="J252" s="12">
        <f t="shared" si="21"/>
        <v>2.65</v>
      </c>
    </row>
    <row r="253" spans="1:10" x14ac:dyDescent="0.35">
      <c r="A253" s="103"/>
      <c r="B253" s="12" t="s">
        <v>31</v>
      </c>
      <c r="C253" s="10" t="s">
        <v>65</v>
      </c>
      <c r="D253" s="94"/>
      <c r="E253" s="170"/>
      <c r="F253" s="94"/>
      <c r="G253" s="94" t="str">
        <f t="shared" si="19"/>
        <v/>
      </c>
      <c r="H253" s="10" t="s">
        <v>20</v>
      </c>
      <c r="I253" s="331">
        <v>13.43</v>
      </c>
      <c r="J253" s="12">
        <f t="shared" si="21"/>
        <v>0</v>
      </c>
    </row>
    <row r="254" spans="1:10" hidden="1" x14ac:dyDescent="0.35">
      <c r="A254" s="103"/>
      <c r="B254" s="12" t="s">
        <v>31</v>
      </c>
      <c r="C254" s="10" t="s">
        <v>66</v>
      </c>
      <c r="D254" s="94"/>
      <c r="E254" s="170"/>
      <c r="F254" s="94"/>
      <c r="G254" s="94" t="str">
        <f t="shared" si="19"/>
        <v/>
      </c>
      <c r="H254" s="10" t="s">
        <v>20</v>
      </c>
      <c r="I254" s="331">
        <v>75.38</v>
      </c>
      <c r="J254" s="12">
        <f t="shared" si="21"/>
        <v>0</v>
      </c>
    </row>
    <row r="255" spans="1:10" x14ac:dyDescent="0.35">
      <c r="A255" s="103"/>
      <c r="B255" s="12" t="s">
        <v>31</v>
      </c>
      <c r="C255" s="10" t="s">
        <v>412</v>
      </c>
      <c r="D255" s="94"/>
      <c r="E255" s="170">
        <v>1</v>
      </c>
      <c r="F255" s="94"/>
      <c r="G255" s="94" t="str">
        <f t="shared" si="19"/>
        <v/>
      </c>
      <c r="H255" s="10" t="s">
        <v>20</v>
      </c>
      <c r="I255" s="331">
        <v>8.43</v>
      </c>
      <c r="J255" s="12">
        <f t="shared" si="21"/>
        <v>8.43</v>
      </c>
    </row>
    <row r="256" spans="1:10" x14ac:dyDescent="0.35">
      <c r="A256" s="103"/>
      <c r="B256" s="12" t="s">
        <v>31</v>
      </c>
      <c r="C256" s="10" t="s">
        <v>69</v>
      </c>
      <c r="D256" s="94"/>
      <c r="E256" s="170">
        <v>2</v>
      </c>
      <c r="F256" s="94"/>
      <c r="G256" s="94" t="str">
        <f t="shared" si="19"/>
        <v/>
      </c>
      <c r="H256" s="10" t="s">
        <v>63</v>
      </c>
      <c r="I256" s="331">
        <v>3.5</v>
      </c>
      <c r="J256" s="12">
        <f t="shared" si="21"/>
        <v>7</v>
      </c>
    </row>
    <row r="257" spans="1:10" ht="15.5" hidden="1" x14ac:dyDescent="0.35">
      <c r="A257" s="108" t="s">
        <v>57</v>
      </c>
      <c r="B257" s="108"/>
      <c r="C257" s="108"/>
      <c r="D257" s="108"/>
      <c r="E257" s="162"/>
      <c r="F257" s="108"/>
      <c r="G257" s="221" t="str">
        <f t="shared" si="19"/>
        <v/>
      </c>
      <c r="H257" s="108"/>
      <c r="I257" s="106" t="s">
        <v>18</v>
      </c>
      <c r="J257" s="107">
        <f>SUM(J258:J259)</f>
        <v>0</v>
      </c>
    </row>
    <row r="258" spans="1:10" hidden="1" x14ac:dyDescent="0.35">
      <c r="A258" s="103"/>
      <c r="B258" s="12" t="s">
        <v>56</v>
      </c>
      <c r="C258" s="10" t="s">
        <v>58</v>
      </c>
      <c r="D258" s="94"/>
      <c r="E258" s="170"/>
      <c r="F258" s="94"/>
      <c r="G258" s="94" t="str">
        <f t="shared" ref="G258:G259" si="22">IF(D258-E258&gt;0,D258-E258,"")</f>
        <v/>
      </c>
      <c r="H258" s="10" t="s">
        <v>20</v>
      </c>
      <c r="I258" s="331">
        <v>54.05</v>
      </c>
      <c r="J258" s="12">
        <f>E258*I258</f>
        <v>0</v>
      </c>
    </row>
    <row r="259" spans="1:10" hidden="1" x14ac:dyDescent="0.35">
      <c r="A259" s="103"/>
      <c r="B259" s="12" t="s">
        <v>56</v>
      </c>
      <c r="C259" s="10" t="s">
        <v>388</v>
      </c>
      <c r="D259" s="94"/>
      <c r="E259" s="170"/>
      <c r="F259" s="94"/>
      <c r="G259" s="94" t="str">
        <f t="shared" si="22"/>
        <v/>
      </c>
      <c r="H259" s="10" t="s">
        <v>20</v>
      </c>
      <c r="I259" s="331">
        <v>0</v>
      </c>
      <c r="J259" s="12">
        <f>E259*I259</f>
        <v>0</v>
      </c>
    </row>
  </sheetData>
  <mergeCells count="2">
    <mergeCell ref="B1:C1"/>
    <mergeCell ref="B2:C2"/>
  </mergeCells>
  <pageMargins left="0.7" right="0.7" top="0.75" bottom="0.75" header="0.3" footer="0.3"/>
  <pageSetup paperSize="9" scale="73" fitToHeight="0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8F743-85DA-442B-BC2B-9EA9B851B4C2}">
  <sheetPr codeName="Feuil22">
    <tabColor theme="8" tint="0.39997558519241921"/>
  </sheetPr>
  <dimension ref="A1:K265"/>
  <sheetViews>
    <sheetView topLeftCell="A15" zoomScaleNormal="100" workbookViewId="0">
      <selection activeCell="J209" sqref="J209"/>
    </sheetView>
  </sheetViews>
  <sheetFormatPr baseColWidth="10" defaultColWidth="10.7265625" defaultRowHeight="14.5" x14ac:dyDescent="0.35"/>
  <cols>
    <col min="1" max="1" width="2.54296875" customWidth="1"/>
    <col min="2" max="2" width="32.26953125" customWidth="1"/>
    <col min="3" max="3" width="44.54296875" bestFit="1" customWidth="1"/>
    <col min="4" max="4" width="19.7265625" bestFit="1" customWidth="1"/>
    <col min="5" max="5" width="18.81640625" style="34" bestFit="1" customWidth="1"/>
    <col min="6" max="6" width="18.26953125" hidden="1" customWidth="1"/>
    <col min="7" max="7" width="14" bestFit="1" customWidth="1"/>
    <col min="8" max="8" width="6.81640625" bestFit="1" customWidth="1"/>
    <col min="9" max="9" width="8.453125" style="86" bestFit="1" customWidth="1"/>
    <col min="10" max="10" width="7.1796875" customWidth="1"/>
  </cols>
  <sheetData>
    <row r="1" spans="2:7" ht="15" thickBot="1" x14ac:dyDescent="0.4">
      <c r="B1" s="321" t="s">
        <v>198</v>
      </c>
      <c r="C1" s="322"/>
      <c r="F1" s="89"/>
      <c r="G1" s="89"/>
    </row>
    <row r="2" spans="2:7" ht="15" thickBot="1" x14ac:dyDescent="0.4">
      <c r="B2" s="319"/>
      <c r="C2" s="320"/>
      <c r="F2" s="90"/>
      <c r="G2" s="90"/>
    </row>
    <row r="3" spans="2:7" x14ac:dyDescent="0.35">
      <c r="B3" s="75"/>
      <c r="C3" s="75"/>
      <c r="F3" s="75"/>
      <c r="G3" s="75"/>
    </row>
    <row r="4" spans="2:7" ht="15.5" x14ac:dyDescent="0.35">
      <c r="B4" s="70" t="s">
        <v>0</v>
      </c>
      <c r="C4" s="70" t="s">
        <v>1</v>
      </c>
      <c r="F4" s="91"/>
      <c r="G4" s="91"/>
    </row>
    <row r="5" spans="2:7" x14ac:dyDescent="0.35">
      <c r="B5" s="71" t="s">
        <v>2</v>
      </c>
      <c r="C5" s="72">
        <f>J23</f>
        <v>4127.55</v>
      </c>
      <c r="F5" s="92"/>
      <c r="G5" s="92"/>
    </row>
    <row r="6" spans="2:7" x14ac:dyDescent="0.35">
      <c r="B6" s="71" t="s">
        <v>7</v>
      </c>
      <c r="C6" s="72">
        <f>J4</f>
        <v>0</v>
      </c>
      <c r="F6" s="92"/>
      <c r="G6" s="92"/>
    </row>
    <row r="7" spans="2:7" x14ac:dyDescent="0.35">
      <c r="B7" s="71" t="s">
        <v>13</v>
      </c>
      <c r="C7" s="72">
        <f>J50</f>
        <v>26.700000000000003</v>
      </c>
      <c r="F7" s="92"/>
      <c r="G7" s="92"/>
    </row>
    <row r="8" spans="2:7" x14ac:dyDescent="0.35">
      <c r="B8" s="71" t="s">
        <v>3</v>
      </c>
      <c r="C8" s="72">
        <f>J78</f>
        <v>0</v>
      </c>
      <c r="F8" s="92"/>
      <c r="G8" s="92"/>
    </row>
    <row r="9" spans="2:7" x14ac:dyDescent="0.35">
      <c r="B9" s="71" t="s">
        <v>4</v>
      </c>
      <c r="C9" s="72">
        <f>J122</f>
        <v>298.19</v>
      </c>
      <c r="F9" s="92"/>
      <c r="G9" s="92"/>
    </row>
    <row r="10" spans="2:7" x14ac:dyDescent="0.35">
      <c r="B10" s="71" t="s">
        <v>199</v>
      </c>
      <c r="C10" s="72">
        <f>J176</f>
        <v>0</v>
      </c>
      <c r="F10" s="92"/>
      <c r="G10" s="92"/>
    </row>
    <row r="11" spans="2:7" x14ac:dyDescent="0.35">
      <c r="B11" s="71" t="s">
        <v>200</v>
      </c>
      <c r="C11" s="72">
        <f>J187</f>
        <v>0</v>
      </c>
      <c r="F11" s="92"/>
      <c r="G11" s="92"/>
    </row>
    <row r="12" spans="2:7" x14ac:dyDescent="0.35">
      <c r="B12" s="71" t="s">
        <v>201</v>
      </c>
      <c r="C12" s="72">
        <f>J193</f>
        <v>0</v>
      </c>
      <c r="F12" s="92"/>
      <c r="G12" s="92"/>
    </row>
    <row r="13" spans="2:7" x14ac:dyDescent="0.35">
      <c r="B13" s="71" t="s">
        <v>202</v>
      </c>
      <c r="C13" s="72">
        <f>J195</f>
        <v>0</v>
      </c>
      <c r="F13" s="92"/>
      <c r="G13" s="92"/>
    </row>
    <row r="14" spans="2:7" x14ac:dyDescent="0.35">
      <c r="B14" s="71" t="s">
        <v>203</v>
      </c>
      <c r="C14" s="72">
        <f>J208</f>
        <v>0</v>
      </c>
      <c r="F14" s="92"/>
      <c r="G14" s="92"/>
    </row>
    <row r="15" spans="2:7" x14ac:dyDescent="0.35">
      <c r="B15" s="71" t="s">
        <v>12</v>
      </c>
      <c r="C15" s="72">
        <f>J214</f>
        <v>0</v>
      </c>
      <c r="F15" s="92"/>
      <c r="G15" s="92"/>
    </row>
    <row r="16" spans="2:7" x14ac:dyDescent="0.35">
      <c r="B16" s="71" t="s">
        <v>204</v>
      </c>
      <c r="C16" s="72">
        <f>J222</f>
        <v>0</v>
      </c>
      <c r="F16" s="92"/>
      <c r="G16" s="92"/>
    </row>
    <row r="17" spans="1:10" x14ac:dyDescent="0.35">
      <c r="B17" s="71" t="s">
        <v>9</v>
      </c>
      <c r="C17" s="72">
        <f>J224</f>
        <v>55.734999999999999</v>
      </c>
      <c r="F17" s="92"/>
      <c r="G17" s="92"/>
    </row>
    <row r="18" spans="1:10" x14ac:dyDescent="0.35">
      <c r="B18" s="71" t="s">
        <v>205</v>
      </c>
      <c r="C18" s="72">
        <f>J245</f>
        <v>0</v>
      </c>
      <c r="F18" s="92"/>
      <c r="G18" s="92"/>
    </row>
    <row r="19" spans="1:10" x14ac:dyDescent="0.35">
      <c r="B19" s="71" t="s">
        <v>56</v>
      </c>
      <c r="C19" s="72">
        <f>J257</f>
        <v>0</v>
      </c>
      <c r="F19" s="92"/>
      <c r="G19" s="92"/>
    </row>
    <row r="20" spans="1:10" x14ac:dyDescent="0.35">
      <c r="B20" s="73" t="s">
        <v>14</v>
      </c>
      <c r="C20" s="74">
        <f>C5+C6+C7+C8+C9+C10+C11+C12+C13+C14+C15+C16+C17+C18+C19</f>
        <v>4508.1749999999993</v>
      </c>
      <c r="F20" s="93"/>
      <c r="G20" s="93"/>
    </row>
    <row r="21" spans="1:10" ht="18.5" x14ac:dyDescent="0.45">
      <c r="A21" s="76" t="s">
        <v>207</v>
      </c>
      <c r="B21" s="76"/>
      <c r="C21" s="76"/>
      <c r="D21" s="76"/>
      <c r="E21" s="167"/>
      <c r="F21" s="76"/>
      <c r="G21" s="76"/>
      <c r="H21" s="76"/>
      <c r="I21" s="262"/>
      <c r="J21" s="76"/>
    </row>
    <row r="22" spans="1:10" x14ac:dyDescent="0.35">
      <c r="A22" s="129"/>
      <c r="B22" s="129" t="s">
        <v>15</v>
      </c>
      <c r="C22" s="129" t="s">
        <v>16</v>
      </c>
      <c r="D22" s="130" t="s">
        <v>398</v>
      </c>
      <c r="E22" s="168" t="s">
        <v>401</v>
      </c>
      <c r="F22" s="130" t="s">
        <v>399</v>
      </c>
      <c r="G22" s="164" t="s">
        <v>400</v>
      </c>
      <c r="H22" s="132" t="s">
        <v>406</v>
      </c>
      <c r="I22" s="341" t="s">
        <v>45</v>
      </c>
      <c r="J22" s="132" t="s">
        <v>402</v>
      </c>
    </row>
    <row r="23" spans="1:10" ht="15.5" x14ac:dyDescent="0.35">
      <c r="A23" s="108" t="s">
        <v>208</v>
      </c>
      <c r="B23" s="108"/>
      <c r="C23" s="108"/>
      <c r="D23" s="108"/>
      <c r="E23" s="169" t="s">
        <v>421</v>
      </c>
      <c r="F23" s="108"/>
      <c r="G23" s="108"/>
      <c r="H23" s="108"/>
      <c r="I23" s="110" t="s">
        <v>18</v>
      </c>
      <c r="J23" s="107">
        <f>SUM(J24:J40)</f>
        <v>4127.55</v>
      </c>
    </row>
    <row r="24" spans="1:10" x14ac:dyDescent="0.35">
      <c r="A24" s="103"/>
      <c r="B24" s="7" t="s">
        <v>2</v>
      </c>
      <c r="C24" s="14" t="s">
        <v>19</v>
      </c>
      <c r="D24" s="152">
        <v>2</v>
      </c>
      <c r="E24" s="170">
        <v>1</v>
      </c>
      <c r="F24" s="95"/>
      <c r="G24" s="153">
        <f>IF(E24="","",IF(D24-E24&gt;0,D24-E24,""))</f>
        <v>1</v>
      </c>
      <c r="H24" s="10" t="s">
        <v>20</v>
      </c>
      <c r="I24" s="331">
        <v>55.95</v>
      </c>
      <c r="J24" s="12">
        <f t="shared" ref="J24:J40" si="0">E24*I24</f>
        <v>55.95</v>
      </c>
    </row>
    <row r="25" spans="1:10" hidden="1" x14ac:dyDescent="0.35">
      <c r="A25" s="103"/>
      <c r="B25" s="7" t="s">
        <v>2</v>
      </c>
      <c r="C25" s="14" t="s">
        <v>209</v>
      </c>
      <c r="D25" s="152"/>
      <c r="E25" s="170"/>
      <c r="F25" s="95"/>
      <c r="G25" s="153" t="str">
        <f t="shared" ref="G25:G88" si="1">IF(E25="","",IF(D25-E25&gt;0,D25-E25,""))</f>
        <v/>
      </c>
      <c r="H25" s="10" t="s">
        <v>20</v>
      </c>
      <c r="I25" s="331">
        <v>173.1</v>
      </c>
      <c r="J25" s="12">
        <f t="shared" si="0"/>
        <v>0</v>
      </c>
    </row>
    <row r="26" spans="1:10" x14ac:dyDescent="0.35">
      <c r="A26" s="103"/>
      <c r="B26" s="12" t="s">
        <v>2</v>
      </c>
      <c r="C26" s="10" t="s">
        <v>21</v>
      </c>
      <c r="D26" s="152">
        <v>15</v>
      </c>
      <c r="E26" s="170">
        <v>54</v>
      </c>
      <c r="F26" s="95"/>
      <c r="G26" s="153" t="str">
        <f t="shared" si="1"/>
        <v/>
      </c>
      <c r="H26" s="10" t="s">
        <v>20</v>
      </c>
      <c r="I26" s="331">
        <v>75.400000000000006</v>
      </c>
      <c r="J26" s="12">
        <f t="shared" si="0"/>
        <v>4071.6000000000004</v>
      </c>
    </row>
    <row r="27" spans="1:10" ht="14.5" customHeight="1" x14ac:dyDescent="0.35">
      <c r="A27" s="103"/>
      <c r="B27" s="12" t="s">
        <v>2</v>
      </c>
      <c r="C27" s="10" t="s">
        <v>210</v>
      </c>
      <c r="D27" s="152">
        <v>15</v>
      </c>
      <c r="E27" s="170"/>
      <c r="F27" s="95"/>
      <c r="G27" s="153" t="str">
        <f t="shared" si="1"/>
        <v/>
      </c>
      <c r="H27" s="10" t="s">
        <v>20</v>
      </c>
      <c r="I27" s="331">
        <v>84.9</v>
      </c>
      <c r="J27" s="12">
        <f t="shared" si="0"/>
        <v>0</v>
      </c>
    </row>
    <row r="28" spans="1:10" ht="14.5" hidden="1" customHeight="1" x14ac:dyDescent="0.35">
      <c r="A28" s="103"/>
      <c r="B28" s="12" t="s">
        <v>2</v>
      </c>
      <c r="C28" s="10" t="s">
        <v>211</v>
      </c>
      <c r="D28" s="152"/>
      <c r="E28" s="170"/>
      <c r="F28" s="95"/>
      <c r="G28" s="153" t="str">
        <f t="shared" si="1"/>
        <v/>
      </c>
      <c r="H28" s="10" t="s">
        <v>20</v>
      </c>
      <c r="I28" s="331">
        <v>2.96</v>
      </c>
      <c r="J28" s="12">
        <f t="shared" si="0"/>
        <v>0</v>
      </c>
    </row>
    <row r="29" spans="1:10" ht="14.5" hidden="1" customHeight="1" x14ac:dyDescent="0.35">
      <c r="A29" s="103"/>
      <c r="B29" s="12" t="s">
        <v>2</v>
      </c>
      <c r="C29" s="10" t="s">
        <v>212</v>
      </c>
      <c r="D29" s="152"/>
      <c r="E29" s="170"/>
      <c r="F29" s="95"/>
      <c r="G29" s="153" t="str">
        <f t="shared" si="1"/>
        <v/>
      </c>
      <c r="H29" s="10" t="s">
        <v>20</v>
      </c>
      <c r="I29" s="331">
        <v>2.96</v>
      </c>
      <c r="J29" s="12">
        <f t="shared" si="0"/>
        <v>0</v>
      </c>
    </row>
    <row r="30" spans="1:10" hidden="1" x14ac:dyDescent="0.35">
      <c r="A30" s="103"/>
      <c r="B30" s="12" t="s">
        <v>2</v>
      </c>
      <c r="C30" s="10" t="s">
        <v>213</v>
      </c>
      <c r="D30" s="152"/>
      <c r="E30" s="170"/>
      <c r="F30" s="95"/>
      <c r="G30" s="153" t="str">
        <f t="shared" si="1"/>
        <v/>
      </c>
      <c r="H30" s="10" t="s">
        <v>20</v>
      </c>
      <c r="I30" s="331">
        <v>2.96</v>
      </c>
      <c r="J30" s="12">
        <f t="shared" si="0"/>
        <v>0</v>
      </c>
    </row>
    <row r="31" spans="1:10" hidden="1" x14ac:dyDescent="0.35">
      <c r="A31" s="103"/>
      <c r="B31" s="7" t="s">
        <v>2</v>
      </c>
      <c r="C31" s="14" t="s">
        <v>22</v>
      </c>
      <c r="D31" s="152"/>
      <c r="E31" s="170"/>
      <c r="F31" s="95"/>
      <c r="G31" s="153" t="str">
        <f t="shared" si="1"/>
        <v/>
      </c>
      <c r="H31" s="10" t="s">
        <v>20</v>
      </c>
      <c r="I31" s="331">
        <v>107.2</v>
      </c>
      <c r="J31" s="12">
        <f t="shared" si="0"/>
        <v>0</v>
      </c>
    </row>
    <row r="32" spans="1:10" ht="14.5" hidden="1" customHeight="1" x14ac:dyDescent="0.35">
      <c r="A32" s="103"/>
      <c r="B32" s="7" t="s">
        <v>2</v>
      </c>
      <c r="C32" s="14" t="s">
        <v>214</v>
      </c>
      <c r="D32" s="152"/>
      <c r="E32" s="170"/>
      <c r="F32" s="95"/>
      <c r="G32" s="153" t="str">
        <f t="shared" si="1"/>
        <v/>
      </c>
      <c r="H32" s="10" t="s">
        <v>20</v>
      </c>
      <c r="I32" s="331">
        <v>170.7</v>
      </c>
      <c r="J32" s="12">
        <f t="shared" si="0"/>
        <v>0</v>
      </c>
    </row>
    <row r="33" spans="1:10" ht="14.5" hidden="1" customHeight="1" x14ac:dyDescent="0.35">
      <c r="A33" s="103"/>
      <c r="B33" s="12" t="s">
        <v>2</v>
      </c>
      <c r="C33" s="10" t="s">
        <v>215</v>
      </c>
      <c r="D33" s="152"/>
      <c r="E33" s="170"/>
      <c r="F33" s="95"/>
      <c r="G33" s="153" t="str">
        <f t="shared" si="1"/>
        <v/>
      </c>
      <c r="H33" s="10" t="s">
        <v>216</v>
      </c>
      <c r="I33" s="331">
        <v>3.77</v>
      </c>
      <c r="J33" s="12">
        <f t="shared" si="0"/>
        <v>0</v>
      </c>
    </row>
    <row r="34" spans="1:10" ht="15.65" hidden="1" customHeight="1" x14ac:dyDescent="0.35">
      <c r="A34" s="103"/>
      <c r="B34" s="12" t="s">
        <v>2</v>
      </c>
      <c r="C34" s="10" t="s">
        <v>217</v>
      </c>
      <c r="D34" s="152"/>
      <c r="E34" s="170"/>
      <c r="F34" s="95"/>
      <c r="G34" s="153" t="str">
        <f t="shared" si="1"/>
        <v/>
      </c>
      <c r="H34" s="10" t="s">
        <v>20</v>
      </c>
      <c r="I34" s="331">
        <v>2.56</v>
      </c>
      <c r="J34" s="12">
        <f t="shared" si="0"/>
        <v>0</v>
      </c>
    </row>
    <row r="35" spans="1:10" ht="14.5" hidden="1" customHeight="1" x14ac:dyDescent="0.35">
      <c r="A35" s="103"/>
      <c r="B35" s="12" t="s">
        <v>2</v>
      </c>
      <c r="C35" s="10" t="s">
        <v>218</v>
      </c>
      <c r="D35" s="152"/>
      <c r="E35" s="170"/>
      <c r="F35" s="95"/>
      <c r="G35" s="153" t="str">
        <f t="shared" si="1"/>
        <v/>
      </c>
      <c r="H35" s="10" t="s">
        <v>20</v>
      </c>
      <c r="I35" s="331">
        <v>3.08</v>
      </c>
      <c r="J35" s="12">
        <f t="shared" si="0"/>
        <v>0</v>
      </c>
    </row>
    <row r="36" spans="1:10" ht="14.5" hidden="1" customHeight="1" x14ac:dyDescent="0.35">
      <c r="A36" s="103"/>
      <c r="B36" s="12" t="s">
        <v>2</v>
      </c>
      <c r="C36" s="10" t="s">
        <v>219</v>
      </c>
      <c r="D36" s="152"/>
      <c r="E36" s="170"/>
      <c r="F36" s="95"/>
      <c r="G36" s="153" t="str">
        <f t="shared" si="1"/>
        <v/>
      </c>
      <c r="H36" s="10" t="s">
        <v>20</v>
      </c>
      <c r="I36" s="331">
        <v>2.56</v>
      </c>
      <c r="J36" s="12">
        <f t="shared" si="0"/>
        <v>0</v>
      </c>
    </row>
    <row r="37" spans="1:10" hidden="1" x14ac:dyDescent="0.35">
      <c r="A37" s="103"/>
      <c r="B37" s="12" t="s">
        <v>2</v>
      </c>
      <c r="C37" s="10" t="s">
        <v>220</v>
      </c>
      <c r="D37" s="152"/>
      <c r="E37" s="170"/>
      <c r="F37" s="95"/>
      <c r="G37" s="153" t="str">
        <f t="shared" si="1"/>
        <v/>
      </c>
      <c r="H37" s="10" t="s">
        <v>20</v>
      </c>
      <c r="I37" s="331">
        <v>1.41</v>
      </c>
      <c r="J37" s="12">
        <f t="shared" si="0"/>
        <v>0</v>
      </c>
    </row>
    <row r="38" spans="1:10" hidden="1" x14ac:dyDescent="0.35">
      <c r="A38" s="103"/>
      <c r="B38" s="12" t="s">
        <v>2</v>
      </c>
      <c r="C38" s="10" t="s">
        <v>221</v>
      </c>
      <c r="D38" s="152"/>
      <c r="E38" s="170"/>
      <c r="F38" s="95"/>
      <c r="G38" s="153" t="str">
        <f t="shared" si="1"/>
        <v/>
      </c>
      <c r="H38" s="10" t="s">
        <v>20</v>
      </c>
      <c r="I38" s="331">
        <v>1.73</v>
      </c>
      <c r="J38" s="12">
        <f t="shared" si="0"/>
        <v>0</v>
      </c>
    </row>
    <row r="39" spans="1:10" hidden="1" x14ac:dyDescent="0.35">
      <c r="A39" s="103"/>
      <c r="B39" s="12" t="s">
        <v>2</v>
      </c>
      <c r="C39" s="10" t="s">
        <v>222</v>
      </c>
      <c r="D39" s="152"/>
      <c r="E39" s="170"/>
      <c r="F39" s="95"/>
      <c r="G39" s="153" t="str">
        <f t="shared" si="1"/>
        <v/>
      </c>
      <c r="H39" s="10" t="s">
        <v>20</v>
      </c>
      <c r="I39" s="331">
        <v>1.46</v>
      </c>
      <c r="J39" s="12">
        <f t="shared" si="0"/>
        <v>0</v>
      </c>
    </row>
    <row r="40" spans="1:10" ht="14.5" hidden="1" customHeight="1" x14ac:dyDescent="0.35">
      <c r="A40" s="103"/>
      <c r="B40" s="12" t="s">
        <v>2</v>
      </c>
      <c r="C40" s="10" t="s">
        <v>223</v>
      </c>
      <c r="D40" s="222"/>
      <c r="E40" s="170"/>
      <c r="F40" s="141"/>
      <c r="G40" s="153" t="str">
        <f t="shared" si="1"/>
        <v/>
      </c>
      <c r="H40" s="10" t="s">
        <v>20</v>
      </c>
      <c r="I40" s="332">
        <v>3.45</v>
      </c>
      <c r="J40" s="12">
        <f t="shared" si="0"/>
        <v>0</v>
      </c>
    </row>
    <row r="41" spans="1:10" ht="15.65" customHeight="1" x14ac:dyDescent="0.35">
      <c r="A41" s="108" t="s">
        <v>119</v>
      </c>
      <c r="B41" s="108"/>
      <c r="C41" s="108"/>
      <c r="D41" s="223"/>
      <c r="E41" s="169"/>
      <c r="F41" s="109"/>
      <c r="G41" s="165" t="str">
        <f t="shared" si="1"/>
        <v/>
      </c>
      <c r="H41" s="108"/>
      <c r="I41" s="106" t="s">
        <v>18</v>
      </c>
      <c r="J41" s="107">
        <f>SUM(J42:J49)</f>
        <v>2875</v>
      </c>
    </row>
    <row r="42" spans="1:10" ht="14.5" customHeight="1" x14ac:dyDescent="0.35">
      <c r="A42" s="103"/>
      <c r="B42" s="12" t="s">
        <v>7</v>
      </c>
      <c r="C42" s="10" t="s">
        <v>224</v>
      </c>
      <c r="D42" s="152"/>
      <c r="E42" s="166">
        <f>E24</f>
        <v>1</v>
      </c>
      <c r="F42" s="95"/>
      <c r="G42" s="153" t="str">
        <f t="shared" si="1"/>
        <v/>
      </c>
      <c r="H42" s="10" t="s">
        <v>20</v>
      </c>
      <c r="I42" s="331">
        <v>100</v>
      </c>
      <c r="J42" s="12">
        <f t="shared" ref="J42:J49" si="2">E42*I42</f>
        <v>100</v>
      </c>
    </row>
    <row r="43" spans="1:10" hidden="1" x14ac:dyDescent="0.35">
      <c r="A43" s="103"/>
      <c r="B43" s="12" t="s">
        <v>7</v>
      </c>
      <c r="C43" s="10" t="s">
        <v>225</v>
      </c>
      <c r="D43" s="152"/>
      <c r="E43" s="170"/>
      <c r="F43" s="95"/>
      <c r="G43" s="153" t="str">
        <f t="shared" si="1"/>
        <v/>
      </c>
      <c r="H43" s="10" t="s">
        <v>20</v>
      </c>
      <c r="I43" s="331">
        <v>12.2</v>
      </c>
      <c r="J43" s="12">
        <f t="shared" si="2"/>
        <v>0</v>
      </c>
    </row>
    <row r="44" spans="1:10" ht="14.5" hidden="1" customHeight="1" x14ac:dyDescent="0.35">
      <c r="A44" s="103"/>
      <c r="B44" s="12" t="s">
        <v>7</v>
      </c>
      <c r="C44" s="10" t="s">
        <v>226</v>
      </c>
      <c r="D44" s="152"/>
      <c r="E44" s="170"/>
      <c r="F44" s="95"/>
      <c r="G44" s="153" t="str">
        <f t="shared" si="1"/>
        <v/>
      </c>
      <c r="H44" s="10" t="s">
        <v>20</v>
      </c>
      <c r="I44" s="331">
        <v>11</v>
      </c>
      <c r="J44" s="12">
        <f t="shared" si="2"/>
        <v>0</v>
      </c>
    </row>
    <row r="45" spans="1:10" hidden="1" x14ac:dyDescent="0.35">
      <c r="A45" s="103"/>
      <c r="B45" s="12" t="s">
        <v>7</v>
      </c>
      <c r="C45" s="10" t="s">
        <v>227</v>
      </c>
      <c r="D45" s="152"/>
      <c r="E45" s="170"/>
      <c r="F45" s="95"/>
      <c r="G45" s="153" t="str">
        <f t="shared" si="1"/>
        <v/>
      </c>
      <c r="H45" s="10" t="s">
        <v>20</v>
      </c>
      <c r="I45" s="331">
        <v>5</v>
      </c>
      <c r="J45" s="12">
        <f t="shared" si="2"/>
        <v>0</v>
      </c>
    </row>
    <row r="46" spans="1:10" x14ac:dyDescent="0.35">
      <c r="A46" s="103"/>
      <c r="B46" s="12" t="s">
        <v>7</v>
      </c>
      <c r="C46" s="10" t="s">
        <v>46</v>
      </c>
      <c r="D46" s="152"/>
      <c r="E46" s="170">
        <v>15</v>
      </c>
      <c r="F46" s="95"/>
      <c r="G46" s="153" t="str">
        <f t="shared" si="1"/>
        <v/>
      </c>
      <c r="H46" s="10" t="s">
        <v>20</v>
      </c>
      <c r="I46" s="331">
        <v>5</v>
      </c>
      <c r="J46" s="12">
        <f t="shared" si="2"/>
        <v>75</v>
      </c>
    </row>
    <row r="47" spans="1:10" ht="14.5" hidden="1" customHeight="1" x14ac:dyDescent="0.35">
      <c r="A47" s="103"/>
      <c r="B47" s="12" t="s">
        <v>7</v>
      </c>
      <c r="C47" s="10" t="s">
        <v>228</v>
      </c>
      <c r="D47" s="152"/>
      <c r="E47" s="170"/>
      <c r="F47" s="95"/>
      <c r="G47" s="153" t="str">
        <f t="shared" si="1"/>
        <v/>
      </c>
      <c r="H47" s="10" t="s">
        <v>20</v>
      </c>
      <c r="I47" s="331">
        <v>11</v>
      </c>
      <c r="J47" s="12">
        <f t="shared" si="2"/>
        <v>0</v>
      </c>
    </row>
    <row r="48" spans="1:10" ht="16.399999999999999" customHeight="1" x14ac:dyDescent="0.35">
      <c r="A48" s="103"/>
      <c r="B48" s="12" t="s">
        <v>7</v>
      </c>
      <c r="C48" s="10" t="s">
        <v>229</v>
      </c>
      <c r="D48" s="152"/>
      <c r="E48" s="166">
        <f>E26+E27</f>
        <v>54</v>
      </c>
      <c r="F48" s="95"/>
      <c r="G48" s="153" t="str">
        <f t="shared" si="1"/>
        <v/>
      </c>
      <c r="H48" s="10" t="s">
        <v>20</v>
      </c>
      <c r="I48" s="331">
        <v>50</v>
      </c>
      <c r="J48" s="12">
        <f t="shared" si="2"/>
        <v>2700</v>
      </c>
    </row>
    <row r="49" spans="1:11" hidden="1" x14ac:dyDescent="0.35">
      <c r="A49" s="103"/>
      <c r="B49" s="12" t="s">
        <v>7</v>
      </c>
      <c r="C49" s="78" t="s">
        <v>206</v>
      </c>
      <c r="D49" s="224"/>
      <c r="E49" s="170"/>
      <c r="F49" s="142"/>
      <c r="G49" s="153" t="str">
        <f t="shared" si="1"/>
        <v/>
      </c>
      <c r="H49" s="10" t="s">
        <v>20</v>
      </c>
      <c r="I49" s="333">
        <v>5</v>
      </c>
      <c r="J49" s="12">
        <f t="shared" si="2"/>
        <v>0</v>
      </c>
    </row>
    <row r="50" spans="1:11" ht="15.5" x14ac:dyDescent="0.35">
      <c r="A50" s="103"/>
      <c r="B50" s="104" t="s">
        <v>230</v>
      </c>
      <c r="C50" s="105"/>
      <c r="D50" s="225"/>
      <c r="E50" s="171"/>
      <c r="F50" s="143"/>
      <c r="G50" s="165" t="str">
        <f t="shared" si="1"/>
        <v/>
      </c>
      <c r="H50" s="105"/>
      <c r="I50" s="106" t="s">
        <v>18</v>
      </c>
      <c r="J50" s="107">
        <f>SUM(J52:J77)</f>
        <v>26.700000000000003</v>
      </c>
    </row>
    <row r="51" spans="1:11" ht="14.5" customHeight="1" x14ac:dyDescent="0.35">
      <c r="A51" s="111"/>
      <c r="B51" s="126" t="s">
        <v>231</v>
      </c>
      <c r="C51" s="127"/>
      <c r="D51" s="226"/>
      <c r="E51" s="172"/>
      <c r="F51" s="144"/>
      <c r="G51" s="165" t="str">
        <f t="shared" si="1"/>
        <v/>
      </c>
      <c r="H51" s="127"/>
      <c r="I51" s="239"/>
      <c r="J51" s="128"/>
    </row>
    <row r="52" spans="1:11" ht="14.5" hidden="1" customHeight="1" x14ac:dyDescent="0.35">
      <c r="A52" s="103"/>
      <c r="B52" s="12" t="s">
        <v>13</v>
      </c>
      <c r="C52" s="10" t="s">
        <v>78</v>
      </c>
      <c r="D52" s="152"/>
      <c r="E52" s="170"/>
      <c r="F52" s="95"/>
      <c r="G52" s="153" t="str">
        <f t="shared" si="1"/>
        <v/>
      </c>
      <c r="H52" s="10" t="s">
        <v>20</v>
      </c>
      <c r="I52" s="331">
        <v>13</v>
      </c>
      <c r="J52" s="12">
        <f t="shared" ref="J52:J58" si="3">E52*I52</f>
        <v>0</v>
      </c>
    </row>
    <row r="53" spans="1:11" hidden="1" x14ac:dyDescent="0.35">
      <c r="A53" s="103"/>
      <c r="B53" s="12" t="s">
        <v>13</v>
      </c>
      <c r="C53" s="10" t="s">
        <v>232</v>
      </c>
      <c r="D53" s="152"/>
      <c r="E53" s="170"/>
      <c r="F53" s="95"/>
      <c r="G53" s="153" t="str">
        <f t="shared" si="1"/>
        <v/>
      </c>
      <c r="H53" s="10" t="s">
        <v>20</v>
      </c>
      <c r="I53" s="331">
        <v>13</v>
      </c>
      <c r="J53" s="12">
        <f t="shared" si="3"/>
        <v>0</v>
      </c>
      <c r="K53" s="87"/>
    </row>
    <row r="54" spans="1:11" hidden="1" x14ac:dyDescent="0.35">
      <c r="A54" s="103"/>
      <c r="B54" s="12" t="s">
        <v>13</v>
      </c>
      <c r="C54" s="10" t="s">
        <v>233</v>
      </c>
      <c r="D54" s="152"/>
      <c r="E54" s="170"/>
      <c r="F54" s="95"/>
      <c r="G54" s="153" t="str">
        <f t="shared" si="1"/>
        <v/>
      </c>
      <c r="H54" s="10" t="s">
        <v>20</v>
      </c>
      <c r="I54" s="331">
        <v>8.9</v>
      </c>
      <c r="J54" s="12">
        <f t="shared" si="3"/>
        <v>0</v>
      </c>
    </row>
    <row r="55" spans="1:11" x14ac:dyDescent="0.35">
      <c r="A55" s="103"/>
      <c r="B55" s="12" t="s">
        <v>13</v>
      </c>
      <c r="C55" s="10" t="s">
        <v>32</v>
      </c>
      <c r="D55" s="152">
        <v>6</v>
      </c>
      <c r="E55" s="170"/>
      <c r="F55" s="95"/>
      <c r="G55" s="153" t="str">
        <f t="shared" si="1"/>
        <v/>
      </c>
      <c r="H55" s="10" t="s">
        <v>20</v>
      </c>
      <c r="I55" s="331">
        <v>8.35</v>
      </c>
      <c r="J55" s="12">
        <f t="shared" si="3"/>
        <v>0</v>
      </c>
    </row>
    <row r="56" spans="1:11" ht="15.65" customHeight="1" x14ac:dyDescent="0.35">
      <c r="A56" s="103"/>
      <c r="B56" s="12" t="s">
        <v>13</v>
      </c>
      <c r="C56" s="10" t="s">
        <v>33</v>
      </c>
      <c r="D56" s="152">
        <v>6</v>
      </c>
      <c r="E56" s="170">
        <v>3</v>
      </c>
      <c r="F56" s="95"/>
      <c r="G56" s="153">
        <f t="shared" si="1"/>
        <v>3</v>
      </c>
      <c r="H56" s="10" t="s">
        <v>20</v>
      </c>
      <c r="I56" s="331">
        <v>8.9</v>
      </c>
      <c r="J56" s="12">
        <f t="shared" si="3"/>
        <v>26.700000000000003</v>
      </c>
    </row>
    <row r="57" spans="1:11" ht="15.65" customHeight="1" x14ac:dyDescent="0.35">
      <c r="A57" s="103"/>
      <c r="B57" s="12" t="s">
        <v>13</v>
      </c>
      <c r="C57" s="10" t="s">
        <v>59</v>
      </c>
      <c r="D57" s="152">
        <v>6</v>
      </c>
      <c r="E57" s="170"/>
      <c r="F57" s="95"/>
      <c r="G57" s="153" t="str">
        <f t="shared" si="1"/>
        <v/>
      </c>
      <c r="H57" s="10" t="s">
        <v>20</v>
      </c>
      <c r="I57" s="331">
        <v>8.6999999999999993</v>
      </c>
      <c r="J57" s="12">
        <f t="shared" si="3"/>
        <v>0</v>
      </c>
    </row>
    <row r="58" spans="1:11" ht="14.5" hidden="1" customHeight="1" x14ac:dyDescent="0.35">
      <c r="A58" s="103"/>
      <c r="B58" s="12" t="s">
        <v>13</v>
      </c>
      <c r="C58" s="10" t="s">
        <v>234</v>
      </c>
      <c r="D58" s="152"/>
      <c r="E58" s="170"/>
      <c r="F58" s="95"/>
      <c r="G58" s="153" t="str">
        <f t="shared" si="1"/>
        <v/>
      </c>
      <c r="H58" s="10" t="s">
        <v>20</v>
      </c>
      <c r="I58" s="331">
        <v>12.15</v>
      </c>
      <c r="J58" s="12">
        <f t="shared" si="3"/>
        <v>0</v>
      </c>
    </row>
    <row r="59" spans="1:11" ht="14.5" hidden="1" customHeight="1" x14ac:dyDescent="0.35">
      <c r="A59" s="103"/>
      <c r="B59" s="12" t="s">
        <v>13</v>
      </c>
      <c r="C59" s="10" t="s">
        <v>235</v>
      </c>
      <c r="D59" s="152"/>
      <c r="E59" s="170"/>
      <c r="F59" s="95"/>
      <c r="G59" s="153" t="str">
        <f t="shared" si="1"/>
        <v/>
      </c>
      <c r="H59" s="10" t="s">
        <v>20</v>
      </c>
      <c r="I59" s="331">
        <v>11.35</v>
      </c>
      <c r="J59" s="12">
        <f t="shared" ref="J59:J64" si="4">E59*I59</f>
        <v>0</v>
      </c>
    </row>
    <row r="60" spans="1:11" ht="15.65" hidden="1" customHeight="1" x14ac:dyDescent="0.35">
      <c r="A60" s="103"/>
      <c r="B60" s="12" t="s">
        <v>13</v>
      </c>
      <c r="C60" s="10" t="s">
        <v>236</v>
      </c>
      <c r="D60" s="152"/>
      <c r="E60" s="170"/>
      <c r="F60" s="95"/>
      <c r="G60" s="153" t="str">
        <f t="shared" si="1"/>
        <v/>
      </c>
      <c r="H60" s="10" t="s">
        <v>20</v>
      </c>
      <c r="I60" s="331">
        <v>14.65</v>
      </c>
      <c r="J60" s="12">
        <f t="shared" si="4"/>
        <v>0</v>
      </c>
    </row>
    <row r="61" spans="1:11" ht="14.5" hidden="1" customHeight="1" x14ac:dyDescent="0.35">
      <c r="A61" s="103"/>
      <c r="B61" s="12" t="s">
        <v>13</v>
      </c>
      <c r="C61" s="10" t="s">
        <v>237</v>
      </c>
      <c r="D61" s="152"/>
      <c r="E61" s="170"/>
      <c r="F61" s="95"/>
      <c r="G61" s="153" t="str">
        <f t="shared" si="1"/>
        <v/>
      </c>
      <c r="H61" s="10" t="s">
        <v>20</v>
      </c>
      <c r="I61" s="331">
        <v>16.25</v>
      </c>
      <c r="J61" s="12">
        <f t="shared" si="4"/>
        <v>0</v>
      </c>
    </row>
    <row r="62" spans="1:11" hidden="1" x14ac:dyDescent="0.35">
      <c r="A62" s="103"/>
      <c r="B62" s="12" t="s">
        <v>13</v>
      </c>
      <c r="C62" s="10" t="s">
        <v>238</v>
      </c>
      <c r="D62" s="152"/>
      <c r="E62" s="170"/>
      <c r="F62" s="95"/>
      <c r="G62" s="153" t="str">
        <f t="shared" si="1"/>
        <v/>
      </c>
      <c r="H62" s="10" t="s">
        <v>20</v>
      </c>
      <c r="I62" s="331">
        <v>17.899999999999999</v>
      </c>
      <c r="J62" s="12">
        <f t="shared" si="4"/>
        <v>0</v>
      </c>
    </row>
    <row r="63" spans="1:11" hidden="1" x14ac:dyDescent="0.35">
      <c r="A63" s="103"/>
      <c r="B63" s="12" t="s">
        <v>13</v>
      </c>
      <c r="C63" s="10" t="s">
        <v>239</v>
      </c>
      <c r="D63" s="152"/>
      <c r="E63" s="170"/>
      <c r="F63" s="95"/>
      <c r="G63" s="153" t="str">
        <f t="shared" si="1"/>
        <v/>
      </c>
      <c r="H63" s="10" t="s">
        <v>20</v>
      </c>
      <c r="I63" s="331">
        <v>15.95</v>
      </c>
      <c r="J63" s="12">
        <f t="shared" si="4"/>
        <v>0</v>
      </c>
    </row>
    <row r="64" spans="1:11" ht="14.5" hidden="1" customHeight="1" x14ac:dyDescent="0.35">
      <c r="A64" s="103"/>
      <c r="B64" s="12" t="s">
        <v>13</v>
      </c>
      <c r="C64" s="10" t="s">
        <v>240</v>
      </c>
      <c r="D64" s="152"/>
      <c r="E64" s="170"/>
      <c r="F64" s="95"/>
      <c r="G64" s="153" t="str">
        <f t="shared" si="1"/>
        <v/>
      </c>
      <c r="H64" s="10" t="s">
        <v>20</v>
      </c>
      <c r="I64" s="331">
        <v>15.45</v>
      </c>
      <c r="J64" s="12">
        <f t="shared" si="4"/>
        <v>0</v>
      </c>
    </row>
    <row r="65" spans="1:10" ht="15.65" hidden="1" customHeight="1" x14ac:dyDescent="0.35">
      <c r="A65" s="111"/>
      <c r="B65" s="126" t="s">
        <v>241</v>
      </c>
      <c r="C65" s="127"/>
      <c r="D65" s="226"/>
      <c r="E65" s="172"/>
      <c r="F65" s="144"/>
      <c r="G65" s="153" t="str">
        <f t="shared" si="1"/>
        <v/>
      </c>
      <c r="H65" s="127"/>
      <c r="I65" s="239"/>
      <c r="J65" s="128"/>
    </row>
    <row r="66" spans="1:10" ht="14.5" hidden="1" customHeight="1" x14ac:dyDescent="0.35">
      <c r="A66" s="103"/>
      <c r="B66" s="12" t="s">
        <v>13</v>
      </c>
      <c r="C66" s="10" t="s">
        <v>242</v>
      </c>
      <c r="D66" s="152"/>
      <c r="E66" s="170"/>
      <c r="F66" s="95"/>
      <c r="G66" s="153" t="str">
        <f t="shared" si="1"/>
        <v/>
      </c>
      <c r="H66" s="10" t="s">
        <v>20</v>
      </c>
      <c r="I66" s="331">
        <v>31.05</v>
      </c>
      <c r="J66" s="12">
        <f t="shared" ref="J66:J72" si="5">E66*I66</f>
        <v>0</v>
      </c>
    </row>
    <row r="67" spans="1:10" ht="14.5" hidden="1" customHeight="1" x14ac:dyDescent="0.35">
      <c r="A67" s="103"/>
      <c r="B67" s="12" t="s">
        <v>13</v>
      </c>
      <c r="C67" s="10" t="s">
        <v>243</v>
      </c>
      <c r="D67" s="152"/>
      <c r="E67" s="170"/>
      <c r="F67" s="95"/>
      <c r="G67" s="153" t="str">
        <f t="shared" si="1"/>
        <v/>
      </c>
      <c r="H67" s="10" t="s">
        <v>20</v>
      </c>
      <c r="I67" s="331">
        <v>60.79</v>
      </c>
      <c r="J67" s="12">
        <f t="shared" si="5"/>
        <v>0</v>
      </c>
    </row>
    <row r="68" spans="1:10" hidden="1" x14ac:dyDescent="0.35">
      <c r="A68" s="103"/>
      <c r="B68" s="12" t="s">
        <v>13</v>
      </c>
      <c r="C68" s="10" t="s">
        <v>244</v>
      </c>
      <c r="D68" s="152"/>
      <c r="E68" s="170"/>
      <c r="F68" s="95"/>
      <c r="G68" s="153" t="str">
        <f t="shared" si="1"/>
        <v/>
      </c>
      <c r="H68" s="10" t="s">
        <v>20</v>
      </c>
      <c r="I68" s="331">
        <v>56.55</v>
      </c>
      <c r="J68" s="12">
        <f t="shared" si="5"/>
        <v>0</v>
      </c>
    </row>
    <row r="69" spans="1:10" hidden="1" x14ac:dyDescent="0.35">
      <c r="A69" s="103"/>
      <c r="B69" s="12" t="s">
        <v>13</v>
      </c>
      <c r="C69" s="10" t="s">
        <v>245</v>
      </c>
      <c r="D69" s="152"/>
      <c r="E69" s="170"/>
      <c r="F69" s="95"/>
      <c r="G69" s="153" t="str">
        <f t="shared" si="1"/>
        <v/>
      </c>
      <c r="H69" s="10" t="s">
        <v>20</v>
      </c>
      <c r="I69" s="331">
        <v>107.44</v>
      </c>
      <c r="J69" s="12">
        <f t="shared" si="5"/>
        <v>0</v>
      </c>
    </row>
    <row r="70" spans="1:10" ht="14.5" hidden="1" customHeight="1" x14ac:dyDescent="0.35">
      <c r="A70" s="103"/>
      <c r="B70" s="12" t="s">
        <v>13</v>
      </c>
      <c r="C70" s="10" t="s">
        <v>246</v>
      </c>
      <c r="D70" s="152"/>
      <c r="E70" s="170"/>
      <c r="F70" s="95"/>
      <c r="G70" s="153" t="str">
        <f t="shared" si="1"/>
        <v/>
      </c>
      <c r="H70" s="10" t="s">
        <v>20</v>
      </c>
      <c r="I70" s="331">
        <v>47.4</v>
      </c>
      <c r="J70" s="12">
        <f t="shared" si="5"/>
        <v>0</v>
      </c>
    </row>
    <row r="71" spans="1:10" ht="15.65" hidden="1" customHeight="1" x14ac:dyDescent="0.35">
      <c r="A71" s="103"/>
      <c r="B71" s="12" t="s">
        <v>13</v>
      </c>
      <c r="C71" s="10" t="s">
        <v>247</v>
      </c>
      <c r="D71" s="152"/>
      <c r="E71" s="170"/>
      <c r="F71" s="95"/>
      <c r="G71" s="153" t="str">
        <f t="shared" si="1"/>
        <v/>
      </c>
      <c r="H71" s="10" t="s">
        <v>20</v>
      </c>
      <c r="I71" s="331">
        <v>87.63</v>
      </c>
      <c r="J71" s="12">
        <f t="shared" si="5"/>
        <v>0</v>
      </c>
    </row>
    <row r="72" spans="1:10" ht="15.65" hidden="1" customHeight="1" x14ac:dyDescent="0.35">
      <c r="A72" s="103"/>
      <c r="B72" s="12" t="s">
        <v>13</v>
      </c>
      <c r="C72" s="10" t="s">
        <v>248</v>
      </c>
      <c r="D72" s="152"/>
      <c r="E72" s="170"/>
      <c r="F72" s="95"/>
      <c r="G72" s="153" t="str">
        <f t="shared" si="1"/>
        <v/>
      </c>
      <c r="H72" s="10" t="s">
        <v>20</v>
      </c>
      <c r="I72" s="331">
        <v>52.31</v>
      </c>
      <c r="J72" s="12">
        <f t="shared" si="5"/>
        <v>0</v>
      </c>
    </row>
    <row r="73" spans="1:10" ht="14.5" hidden="1" customHeight="1" x14ac:dyDescent="0.35">
      <c r="A73" s="111"/>
      <c r="B73" s="126" t="s">
        <v>249</v>
      </c>
      <c r="C73" s="127"/>
      <c r="D73" s="226"/>
      <c r="E73" s="172"/>
      <c r="F73" s="144"/>
      <c r="G73" s="153" t="str">
        <f t="shared" si="1"/>
        <v/>
      </c>
      <c r="H73" s="127"/>
      <c r="I73" s="239"/>
      <c r="J73" s="128"/>
    </row>
    <row r="74" spans="1:10" ht="14.5" hidden="1" customHeight="1" x14ac:dyDescent="0.35">
      <c r="A74" s="103"/>
      <c r="B74" s="12" t="s">
        <v>13</v>
      </c>
      <c r="C74" s="10" t="s">
        <v>250</v>
      </c>
      <c r="D74" s="152"/>
      <c r="E74" s="170"/>
      <c r="F74" s="95"/>
      <c r="G74" s="153" t="str">
        <f t="shared" si="1"/>
        <v/>
      </c>
      <c r="H74" s="10" t="s">
        <v>20</v>
      </c>
      <c r="I74" s="331">
        <v>10.8</v>
      </c>
      <c r="J74" s="12">
        <f>E74*I74</f>
        <v>0</v>
      </c>
    </row>
    <row r="75" spans="1:10" ht="14.5" hidden="1" customHeight="1" x14ac:dyDescent="0.35">
      <c r="A75" s="103"/>
      <c r="B75" s="12" t="s">
        <v>13</v>
      </c>
      <c r="C75" s="10" t="s">
        <v>251</v>
      </c>
      <c r="D75" s="152"/>
      <c r="E75" s="170"/>
      <c r="F75" s="95"/>
      <c r="G75" s="153" t="str">
        <f t="shared" si="1"/>
        <v/>
      </c>
      <c r="H75" s="10" t="s">
        <v>20</v>
      </c>
      <c r="I75" s="331">
        <v>11.2</v>
      </c>
      <c r="J75" s="12">
        <f>E75*I75</f>
        <v>0</v>
      </c>
    </row>
    <row r="76" spans="1:10" ht="14.5" customHeight="1" x14ac:dyDescent="0.35">
      <c r="A76" s="103"/>
      <c r="B76" s="12" t="s">
        <v>13</v>
      </c>
      <c r="C76" s="10" t="s">
        <v>252</v>
      </c>
      <c r="D76" s="152"/>
      <c r="E76" s="170"/>
      <c r="F76" s="95"/>
      <c r="G76" s="153" t="str">
        <f t="shared" si="1"/>
        <v/>
      </c>
      <c r="H76" s="10" t="s">
        <v>23</v>
      </c>
      <c r="I76" s="331">
        <v>4.5599999999999996</v>
      </c>
      <c r="J76" s="12">
        <f>E76*I76</f>
        <v>0</v>
      </c>
    </row>
    <row r="77" spans="1:10" ht="14.5" customHeight="1" x14ac:dyDescent="0.35">
      <c r="A77" s="103"/>
      <c r="B77" s="12" t="s">
        <v>13</v>
      </c>
      <c r="C77" s="10" t="s">
        <v>253</v>
      </c>
      <c r="D77" s="152"/>
      <c r="E77" s="170"/>
      <c r="F77" s="95"/>
      <c r="G77" s="153" t="str">
        <f t="shared" si="1"/>
        <v/>
      </c>
      <c r="H77" s="10" t="s">
        <v>23</v>
      </c>
      <c r="I77" s="331">
        <v>37.700000000000003</v>
      </c>
      <c r="J77" s="12">
        <f>E77*I77</f>
        <v>0</v>
      </c>
    </row>
    <row r="78" spans="1:10" ht="14.5" hidden="1" customHeight="1" x14ac:dyDescent="0.35">
      <c r="A78" s="108" t="s">
        <v>254</v>
      </c>
      <c r="B78" s="108"/>
      <c r="C78" s="108"/>
      <c r="D78" s="223"/>
      <c r="E78" s="169"/>
      <c r="F78" s="109"/>
      <c r="G78" s="153" t="str">
        <f t="shared" si="1"/>
        <v/>
      </c>
      <c r="H78" s="108"/>
      <c r="I78" s="110" t="s">
        <v>18</v>
      </c>
      <c r="J78" s="115">
        <f>SUM(J80:J121)</f>
        <v>0</v>
      </c>
    </row>
    <row r="79" spans="1:10" ht="14.5" hidden="1" customHeight="1" x14ac:dyDescent="0.35">
      <c r="A79" s="111"/>
      <c r="B79" s="126" t="s">
        <v>255</v>
      </c>
      <c r="C79" s="127"/>
      <c r="D79" s="226"/>
      <c r="E79" s="172"/>
      <c r="F79" s="144"/>
      <c r="G79" s="153" t="str">
        <f t="shared" si="1"/>
        <v/>
      </c>
      <c r="H79" s="127"/>
      <c r="I79" s="239"/>
      <c r="J79" s="128"/>
    </row>
    <row r="80" spans="1:10" ht="14.5" hidden="1" customHeight="1" x14ac:dyDescent="0.35">
      <c r="A80" s="103"/>
      <c r="B80" s="12" t="s">
        <v>3</v>
      </c>
      <c r="C80" s="10" t="s">
        <v>256</v>
      </c>
      <c r="D80" s="152"/>
      <c r="E80" s="170"/>
      <c r="F80" s="95"/>
      <c r="G80" s="153" t="str">
        <f t="shared" si="1"/>
        <v/>
      </c>
      <c r="H80" s="10" t="s">
        <v>20</v>
      </c>
      <c r="I80" s="331">
        <v>32.950000000000003</v>
      </c>
      <c r="J80" s="12">
        <f t="shared" ref="J80:J86" si="6">E80*I80</f>
        <v>0</v>
      </c>
    </row>
    <row r="81" spans="1:10" ht="14.5" hidden="1" customHeight="1" x14ac:dyDescent="0.35">
      <c r="A81" s="103"/>
      <c r="B81" s="12" t="s">
        <v>3</v>
      </c>
      <c r="C81" s="10" t="s">
        <v>257</v>
      </c>
      <c r="D81" s="152"/>
      <c r="E81" s="170"/>
      <c r="F81" s="95"/>
      <c r="G81" s="153" t="str">
        <f t="shared" si="1"/>
        <v/>
      </c>
      <c r="H81" s="10" t="s">
        <v>20</v>
      </c>
      <c r="I81" s="331">
        <v>56.95</v>
      </c>
      <c r="J81" s="12">
        <f t="shared" si="6"/>
        <v>0</v>
      </c>
    </row>
    <row r="82" spans="1:10" ht="14.5" hidden="1" customHeight="1" x14ac:dyDescent="0.35">
      <c r="A82" s="103"/>
      <c r="B82" s="12" t="s">
        <v>3</v>
      </c>
      <c r="C82" s="10" t="s">
        <v>258</v>
      </c>
      <c r="D82" s="152"/>
      <c r="E82" s="170"/>
      <c r="F82" s="95"/>
      <c r="G82" s="153" t="str">
        <f t="shared" si="1"/>
        <v/>
      </c>
      <c r="H82" s="10" t="s">
        <v>20</v>
      </c>
      <c r="I82" s="331">
        <v>15.95</v>
      </c>
      <c r="J82" s="12">
        <f t="shared" si="6"/>
        <v>0</v>
      </c>
    </row>
    <row r="83" spans="1:10" ht="14.5" hidden="1" customHeight="1" x14ac:dyDescent="0.35">
      <c r="A83" s="103"/>
      <c r="B83" s="12" t="s">
        <v>3</v>
      </c>
      <c r="C83" s="10" t="s">
        <v>259</v>
      </c>
      <c r="D83" s="152"/>
      <c r="E83" s="170"/>
      <c r="F83" s="95"/>
      <c r="G83" s="153" t="str">
        <f t="shared" si="1"/>
        <v/>
      </c>
      <c r="H83" s="10" t="s">
        <v>20</v>
      </c>
      <c r="I83" s="331">
        <v>19.95</v>
      </c>
      <c r="J83" s="12">
        <f t="shared" si="6"/>
        <v>0</v>
      </c>
    </row>
    <row r="84" spans="1:10" ht="14.5" hidden="1" customHeight="1" x14ac:dyDescent="0.35">
      <c r="A84" s="103"/>
      <c r="B84" s="12" t="s">
        <v>3</v>
      </c>
      <c r="C84" s="10" t="s">
        <v>260</v>
      </c>
      <c r="D84" s="152"/>
      <c r="E84" s="170"/>
      <c r="F84" s="95"/>
      <c r="G84" s="153" t="str">
        <f t="shared" si="1"/>
        <v/>
      </c>
      <c r="H84" s="10" t="s">
        <v>20</v>
      </c>
      <c r="I84" s="331">
        <v>46.95</v>
      </c>
      <c r="J84" s="12">
        <f t="shared" si="6"/>
        <v>0</v>
      </c>
    </row>
    <row r="85" spans="1:10" ht="14.5" hidden="1" customHeight="1" x14ac:dyDescent="0.35">
      <c r="A85" s="103"/>
      <c r="B85" s="12" t="s">
        <v>3</v>
      </c>
      <c r="C85" s="10" t="s">
        <v>261</v>
      </c>
      <c r="D85" s="152"/>
      <c r="E85" s="170"/>
      <c r="F85" s="95"/>
      <c r="G85" s="153" t="str">
        <f t="shared" si="1"/>
        <v/>
      </c>
      <c r="H85" s="10" t="s">
        <v>20</v>
      </c>
      <c r="I85" s="331">
        <v>34.950000000000003</v>
      </c>
      <c r="J85" s="12">
        <f t="shared" si="6"/>
        <v>0</v>
      </c>
    </row>
    <row r="86" spans="1:10" ht="14.5" hidden="1" customHeight="1" x14ac:dyDescent="0.35">
      <c r="A86" s="103"/>
      <c r="B86" s="12" t="s">
        <v>3</v>
      </c>
      <c r="C86" s="10" t="s">
        <v>262</v>
      </c>
      <c r="D86" s="152"/>
      <c r="E86" s="170"/>
      <c r="F86" s="95"/>
      <c r="G86" s="153" t="str">
        <f t="shared" si="1"/>
        <v/>
      </c>
      <c r="H86" s="10" t="s">
        <v>20</v>
      </c>
      <c r="I86" s="331">
        <v>24.95</v>
      </c>
      <c r="J86" s="12">
        <f t="shared" si="6"/>
        <v>0</v>
      </c>
    </row>
    <row r="87" spans="1:10" ht="15.5" hidden="1" x14ac:dyDescent="0.35">
      <c r="A87" s="111"/>
      <c r="B87" s="126" t="s">
        <v>263</v>
      </c>
      <c r="C87" s="127"/>
      <c r="D87" s="226"/>
      <c r="E87" s="172"/>
      <c r="F87" s="144"/>
      <c r="G87" s="153" t="str">
        <f t="shared" si="1"/>
        <v/>
      </c>
      <c r="H87" s="127"/>
      <c r="I87" s="239"/>
      <c r="J87" s="128"/>
    </row>
    <row r="88" spans="1:10" hidden="1" x14ac:dyDescent="0.35">
      <c r="A88" s="103"/>
      <c r="B88" s="12" t="s">
        <v>3</v>
      </c>
      <c r="C88" s="10" t="s">
        <v>264</v>
      </c>
      <c r="D88" s="152"/>
      <c r="E88" s="170"/>
      <c r="F88" s="95"/>
      <c r="G88" s="153" t="str">
        <f t="shared" si="1"/>
        <v/>
      </c>
      <c r="H88" s="10" t="s">
        <v>20</v>
      </c>
      <c r="I88" s="331">
        <v>19.5</v>
      </c>
      <c r="J88" s="12">
        <f t="shared" ref="J88:J94" si="7">E88*I88</f>
        <v>0</v>
      </c>
    </row>
    <row r="89" spans="1:10" hidden="1" x14ac:dyDescent="0.35">
      <c r="A89" s="103"/>
      <c r="B89" s="12" t="s">
        <v>3</v>
      </c>
      <c r="C89" s="10" t="s">
        <v>265</v>
      </c>
      <c r="D89" s="152"/>
      <c r="E89" s="170"/>
      <c r="F89" s="95"/>
      <c r="G89" s="153" t="str">
        <f t="shared" ref="G89:G152" si="8">IF(E89="","",IF(D89-E89&gt;0,D89-E89,""))</f>
        <v/>
      </c>
      <c r="H89" s="10" t="s">
        <v>20</v>
      </c>
      <c r="I89" s="331">
        <v>16.95</v>
      </c>
      <c r="J89" s="12">
        <f t="shared" si="7"/>
        <v>0</v>
      </c>
    </row>
    <row r="90" spans="1:10" hidden="1" x14ac:dyDescent="0.35">
      <c r="A90" s="103"/>
      <c r="B90" s="12" t="s">
        <v>3</v>
      </c>
      <c r="C90" s="10" t="s">
        <v>266</v>
      </c>
      <c r="D90" s="152"/>
      <c r="E90" s="170"/>
      <c r="F90" s="95"/>
      <c r="G90" s="153" t="str">
        <f t="shared" si="8"/>
        <v/>
      </c>
      <c r="H90" s="10" t="s">
        <v>20</v>
      </c>
      <c r="I90" s="331">
        <v>17.95</v>
      </c>
      <c r="J90" s="12">
        <f t="shared" si="7"/>
        <v>0</v>
      </c>
    </row>
    <row r="91" spans="1:10" hidden="1" x14ac:dyDescent="0.35">
      <c r="A91" s="103"/>
      <c r="B91" s="12" t="s">
        <v>3</v>
      </c>
      <c r="C91" s="10" t="s">
        <v>267</v>
      </c>
      <c r="D91" s="152"/>
      <c r="E91" s="170"/>
      <c r="F91" s="95"/>
      <c r="G91" s="153" t="str">
        <f t="shared" si="8"/>
        <v/>
      </c>
      <c r="H91" s="10" t="s">
        <v>20</v>
      </c>
      <c r="I91" s="331">
        <v>15.95</v>
      </c>
      <c r="J91" s="12">
        <f t="shared" si="7"/>
        <v>0</v>
      </c>
    </row>
    <row r="92" spans="1:10" hidden="1" x14ac:dyDescent="0.35">
      <c r="A92" s="103"/>
      <c r="B92" s="12" t="s">
        <v>3</v>
      </c>
      <c r="C92" s="10" t="s">
        <v>268</v>
      </c>
      <c r="D92" s="152"/>
      <c r="E92" s="170"/>
      <c r="F92" s="95"/>
      <c r="G92" s="153" t="str">
        <f t="shared" si="8"/>
        <v/>
      </c>
      <c r="H92" s="10" t="s">
        <v>20</v>
      </c>
      <c r="I92" s="331">
        <v>20.95</v>
      </c>
      <c r="J92" s="12">
        <f t="shared" si="7"/>
        <v>0</v>
      </c>
    </row>
    <row r="93" spans="1:10" hidden="1" x14ac:dyDescent="0.35">
      <c r="A93" s="103"/>
      <c r="B93" s="12" t="s">
        <v>3</v>
      </c>
      <c r="C93" s="10" t="s">
        <v>269</v>
      </c>
      <c r="D93" s="152"/>
      <c r="E93" s="170"/>
      <c r="F93" s="95"/>
      <c r="G93" s="153" t="str">
        <f t="shared" si="8"/>
        <v/>
      </c>
      <c r="H93" s="10" t="s">
        <v>20</v>
      </c>
      <c r="I93" s="331">
        <v>26.95</v>
      </c>
      <c r="J93" s="12">
        <f t="shared" si="7"/>
        <v>0</v>
      </c>
    </row>
    <row r="94" spans="1:10" hidden="1" x14ac:dyDescent="0.35">
      <c r="A94" s="103"/>
      <c r="B94" s="12" t="s">
        <v>3</v>
      </c>
      <c r="C94" s="10" t="s">
        <v>270</v>
      </c>
      <c r="D94" s="152"/>
      <c r="E94" s="170"/>
      <c r="F94" s="95"/>
      <c r="G94" s="153" t="str">
        <f t="shared" si="8"/>
        <v/>
      </c>
      <c r="H94" s="10" t="s">
        <v>20</v>
      </c>
      <c r="I94" s="331">
        <v>26.95</v>
      </c>
      <c r="J94" s="12">
        <f t="shared" si="7"/>
        <v>0</v>
      </c>
    </row>
    <row r="95" spans="1:10" ht="15.5" hidden="1" x14ac:dyDescent="0.35">
      <c r="A95" s="111"/>
      <c r="B95" s="126" t="s">
        <v>271</v>
      </c>
      <c r="C95" s="127"/>
      <c r="D95" s="226"/>
      <c r="E95" s="172"/>
      <c r="F95" s="144"/>
      <c r="G95" s="153" t="str">
        <f t="shared" si="8"/>
        <v/>
      </c>
      <c r="H95" s="127"/>
      <c r="I95" s="239"/>
      <c r="J95" s="128"/>
    </row>
    <row r="96" spans="1:10" hidden="1" x14ac:dyDescent="0.35">
      <c r="A96" s="103"/>
      <c r="B96" s="12" t="s">
        <v>3</v>
      </c>
      <c r="C96" s="10" t="s">
        <v>272</v>
      </c>
      <c r="D96" s="152"/>
      <c r="E96" s="170"/>
      <c r="F96" s="95"/>
      <c r="G96" s="153" t="str">
        <f t="shared" si="8"/>
        <v/>
      </c>
      <c r="H96" s="10" t="s">
        <v>20</v>
      </c>
      <c r="I96" s="331">
        <v>20.95</v>
      </c>
      <c r="J96" s="12">
        <f>E96*I96</f>
        <v>0</v>
      </c>
    </row>
    <row r="97" spans="1:10" hidden="1" x14ac:dyDescent="0.35">
      <c r="A97" s="103"/>
      <c r="B97" s="12" t="s">
        <v>3</v>
      </c>
      <c r="C97" s="10" t="s">
        <v>273</v>
      </c>
      <c r="D97" s="152"/>
      <c r="E97" s="170"/>
      <c r="F97" s="95"/>
      <c r="G97" s="153" t="str">
        <f t="shared" si="8"/>
        <v/>
      </c>
      <c r="H97" s="10" t="s">
        <v>20</v>
      </c>
      <c r="I97" s="331">
        <v>23.95</v>
      </c>
      <c r="J97" s="12">
        <f>E97*I97</f>
        <v>0</v>
      </c>
    </row>
    <row r="98" spans="1:10" ht="14.5" hidden="1" customHeight="1" x14ac:dyDescent="0.35">
      <c r="A98" s="103"/>
      <c r="B98" s="12" t="s">
        <v>3</v>
      </c>
      <c r="C98" s="10" t="s">
        <v>274</v>
      </c>
      <c r="D98" s="152"/>
      <c r="E98" s="170"/>
      <c r="F98" s="95"/>
      <c r="G98" s="153" t="str">
        <f t="shared" si="8"/>
        <v/>
      </c>
      <c r="H98" s="10" t="s">
        <v>20</v>
      </c>
      <c r="I98" s="331">
        <v>22.5</v>
      </c>
      <c r="J98" s="12">
        <f>E98*I98</f>
        <v>0</v>
      </c>
    </row>
    <row r="99" spans="1:10" ht="14.5" hidden="1" customHeight="1" x14ac:dyDescent="0.35">
      <c r="A99" s="103"/>
      <c r="B99" s="12" t="s">
        <v>3</v>
      </c>
      <c r="C99" s="10" t="s">
        <v>275</v>
      </c>
      <c r="D99" s="152"/>
      <c r="E99" s="170"/>
      <c r="F99" s="95"/>
      <c r="G99" s="153" t="str">
        <f t="shared" si="8"/>
        <v/>
      </c>
      <c r="H99" s="10" t="s">
        <v>20</v>
      </c>
      <c r="I99" s="331">
        <v>29.95</v>
      </c>
      <c r="J99" s="12">
        <f>E99*I99</f>
        <v>0</v>
      </c>
    </row>
    <row r="100" spans="1:10" ht="14.5" hidden="1" customHeight="1" x14ac:dyDescent="0.35">
      <c r="A100" s="111"/>
      <c r="B100" s="126" t="s">
        <v>276</v>
      </c>
      <c r="C100" s="127"/>
      <c r="D100" s="226"/>
      <c r="E100" s="172"/>
      <c r="F100" s="144"/>
      <c r="G100" s="153" t="str">
        <f t="shared" si="8"/>
        <v/>
      </c>
      <c r="H100" s="127"/>
      <c r="I100" s="239"/>
      <c r="J100" s="128"/>
    </row>
    <row r="101" spans="1:10" hidden="1" x14ac:dyDescent="0.35">
      <c r="A101" s="103"/>
      <c r="B101" s="12" t="s">
        <v>3</v>
      </c>
      <c r="C101" s="10" t="s">
        <v>277</v>
      </c>
      <c r="D101" s="152"/>
      <c r="E101" s="170"/>
      <c r="F101" s="95"/>
      <c r="G101" s="153" t="str">
        <f t="shared" si="8"/>
        <v/>
      </c>
      <c r="H101" s="10" t="s">
        <v>20</v>
      </c>
      <c r="I101" s="331">
        <v>17.95</v>
      </c>
      <c r="J101" s="12">
        <f>E101*I101</f>
        <v>0</v>
      </c>
    </row>
    <row r="102" spans="1:10" hidden="1" x14ac:dyDescent="0.35">
      <c r="A102" s="103"/>
      <c r="B102" s="12" t="s">
        <v>3</v>
      </c>
      <c r="C102" s="10" t="s">
        <v>278</v>
      </c>
      <c r="D102" s="152"/>
      <c r="E102" s="170"/>
      <c r="F102" s="95"/>
      <c r="G102" s="153" t="str">
        <f t="shared" si="8"/>
        <v/>
      </c>
      <c r="H102" s="10" t="s">
        <v>20</v>
      </c>
      <c r="I102" s="331">
        <v>20.95</v>
      </c>
      <c r="J102" s="12">
        <f>E102*I102</f>
        <v>0</v>
      </c>
    </row>
    <row r="103" spans="1:10" hidden="1" x14ac:dyDescent="0.35">
      <c r="A103" s="103"/>
      <c r="B103" s="12" t="s">
        <v>3</v>
      </c>
      <c r="C103" s="10" t="s">
        <v>279</v>
      </c>
      <c r="D103" s="152"/>
      <c r="E103" s="170"/>
      <c r="F103" s="95"/>
      <c r="G103" s="153" t="str">
        <f t="shared" si="8"/>
        <v/>
      </c>
      <c r="H103" s="10" t="s">
        <v>20</v>
      </c>
      <c r="I103" s="331">
        <v>19.95</v>
      </c>
      <c r="J103" s="12">
        <f>E103*I103</f>
        <v>0</v>
      </c>
    </row>
    <row r="104" spans="1:10" hidden="1" x14ac:dyDescent="0.35">
      <c r="A104" s="103"/>
      <c r="B104" s="40" t="s">
        <v>3</v>
      </c>
      <c r="C104" s="41" t="s">
        <v>280</v>
      </c>
      <c r="D104" s="227"/>
      <c r="E104" s="170"/>
      <c r="F104" s="145"/>
      <c r="G104" s="153" t="str">
        <f t="shared" si="8"/>
        <v/>
      </c>
      <c r="H104" s="41" t="s">
        <v>20</v>
      </c>
      <c r="I104" s="334">
        <v>59.95</v>
      </c>
      <c r="J104" s="40">
        <f>E104*I104</f>
        <v>0</v>
      </c>
    </row>
    <row r="105" spans="1:10" ht="15.65" hidden="1" customHeight="1" x14ac:dyDescent="0.35">
      <c r="A105" s="111"/>
      <c r="B105" s="126" t="s">
        <v>281</v>
      </c>
      <c r="C105" s="127"/>
      <c r="D105" s="226"/>
      <c r="E105" s="172"/>
      <c r="F105" s="144"/>
      <c r="G105" s="153" t="str">
        <f t="shared" si="8"/>
        <v/>
      </c>
      <c r="H105" s="127"/>
      <c r="I105" s="239"/>
      <c r="J105" s="128"/>
    </row>
    <row r="106" spans="1:10" ht="14.5" hidden="1" customHeight="1" x14ac:dyDescent="0.35">
      <c r="A106" s="103"/>
      <c r="B106" s="12" t="s">
        <v>3</v>
      </c>
      <c r="C106" s="10" t="s">
        <v>282</v>
      </c>
      <c r="D106" s="152"/>
      <c r="E106" s="170"/>
      <c r="F106" s="95"/>
      <c r="G106" s="153" t="str">
        <f t="shared" si="8"/>
        <v/>
      </c>
      <c r="H106" s="10" t="s">
        <v>20</v>
      </c>
      <c r="I106" s="331">
        <v>54.95</v>
      </c>
      <c r="J106" s="12">
        <f>E106*I106</f>
        <v>0</v>
      </c>
    </row>
    <row r="107" spans="1:10" hidden="1" x14ac:dyDescent="0.35">
      <c r="A107" s="103"/>
      <c r="B107" s="12" t="s">
        <v>3</v>
      </c>
      <c r="C107" s="10" t="s">
        <v>283</v>
      </c>
      <c r="D107" s="152"/>
      <c r="E107" s="170"/>
      <c r="F107" s="95"/>
      <c r="G107" s="153" t="str">
        <f t="shared" si="8"/>
        <v/>
      </c>
      <c r="H107" s="10" t="s">
        <v>20</v>
      </c>
      <c r="I107" s="331">
        <v>49.95</v>
      </c>
      <c r="J107" s="12">
        <f>E107*I107</f>
        <v>0</v>
      </c>
    </row>
    <row r="108" spans="1:10" ht="14.5" hidden="1" customHeight="1" x14ac:dyDescent="0.35">
      <c r="A108" s="111"/>
      <c r="B108" s="126" t="s">
        <v>284</v>
      </c>
      <c r="C108" s="127"/>
      <c r="D108" s="226"/>
      <c r="E108" s="172"/>
      <c r="F108" s="144"/>
      <c r="G108" s="153" t="str">
        <f t="shared" si="8"/>
        <v/>
      </c>
      <c r="H108" s="127"/>
      <c r="I108" s="239"/>
      <c r="J108" s="128"/>
    </row>
    <row r="109" spans="1:10" ht="14.5" hidden="1" customHeight="1" x14ac:dyDescent="0.35">
      <c r="A109" s="103"/>
      <c r="B109" s="12" t="s">
        <v>3</v>
      </c>
      <c r="C109" s="10" t="s">
        <v>285</v>
      </c>
      <c r="D109" s="152"/>
      <c r="E109" s="170"/>
      <c r="F109" s="95"/>
      <c r="G109" s="153" t="str">
        <f t="shared" si="8"/>
        <v/>
      </c>
      <c r="H109" s="10" t="s">
        <v>20</v>
      </c>
      <c r="I109" s="331">
        <v>41.5</v>
      </c>
      <c r="J109" s="12">
        <f t="shared" ref="J109:J114" si="9">E109*I109</f>
        <v>0</v>
      </c>
    </row>
    <row r="110" spans="1:10" ht="15.65" hidden="1" customHeight="1" x14ac:dyDescent="0.35">
      <c r="A110" s="103"/>
      <c r="B110" s="12" t="s">
        <v>3</v>
      </c>
      <c r="C110" s="10" t="s">
        <v>286</v>
      </c>
      <c r="D110" s="152"/>
      <c r="E110" s="170"/>
      <c r="F110" s="95"/>
      <c r="G110" s="153" t="str">
        <f t="shared" si="8"/>
        <v/>
      </c>
      <c r="H110" s="10" t="s">
        <v>20</v>
      </c>
      <c r="I110" s="331">
        <v>36.200000000000003</v>
      </c>
      <c r="J110" s="12">
        <f t="shared" si="9"/>
        <v>0</v>
      </c>
    </row>
    <row r="111" spans="1:10" hidden="1" x14ac:dyDescent="0.35">
      <c r="A111" s="103"/>
      <c r="B111" s="12" t="s">
        <v>3</v>
      </c>
      <c r="C111" s="10" t="s">
        <v>287</v>
      </c>
      <c r="D111" s="152"/>
      <c r="E111" s="170"/>
      <c r="F111" s="95"/>
      <c r="G111" s="153" t="str">
        <f t="shared" si="8"/>
        <v/>
      </c>
      <c r="H111" s="10" t="s">
        <v>20</v>
      </c>
      <c r="I111" s="331">
        <v>25.95</v>
      </c>
      <c r="J111" s="12">
        <f t="shared" si="9"/>
        <v>0</v>
      </c>
    </row>
    <row r="112" spans="1:10" hidden="1" x14ac:dyDescent="0.35">
      <c r="A112" s="103"/>
      <c r="B112" s="12" t="s">
        <v>3</v>
      </c>
      <c r="C112" s="10" t="s">
        <v>288</v>
      </c>
      <c r="D112" s="152"/>
      <c r="E112" s="170"/>
      <c r="F112" s="95"/>
      <c r="G112" s="153" t="str">
        <f t="shared" si="8"/>
        <v/>
      </c>
      <c r="H112" s="10" t="s">
        <v>20</v>
      </c>
      <c r="I112" s="331">
        <v>32.799999999999997</v>
      </c>
      <c r="J112" s="12">
        <f t="shared" si="9"/>
        <v>0</v>
      </c>
    </row>
    <row r="113" spans="1:10" hidden="1" x14ac:dyDescent="0.35">
      <c r="A113" s="103"/>
      <c r="B113" s="12" t="s">
        <v>3</v>
      </c>
      <c r="C113" s="10" t="s">
        <v>289</v>
      </c>
      <c r="D113" s="152"/>
      <c r="E113" s="170"/>
      <c r="F113" s="95"/>
      <c r="G113" s="153" t="str">
        <f t="shared" si="8"/>
        <v/>
      </c>
      <c r="H113" s="10" t="s">
        <v>20</v>
      </c>
      <c r="I113" s="331">
        <v>29.2</v>
      </c>
      <c r="J113" s="12">
        <f t="shared" si="9"/>
        <v>0</v>
      </c>
    </row>
    <row r="114" spans="1:10" hidden="1" x14ac:dyDescent="0.35">
      <c r="A114" s="103"/>
      <c r="B114" s="12" t="s">
        <v>3</v>
      </c>
      <c r="C114" s="10" t="s">
        <v>290</v>
      </c>
      <c r="D114" s="152"/>
      <c r="E114" s="170"/>
      <c r="F114" s="95"/>
      <c r="G114" s="153" t="str">
        <f t="shared" si="8"/>
        <v/>
      </c>
      <c r="H114" s="10" t="s">
        <v>20</v>
      </c>
      <c r="I114" s="331">
        <v>22.95</v>
      </c>
      <c r="J114" s="12">
        <f t="shared" si="9"/>
        <v>0</v>
      </c>
    </row>
    <row r="115" spans="1:10" ht="15.5" hidden="1" x14ac:dyDescent="0.35">
      <c r="A115" s="111"/>
      <c r="B115" s="126" t="s">
        <v>291</v>
      </c>
      <c r="C115" s="127"/>
      <c r="D115" s="226"/>
      <c r="E115" s="172"/>
      <c r="F115" s="144"/>
      <c r="G115" s="153" t="str">
        <f t="shared" si="8"/>
        <v/>
      </c>
      <c r="H115" s="127"/>
      <c r="I115" s="239"/>
      <c r="J115" s="128"/>
    </row>
    <row r="116" spans="1:10" ht="14.5" hidden="1" customHeight="1" x14ac:dyDescent="0.35">
      <c r="A116" s="103"/>
      <c r="B116" s="12" t="s">
        <v>3</v>
      </c>
      <c r="C116" s="10" t="s">
        <v>292</v>
      </c>
      <c r="D116" s="152"/>
      <c r="E116" s="170"/>
      <c r="F116" s="95"/>
      <c r="G116" s="153" t="str">
        <f t="shared" si="8"/>
        <v/>
      </c>
      <c r="H116" s="10" t="s">
        <v>20</v>
      </c>
      <c r="I116" s="331">
        <v>17.95</v>
      </c>
      <c r="J116" s="12">
        <f t="shared" ref="J116:J121" si="10">E116*I116</f>
        <v>0</v>
      </c>
    </row>
    <row r="117" spans="1:10" ht="14.5" hidden="1" customHeight="1" x14ac:dyDescent="0.35">
      <c r="A117" s="103"/>
      <c r="B117" s="12" t="s">
        <v>3</v>
      </c>
      <c r="C117" s="10" t="s">
        <v>293</v>
      </c>
      <c r="D117" s="152"/>
      <c r="E117" s="170"/>
      <c r="F117" s="95"/>
      <c r="G117" s="153" t="str">
        <f t="shared" si="8"/>
        <v/>
      </c>
      <c r="H117" s="10" t="s">
        <v>20</v>
      </c>
      <c r="I117" s="331">
        <v>12.95</v>
      </c>
      <c r="J117" s="12">
        <f t="shared" si="10"/>
        <v>0</v>
      </c>
    </row>
    <row r="118" spans="1:10" ht="14.5" hidden="1" customHeight="1" x14ac:dyDescent="0.35">
      <c r="A118" s="103"/>
      <c r="B118" s="12" t="s">
        <v>3</v>
      </c>
      <c r="C118" s="10" t="s">
        <v>294</v>
      </c>
      <c r="D118" s="152"/>
      <c r="E118" s="170"/>
      <c r="F118" s="95"/>
      <c r="G118" s="153" t="str">
        <f t="shared" si="8"/>
        <v/>
      </c>
      <c r="H118" s="10" t="s">
        <v>20</v>
      </c>
      <c r="I118" s="331">
        <v>21.95</v>
      </c>
      <c r="J118" s="12">
        <f t="shared" si="10"/>
        <v>0</v>
      </c>
    </row>
    <row r="119" spans="1:10" ht="14.5" hidden="1" customHeight="1" x14ac:dyDescent="0.35">
      <c r="A119" s="103"/>
      <c r="B119" s="12" t="s">
        <v>3</v>
      </c>
      <c r="C119" s="10" t="s">
        <v>295</v>
      </c>
      <c r="D119" s="152"/>
      <c r="E119" s="170"/>
      <c r="F119" s="95"/>
      <c r="G119" s="153" t="str">
        <f t="shared" si="8"/>
        <v/>
      </c>
      <c r="H119" s="10" t="s">
        <v>20</v>
      </c>
      <c r="I119" s="331"/>
      <c r="J119" s="12">
        <f t="shared" si="10"/>
        <v>0</v>
      </c>
    </row>
    <row r="120" spans="1:10" ht="15.65" hidden="1" customHeight="1" x14ac:dyDescent="0.35">
      <c r="A120" s="103"/>
      <c r="B120" s="12" t="s">
        <v>3</v>
      </c>
      <c r="C120" s="10" t="s">
        <v>296</v>
      </c>
      <c r="D120" s="152"/>
      <c r="E120" s="170"/>
      <c r="F120" s="95"/>
      <c r="G120" s="153" t="str">
        <f t="shared" si="8"/>
        <v/>
      </c>
      <c r="H120" s="10" t="s">
        <v>20</v>
      </c>
      <c r="I120" s="331"/>
      <c r="J120" s="12">
        <f t="shared" si="10"/>
        <v>0</v>
      </c>
    </row>
    <row r="121" spans="1:10" ht="15.65" hidden="1" customHeight="1" x14ac:dyDescent="0.35">
      <c r="A121" s="103"/>
      <c r="B121" s="12" t="s">
        <v>3</v>
      </c>
      <c r="C121" s="10" t="s">
        <v>297</v>
      </c>
      <c r="D121" s="152"/>
      <c r="E121" s="170"/>
      <c r="F121" s="95"/>
      <c r="G121" s="153" t="str">
        <f t="shared" si="8"/>
        <v/>
      </c>
      <c r="H121" s="10" t="s">
        <v>20</v>
      </c>
      <c r="I121" s="331">
        <v>22.95</v>
      </c>
      <c r="J121" s="12">
        <f t="shared" si="10"/>
        <v>0</v>
      </c>
    </row>
    <row r="122" spans="1:10" ht="14.5" hidden="1" customHeight="1" x14ac:dyDescent="0.35">
      <c r="A122" s="112" t="s">
        <v>298</v>
      </c>
      <c r="B122" s="116"/>
      <c r="C122" s="116"/>
      <c r="D122" s="228"/>
      <c r="E122" s="173"/>
      <c r="F122" s="146"/>
      <c r="G122" s="153" t="str">
        <f t="shared" si="8"/>
        <v/>
      </c>
      <c r="H122" s="117"/>
      <c r="I122" s="106" t="s">
        <v>18</v>
      </c>
      <c r="J122" s="115">
        <f>SUM(J123:J175)</f>
        <v>298.19</v>
      </c>
    </row>
    <row r="123" spans="1:10" ht="14.5" hidden="1" customHeight="1" x14ac:dyDescent="0.35">
      <c r="A123" s="103"/>
      <c r="B123" s="20" t="s">
        <v>4</v>
      </c>
      <c r="C123" s="18" t="s">
        <v>62</v>
      </c>
      <c r="D123" s="229"/>
      <c r="E123" s="170"/>
      <c r="F123" s="147"/>
      <c r="G123" s="153" t="str">
        <f t="shared" si="8"/>
        <v/>
      </c>
      <c r="H123" s="18" t="s">
        <v>20</v>
      </c>
      <c r="I123" s="335">
        <v>7.35</v>
      </c>
      <c r="J123" s="20">
        <f>E123*I123</f>
        <v>0</v>
      </c>
    </row>
    <row r="124" spans="1:10" ht="14.5" hidden="1" customHeight="1" x14ac:dyDescent="0.35">
      <c r="A124" s="103"/>
      <c r="B124" s="20" t="s">
        <v>4</v>
      </c>
      <c r="C124" s="18" t="s">
        <v>60</v>
      </c>
      <c r="D124" s="229"/>
      <c r="E124" s="170"/>
      <c r="F124" s="147"/>
      <c r="G124" s="153" t="str">
        <f t="shared" si="8"/>
        <v/>
      </c>
      <c r="H124" s="18" t="s">
        <v>20</v>
      </c>
      <c r="I124" s="335">
        <v>10.65</v>
      </c>
      <c r="J124" s="20">
        <f>E124*I124</f>
        <v>0</v>
      </c>
    </row>
    <row r="125" spans="1:10" ht="15.65" hidden="1" customHeight="1" x14ac:dyDescent="0.35">
      <c r="A125" s="113" t="s">
        <v>40</v>
      </c>
      <c r="B125" s="124"/>
      <c r="C125" s="124"/>
      <c r="D125" s="230"/>
      <c r="E125" s="174"/>
      <c r="F125" s="148"/>
      <c r="G125" s="153" t="str">
        <f t="shared" si="8"/>
        <v/>
      </c>
      <c r="H125" s="124"/>
      <c r="I125" s="241"/>
      <c r="J125" s="125"/>
    </row>
    <row r="126" spans="1:10" ht="15.65" hidden="1" customHeight="1" x14ac:dyDescent="0.35">
      <c r="A126" s="103"/>
      <c r="B126" s="20" t="s">
        <v>4</v>
      </c>
      <c r="C126" s="18" t="s">
        <v>299</v>
      </c>
      <c r="D126" s="229"/>
      <c r="E126" s="170"/>
      <c r="F126" s="147"/>
      <c r="G126" s="153" t="str">
        <f t="shared" si="8"/>
        <v/>
      </c>
      <c r="H126" s="18" t="s">
        <v>20</v>
      </c>
      <c r="I126" s="335">
        <v>1.31</v>
      </c>
      <c r="J126" s="12">
        <f t="shared" ref="J126:J137" si="11">E126*I126</f>
        <v>0</v>
      </c>
    </row>
    <row r="127" spans="1:10" ht="14.5" hidden="1" customHeight="1" x14ac:dyDescent="0.35">
      <c r="A127" s="103"/>
      <c r="B127" s="12" t="s">
        <v>4</v>
      </c>
      <c r="C127" s="10" t="s">
        <v>300</v>
      </c>
      <c r="D127" s="152"/>
      <c r="E127" s="170"/>
      <c r="F127" s="95"/>
      <c r="G127" s="153" t="str">
        <f t="shared" si="8"/>
        <v/>
      </c>
      <c r="H127" s="10" t="s">
        <v>20</v>
      </c>
      <c r="I127" s="331">
        <v>1.31</v>
      </c>
      <c r="J127" s="12">
        <f t="shared" si="11"/>
        <v>0</v>
      </c>
    </row>
    <row r="128" spans="1:10" ht="14.5" hidden="1" customHeight="1" x14ac:dyDescent="0.35">
      <c r="A128" s="103"/>
      <c r="B128" s="20" t="s">
        <v>4</v>
      </c>
      <c r="C128" s="18" t="s">
        <v>301</v>
      </c>
      <c r="D128" s="229"/>
      <c r="E128" s="170"/>
      <c r="F128" s="147"/>
      <c r="G128" s="153" t="str">
        <f t="shared" si="8"/>
        <v/>
      </c>
      <c r="H128" s="18" t="s">
        <v>20</v>
      </c>
      <c r="I128" s="335">
        <v>1.4039999999999999</v>
      </c>
      <c r="J128" s="12">
        <f t="shared" si="11"/>
        <v>0</v>
      </c>
    </row>
    <row r="129" spans="1:10" ht="14.5" hidden="1" customHeight="1" x14ac:dyDescent="0.35">
      <c r="A129" s="103"/>
      <c r="B129" s="12" t="s">
        <v>4</v>
      </c>
      <c r="C129" s="10" t="s">
        <v>302</v>
      </c>
      <c r="D129" s="152"/>
      <c r="E129" s="170"/>
      <c r="F129" s="95"/>
      <c r="G129" s="153" t="str">
        <f t="shared" si="8"/>
        <v/>
      </c>
      <c r="H129" s="10" t="s">
        <v>20</v>
      </c>
      <c r="I129" s="331">
        <v>1.4039999999999999</v>
      </c>
      <c r="J129" s="12">
        <f t="shared" si="11"/>
        <v>0</v>
      </c>
    </row>
    <row r="130" spans="1:10" ht="14.5" hidden="1" customHeight="1" x14ac:dyDescent="0.35">
      <c r="A130" s="103"/>
      <c r="B130" s="12" t="s">
        <v>4</v>
      </c>
      <c r="C130" s="10" t="s">
        <v>303</v>
      </c>
      <c r="D130" s="152"/>
      <c r="E130" s="170"/>
      <c r="F130" s="95"/>
      <c r="G130" s="153" t="str">
        <f t="shared" si="8"/>
        <v/>
      </c>
      <c r="H130" s="10" t="s">
        <v>20</v>
      </c>
      <c r="I130" s="331">
        <v>1.53</v>
      </c>
      <c r="J130" s="12">
        <f t="shared" si="11"/>
        <v>0</v>
      </c>
    </row>
    <row r="131" spans="1:10" ht="14.5" hidden="1" customHeight="1" x14ac:dyDescent="0.35">
      <c r="A131" s="103"/>
      <c r="B131" s="12" t="s">
        <v>4</v>
      </c>
      <c r="C131" s="10" t="s">
        <v>304</v>
      </c>
      <c r="D131" s="152"/>
      <c r="E131" s="170"/>
      <c r="F131" s="95"/>
      <c r="G131" s="153" t="str">
        <f t="shared" si="8"/>
        <v/>
      </c>
      <c r="H131" s="10" t="s">
        <v>20</v>
      </c>
      <c r="I131" s="331">
        <v>1.65</v>
      </c>
      <c r="J131" s="12">
        <f t="shared" si="11"/>
        <v>0</v>
      </c>
    </row>
    <row r="132" spans="1:10" ht="14.5" hidden="1" customHeight="1" x14ac:dyDescent="0.35">
      <c r="A132" s="103"/>
      <c r="B132" s="12" t="s">
        <v>4</v>
      </c>
      <c r="C132" s="10" t="s">
        <v>83</v>
      </c>
      <c r="D132" s="152"/>
      <c r="E132" s="170"/>
      <c r="F132" s="95"/>
      <c r="G132" s="153" t="str">
        <f t="shared" si="8"/>
        <v/>
      </c>
      <c r="H132" s="10" t="s">
        <v>20</v>
      </c>
      <c r="I132" s="331">
        <v>1.04</v>
      </c>
      <c r="J132" s="12">
        <f t="shared" si="11"/>
        <v>0</v>
      </c>
    </row>
    <row r="133" spans="1:10" ht="14.5" hidden="1" customHeight="1" x14ac:dyDescent="0.35">
      <c r="A133" s="103"/>
      <c r="B133" s="12" t="s">
        <v>4</v>
      </c>
      <c r="C133" s="10" t="s">
        <v>305</v>
      </c>
      <c r="D133" s="152"/>
      <c r="E133" s="170"/>
      <c r="F133" s="95"/>
      <c r="G133" s="153" t="str">
        <f t="shared" si="8"/>
        <v/>
      </c>
      <c r="H133" s="10" t="s">
        <v>20</v>
      </c>
      <c r="I133" s="331">
        <v>1.04</v>
      </c>
      <c r="J133" s="12">
        <f t="shared" si="11"/>
        <v>0</v>
      </c>
    </row>
    <row r="134" spans="1:10" ht="14.5" hidden="1" customHeight="1" x14ac:dyDescent="0.35">
      <c r="A134" s="103"/>
      <c r="B134" s="12" t="s">
        <v>4</v>
      </c>
      <c r="C134" s="10" t="s">
        <v>306</v>
      </c>
      <c r="D134" s="152"/>
      <c r="E134" s="170"/>
      <c r="F134" s="95"/>
      <c r="G134" s="153" t="str">
        <f t="shared" si="8"/>
        <v/>
      </c>
      <c r="H134" s="10" t="s">
        <v>20</v>
      </c>
      <c r="I134" s="331">
        <v>1.06</v>
      </c>
      <c r="J134" s="12">
        <f t="shared" si="11"/>
        <v>0</v>
      </c>
    </row>
    <row r="135" spans="1:10" ht="14.5" hidden="1" customHeight="1" x14ac:dyDescent="0.35">
      <c r="A135" s="103"/>
      <c r="B135" s="12" t="s">
        <v>4</v>
      </c>
      <c r="C135" s="10" t="s">
        <v>307</v>
      </c>
      <c r="D135" s="152"/>
      <c r="E135" s="170"/>
      <c r="F135" s="95"/>
      <c r="G135" s="153" t="str">
        <f t="shared" si="8"/>
        <v/>
      </c>
      <c r="H135" s="10" t="s">
        <v>20</v>
      </c>
      <c r="I135" s="331">
        <v>1.06</v>
      </c>
      <c r="J135" s="12">
        <f t="shared" si="11"/>
        <v>0</v>
      </c>
    </row>
    <row r="136" spans="1:10" ht="14.5" hidden="1" customHeight="1" x14ac:dyDescent="0.35">
      <c r="A136" s="103"/>
      <c r="B136" s="12" t="s">
        <v>4</v>
      </c>
      <c r="C136" s="10" t="s">
        <v>308</v>
      </c>
      <c r="D136" s="152"/>
      <c r="E136" s="170"/>
      <c r="F136" s="95"/>
      <c r="G136" s="153" t="str">
        <f t="shared" si="8"/>
        <v/>
      </c>
      <c r="H136" s="10" t="s">
        <v>20</v>
      </c>
      <c r="I136" s="331">
        <v>1.2869999999999999</v>
      </c>
      <c r="J136" s="12">
        <f t="shared" si="11"/>
        <v>0</v>
      </c>
    </row>
    <row r="137" spans="1:10" ht="15.65" hidden="1" customHeight="1" x14ac:dyDescent="0.35">
      <c r="A137" s="103"/>
      <c r="B137" s="12" t="s">
        <v>4</v>
      </c>
      <c r="C137" s="10" t="s">
        <v>309</v>
      </c>
      <c r="D137" s="152"/>
      <c r="E137" s="170"/>
      <c r="F137" s="95"/>
      <c r="G137" s="153" t="str">
        <f t="shared" si="8"/>
        <v/>
      </c>
      <c r="H137" s="10" t="s">
        <v>20</v>
      </c>
      <c r="I137" s="331">
        <v>1.59</v>
      </c>
      <c r="J137" s="12">
        <f t="shared" si="11"/>
        <v>0</v>
      </c>
    </row>
    <row r="138" spans="1:10" ht="15.65" hidden="1" customHeight="1" x14ac:dyDescent="0.35">
      <c r="A138" s="113" t="s">
        <v>310</v>
      </c>
      <c r="B138" s="124"/>
      <c r="C138" s="124"/>
      <c r="D138" s="230"/>
      <c r="E138" s="174"/>
      <c r="F138" s="148"/>
      <c r="G138" s="153" t="str">
        <f t="shared" si="8"/>
        <v/>
      </c>
      <c r="H138" s="124"/>
      <c r="I138" s="241"/>
      <c r="J138" s="125"/>
    </row>
    <row r="139" spans="1:10" ht="14.5" hidden="1" customHeight="1" x14ac:dyDescent="0.35">
      <c r="A139" s="103"/>
      <c r="B139" s="12" t="s">
        <v>4</v>
      </c>
      <c r="C139" s="10" t="s">
        <v>311</v>
      </c>
      <c r="D139" s="152"/>
      <c r="E139" s="170"/>
      <c r="F139" s="95"/>
      <c r="G139" s="153" t="str">
        <f t="shared" si="8"/>
        <v/>
      </c>
      <c r="H139" s="10" t="s">
        <v>20</v>
      </c>
      <c r="I139" s="331">
        <v>1.1000000000000001</v>
      </c>
      <c r="J139" s="12">
        <f t="shared" ref="J139:J149" si="12">E139*I139</f>
        <v>0</v>
      </c>
    </row>
    <row r="140" spans="1:10" ht="14.5" hidden="1" customHeight="1" x14ac:dyDescent="0.35">
      <c r="A140" s="103"/>
      <c r="B140" s="12" t="s">
        <v>4</v>
      </c>
      <c r="C140" s="10" t="s">
        <v>312</v>
      </c>
      <c r="D140" s="152"/>
      <c r="E140" s="170"/>
      <c r="F140" s="95"/>
      <c r="G140" s="153" t="str">
        <f t="shared" si="8"/>
        <v/>
      </c>
      <c r="H140" s="10" t="s">
        <v>20</v>
      </c>
      <c r="I140" s="331">
        <v>1.1000000000000001</v>
      </c>
      <c r="J140" s="12">
        <f t="shared" si="12"/>
        <v>0</v>
      </c>
    </row>
    <row r="141" spans="1:10" ht="14.5" hidden="1" customHeight="1" x14ac:dyDescent="0.35">
      <c r="A141" s="103"/>
      <c r="B141" s="12" t="s">
        <v>4</v>
      </c>
      <c r="C141" s="10" t="s">
        <v>313</v>
      </c>
      <c r="D141" s="152"/>
      <c r="E141" s="170"/>
      <c r="F141" s="95"/>
      <c r="G141" s="153" t="str">
        <f t="shared" si="8"/>
        <v/>
      </c>
      <c r="H141" s="10" t="s">
        <v>20</v>
      </c>
      <c r="I141" s="331">
        <v>1.3</v>
      </c>
      <c r="J141" s="12">
        <f t="shared" si="12"/>
        <v>0</v>
      </c>
    </row>
    <row r="142" spans="1:10" ht="14.5" hidden="1" customHeight="1" x14ac:dyDescent="0.35">
      <c r="A142" s="103"/>
      <c r="B142" s="12" t="s">
        <v>4</v>
      </c>
      <c r="C142" s="10" t="s">
        <v>314</v>
      </c>
      <c r="D142" s="152"/>
      <c r="E142" s="170"/>
      <c r="F142" s="95"/>
      <c r="G142" s="153" t="str">
        <f t="shared" si="8"/>
        <v/>
      </c>
      <c r="H142" s="10" t="s">
        <v>20</v>
      </c>
      <c r="I142" s="331">
        <v>1.36</v>
      </c>
      <c r="J142" s="12">
        <f t="shared" si="12"/>
        <v>0</v>
      </c>
    </row>
    <row r="143" spans="1:10" ht="14.5" hidden="1" customHeight="1" x14ac:dyDescent="0.35">
      <c r="A143" s="103"/>
      <c r="B143" s="12" t="s">
        <v>4</v>
      </c>
      <c r="C143" s="10" t="s">
        <v>315</v>
      </c>
      <c r="D143" s="152"/>
      <c r="E143" s="170"/>
      <c r="F143" s="95"/>
      <c r="G143" s="153" t="str">
        <f t="shared" si="8"/>
        <v/>
      </c>
      <c r="H143" s="10" t="s">
        <v>20</v>
      </c>
      <c r="I143" s="331">
        <v>1.3</v>
      </c>
      <c r="J143" s="12">
        <f t="shared" si="12"/>
        <v>0</v>
      </c>
    </row>
    <row r="144" spans="1:10" ht="15.65" hidden="1" customHeight="1" x14ac:dyDescent="0.35">
      <c r="A144" s="103"/>
      <c r="B144" s="12" t="s">
        <v>4</v>
      </c>
      <c r="C144" s="10" t="s">
        <v>316</v>
      </c>
      <c r="D144" s="152"/>
      <c r="E144" s="170"/>
      <c r="F144" s="95"/>
      <c r="G144" s="153" t="str">
        <f t="shared" si="8"/>
        <v/>
      </c>
      <c r="H144" s="10" t="s">
        <v>20</v>
      </c>
      <c r="I144" s="331">
        <v>1.35</v>
      </c>
      <c r="J144" s="12">
        <f t="shared" si="12"/>
        <v>0</v>
      </c>
    </row>
    <row r="145" spans="1:10" ht="15.65" hidden="1" customHeight="1" x14ac:dyDescent="0.35">
      <c r="A145" s="103"/>
      <c r="B145" s="12" t="s">
        <v>4</v>
      </c>
      <c r="C145" s="10" t="s">
        <v>317</v>
      </c>
      <c r="D145" s="152"/>
      <c r="E145" s="170"/>
      <c r="F145" s="95"/>
      <c r="G145" s="153" t="str">
        <f t="shared" si="8"/>
        <v/>
      </c>
      <c r="H145" s="10" t="s">
        <v>20</v>
      </c>
      <c r="I145" s="331">
        <v>1.28</v>
      </c>
      <c r="J145" s="12">
        <f t="shared" si="12"/>
        <v>0</v>
      </c>
    </row>
    <row r="146" spans="1:10" ht="14.5" hidden="1" customHeight="1" x14ac:dyDescent="0.35">
      <c r="A146" s="103"/>
      <c r="B146" s="12" t="s">
        <v>4</v>
      </c>
      <c r="C146" s="10" t="s">
        <v>318</v>
      </c>
      <c r="D146" s="152"/>
      <c r="E146" s="170"/>
      <c r="F146" s="95"/>
      <c r="G146" s="153" t="str">
        <f t="shared" si="8"/>
        <v/>
      </c>
      <c r="H146" s="10" t="s">
        <v>20</v>
      </c>
      <c r="I146" s="331">
        <v>1.1000000000000001</v>
      </c>
      <c r="J146" s="12">
        <f t="shared" si="12"/>
        <v>0</v>
      </c>
    </row>
    <row r="147" spans="1:10" ht="14.5" hidden="1" customHeight="1" x14ac:dyDescent="0.35">
      <c r="A147" s="103"/>
      <c r="B147" s="12" t="s">
        <v>4</v>
      </c>
      <c r="C147" s="10" t="s">
        <v>319</v>
      </c>
      <c r="D147" s="152"/>
      <c r="E147" s="170"/>
      <c r="F147" s="95"/>
      <c r="G147" s="153" t="str">
        <f t="shared" si="8"/>
        <v/>
      </c>
      <c r="H147" s="10" t="s">
        <v>20</v>
      </c>
      <c r="I147" s="331">
        <v>1.1000000000000001</v>
      </c>
      <c r="J147" s="12">
        <f t="shared" si="12"/>
        <v>0</v>
      </c>
    </row>
    <row r="148" spans="1:10" ht="14.5" hidden="1" customHeight="1" x14ac:dyDescent="0.35">
      <c r="A148" s="103"/>
      <c r="B148" s="12" t="s">
        <v>4</v>
      </c>
      <c r="C148" s="10" t="s">
        <v>320</v>
      </c>
      <c r="D148" s="152"/>
      <c r="E148" s="170"/>
      <c r="F148" s="95"/>
      <c r="G148" s="153" t="str">
        <f t="shared" si="8"/>
        <v/>
      </c>
      <c r="H148" s="10" t="s">
        <v>20</v>
      </c>
      <c r="I148" s="331">
        <v>1.1000000000000001</v>
      </c>
      <c r="J148" s="12">
        <f t="shared" si="12"/>
        <v>0</v>
      </c>
    </row>
    <row r="149" spans="1:10" ht="14.5" hidden="1" customHeight="1" x14ac:dyDescent="0.35">
      <c r="A149" s="103"/>
      <c r="B149" s="12" t="s">
        <v>4</v>
      </c>
      <c r="C149" s="10" t="s">
        <v>321</v>
      </c>
      <c r="D149" s="152"/>
      <c r="E149" s="170"/>
      <c r="F149" s="95"/>
      <c r="G149" s="153" t="str">
        <f t="shared" si="8"/>
        <v/>
      </c>
      <c r="H149" s="10" t="s">
        <v>20</v>
      </c>
      <c r="I149" s="331">
        <v>1.1000000000000001</v>
      </c>
      <c r="J149" s="12">
        <f t="shared" si="12"/>
        <v>0</v>
      </c>
    </row>
    <row r="150" spans="1:10" ht="14.5" customHeight="1" x14ac:dyDescent="0.35">
      <c r="A150" s="113" t="s">
        <v>41</v>
      </c>
      <c r="B150" s="124"/>
      <c r="C150" s="124"/>
      <c r="D150" s="230"/>
      <c r="E150" s="174"/>
      <c r="F150" s="148"/>
      <c r="G150" s="165" t="str">
        <f t="shared" si="8"/>
        <v/>
      </c>
      <c r="H150" s="124"/>
      <c r="I150" s="241"/>
      <c r="J150" s="125"/>
    </row>
    <row r="151" spans="1:10" ht="14.5" customHeight="1" x14ac:dyDescent="0.35">
      <c r="A151" s="103"/>
      <c r="B151" s="12" t="s">
        <v>4</v>
      </c>
      <c r="C151" s="10" t="s">
        <v>24</v>
      </c>
      <c r="D151" s="152">
        <v>20</v>
      </c>
      <c r="E151" s="170">
        <v>18</v>
      </c>
      <c r="F151" s="95"/>
      <c r="G151" s="153">
        <f t="shared" si="8"/>
        <v>2</v>
      </c>
      <c r="H151" s="10" t="s">
        <v>20</v>
      </c>
      <c r="I151" s="331">
        <v>3.04</v>
      </c>
      <c r="J151" s="12">
        <f t="shared" ref="J151:J164" si="13">E151*I151</f>
        <v>54.72</v>
      </c>
    </row>
    <row r="152" spans="1:10" ht="15.65" customHeight="1" x14ac:dyDescent="0.35">
      <c r="A152" s="103"/>
      <c r="B152" s="12" t="s">
        <v>4</v>
      </c>
      <c r="C152" s="10" t="s">
        <v>80</v>
      </c>
      <c r="D152" s="152">
        <v>40</v>
      </c>
      <c r="E152" s="170">
        <v>20</v>
      </c>
      <c r="F152" s="95"/>
      <c r="G152" s="153">
        <f t="shared" si="8"/>
        <v>20</v>
      </c>
      <c r="H152" s="10" t="s">
        <v>20</v>
      </c>
      <c r="I152" s="331">
        <v>2.31</v>
      </c>
      <c r="J152" s="12">
        <f t="shared" si="13"/>
        <v>46.2</v>
      </c>
    </row>
    <row r="153" spans="1:10" ht="15.65" customHeight="1" x14ac:dyDescent="0.35">
      <c r="A153" s="103"/>
      <c r="B153" s="12" t="s">
        <v>4</v>
      </c>
      <c r="C153" s="10" t="s">
        <v>84</v>
      </c>
      <c r="D153" s="152">
        <v>20</v>
      </c>
      <c r="E153" s="170">
        <v>15</v>
      </c>
      <c r="F153" s="95"/>
      <c r="G153" s="153">
        <f t="shared" ref="G153:G223" si="14">IF(E153="","",IF(D153-E153&gt;0,D153-E153,""))</f>
        <v>5</v>
      </c>
      <c r="H153" s="10" t="s">
        <v>20</v>
      </c>
      <c r="I153" s="331">
        <v>2.31</v>
      </c>
      <c r="J153" s="12">
        <f t="shared" si="13"/>
        <v>34.65</v>
      </c>
    </row>
    <row r="154" spans="1:10" ht="14.5" hidden="1" customHeight="1" x14ac:dyDescent="0.35">
      <c r="A154" s="103"/>
      <c r="B154" s="12" t="s">
        <v>4</v>
      </c>
      <c r="C154" s="10" t="s">
        <v>394</v>
      </c>
      <c r="D154" s="152"/>
      <c r="E154" s="170"/>
      <c r="F154" s="95"/>
      <c r="G154" s="153" t="str">
        <f t="shared" si="14"/>
        <v/>
      </c>
      <c r="H154" s="10" t="s">
        <v>20</v>
      </c>
      <c r="I154" s="331">
        <v>2.54</v>
      </c>
      <c r="J154" s="12">
        <f t="shared" si="13"/>
        <v>0</v>
      </c>
    </row>
    <row r="155" spans="1:10" ht="14.5" hidden="1" customHeight="1" x14ac:dyDescent="0.35">
      <c r="A155" s="103"/>
      <c r="B155" s="12" t="s">
        <v>4</v>
      </c>
      <c r="C155" s="10" t="s">
        <v>394</v>
      </c>
      <c r="D155" s="152"/>
      <c r="E155" s="170"/>
      <c r="F155" s="95"/>
      <c r="G155" s="153" t="str">
        <f t="shared" si="14"/>
        <v/>
      </c>
      <c r="H155" s="10" t="s">
        <v>20</v>
      </c>
      <c r="I155" s="331">
        <v>2.54</v>
      </c>
      <c r="J155" s="12">
        <f t="shared" si="13"/>
        <v>0</v>
      </c>
    </row>
    <row r="156" spans="1:10" ht="14.5" customHeight="1" x14ac:dyDescent="0.35">
      <c r="A156" s="103"/>
      <c r="B156" s="12" t="s">
        <v>4</v>
      </c>
      <c r="C156" s="10" t="s">
        <v>25</v>
      </c>
      <c r="D156" s="152">
        <v>20</v>
      </c>
      <c r="E156" s="170">
        <v>18</v>
      </c>
      <c r="F156" s="95"/>
      <c r="G156" s="153">
        <f t="shared" si="14"/>
        <v>2</v>
      </c>
      <c r="H156" s="10" t="s">
        <v>20</v>
      </c>
      <c r="I156" s="331">
        <v>1.79</v>
      </c>
      <c r="J156" s="12">
        <f t="shared" si="13"/>
        <v>32.22</v>
      </c>
    </row>
    <row r="157" spans="1:10" ht="15.65" hidden="1" customHeight="1" x14ac:dyDescent="0.35">
      <c r="A157" s="103"/>
      <c r="B157" s="12" t="s">
        <v>4</v>
      </c>
      <c r="C157" s="10" t="s">
        <v>322</v>
      </c>
      <c r="D157" s="152"/>
      <c r="E157" s="170"/>
      <c r="F157" s="95"/>
      <c r="G157" s="153" t="str">
        <f t="shared" si="14"/>
        <v/>
      </c>
      <c r="H157" s="10" t="s">
        <v>20</v>
      </c>
      <c r="I157" s="331">
        <v>2.46</v>
      </c>
      <c r="J157" s="12">
        <f t="shared" si="13"/>
        <v>0</v>
      </c>
    </row>
    <row r="158" spans="1:10" ht="15.65" customHeight="1" x14ac:dyDescent="0.35">
      <c r="A158" s="103"/>
      <c r="B158" s="12" t="s">
        <v>4</v>
      </c>
      <c r="C158" s="10" t="s">
        <v>393</v>
      </c>
      <c r="D158" s="152">
        <v>40</v>
      </c>
      <c r="E158" s="170">
        <v>26</v>
      </c>
      <c r="F158" s="95"/>
      <c r="G158" s="153">
        <f t="shared" si="14"/>
        <v>14</v>
      </c>
      <c r="H158" s="10" t="s">
        <v>20</v>
      </c>
      <c r="I158" s="331">
        <v>2.46</v>
      </c>
      <c r="J158" s="12">
        <f t="shared" si="13"/>
        <v>63.96</v>
      </c>
    </row>
    <row r="159" spans="1:10" ht="14.5" hidden="1" customHeight="1" x14ac:dyDescent="0.35">
      <c r="A159" s="103"/>
      <c r="B159" s="12" t="s">
        <v>4</v>
      </c>
      <c r="C159" s="10" t="s">
        <v>43</v>
      </c>
      <c r="D159" s="152"/>
      <c r="E159" s="170"/>
      <c r="F159" s="95"/>
      <c r="G159" s="153" t="str">
        <f t="shared" si="14"/>
        <v/>
      </c>
      <c r="H159" s="10" t="s">
        <v>20</v>
      </c>
      <c r="I159" s="331">
        <v>2.5499999999999998</v>
      </c>
      <c r="J159" s="12">
        <f t="shared" si="13"/>
        <v>0</v>
      </c>
    </row>
    <row r="160" spans="1:10" ht="14.5" customHeight="1" x14ac:dyDescent="0.35">
      <c r="A160" s="103"/>
      <c r="B160" s="12" t="s">
        <v>4</v>
      </c>
      <c r="C160" s="10" t="s">
        <v>81</v>
      </c>
      <c r="D160" s="152">
        <v>40</v>
      </c>
      <c r="E160" s="170">
        <v>4</v>
      </c>
      <c r="F160" s="95"/>
      <c r="G160" s="153">
        <f t="shared" si="14"/>
        <v>36</v>
      </c>
      <c r="H160" s="10" t="s">
        <v>20</v>
      </c>
      <c r="I160" s="331">
        <v>1.51</v>
      </c>
      <c r="J160" s="12">
        <f t="shared" si="13"/>
        <v>6.04</v>
      </c>
    </row>
    <row r="161" spans="1:10" ht="15.65" customHeight="1" x14ac:dyDescent="0.35">
      <c r="A161" s="103"/>
      <c r="B161" s="12" t="s">
        <v>4</v>
      </c>
      <c r="C161" s="10" t="s">
        <v>82</v>
      </c>
      <c r="D161" s="152">
        <v>40</v>
      </c>
      <c r="E161" s="170">
        <v>40</v>
      </c>
      <c r="F161" s="95"/>
      <c r="G161" s="153" t="str">
        <f t="shared" si="14"/>
        <v/>
      </c>
      <c r="H161" s="10" t="s">
        <v>20</v>
      </c>
      <c r="I161" s="331">
        <v>1.51</v>
      </c>
      <c r="J161" s="12">
        <f t="shared" si="13"/>
        <v>60.4</v>
      </c>
    </row>
    <row r="162" spans="1:10" ht="15.65" hidden="1" customHeight="1" x14ac:dyDescent="0.35">
      <c r="A162" s="103"/>
      <c r="B162" s="12" t="s">
        <v>4</v>
      </c>
      <c r="C162" s="10" t="s">
        <v>323</v>
      </c>
      <c r="D162" s="152"/>
      <c r="E162" s="170"/>
      <c r="F162" s="95"/>
      <c r="G162" s="153" t="str">
        <f t="shared" si="14"/>
        <v/>
      </c>
      <c r="H162" s="10" t="s">
        <v>20</v>
      </c>
      <c r="I162" s="331">
        <v>1.54</v>
      </c>
      <c r="J162" s="12">
        <f t="shared" si="13"/>
        <v>0</v>
      </c>
    </row>
    <row r="163" spans="1:10" ht="14.5" hidden="1" customHeight="1" x14ac:dyDescent="0.35">
      <c r="A163" s="103"/>
      <c r="B163" s="12" t="s">
        <v>4</v>
      </c>
      <c r="C163" s="10" t="s">
        <v>324</v>
      </c>
      <c r="D163" s="152"/>
      <c r="E163" s="170"/>
      <c r="F163" s="95"/>
      <c r="G163" s="153" t="str">
        <f t="shared" si="14"/>
        <v/>
      </c>
      <c r="H163" s="10" t="s">
        <v>20</v>
      </c>
      <c r="I163" s="331">
        <v>1.6</v>
      </c>
      <c r="J163" s="12">
        <f t="shared" si="13"/>
        <v>0</v>
      </c>
    </row>
    <row r="164" spans="1:10" ht="14.5" customHeight="1" x14ac:dyDescent="0.35">
      <c r="A164" s="103"/>
      <c r="B164" s="12" t="s">
        <v>4</v>
      </c>
      <c r="C164" s="78" t="s">
        <v>325</v>
      </c>
      <c r="D164" s="224"/>
      <c r="E164" s="170"/>
      <c r="F164" s="142"/>
      <c r="G164" s="153" t="str">
        <f t="shared" si="14"/>
        <v/>
      </c>
      <c r="H164" s="10" t="s">
        <v>20</v>
      </c>
      <c r="I164" s="333">
        <v>49.95</v>
      </c>
      <c r="J164" s="12">
        <f t="shared" si="13"/>
        <v>0</v>
      </c>
    </row>
    <row r="165" spans="1:10" ht="14.5" customHeight="1" x14ac:dyDescent="0.35">
      <c r="A165" s="113" t="s">
        <v>44</v>
      </c>
      <c r="B165" s="124"/>
      <c r="C165" s="124"/>
      <c r="D165" s="230"/>
      <c r="E165" s="174"/>
      <c r="F165" s="148"/>
      <c r="G165" s="165" t="str">
        <f t="shared" si="14"/>
        <v/>
      </c>
      <c r="H165" s="124"/>
      <c r="I165" s="241"/>
      <c r="J165" s="125"/>
    </row>
    <row r="166" spans="1:10" ht="14.5" customHeight="1" x14ac:dyDescent="0.35">
      <c r="A166" s="103"/>
      <c r="B166" s="12" t="s">
        <v>4</v>
      </c>
      <c r="C166" s="10" t="s">
        <v>48</v>
      </c>
      <c r="D166" s="152"/>
      <c r="E166" s="170"/>
      <c r="F166" s="95"/>
      <c r="G166" s="153" t="str">
        <f t="shared" si="14"/>
        <v/>
      </c>
      <c r="H166" s="10" t="s">
        <v>20</v>
      </c>
      <c r="I166" s="331">
        <v>1.94</v>
      </c>
      <c r="J166" s="12">
        <f t="shared" ref="J166:J175" si="15">E166*I166</f>
        <v>0</v>
      </c>
    </row>
    <row r="167" spans="1:10" ht="14.5" customHeight="1" x14ac:dyDescent="0.35">
      <c r="A167" s="103"/>
      <c r="B167" s="12" t="s">
        <v>4</v>
      </c>
      <c r="C167" s="10" t="s">
        <v>49</v>
      </c>
      <c r="D167" s="152"/>
      <c r="E167" s="170"/>
      <c r="F167" s="95"/>
      <c r="G167" s="153" t="str">
        <f t="shared" si="14"/>
        <v/>
      </c>
      <c r="H167" s="10" t="s">
        <v>20</v>
      </c>
      <c r="I167" s="331">
        <v>1.94</v>
      </c>
      <c r="J167" s="12">
        <f t="shared" si="15"/>
        <v>0</v>
      </c>
    </row>
    <row r="168" spans="1:10" ht="14.5" customHeight="1" x14ac:dyDescent="0.35">
      <c r="A168" s="103"/>
      <c r="B168" s="12" t="s">
        <v>4</v>
      </c>
      <c r="C168" s="10" t="s">
        <v>50</v>
      </c>
      <c r="D168" s="152"/>
      <c r="E168" s="170"/>
      <c r="F168" s="95"/>
      <c r="G168" s="153" t="str">
        <f t="shared" si="14"/>
        <v/>
      </c>
      <c r="H168" s="10" t="s">
        <v>20</v>
      </c>
      <c r="I168" s="331">
        <v>1.94</v>
      </c>
      <c r="J168" s="12">
        <f t="shared" si="15"/>
        <v>0</v>
      </c>
    </row>
    <row r="169" spans="1:10" ht="14.5" hidden="1" customHeight="1" x14ac:dyDescent="0.35">
      <c r="A169" s="103"/>
      <c r="B169" s="12" t="s">
        <v>4</v>
      </c>
      <c r="C169" s="10" t="s">
        <v>415</v>
      </c>
      <c r="D169" s="152"/>
      <c r="E169" s="170"/>
      <c r="F169" s="95"/>
      <c r="G169" s="153" t="str">
        <f t="shared" si="14"/>
        <v/>
      </c>
      <c r="H169" s="10" t="s">
        <v>20</v>
      </c>
      <c r="I169" s="331">
        <v>1.98</v>
      </c>
      <c r="J169" s="12">
        <f t="shared" si="15"/>
        <v>0</v>
      </c>
    </row>
    <row r="170" spans="1:10" ht="14.5" hidden="1" customHeight="1" x14ac:dyDescent="0.35">
      <c r="A170" s="103"/>
      <c r="B170" s="12" t="s">
        <v>4</v>
      </c>
      <c r="C170" s="10" t="s">
        <v>414</v>
      </c>
      <c r="D170" s="152"/>
      <c r="E170" s="170"/>
      <c r="F170" s="95"/>
      <c r="G170" s="153" t="str">
        <f t="shared" si="14"/>
        <v/>
      </c>
      <c r="H170" s="10" t="s">
        <v>20</v>
      </c>
      <c r="I170" s="331">
        <v>1.98</v>
      </c>
      <c r="J170" s="12">
        <f t="shared" si="15"/>
        <v>0</v>
      </c>
    </row>
    <row r="171" spans="1:10" ht="14.5" hidden="1" customHeight="1" x14ac:dyDescent="0.35">
      <c r="A171" s="103"/>
      <c r="B171" s="12" t="s">
        <v>4</v>
      </c>
      <c r="C171" s="10" t="s">
        <v>328</v>
      </c>
      <c r="D171" s="152"/>
      <c r="E171" s="170"/>
      <c r="F171" s="95"/>
      <c r="G171" s="153" t="str">
        <f t="shared" si="14"/>
        <v/>
      </c>
      <c r="H171" s="10" t="s">
        <v>20</v>
      </c>
      <c r="I171" s="331">
        <v>1.98</v>
      </c>
      <c r="J171" s="12">
        <f t="shared" si="15"/>
        <v>0</v>
      </c>
    </row>
    <row r="172" spans="1:10" ht="14.5" hidden="1" customHeight="1" x14ac:dyDescent="0.35">
      <c r="A172" s="103"/>
      <c r="B172" s="12" t="s">
        <v>4</v>
      </c>
      <c r="C172" s="10" t="s">
        <v>329</v>
      </c>
      <c r="D172" s="152"/>
      <c r="E172" s="170"/>
      <c r="F172" s="95"/>
      <c r="G172" s="153" t="str">
        <f t="shared" si="14"/>
        <v/>
      </c>
      <c r="H172" s="10" t="s">
        <v>20</v>
      </c>
      <c r="I172" s="331">
        <v>1.98</v>
      </c>
      <c r="J172" s="12">
        <f t="shared" si="15"/>
        <v>0</v>
      </c>
    </row>
    <row r="173" spans="1:10" ht="14.5" hidden="1" customHeight="1" x14ac:dyDescent="0.35">
      <c r="A173" s="103"/>
      <c r="B173" s="40" t="s">
        <v>4</v>
      </c>
      <c r="C173" s="41" t="s">
        <v>330</v>
      </c>
      <c r="D173" s="227"/>
      <c r="E173" s="170"/>
      <c r="F173" s="145"/>
      <c r="G173" s="153" t="str">
        <f t="shared" si="14"/>
        <v/>
      </c>
      <c r="H173" s="10" t="s">
        <v>20</v>
      </c>
      <c r="I173" s="331">
        <v>1.98</v>
      </c>
      <c r="J173" s="12">
        <f t="shared" si="15"/>
        <v>0</v>
      </c>
    </row>
    <row r="174" spans="1:10" ht="14.5" hidden="1" customHeight="1" x14ac:dyDescent="0.35">
      <c r="A174" s="103"/>
      <c r="B174" s="40" t="s">
        <v>4</v>
      </c>
      <c r="C174" s="41" t="s">
        <v>331</v>
      </c>
      <c r="D174" s="227"/>
      <c r="E174" s="170"/>
      <c r="F174" s="145"/>
      <c r="G174" s="153" t="str">
        <f t="shared" si="14"/>
        <v/>
      </c>
      <c r="H174" s="10" t="s">
        <v>20</v>
      </c>
      <c r="I174" s="331">
        <v>1.98</v>
      </c>
      <c r="J174" s="12">
        <f t="shared" si="15"/>
        <v>0</v>
      </c>
    </row>
    <row r="175" spans="1:10" ht="14.5" hidden="1" customHeight="1" x14ac:dyDescent="0.35">
      <c r="A175" s="103"/>
      <c r="B175" s="40" t="s">
        <v>4</v>
      </c>
      <c r="C175" s="41" t="s">
        <v>413</v>
      </c>
      <c r="D175" s="227"/>
      <c r="E175" s="170"/>
      <c r="F175" s="145"/>
      <c r="G175" s="153" t="str">
        <f t="shared" si="14"/>
        <v/>
      </c>
      <c r="H175" s="41" t="s">
        <v>20</v>
      </c>
      <c r="I175" s="334">
        <v>1.98</v>
      </c>
      <c r="J175" s="12">
        <f t="shared" si="15"/>
        <v>0</v>
      </c>
    </row>
    <row r="176" spans="1:10" ht="14.5" hidden="1" customHeight="1" x14ac:dyDescent="0.35">
      <c r="A176" s="114" t="s">
        <v>333</v>
      </c>
      <c r="B176" s="120"/>
      <c r="C176" s="120"/>
      <c r="D176" s="228"/>
      <c r="E176" s="175"/>
      <c r="F176" s="149"/>
      <c r="G176" s="153" t="str">
        <f t="shared" si="14"/>
        <v/>
      </c>
      <c r="H176" s="121"/>
      <c r="I176" s="122" t="s">
        <v>18</v>
      </c>
      <c r="J176" s="123">
        <f>SUM(J177:J186)</f>
        <v>0</v>
      </c>
    </row>
    <row r="177" spans="1:10" ht="15.65" hidden="1" customHeight="1" x14ac:dyDescent="0.35">
      <c r="A177" s="103"/>
      <c r="B177" s="12" t="s">
        <v>26</v>
      </c>
      <c r="C177" s="10" t="s">
        <v>334</v>
      </c>
      <c r="D177" s="152"/>
      <c r="E177" s="170"/>
      <c r="F177" s="95"/>
      <c r="G177" s="153" t="str">
        <f t="shared" si="14"/>
        <v/>
      </c>
      <c r="H177" s="10" t="s">
        <v>335</v>
      </c>
      <c r="I177" s="331">
        <v>20</v>
      </c>
      <c r="J177" s="12">
        <f t="shared" ref="J177:J186" si="16">E177*I177</f>
        <v>0</v>
      </c>
    </row>
    <row r="178" spans="1:10" hidden="1" x14ac:dyDescent="0.35">
      <c r="A178" s="103"/>
      <c r="B178" s="20" t="s">
        <v>26</v>
      </c>
      <c r="C178" s="18" t="s">
        <v>53</v>
      </c>
      <c r="D178" s="229"/>
      <c r="E178" s="170"/>
      <c r="F178" s="147"/>
      <c r="G178" s="153" t="str">
        <f t="shared" si="14"/>
        <v/>
      </c>
      <c r="H178" s="18" t="s">
        <v>20</v>
      </c>
      <c r="I178" s="335">
        <v>0.43</v>
      </c>
      <c r="J178" s="20">
        <f t="shared" si="16"/>
        <v>0</v>
      </c>
    </row>
    <row r="179" spans="1:10" hidden="1" x14ac:dyDescent="0.35">
      <c r="A179" s="103"/>
      <c r="B179" s="20" t="s">
        <v>26</v>
      </c>
      <c r="C179" s="18" t="s">
        <v>336</v>
      </c>
      <c r="D179" s="229"/>
      <c r="E179" s="170"/>
      <c r="F179" s="147"/>
      <c r="G179" s="153" t="str">
        <f t="shared" si="14"/>
        <v/>
      </c>
      <c r="H179" s="18" t="s">
        <v>20</v>
      </c>
      <c r="I179" s="335">
        <v>0.43</v>
      </c>
      <c r="J179" s="20">
        <f t="shared" si="16"/>
        <v>0</v>
      </c>
    </row>
    <row r="180" spans="1:10" hidden="1" x14ac:dyDescent="0.35">
      <c r="A180" s="103"/>
      <c r="B180" s="12" t="s">
        <v>26</v>
      </c>
      <c r="C180" s="10" t="s">
        <v>337</v>
      </c>
      <c r="D180" s="152"/>
      <c r="E180" s="170"/>
      <c r="F180" s="95"/>
      <c r="G180" s="153" t="str">
        <f t="shared" si="14"/>
        <v/>
      </c>
      <c r="H180" s="10" t="s">
        <v>20</v>
      </c>
      <c r="I180" s="331">
        <v>0.43</v>
      </c>
      <c r="J180" s="12">
        <f t="shared" si="16"/>
        <v>0</v>
      </c>
    </row>
    <row r="181" spans="1:10" hidden="1" x14ac:dyDescent="0.35">
      <c r="A181" s="103"/>
      <c r="B181" s="12" t="s">
        <v>26</v>
      </c>
      <c r="C181" s="10" t="s">
        <v>51</v>
      </c>
      <c r="D181" s="152"/>
      <c r="E181" s="170"/>
      <c r="F181" s="95"/>
      <c r="G181" s="153" t="str">
        <f t="shared" si="14"/>
        <v/>
      </c>
      <c r="H181" s="10" t="s">
        <v>61</v>
      </c>
      <c r="I181" s="331">
        <v>14</v>
      </c>
      <c r="J181" s="12">
        <f t="shared" si="16"/>
        <v>0</v>
      </c>
    </row>
    <row r="182" spans="1:10" hidden="1" x14ac:dyDescent="0.35">
      <c r="A182" s="103"/>
      <c r="B182" s="12" t="s">
        <v>26</v>
      </c>
      <c r="C182" s="10" t="s">
        <v>338</v>
      </c>
      <c r="D182" s="152"/>
      <c r="E182" s="170"/>
      <c r="F182" s="95"/>
      <c r="G182" s="153" t="str">
        <f t="shared" si="14"/>
        <v/>
      </c>
      <c r="H182" s="10" t="s">
        <v>61</v>
      </c>
      <c r="I182" s="331">
        <v>14.78</v>
      </c>
      <c r="J182" s="12">
        <f t="shared" si="16"/>
        <v>0</v>
      </c>
    </row>
    <row r="183" spans="1:10" hidden="1" x14ac:dyDescent="0.35">
      <c r="A183" s="103"/>
      <c r="B183" s="12" t="s">
        <v>26</v>
      </c>
      <c r="C183" s="10" t="s">
        <v>339</v>
      </c>
      <c r="D183" s="152"/>
      <c r="E183" s="170"/>
      <c r="F183" s="95"/>
      <c r="G183" s="153" t="str">
        <f t="shared" si="14"/>
        <v/>
      </c>
      <c r="H183" s="10" t="s">
        <v>61</v>
      </c>
      <c r="I183" s="331">
        <v>14.78</v>
      </c>
      <c r="J183" s="12">
        <f t="shared" si="16"/>
        <v>0</v>
      </c>
    </row>
    <row r="184" spans="1:10" ht="14.5" hidden="1" customHeight="1" x14ac:dyDescent="0.35">
      <c r="A184" s="103"/>
      <c r="B184" s="12" t="s">
        <v>26</v>
      </c>
      <c r="C184" s="10" t="s">
        <v>340</v>
      </c>
      <c r="D184" s="152"/>
      <c r="E184" s="170"/>
      <c r="F184" s="95"/>
      <c r="G184" s="153" t="str">
        <f t="shared" si="14"/>
        <v/>
      </c>
      <c r="H184" s="10" t="s">
        <v>61</v>
      </c>
      <c r="I184" s="331">
        <v>14.78</v>
      </c>
      <c r="J184" s="12">
        <f t="shared" si="16"/>
        <v>0</v>
      </c>
    </row>
    <row r="185" spans="1:10" hidden="1" x14ac:dyDescent="0.35">
      <c r="A185" s="103"/>
      <c r="B185" s="12" t="s">
        <v>26</v>
      </c>
      <c r="C185" s="10" t="s">
        <v>341</v>
      </c>
      <c r="D185" s="152"/>
      <c r="E185" s="170"/>
      <c r="F185" s="95"/>
      <c r="G185" s="153" t="str">
        <f t="shared" si="14"/>
        <v/>
      </c>
      <c r="H185" s="10" t="s">
        <v>61</v>
      </c>
      <c r="I185" s="331">
        <v>14.78</v>
      </c>
      <c r="J185" s="12">
        <f t="shared" si="16"/>
        <v>0</v>
      </c>
    </row>
    <row r="186" spans="1:10" ht="14.5" hidden="1" customHeight="1" x14ac:dyDescent="0.35">
      <c r="A186" s="103"/>
      <c r="B186" s="12" t="s">
        <v>26</v>
      </c>
      <c r="C186" s="10" t="s">
        <v>342</v>
      </c>
      <c r="D186" s="152"/>
      <c r="E186" s="170"/>
      <c r="F186" s="95"/>
      <c r="G186" s="153" t="str">
        <f t="shared" si="14"/>
        <v/>
      </c>
      <c r="H186" s="10" t="s">
        <v>61</v>
      </c>
      <c r="I186" s="331">
        <v>14.78</v>
      </c>
      <c r="J186" s="10">
        <f t="shared" si="16"/>
        <v>0</v>
      </c>
    </row>
    <row r="187" spans="1:10" ht="15.5" x14ac:dyDescent="0.35">
      <c r="A187" s="108" t="s">
        <v>343</v>
      </c>
      <c r="B187" s="108"/>
      <c r="C187" s="108"/>
      <c r="D187" s="223"/>
      <c r="E187" s="169"/>
      <c r="F187" s="109"/>
      <c r="G187" s="165" t="str">
        <f t="shared" si="14"/>
        <v/>
      </c>
      <c r="H187" s="108"/>
      <c r="I187" s="106" t="s">
        <v>18</v>
      </c>
      <c r="J187" s="107">
        <f>SUM(J188:J192)</f>
        <v>0</v>
      </c>
    </row>
    <row r="188" spans="1:10" ht="14.5" hidden="1" customHeight="1" x14ac:dyDescent="0.35">
      <c r="A188" s="103"/>
      <c r="B188" s="7" t="s">
        <v>6</v>
      </c>
      <c r="C188" s="14" t="s">
        <v>344</v>
      </c>
      <c r="D188" s="152"/>
      <c r="E188" s="170"/>
      <c r="F188" s="95"/>
      <c r="G188" s="153" t="str">
        <f t="shared" si="14"/>
        <v/>
      </c>
      <c r="H188" s="14" t="s">
        <v>20</v>
      </c>
      <c r="I188" s="336">
        <v>0.79</v>
      </c>
      <c r="J188" s="7">
        <f>E188*I188</f>
        <v>0</v>
      </c>
    </row>
    <row r="189" spans="1:10" ht="15.65" customHeight="1" x14ac:dyDescent="0.35">
      <c r="A189" s="103"/>
      <c r="B189" s="7" t="s">
        <v>6</v>
      </c>
      <c r="C189" s="14" t="s">
        <v>345</v>
      </c>
      <c r="D189" s="152">
        <v>10</v>
      </c>
      <c r="E189" s="170"/>
      <c r="F189" s="95"/>
      <c r="G189" s="153" t="str">
        <f t="shared" si="14"/>
        <v/>
      </c>
      <c r="H189" s="14" t="s">
        <v>20</v>
      </c>
      <c r="I189" s="336">
        <v>2.76</v>
      </c>
      <c r="J189" s="7">
        <f>E189*I189</f>
        <v>0</v>
      </c>
    </row>
    <row r="190" spans="1:10" ht="14.5" customHeight="1" x14ac:dyDescent="0.35">
      <c r="A190" s="103"/>
      <c r="B190" s="7" t="s">
        <v>6</v>
      </c>
      <c r="C190" s="14" t="s">
        <v>346</v>
      </c>
      <c r="D190" s="152"/>
      <c r="E190" s="170"/>
      <c r="F190" s="95"/>
      <c r="G190" s="153" t="str">
        <f t="shared" si="14"/>
        <v/>
      </c>
      <c r="H190" s="14" t="s">
        <v>20</v>
      </c>
      <c r="I190" s="336">
        <v>1</v>
      </c>
      <c r="J190" s="7">
        <f>E190*I190</f>
        <v>0</v>
      </c>
    </row>
    <row r="191" spans="1:10" x14ac:dyDescent="0.35">
      <c r="A191" s="103"/>
      <c r="B191" s="7" t="s">
        <v>6</v>
      </c>
      <c r="C191" s="14" t="s">
        <v>34</v>
      </c>
      <c r="D191" s="152">
        <v>10</v>
      </c>
      <c r="E191" s="170"/>
      <c r="F191" s="95"/>
      <c r="G191" s="153" t="str">
        <f t="shared" si="14"/>
        <v/>
      </c>
      <c r="H191" s="14" t="s">
        <v>20</v>
      </c>
      <c r="I191" s="336">
        <v>1.8</v>
      </c>
      <c r="J191" s="7">
        <f>E191*I191</f>
        <v>0</v>
      </c>
    </row>
    <row r="192" spans="1:10" x14ac:dyDescent="0.35">
      <c r="A192" s="103"/>
      <c r="B192" s="7" t="s">
        <v>6</v>
      </c>
      <c r="C192" s="14" t="s">
        <v>35</v>
      </c>
      <c r="D192" s="152">
        <v>10</v>
      </c>
      <c r="E192" s="170"/>
      <c r="F192" s="95"/>
      <c r="G192" s="153" t="str">
        <f t="shared" si="14"/>
        <v/>
      </c>
      <c r="H192" s="14" t="s">
        <v>20</v>
      </c>
      <c r="I192" s="336">
        <v>1.8</v>
      </c>
      <c r="J192" s="7">
        <f>E192*I192</f>
        <v>0</v>
      </c>
    </row>
    <row r="193" spans="1:10" ht="15.5" hidden="1" x14ac:dyDescent="0.35">
      <c r="A193" s="112" t="s">
        <v>347</v>
      </c>
      <c r="B193" s="116"/>
      <c r="C193" s="116"/>
      <c r="D193" s="228"/>
      <c r="E193" s="173"/>
      <c r="F193" s="146"/>
      <c r="G193" s="165" t="str">
        <f t="shared" si="14"/>
        <v/>
      </c>
      <c r="H193" s="117"/>
      <c r="I193" s="118" t="s">
        <v>18</v>
      </c>
      <c r="J193" s="119">
        <f>SUM(J194)</f>
        <v>0</v>
      </c>
    </row>
    <row r="194" spans="1:10" hidden="1" x14ac:dyDescent="0.35">
      <c r="A194" s="103"/>
      <c r="B194" s="12" t="s">
        <v>5</v>
      </c>
      <c r="C194" s="10" t="s">
        <v>55</v>
      </c>
      <c r="D194" s="152"/>
      <c r="E194" s="170"/>
      <c r="F194" s="95"/>
      <c r="G194" s="153" t="str">
        <f t="shared" si="14"/>
        <v/>
      </c>
      <c r="H194" s="10" t="s">
        <v>20</v>
      </c>
      <c r="I194" s="331">
        <v>1.01</v>
      </c>
      <c r="J194" s="12">
        <f>E194*I194</f>
        <v>0</v>
      </c>
    </row>
    <row r="195" spans="1:10" ht="15.5" hidden="1" x14ac:dyDescent="0.35">
      <c r="A195" s="112" t="s">
        <v>348</v>
      </c>
      <c r="B195" s="116"/>
      <c r="C195" s="116"/>
      <c r="D195" s="228"/>
      <c r="E195" s="173"/>
      <c r="F195" s="146"/>
      <c r="G195" s="165" t="str">
        <f t="shared" si="14"/>
        <v/>
      </c>
      <c r="H195" s="117"/>
      <c r="I195" s="118" t="s">
        <v>18</v>
      </c>
      <c r="J195" s="119">
        <f>SUM(J196:J207)</f>
        <v>0</v>
      </c>
    </row>
    <row r="196" spans="1:10" hidden="1" x14ac:dyDescent="0.35">
      <c r="A196" s="103"/>
      <c r="B196" s="20" t="s">
        <v>8</v>
      </c>
      <c r="C196" s="18" t="s">
        <v>349</v>
      </c>
      <c r="D196" s="229"/>
      <c r="E196" s="170"/>
      <c r="F196" s="147"/>
      <c r="G196" s="153" t="str">
        <f t="shared" si="14"/>
        <v/>
      </c>
      <c r="H196" s="18" t="s">
        <v>27</v>
      </c>
      <c r="I196" s="337">
        <v>28.62</v>
      </c>
      <c r="J196" s="12">
        <f t="shared" ref="J196:J207" si="17">E196*I196</f>
        <v>0</v>
      </c>
    </row>
    <row r="197" spans="1:10" hidden="1" x14ac:dyDescent="0.35">
      <c r="A197" s="103"/>
      <c r="B197" s="12" t="s">
        <v>8</v>
      </c>
      <c r="C197" s="10" t="s">
        <v>350</v>
      </c>
      <c r="D197" s="152"/>
      <c r="E197" s="170"/>
      <c r="F197" s="95"/>
      <c r="G197" s="153" t="str">
        <f t="shared" si="14"/>
        <v/>
      </c>
      <c r="H197" s="10" t="s">
        <v>335</v>
      </c>
      <c r="I197" s="338">
        <v>30</v>
      </c>
      <c r="J197" s="12">
        <f t="shared" si="17"/>
        <v>0</v>
      </c>
    </row>
    <row r="198" spans="1:10" hidden="1" x14ac:dyDescent="0.35">
      <c r="A198" s="103"/>
      <c r="B198" s="12" t="s">
        <v>8</v>
      </c>
      <c r="C198" s="10" t="s">
        <v>351</v>
      </c>
      <c r="D198" s="152"/>
      <c r="E198" s="170"/>
      <c r="F198" s="95"/>
      <c r="G198" s="153" t="str">
        <f t="shared" si="14"/>
        <v/>
      </c>
      <c r="H198" s="10" t="s">
        <v>335</v>
      </c>
      <c r="I198" s="331">
        <v>1.1499999999999999</v>
      </c>
      <c r="J198" s="12">
        <f t="shared" si="17"/>
        <v>0</v>
      </c>
    </row>
    <row r="199" spans="1:10" hidden="1" x14ac:dyDescent="0.35">
      <c r="A199" s="103"/>
      <c r="B199" s="12" t="s">
        <v>8</v>
      </c>
      <c r="C199" s="10" t="s">
        <v>352</v>
      </c>
      <c r="D199" s="152"/>
      <c r="E199" s="170"/>
      <c r="F199" s="95"/>
      <c r="G199" s="153" t="str">
        <f t="shared" si="14"/>
        <v/>
      </c>
      <c r="H199" s="10" t="s">
        <v>27</v>
      </c>
      <c r="I199" s="331">
        <v>23.83</v>
      </c>
      <c r="J199" s="12">
        <f t="shared" si="17"/>
        <v>0</v>
      </c>
    </row>
    <row r="200" spans="1:10" hidden="1" x14ac:dyDescent="0.35">
      <c r="A200" s="103"/>
      <c r="B200" s="12" t="s">
        <v>8</v>
      </c>
      <c r="C200" s="10" t="s">
        <v>353</v>
      </c>
      <c r="D200" s="152"/>
      <c r="E200" s="170"/>
      <c r="F200" s="95"/>
      <c r="G200" s="153" t="str">
        <f t="shared" si="14"/>
        <v/>
      </c>
      <c r="H200" s="10" t="s">
        <v>27</v>
      </c>
      <c r="I200" s="331">
        <v>28.89</v>
      </c>
      <c r="J200" s="12">
        <f t="shared" si="17"/>
        <v>0</v>
      </c>
    </row>
    <row r="201" spans="1:10" hidden="1" x14ac:dyDescent="0.35">
      <c r="A201" s="103"/>
      <c r="B201" s="12" t="s">
        <v>8</v>
      </c>
      <c r="C201" s="10" t="s">
        <v>354</v>
      </c>
      <c r="D201" s="152"/>
      <c r="E201" s="170"/>
      <c r="F201" s="95"/>
      <c r="G201" s="153" t="str">
        <f>IF(E201="","",IF(D201-E201&gt;0,D201-E201,""))</f>
        <v/>
      </c>
      <c r="H201" s="10" t="s">
        <v>27</v>
      </c>
      <c r="I201" s="331">
        <v>19.37</v>
      </c>
      <c r="J201" s="12">
        <f>E201*I201</f>
        <v>0</v>
      </c>
    </row>
    <row r="202" spans="1:10" hidden="1" x14ac:dyDescent="0.35">
      <c r="A202" s="103"/>
      <c r="B202" s="12" t="s">
        <v>8</v>
      </c>
      <c r="C202" s="10" t="s">
        <v>429</v>
      </c>
      <c r="D202" s="152"/>
      <c r="E202" s="170"/>
      <c r="F202" s="95"/>
      <c r="G202" s="153"/>
      <c r="H202" s="10" t="s">
        <v>27</v>
      </c>
      <c r="I202" s="331">
        <v>14.07</v>
      </c>
      <c r="J202" s="12"/>
    </row>
    <row r="203" spans="1:10" hidden="1" x14ac:dyDescent="0.35">
      <c r="A203" s="103"/>
      <c r="B203" s="12" t="s">
        <v>8</v>
      </c>
      <c r="C203" s="10" t="s">
        <v>430</v>
      </c>
      <c r="D203" s="152"/>
      <c r="E203" s="170"/>
      <c r="F203" s="95"/>
      <c r="G203" s="153"/>
      <c r="H203" s="10" t="s">
        <v>27</v>
      </c>
      <c r="I203" s="331">
        <v>16.07</v>
      </c>
      <c r="J203" s="12"/>
    </row>
    <row r="204" spans="1:10" hidden="1" x14ac:dyDescent="0.35">
      <c r="A204" s="103"/>
      <c r="B204" s="12" t="s">
        <v>8</v>
      </c>
      <c r="C204" s="10" t="s">
        <v>431</v>
      </c>
      <c r="D204" s="152"/>
      <c r="G204" s="153"/>
      <c r="H204" s="10" t="s">
        <v>27</v>
      </c>
      <c r="I204" s="339">
        <v>14.62</v>
      </c>
      <c r="J204" s="12"/>
    </row>
    <row r="205" spans="1:10" hidden="1" x14ac:dyDescent="0.35">
      <c r="A205" s="103"/>
      <c r="B205" s="12" t="s">
        <v>8</v>
      </c>
      <c r="C205" s="10" t="s">
        <v>355</v>
      </c>
      <c r="D205" s="152"/>
      <c r="E205" s="170"/>
      <c r="F205" s="95"/>
      <c r="G205" s="153" t="str">
        <f t="shared" si="14"/>
        <v/>
      </c>
      <c r="H205" s="10" t="s">
        <v>61</v>
      </c>
      <c r="I205" s="331">
        <v>17.11</v>
      </c>
      <c r="J205" s="12">
        <f t="shared" si="17"/>
        <v>0</v>
      </c>
    </row>
    <row r="206" spans="1:10" hidden="1" x14ac:dyDescent="0.35">
      <c r="A206" s="103"/>
      <c r="B206" s="12" t="s">
        <v>8</v>
      </c>
      <c r="C206" s="10" t="s">
        <v>356</v>
      </c>
      <c r="D206" s="152"/>
      <c r="E206" s="170"/>
      <c r="F206" s="95"/>
      <c r="G206" s="153" t="str">
        <f t="shared" si="14"/>
        <v/>
      </c>
      <c r="H206" s="10" t="s">
        <v>61</v>
      </c>
      <c r="I206" s="331">
        <v>22.13</v>
      </c>
      <c r="J206" s="12">
        <f t="shared" si="17"/>
        <v>0</v>
      </c>
    </row>
    <row r="207" spans="1:10" hidden="1" x14ac:dyDescent="0.35">
      <c r="A207" s="103"/>
      <c r="B207" s="40" t="s">
        <v>8</v>
      </c>
      <c r="C207" s="41" t="s">
        <v>357</v>
      </c>
      <c r="D207" s="227"/>
      <c r="E207" s="170"/>
      <c r="F207" s="145"/>
      <c r="G207" s="153" t="str">
        <f t="shared" si="14"/>
        <v/>
      </c>
      <c r="H207" s="41" t="s">
        <v>61</v>
      </c>
      <c r="I207" s="334">
        <v>18.8</v>
      </c>
      <c r="J207" s="40">
        <f t="shared" si="17"/>
        <v>0</v>
      </c>
    </row>
    <row r="208" spans="1:10" ht="15.5" hidden="1" x14ac:dyDescent="0.35">
      <c r="A208" s="112" t="s">
        <v>358</v>
      </c>
      <c r="B208" s="116"/>
      <c r="C208" s="116"/>
      <c r="D208" s="228"/>
      <c r="E208" s="173"/>
      <c r="F208" s="146"/>
      <c r="G208" s="165" t="str">
        <f t="shared" si="14"/>
        <v/>
      </c>
      <c r="H208" s="117"/>
      <c r="I208" s="118" t="s">
        <v>18</v>
      </c>
      <c r="J208" s="119">
        <f>J209+J210+J211+J212+J213</f>
        <v>0</v>
      </c>
    </row>
    <row r="209" spans="1:10" hidden="1" x14ac:dyDescent="0.35">
      <c r="A209" s="103"/>
      <c r="B209" s="13" t="s">
        <v>11</v>
      </c>
      <c r="C209" s="298" t="s">
        <v>359</v>
      </c>
      <c r="D209" s="299"/>
      <c r="E209" s="300"/>
      <c r="F209" s="301"/>
      <c r="G209" s="302" t="str">
        <f t="shared" si="14"/>
        <v/>
      </c>
      <c r="H209" s="41" t="s">
        <v>52</v>
      </c>
      <c r="I209" s="334">
        <v>11.63</v>
      </c>
      <c r="J209" s="40">
        <f>E209*I209</f>
        <v>0</v>
      </c>
    </row>
    <row r="210" spans="1:10" hidden="1" x14ac:dyDescent="0.35">
      <c r="A210" s="103"/>
      <c r="B210" s="12" t="s">
        <v>11</v>
      </c>
      <c r="C210" s="10" t="s">
        <v>436</v>
      </c>
      <c r="D210" s="152"/>
      <c r="E210" s="170"/>
      <c r="F210" s="95"/>
      <c r="G210" s="153"/>
      <c r="H210" s="10" t="s">
        <v>52</v>
      </c>
      <c r="I210" s="331">
        <v>16.8</v>
      </c>
      <c r="J210" s="40">
        <f t="shared" ref="J210:J213" si="18">E210*I210</f>
        <v>0</v>
      </c>
    </row>
    <row r="211" spans="1:10" hidden="1" x14ac:dyDescent="0.35">
      <c r="A211" s="103"/>
      <c r="B211" s="12" t="s">
        <v>11</v>
      </c>
      <c r="C211" s="10" t="s">
        <v>437</v>
      </c>
      <c r="D211" s="152"/>
      <c r="E211" s="170"/>
      <c r="F211" s="95"/>
      <c r="G211" s="153"/>
      <c r="H211" s="10" t="s">
        <v>440</v>
      </c>
      <c r="I211" s="331">
        <v>9.35</v>
      </c>
      <c r="J211" s="40">
        <f>E211*I211</f>
        <v>0</v>
      </c>
    </row>
    <row r="212" spans="1:10" hidden="1" x14ac:dyDescent="0.35">
      <c r="A212" s="103"/>
      <c r="B212" s="12" t="s">
        <v>11</v>
      </c>
      <c r="C212" s="10" t="s">
        <v>438</v>
      </c>
      <c r="D212" s="152"/>
      <c r="E212" s="170"/>
      <c r="F212" s="95"/>
      <c r="G212" s="153"/>
      <c r="H212" s="10" t="s">
        <v>52</v>
      </c>
      <c r="I212" s="331">
        <v>87</v>
      </c>
      <c r="J212" s="40">
        <f t="shared" si="18"/>
        <v>0</v>
      </c>
    </row>
    <row r="213" spans="1:10" hidden="1" x14ac:dyDescent="0.35">
      <c r="A213" s="103"/>
      <c r="B213" s="12" t="s">
        <v>11</v>
      </c>
      <c r="C213" s="10" t="s">
        <v>439</v>
      </c>
      <c r="D213" s="152"/>
      <c r="E213" s="170"/>
      <c r="F213" s="95"/>
      <c r="G213" s="153"/>
      <c r="H213" s="10" t="s">
        <v>52</v>
      </c>
      <c r="I213" s="331">
        <v>55</v>
      </c>
      <c r="J213" s="40">
        <f t="shared" si="18"/>
        <v>0</v>
      </c>
    </row>
    <row r="214" spans="1:10" ht="15.5" hidden="1" x14ac:dyDescent="0.35">
      <c r="A214" s="108" t="s">
        <v>360</v>
      </c>
      <c r="B214" s="108"/>
      <c r="C214" s="108"/>
      <c r="D214" s="223"/>
      <c r="E214" s="169"/>
      <c r="F214" s="109"/>
      <c r="G214" s="310" t="str">
        <f t="shared" si="14"/>
        <v/>
      </c>
      <c r="H214" s="108"/>
      <c r="I214" s="106" t="s">
        <v>18</v>
      </c>
      <c r="J214" s="107">
        <f>SUM(J215:J216)</f>
        <v>0</v>
      </c>
    </row>
    <row r="215" spans="1:10" hidden="1" x14ac:dyDescent="0.35">
      <c r="A215" s="103"/>
      <c r="B215" s="12" t="s">
        <v>12</v>
      </c>
      <c r="C215" s="10" t="s">
        <v>70</v>
      </c>
      <c r="D215" s="152"/>
      <c r="E215" s="170"/>
      <c r="F215" s="95"/>
      <c r="G215" s="153" t="str">
        <f t="shared" si="14"/>
        <v/>
      </c>
      <c r="H215" s="10" t="s">
        <v>27</v>
      </c>
      <c r="I215" s="331">
        <v>20.7</v>
      </c>
      <c r="J215" s="12">
        <f>+E215*I215</f>
        <v>0</v>
      </c>
    </row>
    <row r="216" spans="1:10" hidden="1" x14ac:dyDescent="0.35">
      <c r="A216" s="103"/>
      <c r="B216" s="12" t="s">
        <v>12</v>
      </c>
      <c r="C216" s="10" t="s">
        <v>71</v>
      </c>
      <c r="D216" s="152"/>
      <c r="E216" s="170"/>
      <c r="F216" s="95"/>
      <c r="G216" s="153" t="str">
        <f t="shared" si="14"/>
        <v/>
      </c>
      <c r="H216" s="10" t="s">
        <v>27</v>
      </c>
      <c r="I216" s="331">
        <v>13.7</v>
      </c>
      <c r="J216" s="12">
        <f>+E216*I216</f>
        <v>0</v>
      </c>
    </row>
    <row r="217" spans="1:10" ht="15.5" hidden="1" x14ac:dyDescent="0.35">
      <c r="A217" s="108" t="s">
        <v>361</v>
      </c>
      <c r="B217" s="108"/>
      <c r="C217" s="108"/>
      <c r="D217" s="223"/>
      <c r="E217" s="169"/>
      <c r="F217" s="109"/>
      <c r="G217" s="153" t="str">
        <f t="shared" si="14"/>
        <v/>
      </c>
      <c r="H217" s="108"/>
      <c r="I217" s="106" t="s">
        <v>18</v>
      </c>
      <c r="J217" s="107">
        <f>SUM(J218:J221)</f>
        <v>0</v>
      </c>
    </row>
    <row r="218" spans="1:10" hidden="1" x14ac:dyDescent="0.35">
      <c r="A218" s="103"/>
      <c r="B218" s="12" t="s">
        <v>10</v>
      </c>
      <c r="C218" s="10" t="s">
        <v>362</v>
      </c>
      <c r="D218" s="152"/>
      <c r="E218" s="170"/>
      <c r="F218" s="95"/>
      <c r="G218" s="153" t="str">
        <f t="shared" si="14"/>
        <v/>
      </c>
      <c r="H218" s="10" t="s">
        <v>20</v>
      </c>
      <c r="I218" s="331">
        <v>11.08</v>
      </c>
      <c r="J218" s="12">
        <f>E218*I218</f>
        <v>0</v>
      </c>
    </row>
    <row r="219" spans="1:10" hidden="1" x14ac:dyDescent="0.35">
      <c r="A219" s="103"/>
      <c r="B219" s="12" t="s">
        <v>10</v>
      </c>
      <c r="C219" s="10" t="s">
        <v>363</v>
      </c>
      <c r="D219" s="152"/>
      <c r="E219" s="170"/>
      <c r="F219" s="95"/>
      <c r="G219" s="153" t="str">
        <f t="shared" si="14"/>
        <v/>
      </c>
      <c r="H219" s="10" t="s">
        <v>27</v>
      </c>
      <c r="I219" s="331">
        <v>16.21</v>
      </c>
      <c r="J219" s="12">
        <f>E219*I219</f>
        <v>0</v>
      </c>
    </row>
    <row r="220" spans="1:10" hidden="1" x14ac:dyDescent="0.35">
      <c r="A220" s="103"/>
      <c r="B220" s="12" t="s">
        <v>10</v>
      </c>
      <c r="C220" s="10" t="s">
        <v>364</v>
      </c>
      <c r="D220" s="152"/>
      <c r="E220" s="170"/>
      <c r="F220" s="95"/>
      <c r="G220" s="153" t="str">
        <f t="shared" si="14"/>
        <v/>
      </c>
      <c r="H220" s="10" t="s">
        <v>27</v>
      </c>
      <c r="I220" s="331">
        <v>19.350000000000001</v>
      </c>
      <c r="J220" s="12">
        <f>E220*I220</f>
        <v>0</v>
      </c>
    </row>
    <row r="221" spans="1:10" hidden="1" x14ac:dyDescent="0.35">
      <c r="A221" s="103"/>
      <c r="B221" s="12" t="s">
        <v>10</v>
      </c>
      <c r="C221" s="10" t="s">
        <v>365</v>
      </c>
      <c r="D221" s="152"/>
      <c r="E221" s="170"/>
      <c r="F221" s="95"/>
      <c r="G221" s="153" t="str">
        <f t="shared" si="14"/>
        <v/>
      </c>
      <c r="H221" s="10" t="s">
        <v>27</v>
      </c>
      <c r="I221" s="331">
        <v>19.809999999999999</v>
      </c>
      <c r="J221" s="12">
        <f>E221*I221</f>
        <v>0</v>
      </c>
    </row>
    <row r="222" spans="1:10" ht="15.5" hidden="1" x14ac:dyDescent="0.35">
      <c r="A222" s="108" t="s">
        <v>366</v>
      </c>
      <c r="B222" s="108"/>
      <c r="C222" s="108"/>
      <c r="D222" s="223"/>
      <c r="E222" s="169"/>
      <c r="F222" s="109"/>
      <c r="G222" s="165" t="str">
        <f t="shared" si="14"/>
        <v/>
      </c>
      <c r="H222" s="108"/>
      <c r="I222" s="106" t="s">
        <v>18</v>
      </c>
      <c r="J222" s="107">
        <f>J223</f>
        <v>0</v>
      </c>
    </row>
    <row r="223" spans="1:10" hidden="1" x14ac:dyDescent="0.35">
      <c r="A223" s="103"/>
      <c r="B223" s="12" t="s">
        <v>28</v>
      </c>
      <c r="C223" s="10" t="s">
        <v>29</v>
      </c>
      <c r="D223" s="152"/>
      <c r="E223" s="170"/>
      <c r="F223" s="150"/>
      <c r="G223" s="153" t="str">
        <f t="shared" si="14"/>
        <v/>
      </c>
      <c r="H223" s="10" t="s">
        <v>54</v>
      </c>
      <c r="I223" s="331">
        <v>104</v>
      </c>
      <c r="J223" s="12">
        <f>I223*E223</f>
        <v>0</v>
      </c>
    </row>
    <row r="224" spans="1:10" ht="15.5" x14ac:dyDescent="0.35">
      <c r="A224" s="108" t="s">
        <v>367</v>
      </c>
      <c r="B224" s="108"/>
      <c r="C224" s="108"/>
      <c r="D224" s="223"/>
      <c r="E224" s="169"/>
      <c r="F224" s="109"/>
      <c r="G224" s="165" t="str">
        <f t="shared" ref="G224:G257" si="19">IF(E224="","",IF(D224-E224&gt;0,D224-E224,""))</f>
        <v/>
      </c>
      <c r="H224" s="108"/>
      <c r="I224" s="106" t="s">
        <v>18</v>
      </c>
      <c r="J224" s="115">
        <f>SUM(J225:J244)</f>
        <v>55.734999999999999</v>
      </c>
    </row>
    <row r="225" spans="1:10" x14ac:dyDescent="0.35">
      <c r="A225" s="103"/>
      <c r="B225" s="12" t="s">
        <v>9</v>
      </c>
      <c r="C225" s="10" t="s">
        <v>423</v>
      </c>
      <c r="D225" s="152"/>
      <c r="E225" s="170"/>
      <c r="F225" s="95"/>
      <c r="G225" s="153" t="str">
        <f t="shared" si="19"/>
        <v/>
      </c>
      <c r="H225" s="10" t="s">
        <v>20</v>
      </c>
      <c r="I225" s="331">
        <v>78</v>
      </c>
      <c r="J225" s="50">
        <f t="shared" ref="J225:J244" si="20">E225*I225</f>
        <v>0</v>
      </c>
    </row>
    <row r="226" spans="1:10" x14ac:dyDescent="0.35">
      <c r="A226" s="103"/>
      <c r="B226" s="12" t="s">
        <v>9</v>
      </c>
      <c r="C226" s="10" t="s">
        <v>424</v>
      </c>
      <c r="D226" s="152"/>
      <c r="E226" s="170"/>
      <c r="F226" s="95"/>
      <c r="G226" s="153" t="str">
        <f t="shared" si="19"/>
        <v/>
      </c>
      <c r="H226" s="10" t="s">
        <v>61</v>
      </c>
      <c r="I226" s="340">
        <v>107.12</v>
      </c>
      <c r="J226" s="50">
        <f t="shared" si="20"/>
        <v>0</v>
      </c>
    </row>
    <row r="227" spans="1:10" x14ac:dyDescent="0.35">
      <c r="A227" s="103"/>
      <c r="B227" s="12" t="s">
        <v>9</v>
      </c>
      <c r="C227" s="10" t="s">
        <v>369</v>
      </c>
      <c r="D227" s="152"/>
      <c r="E227" s="170"/>
      <c r="F227" s="95"/>
      <c r="G227" s="153" t="str">
        <f t="shared" si="19"/>
        <v/>
      </c>
      <c r="H227" s="10" t="s">
        <v>20</v>
      </c>
      <c r="I227" s="331">
        <v>0.04</v>
      </c>
      <c r="J227" s="50">
        <f t="shared" si="20"/>
        <v>0</v>
      </c>
    </row>
    <row r="228" spans="1:10" x14ac:dyDescent="0.35">
      <c r="A228" s="103"/>
      <c r="B228" s="12" t="s">
        <v>9</v>
      </c>
      <c r="C228" s="10" t="s">
        <v>370</v>
      </c>
      <c r="D228" s="152"/>
      <c r="E228" s="170"/>
      <c r="F228" s="95"/>
      <c r="G228" s="153" t="str">
        <f t="shared" si="19"/>
        <v/>
      </c>
      <c r="H228" s="10" t="s">
        <v>20</v>
      </c>
      <c r="I228" s="331">
        <v>7.0999999999999994E-2</v>
      </c>
      <c r="J228" s="50">
        <f t="shared" si="20"/>
        <v>0</v>
      </c>
    </row>
    <row r="229" spans="1:10" hidden="1" x14ac:dyDescent="0.35">
      <c r="A229" s="103"/>
      <c r="B229" s="12" t="s">
        <v>9</v>
      </c>
      <c r="C229" s="10" t="s">
        <v>411</v>
      </c>
      <c r="D229" s="152"/>
      <c r="E229" s="170"/>
      <c r="F229" s="95"/>
      <c r="G229" s="153"/>
      <c r="H229" s="10" t="s">
        <v>20</v>
      </c>
      <c r="I229" s="331">
        <v>1.97</v>
      </c>
      <c r="J229" s="50"/>
    </row>
    <row r="230" spans="1:10" hidden="1" x14ac:dyDescent="0.35">
      <c r="A230" s="103"/>
      <c r="B230" s="12" t="s">
        <v>9</v>
      </c>
      <c r="C230" s="10" t="s">
        <v>371</v>
      </c>
      <c r="D230" s="152"/>
      <c r="E230" s="170"/>
      <c r="F230" s="95"/>
      <c r="G230" s="153" t="str">
        <f t="shared" si="19"/>
        <v/>
      </c>
      <c r="H230" s="10" t="s">
        <v>61</v>
      </c>
      <c r="I230" s="331">
        <v>163.80000000000001</v>
      </c>
      <c r="J230" s="50">
        <f t="shared" si="20"/>
        <v>0</v>
      </c>
    </row>
    <row r="231" spans="1:10" hidden="1" x14ac:dyDescent="0.35">
      <c r="A231" s="103"/>
      <c r="B231" s="12" t="s">
        <v>9</v>
      </c>
      <c r="C231" s="10" t="s">
        <v>410</v>
      </c>
      <c r="D231" s="152"/>
      <c r="E231" s="170"/>
      <c r="F231" s="151"/>
      <c r="G231" s="153" t="str">
        <f t="shared" si="19"/>
        <v/>
      </c>
      <c r="H231" s="10" t="s">
        <v>61</v>
      </c>
      <c r="I231" s="331">
        <v>49.33</v>
      </c>
      <c r="J231" s="50">
        <f t="shared" si="20"/>
        <v>0</v>
      </c>
    </row>
    <row r="232" spans="1:10" hidden="1" x14ac:dyDescent="0.35">
      <c r="A232" s="103"/>
      <c r="B232" s="12" t="s">
        <v>9</v>
      </c>
      <c r="C232" s="10" t="s">
        <v>373</v>
      </c>
      <c r="D232" s="152"/>
      <c r="E232" s="170"/>
      <c r="F232" s="151"/>
      <c r="G232" s="153" t="str">
        <f t="shared" si="19"/>
        <v/>
      </c>
      <c r="H232" s="10" t="s">
        <v>61</v>
      </c>
      <c r="I232" s="331">
        <v>105.6</v>
      </c>
      <c r="J232" s="50">
        <f t="shared" si="20"/>
        <v>0</v>
      </c>
    </row>
    <row r="233" spans="1:10" hidden="1" x14ac:dyDescent="0.35">
      <c r="A233" s="103"/>
      <c r="B233" s="12" t="s">
        <v>9</v>
      </c>
      <c r="C233" s="10" t="s">
        <v>374</v>
      </c>
      <c r="D233" s="152"/>
      <c r="E233" s="170"/>
      <c r="F233" s="151"/>
      <c r="G233" s="153" t="str">
        <f t="shared" si="19"/>
        <v/>
      </c>
      <c r="H233" s="10" t="s">
        <v>61</v>
      </c>
      <c r="I233" s="331">
        <v>114.75</v>
      </c>
      <c r="J233" s="50">
        <f t="shared" si="20"/>
        <v>0</v>
      </c>
    </row>
    <row r="234" spans="1:10" hidden="1" x14ac:dyDescent="0.35">
      <c r="A234" s="103"/>
      <c r="B234" s="12" t="s">
        <v>9</v>
      </c>
      <c r="C234" s="10" t="s">
        <v>375</v>
      </c>
      <c r="D234" s="152"/>
      <c r="E234" s="170"/>
      <c r="F234" s="95"/>
      <c r="G234" s="153" t="str">
        <f t="shared" si="19"/>
        <v/>
      </c>
      <c r="H234" s="10" t="s">
        <v>61</v>
      </c>
      <c r="I234" s="331">
        <v>105.55</v>
      </c>
      <c r="J234" s="50">
        <f t="shared" si="20"/>
        <v>0</v>
      </c>
    </row>
    <row r="235" spans="1:10" hidden="1" x14ac:dyDescent="0.35">
      <c r="A235" s="103"/>
      <c r="B235" s="12" t="s">
        <v>9</v>
      </c>
      <c r="C235" s="10" t="s">
        <v>376</v>
      </c>
      <c r="D235" s="152"/>
      <c r="E235" s="170"/>
      <c r="F235" s="95"/>
      <c r="G235" s="153" t="str">
        <f t="shared" si="19"/>
        <v/>
      </c>
      <c r="H235" s="10" t="s">
        <v>61</v>
      </c>
      <c r="I235" s="331">
        <v>33.25</v>
      </c>
      <c r="J235" s="50">
        <f t="shared" si="20"/>
        <v>0</v>
      </c>
    </row>
    <row r="236" spans="1:10" hidden="1" x14ac:dyDescent="0.35">
      <c r="A236" s="103"/>
      <c r="B236" s="12" t="s">
        <v>9</v>
      </c>
      <c r="C236" s="10" t="s">
        <v>377</v>
      </c>
      <c r="D236" s="152"/>
      <c r="E236" s="170"/>
      <c r="F236" s="95"/>
      <c r="G236" s="153" t="str">
        <f t="shared" si="19"/>
        <v/>
      </c>
      <c r="H236" s="10" t="s">
        <v>20</v>
      </c>
      <c r="I236" s="331">
        <v>0.28999999999999998</v>
      </c>
      <c r="J236" s="50">
        <f t="shared" si="20"/>
        <v>0</v>
      </c>
    </row>
    <row r="237" spans="1:10" hidden="1" x14ac:dyDescent="0.35">
      <c r="A237" s="103"/>
      <c r="B237" s="12" t="s">
        <v>9</v>
      </c>
      <c r="C237" s="10" t="s">
        <v>378</v>
      </c>
      <c r="D237" s="152"/>
      <c r="E237" s="170"/>
      <c r="F237" s="95"/>
      <c r="G237" s="153" t="str">
        <f t="shared" si="19"/>
        <v/>
      </c>
      <c r="H237" s="10" t="s">
        <v>61</v>
      </c>
      <c r="I237" s="336">
        <v>37.85</v>
      </c>
      <c r="J237" s="50">
        <f t="shared" si="20"/>
        <v>0</v>
      </c>
    </row>
    <row r="238" spans="1:10" x14ac:dyDescent="0.35">
      <c r="A238" s="103"/>
      <c r="B238" s="12" t="s">
        <v>9</v>
      </c>
      <c r="C238" s="10" t="s">
        <v>425</v>
      </c>
      <c r="D238" s="152">
        <v>1</v>
      </c>
      <c r="E238" s="170">
        <v>0.5</v>
      </c>
      <c r="F238" s="95"/>
      <c r="G238" s="153">
        <f t="shared" si="19"/>
        <v>0.5</v>
      </c>
      <c r="H238" s="10" t="s">
        <v>61</v>
      </c>
      <c r="I238" s="336">
        <v>111.47</v>
      </c>
      <c r="J238" s="50">
        <f t="shared" si="20"/>
        <v>55.734999999999999</v>
      </c>
    </row>
    <row r="239" spans="1:10" hidden="1" x14ac:dyDescent="0.35">
      <c r="A239" s="103"/>
      <c r="B239" s="12" t="s">
        <v>9</v>
      </c>
      <c r="C239" s="10" t="s">
        <v>379</v>
      </c>
      <c r="D239" s="152"/>
      <c r="E239" s="170"/>
      <c r="F239" s="95"/>
      <c r="G239" s="153" t="str">
        <f t="shared" si="19"/>
        <v/>
      </c>
      <c r="H239" s="10" t="s">
        <v>61</v>
      </c>
      <c r="I239" s="336">
        <v>174.97</v>
      </c>
      <c r="J239" s="50">
        <f t="shared" si="20"/>
        <v>0</v>
      </c>
    </row>
    <row r="240" spans="1:10" hidden="1" x14ac:dyDescent="0.35">
      <c r="A240" s="103"/>
      <c r="B240" s="12" t="s">
        <v>9</v>
      </c>
      <c r="C240" s="10" t="s">
        <v>380</v>
      </c>
      <c r="D240" s="152"/>
      <c r="E240" s="170"/>
      <c r="F240" s="95"/>
      <c r="G240" s="153" t="str">
        <f t="shared" si="19"/>
        <v/>
      </c>
      <c r="H240" s="10" t="s">
        <v>61</v>
      </c>
      <c r="I240" s="336">
        <v>44.93</v>
      </c>
      <c r="J240" s="50">
        <f t="shared" si="20"/>
        <v>0</v>
      </c>
    </row>
    <row r="241" spans="1:10" hidden="1" x14ac:dyDescent="0.35">
      <c r="A241" s="103"/>
      <c r="B241" s="12" t="s">
        <v>9</v>
      </c>
      <c r="C241" s="10" t="s">
        <v>426</v>
      </c>
      <c r="D241" s="152"/>
      <c r="E241" s="170"/>
      <c r="F241" s="95"/>
      <c r="G241" s="153" t="str">
        <f t="shared" si="19"/>
        <v/>
      </c>
      <c r="H241" s="10" t="s">
        <v>20</v>
      </c>
      <c r="I241" s="336">
        <v>29.2</v>
      </c>
      <c r="J241" s="50">
        <f t="shared" si="20"/>
        <v>0</v>
      </c>
    </row>
    <row r="242" spans="1:10" hidden="1" x14ac:dyDescent="0.35">
      <c r="A242" s="103"/>
      <c r="B242" s="12" t="s">
        <v>9</v>
      </c>
      <c r="C242" s="10" t="s">
        <v>427</v>
      </c>
      <c r="D242" s="152"/>
      <c r="E242" s="170"/>
      <c r="F242" s="95"/>
      <c r="G242" s="153" t="str">
        <f t="shared" si="19"/>
        <v/>
      </c>
      <c r="H242" s="10" t="s">
        <v>20</v>
      </c>
      <c r="I242" s="336">
        <v>19.03</v>
      </c>
      <c r="J242" s="50">
        <f t="shared" si="20"/>
        <v>0</v>
      </c>
    </row>
    <row r="243" spans="1:10" hidden="1" x14ac:dyDescent="0.35">
      <c r="A243" s="103"/>
      <c r="B243" s="12" t="s">
        <v>9</v>
      </c>
      <c r="C243" s="10" t="s">
        <v>428</v>
      </c>
      <c r="D243" s="152"/>
      <c r="E243" s="170"/>
      <c r="F243" s="95"/>
      <c r="G243" s="153" t="str">
        <f t="shared" si="19"/>
        <v/>
      </c>
      <c r="H243" s="10" t="s">
        <v>20</v>
      </c>
      <c r="I243" s="336">
        <v>8.4600000000000009</v>
      </c>
      <c r="J243" s="50">
        <f t="shared" si="20"/>
        <v>0</v>
      </c>
    </row>
    <row r="244" spans="1:10" hidden="1" x14ac:dyDescent="0.35">
      <c r="A244" s="103"/>
      <c r="B244" s="12" t="s">
        <v>9</v>
      </c>
      <c r="C244" s="10" t="s">
        <v>381</v>
      </c>
      <c r="D244" s="152"/>
      <c r="E244" s="170"/>
      <c r="F244" s="95"/>
      <c r="G244" s="153" t="str">
        <f t="shared" si="19"/>
        <v/>
      </c>
      <c r="H244" s="10" t="s">
        <v>20</v>
      </c>
      <c r="I244" s="336">
        <v>0.02</v>
      </c>
      <c r="J244" s="50">
        <f t="shared" si="20"/>
        <v>0</v>
      </c>
    </row>
    <row r="245" spans="1:10" ht="15.5" x14ac:dyDescent="0.35">
      <c r="A245" s="108" t="s">
        <v>382</v>
      </c>
      <c r="B245" s="108"/>
      <c r="C245" s="108"/>
      <c r="D245" s="223"/>
      <c r="E245" s="169"/>
      <c r="F245" s="109"/>
      <c r="G245" s="165" t="str">
        <f t="shared" si="19"/>
        <v/>
      </c>
      <c r="H245" s="108"/>
      <c r="I245" s="106" t="s">
        <v>18</v>
      </c>
      <c r="J245" s="107">
        <f>SUM(J246:J256)</f>
        <v>0</v>
      </c>
    </row>
    <row r="246" spans="1:10" x14ac:dyDescent="0.35">
      <c r="A246" s="103"/>
      <c r="B246" s="12" t="s">
        <v>31</v>
      </c>
      <c r="C246" s="10" t="s">
        <v>383</v>
      </c>
      <c r="D246" s="152"/>
      <c r="E246" s="170"/>
      <c r="F246" s="95"/>
      <c r="G246" s="153" t="str">
        <f t="shared" si="19"/>
        <v/>
      </c>
      <c r="H246" s="10" t="s">
        <v>20</v>
      </c>
      <c r="I246" s="331">
        <v>5.5</v>
      </c>
      <c r="J246" s="12">
        <f t="shared" ref="J246:J256" si="21">E246*I246</f>
        <v>0</v>
      </c>
    </row>
    <row r="247" spans="1:10" x14ac:dyDescent="0.35">
      <c r="A247" s="103"/>
      <c r="B247" s="12" t="s">
        <v>31</v>
      </c>
      <c r="C247" s="10" t="s">
        <v>39</v>
      </c>
      <c r="D247" s="152">
        <v>1</v>
      </c>
      <c r="E247" s="170"/>
      <c r="F247" s="95"/>
      <c r="G247" s="153" t="str">
        <f t="shared" si="19"/>
        <v/>
      </c>
      <c r="H247" s="10" t="s">
        <v>20</v>
      </c>
      <c r="I247" s="331">
        <v>4.55</v>
      </c>
      <c r="J247" s="12">
        <f t="shared" si="21"/>
        <v>0</v>
      </c>
    </row>
    <row r="248" spans="1:10" x14ac:dyDescent="0.35">
      <c r="A248" s="103"/>
      <c r="B248" s="12" t="s">
        <v>31</v>
      </c>
      <c r="C248" s="10" t="s">
        <v>422</v>
      </c>
      <c r="D248" s="152">
        <v>1</v>
      </c>
      <c r="E248" s="170"/>
      <c r="F248" s="95"/>
      <c r="G248" s="153" t="str">
        <f t="shared" si="19"/>
        <v/>
      </c>
      <c r="H248" s="10" t="s">
        <v>20</v>
      </c>
      <c r="I248" s="331">
        <v>3.7</v>
      </c>
      <c r="J248" s="12">
        <f t="shared" si="21"/>
        <v>0</v>
      </c>
    </row>
    <row r="249" spans="1:10" x14ac:dyDescent="0.35">
      <c r="A249" s="103"/>
      <c r="B249" s="12" t="s">
        <v>31</v>
      </c>
      <c r="C249" s="10" t="s">
        <v>67</v>
      </c>
      <c r="D249" s="152"/>
      <c r="E249" s="170"/>
      <c r="F249" s="95"/>
      <c r="G249" s="153" t="str">
        <f t="shared" si="19"/>
        <v/>
      </c>
      <c r="H249" s="10" t="s">
        <v>20</v>
      </c>
      <c r="I249" s="331">
        <v>15.56</v>
      </c>
      <c r="J249" s="12">
        <f t="shared" si="21"/>
        <v>0</v>
      </c>
    </row>
    <row r="250" spans="1:10" x14ac:dyDescent="0.35">
      <c r="A250" s="103"/>
      <c r="B250" s="12" t="s">
        <v>31</v>
      </c>
      <c r="C250" s="10" t="s">
        <v>384</v>
      </c>
      <c r="D250" s="152"/>
      <c r="E250" s="170"/>
      <c r="F250" s="95"/>
      <c r="G250" s="153" t="str">
        <f t="shared" si="19"/>
        <v/>
      </c>
      <c r="H250" s="10" t="s">
        <v>20</v>
      </c>
      <c r="I250" s="331">
        <v>0.8</v>
      </c>
      <c r="J250" s="12">
        <f t="shared" si="21"/>
        <v>0</v>
      </c>
    </row>
    <row r="251" spans="1:10" x14ac:dyDescent="0.35">
      <c r="A251" s="103"/>
      <c r="B251" s="12" t="s">
        <v>31</v>
      </c>
      <c r="C251" s="10" t="s">
        <v>385</v>
      </c>
      <c r="D251" s="152"/>
      <c r="E251" s="170"/>
      <c r="F251" s="95"/>
      <c r="G251" s="153" t="str">
        <f t="shared" si="19"/>
        <v/>
      </c>
      <c r="H251" s="10" t="s">
        <v>20</v>
      </c>
      <c r="I251" s="331">
        <v>1.83</v>
      </c>
      <c r="J251" s="12">
        <f t="shared" si="21"/>
        <v>0</v>
      </c>
    </row>
    <row r="252" spans="1:10" x14ac:dyDescent="0.35">
      <c r="A252" s="103"/>
      <c r="B252" s="12" t="s">
        <v>31</v>
      </c>
      <c r="C252" s="10" t="s">
        <v>386</v>
      </c>
      <c r="D252" s="152">
        <v>1</v>
      </c>
      <c r="E252" s="170"/>
      <c r="F252" s="95"/>
      <c r="G252" s="153" t="str">
        <f t="shared" si="19"/>
        <v/>
      </c>
      <c r="H252" s="10" t="s">
        <v>20</v>
      </c>
      <c r="I252" s="331">
        <v>2.65</v>
      </c>
      <c r="J252" s="12">
        <f t="shared" si="21"/>
        <v>0</v>
      </c>
    </row>
    <row r="253" spans="1:10" x14ac:dyDescent="0.35">
      <c r="A253" s="103"/>
      <c r="B253" s="12" t="s">
        <v>31</v>
      </c>
      <c r="C253" s="10" t="s">
        <v>65</v>
      </c>
      <c r="D253" s="152">
        <v>1</v>
      </c>
      <c r="E253" s="170"/>
      <c r="F253" s="95"/>
      <c r="G253" s="153" t="str">
        <f t="shared" si="19"/>
        <v/>
      </c>
      <c r="H253" s="10" t="s">
        <v>20</v>
      </c>
      <c r="I253" s="331">
        <v>13.43</v>
      </c>
      <c r="J253" s="12">
        <f t="shared" si="21"/>
        <v>0</v>
      </c>
    </row>
    <row r="254" spans="1:10" hidden="1" x14ac:dyDescent="0.35">
      <c r="A254" s="103"/>
      <c r="B254" s="12" t="s">
        <v>31</v>
      </c>
      <c r="C254" s="10" t="s">
        <v>66</v>
      </c>
      <c r="D254" s="152"/>
      <c r="E254" s="170"/>
      <c r="F254" s="95"/>
      <c r="G254" s="153" t="str">
        <f t="shared" si="19"/>
        <v/>
      </c>
      <c r="H254" s="10" t="s">
        <v>20</v>
      </c>
      <c r="I254" s="331">
        <v>75.38</v>
      </c>
      <c r="J254" s="12">
        <f t="shared" si="21"/>
        <v>0</v>
      </c>
    </row>
    <row r="255" spans="1:10" x14ac:dyDescent="0.35">
      <c r="A255" s="103"/>
      <c r="B255" s="12" t="s">
        <v>31</v>
      </c>
      <c r="C255" s="10" t="s">
        <v>412</v>
      </c>
      <c r="D255" s="152"/>
      <c r="E255" s="170"/>
      <c r="F255" s="95"/>
      <c r="G255" s="153" t="str">
        <f t="shared" si="19"/>
        <v/>
      </c>
      <c r="H255" s="10" t="s">
        <v>20</v>
      </c>
      <c r="I255" s="331">
        <v>8.43</v>
      </c>
      <c r="J255" s="12">
        <f t="shared" si="21"/>
        <v>0</v>
      </c>
    </row>
    <row r="256" spans="1:10" x14ac:dyDescent="0.35">
      <c r="A256" s="103"/>
      <c r="B256" s="12" t="s">
        <v>31</v>
      </c>
      <c r="C256" s="10" t="s">
        <v>69</v>
      </c>
      <c r="D256" s="152">
        <v>1</v>
      </c>
      <c r="E256" s="170"/>
      <c r="F256" s="95"/>
      <c r="G256" s="153" t="str">
        <f t="shared" si="19"/>
        <v/>
      </c>
      <c r="H256" s="10" t="s">
        <v>63</v>
      </c>
      <c r="I256" s="331">
        <v>3.5</v>
      </c>
      <c r="J256" s="12">
        <f t="shared" si="21"/>
        <v>0</v>
      </c>
    </row>
    <row r="257" spans="1:10" ht="15.5" hidden="1" x14ac:dyDescent="0.35">
      <c r="A257" s="108" t="s">
        <v>57</v>
      </c>
      <c r="B257" s="108"/>
      <c r="C257" s="108"/>
      <c r="D257" s="108"/>
      <c r="E257" s="162"/>
      <c r="F257" s="108"/>
      <c r="G257" s="165" t="str">
        <f t="shared" si="19"/>
        <v/>
      </c>
      <c r="H257" s="108"/>
      <c r="I257" s="106" t="s">
        <v>18</v>
      </c>
      <c r="J257" s="107">
        <f>SUM(J258:J259)</f>
        <v>0</v>
      </c>
    </row>
    <row r="258" spans="1:10" hidden="1" x14ac:dyDescent="0.35">
      <c r="A258" s="103"/>
      <c r="B258" s="12" t="s">
        <v>56</v>
      </c>
      <c r="C258" s="10" t="s">
        <v>58</v>
      </c>
      <c r="D258" s="94"/>
      <c r="E258" s="170"/>
      <c r="F258" s="94"/>
      <c r="G258" s="94" t="str">
        <f t="shared" ref="G258:G259" si="22">IF(D258-E258&gt;0,D258-E258,"")</f>
        <v/>
      </c>
      <c r="H258" s="10" t="s">
        <v>20</v>
      </c>
      <c r="I258" s="331">
        <v>54.05</v>
      </c>
      <c r="J258" s="12">
        <f>E258*I258</f>
        <v>0</v>
      </c>
    </row>
    <row r="259" spans="1:10" hidden="1" x14ac:dyDescent="0.35">
      <c r="A259" s="103"/>
      <c r="B259" s="12" t="s">
        <v>56</v>
      </c>
      <c r="C259" s="10" t="s">
        <v>388</v>
      </c>
      <c r="D259" s="94"/>
      <c r="E259" s="170"/>
      <c r="F259" s="94"/>
      <c r="G259" s="94" t="str">
        <f t="shared" si="22"/>
        <v/>
      </c>
      <c r="H259" s="10" t="s">
        <v>20</v>
      </c>
      <c r="I259" s="331">
        <v>0</v>
      </c>
      <c r="J259" s="12">
        <f>E259*I259</f>
        <v>0</v>
      </c>
    </row>
    <row r="265" spans="1:10" hidden="1" x14ac:dyDescent="0.35"/>
  </sheetData>
  <mergeCells count="2">
    <mergeCell ref="B1:C1"/>
    <mergeCell ref="B2:C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A3243-B5A2-3549-906F-4C78B5746571}">
  <sheetPr codeName="Feuil23">
    <tabColor theme="8" tint="0.39997558519241921"/>
    <pageSetUpPr fitToPage="1"/>
  </sheetPr>
  <dimension ref="A1:N259"/>
  <sheetViews>
    <sheetView topLeftCell="A225" zoomScaleNormal="100" workbookViewId="0">
      <selection activeCell="J209" sqref="J209"/>
    </sheetView>
  </sheetViews>
  <sheetFormatPr baseColWidth="10" defaultColWidth="8.453125" defaultRowHeight="14.5" x14ac:dyDescent="0.35"/>
  <cols>
    <col min="1" max="1" width="2.54296875" customWidth="1"/>
    <col min="2" max="2" width="32.26953125" customWidth="1"/>
    <col min="3" max="3" width="44.54296875" bestFit="1" customWidth="1"/>
    <col min="4" max="4" width="19.7265625" bestFit="1" customWidth="1"/>
    <col min="5" max="5" width="18.81640625" style="34" bestFit="1" customWidth="1"/>
    <col min="6" max="6" width="18.26953125" hidden="1" customWidth="1"/>
    <col min="7" max="7" width="14" bestFit="1" customWidth="1"/>
    <col min="8" max="8" width="6.81640625" bestFit="1" customWidth="1"/>
    <col min="9" max="9" width="8.453125" style="86" bestFit="1" customWidth="1"/>
    <col min="10" max="10" width="7.1796875" customWidth="1"/>
  </cols>
  <sheetData>
    <row r="1" spans="2:7" ht="15" thickBot="1" x14ac:dyDescent="0.4">
      <c r="B1" s="321" t="s">
        <v>198</v>
      </c>
      <c r="C1" s="322"/>
      <c r="F1" s="89"/>
      <c r="G1" s="89"/>
    </row>
    <row r="2" spans="2:7" ht="15" thickBot="1" x14ac:dyDescent="0.4">
      <c r="B2" s="319"/>
      <c r="C2" s="320"/>
      <c r="F2" s="90"/>
      <c r="G2" s="90"/>
    </row>
    <row r="3" spans="2:7" x14ac:dyDescent="0.35">
      <c r="B3" s="75"/>
      <c r="C3" s="75"/>
      <c r="F3" s="75"/>
      <c r="G3" s="75"/>
    </row>
    <row r="4" spans="2:7" ht="15.5" x14ac:dyDescent="0.35">
      <c r="B4" s="70" t="s">
        <v>0</v>
      </c>
      <c r="C4" s="70" t="s">
        <v>1</v>
      </c>
      <c r="F4" s="91"/>
      <c r="G4" s="91"/>
    </row>
    <row r="5" spans="2:7" x14ac:dyDescent="0.35">
      <c r="B5" s="71" t="s">
        <v>2</v>
      </c>
      <c r="C5" s="72">
        <f>J23</f>
        <v>3778.75</v>
      </c>
      <c r="F5" s="92"/>
      <c r="G5" s="92"/>
    </row>
    <row r="6" spans="2:7" x14ac:dyDescent="0.35">
      <c r="B6" s="71" t="s">
        <v>7</v>
      </c>
      <c r="C6" s="72">
        <f>J4</f>
        <v>0</v>
      </c>
      <c r="F6" s="92"/>
      <c r="G6" s="92"/>
    </row>
    <row r="7" spans="2:7" x14ac:dyDescent="0.35">
      <c r="B7" s="71" t="s">
        <v>13</v>
      </c>
      <c r="C7" s="72">
        <f>J50</f>
        <v>51.5</v>
      </c>
      <c r="F7" s="92"/>
      <c r="G7" s="92"/>
    </row>
    <row r="8" spans="2:7" x14ac:dyDescent="0.35">
      <c r="B8" s="71" t="s">
        <v>3</v>
      </c>
      <c r="C8" s="72">
        <f>J78</f>
        <v>0</v>
      </c>
      <c r="F8" s="92"/>
      <c r="G8" s="92"/>
    </row>
    <row r="9" spans="2:7" x14ac:dyDescent="0.35">
      <c r="B9" s="71" t="s">
        <v>4</v>
      </c>
      <c r="C9" s="72">
        <f>J122</f>
        <v>298.56999999999994</v>
      </c>
      <c r="F9" s="92"/>
      <c r="G9" s="92"/>
    </row>
    <row r="10" spans="2:7" x14ac:dyDescent="0.35">
      <c r="B10" s="71" t="s">
        <v>199</v>
      </c>
      <c r="C10" s="72">
        <f>J176</f>
        <v>0</v>
      </c>
      <c r="F10" s="92"/>
      <c r="G10" s="92"/>
    </row>
    <row r="11" spans="2:7" x14ac:dyDescent="0.35">
      <c r="B11" s="71" t="s">
        <v>200</v>
      </c>
      <c r="C11" s="72">
        <f>J187</f>
        <v>40.44</v>
      </c>
      <c r="F11" s="92"/>
      <c r="G11" s="92"/>
    </row>
    <row r="12" spans="2:7" x14ac:dyDescent="0.35">
      <c r="B12" s="71" t="s">
        <v>201</v>
      </c>
      <c r="C12" s="72">
        <f>J193</f>
        <v>0</v>
      </c>
      <c r="F12" s="92"/>
      <c r="G12" s="92"/>
    </row>
    <row r="13" spans="2:7" x14ac:dyDescent="0.35">
      <c r="B13" s="71" t="s">
        <v>202</v>
      </c>
      <c r="C13" s="72">
        <f>J195</f>
        <v>201.96</v>
      </c>
      <c r="F13" s="92"/>
      <c r="G13" s="92"/>
    </row>
    <row r="14" spans="2:7" x14ac:dyDescent="0.35">
      <c r="B14" s="71" t="s">
        <v>203</v>
      </c>
      <c r="C14" s="72">
        <f>J208</f>
        <v>731.47500000000002</v>
      </c>
      <c r="F14" s="92"/>
      <c r="G14" s="92"/>
    </row>
    <row r="15" spans="2:7" x14ac:dyDescent="0.35">
      <c r="B15" s="71" t="s">
        <v>12</v>
      </c>
      <c r="C15" s="72">
        <f>J214</f>
        <v>0</v>
      </c>
      <c r="F15" s="92"/>
      <c r="G15" s="92"/>
    </row>
    <row r="16" spans="2:7" x14ac:dyDescent="0.35">
      <c r="B16" s="71" t="s">
        <v>204</v>
      </c>
      <c r="C16" s="72">
        <f>J222</f>
        <v>208</v>
      </c>
      <c r="F16" s="92"/>
      <c r="G16" s="92"/>
    </row>
    <row r="17" spans="1:11" x14ac:dyDescent="0.35">
      <c r="B17" s="71" t="s">
        <v>9</v>
      </c>
      <c r="C17" s="72">
        <f>J224</f>
        <v>226.2</v>
      </c>
      <c r="F17" s="92"/>
      <c r="G17" s="92"/>
    </row>
    <row r="18" spans="1:11" x14ac:dyDescent="0.35">
      <c r="B18" s="71" t="s">
        <v>205</v>
      </c>
      <c r="C18" s="72">
        <f>J245</f>
        <v>247.67000000000002</v>
      </c>
      <c r="F18" s="92"/>
      <c r="G18" s="92"/>
    </row>
    <row r="19" spans="1:11" x14ac:dyDescent="0.35">
      <c r="B19" s="71" t="s">
        <v>56</v>
      </c>
      <c r="C19" s="72">
        <f>J257</f>
        <v>0</v>
      </c>
      <c r="F19" s="92"/>
      <c r="G19" s="92"/>
    </row>
    <row r="20" spans="1:11" x14ac:dyDescent="0.35">
      <c r="B20" s="73" t="s">
        <v>14</v>
      </c>
      <c r="C20" s="74">
        <f>C5+C6+C7+C8+C9+C10+C11+C12+C13+C14+C15+C16+C17+C18+C19</f>
        <v>5784.5649999999996</v>
      </c>
      <c r="F20" s="93"/>
      <c r="G20" s="93"/>
    </row>
    <row r="21" spans="1:11" ht="18.75" customHeight="1" x14ac:dyDescent="0.45">
      <c r="A21" s="76" t="s">
        <v>207</v>
      </c>
      <c r="B21" s="76"/>
      <c r="C21" s="76"/>
      <c r="D21" s="76"/>
      <c r="E21" s="167"/>
      <c r="F21" s="76"/>
      <c r="G21" s="76"/>
      <c r="H21" s="76"/>
      <c r="I21" s="262"/>
      <c r="J21" s="76"/>
    </row>
    <row r="22" spans="1:11" ht="14.25" customHeight="1" x14ac:dyDescent="0.35">
      <c r="A22" s="129"/>
      <c r="B22" s="129" t="s">
        <v>15</v>
      </c>
      <c r="C22" s="129" t="s">
        <v>16</v>
      </c>
      <c r="D22" s="130" t="s">
        <v>398</v>
      </c>
      <c r="E22" s="168" t="s">
        <v>401</v>
      </c>
      <c r="F22" s="130" t="s">
        <v>399</v>
      </c>
      <c r="G22" s="164" t="s">
        <v>400</v>
      </c>
      <c r="H22" s="132" t="s">
        <v>406</v>
      </c>
      <c r="I22" s="341" t="s">
        <v>45</v>
      </c>
      <c r="J22" s="132" t="s">
        <v>402</v>
      </c>
    </row>
    <row r="23" spans="1:11" s="6" customFormat="1" ht="15.5" x14ac:dyDescent="0.35">
      <c r="A23" s="108" t="s">
        <v>208</v>
      </c>
      <c r="B23" s="108"/>
      <c r="C23" s="108"/>
      <c r="D23" s="108"/>
      <c r="E23" s="169" t="s">
        <v>421</v>
      </c>
      <c r="F23" s="108"/>
      <c r="G23" s="108"/>
      <c r="H23" s="108"/>
      <c r="I23" s="110" t="s">
        <v>18</v>
      </c>
      <c r="J23" s="107">
        <f>SUM(J24:J40)</f>
        <v>3778.75</v>
      </c>
    </row>
    <row r="24" spans="1:11" x14ac:dyDescent="0.35">
      <c r="A24" s="103"/>
      <c r="B24" s="7" t="s">
        <v>2</v>
      </c>
      <c r="C24" s="14" t="s">
        <v>19</v>
      </c>
      <c r="D24" s="152">
        <v>2</v>
      </c>
      <c r="E24" s="170">
        <v>3</v>
      </c>
      <c r="F24" s="95"/>
      <c r="G24" s="153" t="str">
        <f>IF(E24="","",IF(D24-E24&gt;0,D24-E24,""))</f>
        <v/>
      </c>
      <c r="H24" s="10" t="s">
        <v>20</v>
      </c>
      <c r="I24" s="331">
        <v>55.95</v>
      </c>
      <c r="J24" s="12">
        <f t="shared" ref="J24:J40" si="0">E24*I24</f>
        <v>167.85000000000002</v>
      </c>
      <c r="K24" s="13"/>
    </row>
    <row r="25" spans="1:11" hidden="1" x14ac:dyDescent="0.35">
      <c r="A25" s="103"/>
      <c r="B25" s="7" t="s">
        <v>2</v>
      </c>
      <c r="C25" s="14" t="s">
        <v>209</v>
      </c>
      <c r="D25" s="152"/>
      <c r="E25" s="170"/>
      <c r="F25" s="95"/>
      <c r="G25" s="153" t="str">
        <f t="shared" ref="G25:G88" si="1">IF(E25="","",IF(D25-E25&gt;0,D25-E25,""))</f>
        <v/>
      </c>
      <c r="H25" s="10" t="s">
        <v>20</v>
      </c>
      <c r="I25" s="331">
        <v>173.1</v>
      </c>
      <c r="J25" s="12">
        <f t="shared" si="0"/>
        <v>0</v>
      </c>
      <c r="K25" s="13"/>
    </row>
    <row r="26" spans="1:11" x14ac:dyDescent="0.35">
      <c r="A26" s="103"/>
      <c r="B26" s="12" t="s">
        <v>2</v>
      </c>
      <c r="C26" s="10" t="s">
        <v>21</v>
      </c>
      <c r="D26" s="152">
        <v>20</v>
      </c>
      <c r="E26" s="170">
        <v>31</v>
      </c>
      <c r="F26" s="95"/>
      <c r="G26" s="153" t="str">
        <f t="shared" si="1"/>
        <v/>
      </c>
      <c r="H26" s="10" t="s">
        <v>20</v>
      </c>
      <c r="I26" s="331">
        <v>75.400000000000006</v>
      </c>
      <c r="J26" s="12">
        <f t="shared" si="0"/>
        <v>2337.4</v>
      </c>
      <c r="K26" s="13"/>
    </row>
    <row r="27" spans="1:11" ht="14.5" customHeight="1" x14ac:dyDescent="0.35">
      <c r="A27" s="103"/>
      <c r="B27" s="12" t="s">
        <v>2</v>
      </c>
      <c r="C27" s="10" t="s">
        <v>210</v>
      </c>
      <c r="D27" s="152">
        <v>20</v>
      </c>
      <c r="E27" s="170">
        <v>15</v>
      </c>
      <c r="F27" s="95"/>
      <c r="G27" s="153">
        <f t="shared" si="1"/>
        <v>5</v>
      </c>
      <c r="H27" s="10" t="s">
        <v>20</v>
      </c>
      <c r="I27" s="331">
        <v>84.9</v>
      </c>
      <c r="J27" s="12">
        <f t="shared" si="0"/>
        <v>1273.5</v>
      </c>
      <c r="K27" s="13"/>
    </row>
    <row r="28" spans="1:11" ht="14.5" hidden="1" customHeight="1" x14ac:dyDescent="0.35">
      <c r="A28" s="103"/>
      <c r="B28" s="12" t="s">
        <v>2</v>
      </c>
      <c r="C28" s="10" t="s">
        <v>211</v>
      </c>
      <c r="D28" s="152"/>
      <c r="E28" s="170"/>
      <c r="F28" s="95"/>
      <c r="G28" s="153" t="str">
        <f t="shared" si="1"/>
        <v/>
      </c>
      <c r="H28" s="10" t="s">
        <v>20</v>
      </c>
      <c r="I28" s="331">
        <v>2.96</v>
      </c>
      <c r="J28" s="12">
        <f t="shared" si="0"/>
        <v>0</v>
      </c>
      <c r="K28" s="13"/>
    </row>
    <row r="29" spans="1:11" ht="14.5" hidden="1" customHeight="1" x14ac:dyDescent="0.35">
      <c r="A29" s="103"/>
      <c r="B29" s="12" t="s">
        <v>2</v>
      </c>
      <c r="C29" s="10" t="s">
        <v>212</v>
      </c>
      <c r="D29" s="152"/>
      <c r="E29" s="170"/>
      <c r="F29" s="95"/>
      <c r="G29" s="153" t="str">
        <f t="shared" si="1"/>
        <v/>
      </c>
      <c r="H29" s="10" t="s">
        <v>20</v>
      </c>
      <c r="I29" s="331">
        <v>2.96</v>
      </c>
      <c r="J29" s="12">
        <f t="shared" si="0"/>
        <v>0</v>
      </c>
      <c r="K29" s="13"/>
    </row>
    <row r="30" spans="1:11" ht="15.75" hidden="1" customHeight="1" x14ac:dyDescent="0.35">
      <c r="A30" s="103"/>
      <c r="B30" s="12" t="s">
        <v>2</v>
      </c>
      <c r="C30" s="10" t="s">
        <v>213</v>
      </c>
      <c r="D30" s="152"/>
      <c r="E30" s="170"/>
      <c r="F30" s="95"/>
      <c r="G30" s="153" t="str">
        <f t="shared" si="1"/>
        <v/>
      </c>
      <c r="H30" s="10" t="s">
        <v>20</v>
      </c>
      <c r="I30" s="331">
        <v>2.96</v>
      </c>
      <c r="J30" s="12">
        <f t="shared" si="0"/>
        <v>0</v>
      </c>
      <c r="K30" s="13"/>
    </row>
    <row r="31" spans="1:11" hidden="1" x14ac:dyDescent="0.35">
      <c r="A31" s="103"/>
      <c r="B31" s="7" t="s">
        <v>2</v>
      </c>
      <c r="C31" s="14" t="s">
        <v>22</v>
      </c>
      <c r="D31" s="152"/>
      <c r="E31" s="170"/>
      <c r="F31" s="95"/>
      <c r="G31" s="153" t="str">
        <f t="shared" si="1"/>
        <v/>
      </c>
      <c r="H31" s="10" t="s">
        <v>20</v>
      </c>
      <c r="I31" s="331">
        <v>107.2</v>
      </c>
      <c r="J31" s="12">
        <f t="shared" si="0"/>
        <v>0</v>
      </c>
      <c r="K31" s="13"/>
    </row>
    <row r="32" spans="1:11" ht="14.5" hidden="1" customHeight="1" x14ac:dyDescent="0.35">
      <c r="A32" s="103"/>
      <c r="B32" s="7" t="s">
        <v>2</v>
      </c>
      <c r="C32" s="14" t="s">
        <v>214</v>
      </c>
      <c r="D32" s="152"/>
      <c r="E32" s="170"/>
      <c r="F32" s="95"/>
      <c r="G32" s="153" t="str">
        <f t="shared" si="1"/>
        <v/>
      </c>
      <c r="H32" s="10" t="s">
        <v>20</v>
      </c>
      <c r="I32" s="331">
        <v>170.7</v>
      </c>
      <c r="J32" s="12">
        <f t="shared" si="0"/>
        <v>0</v>
      </c>
      <c r="K32" s="13"/>
    </row>
    <row r="33" spans="1:11" ht="14.5" hidden="1" customHeight="1" x14ac:dyDescent="0.35">
      <c r="A33" s="103"/>
      <c r="B33" s="12" t="s">
        <v>2</v>
      </c>
      <c r="C33" s="10" t="s">
        <v>215</v>
      </c>
      <c r="D33" s="152"/>
      <c r="E33" s="170"/>
      <c r="F33" s="95"/>
      <c r="G33" s="153" t="str">
        <f t="shared" si="1"/>
        <v/>
      </c>
      <c r="H33" s="10" t="s">
        <v>216</v>
      </c>
      <c r="I33" s="331">
        <v>3.77</v>
      </c>
      <c r="J33" s="12">
        <f t="shared" si="0"/>
        <v>0</v>
      </c>
      <c r="K33" s="13"/>
    </row>
    <row r="34" spans="1:11" s="6" customFormat="1" ht="15.65" hidden="1" customHeight="1" x14ac:dyDescent="0.35">
      <c r="A34" s="103"/>
      <c r="B34" s="12" t="s">
        <v>2</v>
      </c>
      <c r="C34" s="10" t="s">
        <v>217</v>
      </c>
      <c r="D34" s="152"/>
      <c r="E34" s="170"/>
      <c r="F34" s="95"/>
      <c r="G34" s="153" t="str">
        <f t="shared" si="1"/>
        <v/>
      </c>
      <c r="H34" s="10" t="s">
        <v>20</v>
      </c>
      <c r="I34" s="331">
        <v>2.56</v>
      </c>
      <c r="J34" s="12">
        <f t="shared" si="0"/>
        <v>0</v>
      </c>
    </row>
    <row r="35" spans="1:11" ht="14.5" hidden="1" customHeight="1" x14ac:dyDescent="0.35">
      <c r="A35" s="103"/>
      <c r="B35" s="12" t="s">
        <v>2</v>
      </c>
      <c r="C35" s="10" t="s">
        <v>218</v>
      </c>
      <c r="D35" s="152"/>
      <c r="E35" s="170"/>
      <c r="F35" s="95"/>
      <c r="G35" s="153" t="str">
        <f t="shared" si="1"/>
        <v/>
      </c>
      <c r="H35" s="10" t="s">
        <v>20</v>
      </c>
      <c r="I35" s="331">
        <v>3.08</v>
      </c>
      <c r="J35" s="12">
        <f t="shared" si="0"/>
        <v>0</v>
      </c>
      <c r="K35" s="13"/>
    </row>
    <row r="36" spans="1:11" ht="14.5" hidden="1" customHeight="1" x14ac:dyDescent="0.35">
      <c r="A36" s="103"/>
      <c r="B36" s="12" t="s">
        <v>2</v>
      </c>
      <c r="C36" s="10" t="s">
        <v>219</v>
      </c>
      <c r="D36" s="152"/>
      <c r="E36" s="170"/>
      <c r="F36" s="95"/>
      <c r="G36" s="153" t="str">
        <f t="shared" si="1"/>
        <v/>
      </c>
      <c r="H36" s="10" t="s">
        <v>20</v>
      </c>
      <c r="I36" s="331">
        <v>2.56</v>
      </c>
      <c r="J36" s="12">
        <f t="shared" si="0"/>
        <v>0</v>
      </c>
      <c r="K36" s="13"/>
    </row>
    <row r="37" spans="1:11" hidden="1" x14ac:dyDescent="0.35">
      <c r="A37" s="103"/>
      <c r="B37" s="12" t="s">
        <v>2</v>
      </c>
      <c r="C37" s="10" t="s">
        <v>220</v>
      </c>
      <c r="D37" s="152"/>
      <c r="E37" s="170"/>
      <c r="F37" s="95"/>
      <c r="G37" s="153" t="str">
        <f t="shared" si="1"/>
        <v/>
      </c>
      <c r="H37" s="10" t="s">
        <v>20</v>
      </c>
      <c r="I37" s="331">
        <v>1.41</v>
      </c>
      <c r="J37" s="12">
        <f t="shared" si="0"/>
        <v>0</v>
      </c>
      <c r="K37" s="13"/>
    </row>
    <row r="38" spans="1:11" hidden="1" x14ac:dyDescent="0.35">
      <c r="A38" s="103"/>
      <c r="B38" s="12" t="s">
        <v>2</v>
      </c>
      <c r="C38" s="10" t="s">
        <v>221</v>
      </c>
      <c r="D38" s="152"/>
      <c r="E38" s="170"/>
      <c r="F38" s="95"/>
      <c r="G38" s="153" t="str">
        <f t="shared" si="1"/>
        <v/>
      </c>
      <c r="H38" s="10" t="s">
        <v>20</v>
      </c>
      <c r="I38" s="331">
        <v>1.73</v>
      </c>
      <c r="J38" s="12">
        <f t="shared" si="0"/>
        <v>0</v>
      </c>
      <c r="K38" s="13"/>
    </row>
    <row r="39" spans="1:11" hidden="1" x14ac:dyDescent="0.35">
      <c r="A39" s="103"/>
      <c r="B39" s="12" t="s">
        <v>2</v>
      </c>
      <c r="C39" s="10" t="s">
        <v>222</v>
      </c>
      <c r="D39" s="152"/>
      <c r="E39" s="170"/>
      <c r="F39" s="95"/>
      <c r="G39" s="153" t="str">
        <f t="shared" si="1"/>
        <v/>
      </c>
      <c r="H39" s="10" t="s">
        <v>20</v>
      </c>
      <c r="I39" s="331">
        <v>1.46</v>
      </c>
      <c r="J39" s="12">
        <f t="shared" si="0"/>
        <v>0</v>
      </c>
      <c r="K39" s="13"/>
    </row>
    <row r="40" spans="1:11" ht="14.5" hidden="1" customHeight="1" x14ac:dyDescent="0.35">
      <c r="A40" s="103"/>
      <c r="B40" s="12" t="s">
        <v>2</v>
      </c>
      <c r="C40" s="10" t="s">
        <v>223</v>
      </c>
      <c r="D40" s="222"/>
      <c r="E40" s="170"/>
      <c r="F40" s="141"/>
      <c r="G40" s="153" t="str">
        <f t="shared" si="1"/>
        <v/>
      </c>
      <c r="H40" s="10" t="s">
        <v>20</v>
      </c>
      <c r="I40" s="332">
        <v>3.45</v>
      </c>
      <c r="J40" s="12">
        <f t="shared" si="0"/>
        <v>0</v>
      </c>
      <c r="K40" s="13"/>
    </row>
    <row r="41" spans="1:11" s="6" customFormat="1" ht="15.65" customHeight="1" x14ac:dyDescent="0.35">
      <c r="A41" s="108" t="s">
        <v>119</v>
      </c>
      <c r="B41" s="108"/>
      <c r="C41" s="108"/>
      <c r="D41" s="223"/>
      <c r="E41" s="169"/>
      <c r="F41" s="109"/>
      <c r="G41" s="165" t="str">
        <f t="shared" si="1"/>
        <v/>
      </c>
      <c r="H41" s="108"/>
      <c r="I41" s="106" t="s">
        <v>18</v>
      </c>
      <c r="J41" s="107">
        <f>SUM(J42:J49)</f>
        <v>2605</v>
      </c>
    </row>
    <row r="42" spans="1:11" ht="14.5" customHeight="1" x14ac:dyDescent="0.35">
      <c r="A42" s="103"/>
      <c r="B42" s="12" t="s">
        <v>7</v>
      </c>
      <c r="C42" s="10" t="s">
        <v>224</v>
      </c>
      <c r="D42" s="152"/>
      <c r="E42" s="166">
        <f>E24</f>
        <v>3</v>
      </c>
      <c r="F42" s="95"/>
      <c r="G42" s="153" t="str">
        <f t="shared" si="1"/>
        <v/>
      </c>
      <c r="H42" s="10" t="s">
        <v>20</v>
      </c>
      <c r="I42" s="331">
        <v>100</v>
      </c>
      <c r="J42" s="12">
        <f t="shared" ref="J42:J49" si="2">E42*I42</f>
        <v>300</v>
      </c>
      <c r="K42" s="13"/>
    </row>
    <row r="43" spans="1:11" hidden="1" x14ac:dyDescent="0.35">
      <c r="A43" s="103"/>
      <c r="B43" s="12" t="s">
        <v>7</v>
      </c>
      <c r="C43" s="10" t="s">
        <v>225</v>
      </c>
      <c r="D43" s="152"/>
      <c r="E43" s="170"/>
      <c r="F43" s="95"/>
      <c r="G43" s="153" t="str">
        <f t="shared" si="1"/>
        <v/>
      </c>
      <c r="H43" s="10" t="s">
        <v>20</v>
      </c>
      <c r="I43" s="331">
        <v>12.2</v>
      </c>
      <c r="J43" s="12">
        <f t="shared" si="2"/>
        <v>0</v>
      </c>
      <c r="K43" s="13"/>
    </row>
    <row r="44" spans="1:11" ht="14.5" hidden="1" customHeight="1" x14ac:dyDescent="0.35">
      <c r="A44" s="103"/>
      <c r="B44" s="12" t="s">
        <v>7</v>
      </c>
      <c r="C44" s="10" t="s">
        <v>226</v>
      </c>
      <c r="D44" s="152"/>
      <c r="E44" s="170"/>
      <c r="F44" s="95"/>
      <c r="G44" s="153" t="str">
        <f t="shared" si="1"/>
        <v/>
      </c>
      <c r="H44" s="10" t="s">
        <v>20</v>
      </c>
      <c r="I44" s="331">
        <v>11</v>
      </c>
      <c r="J44" s="12">
        <f t="shared" si="2"/>
        <v>0</v>
      </c>
      <c r="K44" s="88"/>
    </row>
    <row r="45" spans="1:11" hidden="1" x14ac:dyDescent="0.35">
      <c r="A45" s="103"/>
      <c r="B45" s="12" t="s">
        <v>7</v>
      </c>
      <c r="C45" s="10" t="s">
        <v>227</v>
      </c>
      <c r="D45" s="152"/>
      <c r="E45" s="170"/>
      <c r="F45" s="95"/>
      <c r="G45" s="153" t="str">
        <f t="shared" si="1"/>
        <v/>
      </c>
      <c r="H45" s="10" t="s">
        <v>20</v>
      </c>
      <c r="I45" s="331">
        <v>5</v>
      </c>
      <c r="J45" s="12">
        <f t="shared" si="2"/>
        <v>0</v>
      </c>
      <c r="K45" s="13" t="s">
        <v>47</v>
      </c>
    </row>
    <row r="46" spans="1:11" x14ac:dyDescent="0.35">
      <c r="A46" s="103"/>
      <c r="B46" s="12" t="s">
        <v>7</v>
      </c>
      <c r="C46" s="10" t="s">
        <v>46</v>
      </c>
      <c r="D46" s="152"/>
      <c r="E46" s="170">
        <v>1</v>
      </c>
      <c r="F46" s="95"/>
      <c r="G46" s="153" t="str">
        <f t="shared" si="1"/>
        <v/>
      </c>
      <c r="H46" s="10" t="s">
        <v>20</v>
      </c>
      <c r="I46" s="331">
        <v>5</v>
      </c>
      <c r="J46" s="12">
        <f t="shared" si="2"/>
        <v>5</v>
      </c>
      <c r="K46" s="13"/>
    </row>
    <row r="47" spans="1:11" ht="14.5" hidden="1" customHeight="1" x14ac:dyDescent="0.35">
      <c r="A47" s="103"/>
      <c r="B47" s="12" t="s">
        <v>7</v>
      </c>
      <c r="C47" s="10" t="s">
        <v>228</v>
      </c>
      <c r="D47" s="152"/>
      <c r="E47" s="170"/>
      <c r="F47" s="95"/>
      <c r="G47" s="153" t="str">
        <f t="shared" si="1"/>
        <v/>
      </c>
      <c r="H47" s="10" t="s">
        <v>20</v>
      </c>
      <c r="I47" s="331">
        <v>11</v>
      </c>
      <c r="J47" s="12">
        <f t="shared" si="2"/>
        <v>0</v>
      </c>
      <c r="K47" s="13"/>
    </row>
    <row r="48" spans="1:11" ht="16.399999999999999" customHeight="1" x14ac:dyDescent="0.35">
      <c r="A48" s="103"/>
      <c r="B48" s="12" t="s">
        <v>7</v>
      </c>
      <c r="C48" s="10" t="s">
        <v>229</v>
      </c>
      <c r="D48" s="152"/>
      <c r="E48" s="166">
        <f>E27+E26</f>
        <v>46</v>
      </c>
      <c r="F48" s="95"/>
      <c r="G48" s="153" t="str">
        <f t="shared" si="1"/>
        <v/>
      </c>
      <c r="H48" s="10" t="s">
        <v>20</v>
      </c>
      <c r="I48" s="331">
        <v>50</v>
      </c>
      <c r="J48" s="12">
        <f t="shared" si="2"/>
        <v>2300</v>
      </c>
      <c r="K48" s="13"/>
    </row>
    <row r="49" spans="1:11" hidden="1" x14ac:dyDescent="0.35">
      <c r="A49" s="103"/>
      <c r="B49" s="12" t="s">
        <v>7</v>
      </c>
      <c r="C49" s="78" t="s">
        <v>206</v>
      </c>
      <c r="D49" s="224"/>
      <c r="E49" s="170"/>
      <c r="F49" s="142"/>
      <c r="G49" s="153" t="str">
        <f t="shared" si="1"/>
        <v/>
      </c>
      <c r="H49" s="10" t="s">
        <v>20</v>
      </c>
      <c r="I49" s="333">
        <v>5</v>
      </c>
      <c r="J49" s="12">
        <f t="shared" si="2"/>
        <v>0</v>
      </c>
      <c r="K49" s="13"/>
    </row>
    <row r="50" spans="1:11" ht="14.5" customHeight="1" x14ac:dyDescent="0.35">
      <c r="A50" s="103"/>
      <c r="B50" s="104" t="s">
        <v>230</v>
      </c>
      <c r="C50" s="105"/>
      <c r="D50" s="225"/>
      <c r="E50" s="171"/>
      <c r="F50" s="143"/>
      <c r="G50" s="165" t="str">
        <f t="shared" si="1"/>
        <v/>
      </c>
      <c r="H50" s="105"/>
      <c r="I50" s="106" t="s">
        <v>18</v>
      </c>
      <c r="J50" s="107">
        <f>SUM(J52:J77)</f>
        <v>51.5</v>
      </c>
      <c r="K50" s="13"/>
    </row>
    <row r="51" spans="1:11" ht="14.5" customHeight="1" x14ac:dyDescent="0.35">
      <c r="A51" s="111"/>
      <c r="B51" s="126" t="s">
        <v>231</v>
      </c>
      <c r="C51" s="127"/>
      <c r="D51" s="226"/>
      <c r="E51" s="172"/>
      <c r="F51" s="144"/>
      <c r="G51" s="165" t="str">
        <f t="shared" si="1"/>
        <v/>
      </c>
      <c r="H51" s="127"/>
      <c r="I51" s="239"/>
      <c r="J51" s="128"/>
      <c r="K51" s="13"/>
    </row>
    <row r="52" spans="1:11" ht="14.5" hidden="1" customHeight="1" x14ac:dyDescent="0.35">
      <c r="A52" s="103"/>
      <c r="B52" s="12" t="s">
        <v>13</v>
      </c>
      <c r="C52" s="10" t="s">
        <v>78</v>
      </c>
      <c r="D52" s="152"/>
      <c r="E52" s="170"/>
      <c r="F52" s="95"/>
      <c r="G52" s="153" t="str">
        <f t="shared" si="1"/>
        <v/>
      </c>
      <c r="H52" s="10" t="s">
        <v>20</v>
      </c>
      <c r="I52" s="331">
        <v>13</v>
      </c>
      <c r="J52" s="12">
        <f t="shared" ref="J52:J58" si="3">E52*I52</f>
        <v>0</v>
      </c>
      <c r="K52" s="13"/>
    </row>
    <row r="53" spans="1:11" hidden="1" x14ac:dyDescent="0.35">
      <c r="A53" s="103"/>
      <c r="B53" s="12" t="s">
        <v>13</v>
      </c>
      <c r="C53" s="10" t="s">
        <v>232</v>
      </c>
      <c r="D53" s="152"/>
      <c r="E53" s="170"/>
      <c r="F53" s="95"/>
      <c r="G53" s="153" t="str">
        <f t="shared" si="1"/>
        <v/>
      </c>
      <c r="H53" s="10" t="s">
        <v>20</v>
      </c>
      <c r="I53" s="331">
        <v>13</v>
      </c>
      <c r="J53" s="12">
        <f t="shared" si="3"/>
        <v>0</v>
      </c>
      <c r="K53" s="134"/>
    </row>
    <row r="54" spans="1:11" hidden="1" x14ac:dyDescent="0.35">
      <c r="A54" s="103"/>
      <c r="B54" s="12" t="s">
        <v>13</v>
      </c>
      <c r="C54" s="10" t="s">
        <v>233</v>
      </c>
      <c r="D54" s="152"/>
      <c r="E54" s="170"/>
      <c r="F54" s="95"/>
      <c r="G54" s="153" t="str">
        <f t="shared" si="1"/>
        <v/>
      </c>
      <c r="H54" s="10" t="s">
        <v>20</v>
      </c>
      <c r="I54" s="331">
        <v>8.9</v>
      </c>
      <c r="J54" s="12">
        <f t="shared" si="3"/>
        <v>0</v>
      </c>
      <c r="K54" s="13"/>
    </row>
    <row r="55" spans="1:11" x14ac:dyDescent="0.35">
      <c r="A55" s="103"/>
      <c r="B55" s="12" t="s">
        <v>13</v>
      </c>
      <c r="C55" s="10" t="s">
        <v>32</v>
      </c>
      <c r="D55" s="152">
        <v>6</v>
      </c>
      <c r="E55" s="170">
        <v>2</v>
      </c>
      <c r="F55" s="95"/>
      <c r="G55" s="153">
        <f t="shared" si="1"/>
        <v>4</v>
      </c>
      <c r="H55" s="10" t="s">
        <v>20</v>
      </c>
      <c r="I55" s="331">
        <v>8.35</v>
      </c>
      <c r="J55" s="12">
        <f t="shared" si="3"/>
        <v>16.7</v>
      </c>
      <c r="K55" s="13"/>
    </row>
    <row r="56" spans="1:11" s="6" customFormat="1" ht="15.65" customHeight="1" x14ac:dyDescent="0.35">
      <c r="A56" s="103"/>
      <c r="B56" s="12" t="s">
        <v>13</v>
      </c>
      <c r="C56" s="10" t="s">
        <v>33</v>
      </c>
      <c r="D56" s="152">
        <v>6</v>
      </c>
      <c r="E56" s="170"/>
      <c r="F56" s="95"/>
      <c r="G56" s="153" t="str">
        <f t="shared" si="1"/>
        <v/>
      </c>
      <c r="H56" s="10" t="s">
        <v>20</v>
      </c>
      <c r="I56" s="331">
        <v>8.9</v>
      </c>
      <c r="J56" s="12">
        <f t="shared" si="3"/>
        <v>0</v>
      </c>
    </row>
    <row r="57" spans="1:11" s="6" customFormat="1" ht="15.65" customHeight="1" x14ac:dyDescent="0.35">
      <c r="A57" s="103"/>
      <c r="B57" s="12" t="s">
        <v>13</v>
      </c>
      <c r="C57" s="10" t="s">
        <v>59</v>
      </c>
      <c r="D57" s="152">
        <v>6</v>
      </c>
      <c r="E57" s="170">
        <v>4</v>
      </c>
      <c r="F57" s="95"/>
      <c r="G57" s="153">
        <f t="shared" si="1"/>
        <v>2</v>
      </c>
      <c r="H57" s="10" t="s">
        <v>20</v>
      </c>
      <c r="I57" s="331">
        <v>8.6999999999999993</v>
      </c>
      <c r="J57" s="12">
        <f t="shared" si="3"/>
        <v>34.799999999999997</v>
      </c>
    </row>
    <row r="58" spans="1:11" ht="14.5" hidden="1" customHeight="1" x14ac:dyDescent="0.35">
      <c r="A58" s="103"/>
      <c r="B58" s="12" t="s">
        <v>13</v>
      </c>
      <c r="C58" s="10" t="s">
        <v>234</v>
      </c>
      <c r="D58" s="152"/>
      <c r="E58" s="170"/>
      <c r="F58" s="95"/>
      <c r="G58" s="153" t="str">
        <f t="shared" si="1"/>
        <v/>
      </c>
      <c r="H58" s="10" t="s">
        <v>20</v>
      </c>
      <c r="I58" s="331">
        <v>12.15</v>
      </c>
      <c r="J58" s="12">
        <f t="shared" si="3"/>
        <v>0</v>
      </c>
      <c r="K58" s="13"/>
    </row>
    <row r="59" spans="1:11" ht="14.5" hidden="1" customHeight="1" x14ac:dyDescent="0.35">
      <c r="A59" s="103"/>
      <c r="B59" s="12" t="s">
        <v>13</v>
      </c>
      <c r="C59" s="10" t="s">
        <v>235</v>
      </c>
      <c r="D59" s="152"/>
      <c r="E59" s="170"/>
      <c r="F59" s="95"/>
      <c r="G59" s="153" t="str">
        <f t="shared" si="1"/>
        <v/>
      </c>
      <c r="H59" s="10" t="s">
        <v>20</v>
      </c>
      <c r="I59" s="331">
        <v>11.35</v>
      </c>
      <c r="J59" s="12">
        <f t="shared" ref="J59:J64" si="4">E59*I59</f>
        <v>0</v>
      </c>
      <c r="K59" s="13"/>
    </row>
    <row r="60" spans="1:11" s="6" customFormat="1" ht="15.65" hidden="1" customHeight="1" x14ac:dyDescent="0.35">
      <c r="A60" s="103"/>
      <c r="B60" s="12" t="s">
        <v>13</v>
      </c>
      <c r="C60" s="10" t="s">
        <v>236</v>
      </c>
      <c r="D60" s="152"/>
      <c r="E60" s="170"/>
      <c r="F60" s="95"/>
      <c r="G60" s="153" t="str">
        <f t="shared" si="1"/>
        <v/>
      </c>
      <c r="H60" s="10" t="s">
        <v>20</v>
      </c>
      <c r="I60" s="331">
        <v>14.65</v>
      </c>
      <c r="J60" s="12">
        <f t="shared" si="4"/>
        <v>0</v>
      </c>
    </row>
    <row r="61" spans="1:11" ht="14.5" hidden="1" customHeight="1" x14ac:dyDescent="0.35">
      <c r="A61" s="103"/>
      <c r="B61" s="12" t="s">
        <v>13</v>
      </c>
      <c r="C61" s="10" t="s">
        <v>237</v>
      </c>
      <c r="D61" s="152"/>
      <c r="E61" s="170"/>
      <c r="F61" s="95"/>
      <c r="G61" s="153" t="str">
        <f t="shared" si="1"/>
        <v/>
      </c>
      <c r="H61" s="10" t="s">
        <v>20</v>
      </c>
      <c r="I61" s="331">
        <v>16.25</v>
      </c>
      <c r="J61" s="12">
        <f t="shared" si="4"/>
        <v>0</v>
      </c>
      <c r="K61" s="13"/>
    </row>
    <row r="62" spans="1:11" s="6" customFormat="1" ht="15.5" hidden="1" x14ac:dyDescent="0.35">
      <c r="A62" s="103"/>
      <c r="B62" s="12" t="s">
        <v>13</v>
      </c>
      <c r="C62" s="10" t="s">
        <v>238</v>
      </c>
      <c r="D62" s="152"/>
      <c r="E62" s="170"/>
      <c r="F62" s="95"/>
      <c r="G62" s="153" t="str">
        <f t="shared" si="1"/>
        <v/>
      </c>
      <c r="H62" s="10" t="s">
        <v>20</v>
      </c>
      <c r="I62" s="331">
        <v>17.899999999999999</v>
      </c>
      <c r="J62" s="12">
        <f t="shared" si="4"/>
        <v>0</v>
      </c>
    </row>
    <row r="63" spans="1:11" hidden="1" x14ac:dyDescent="0.35">
      <c r="A63" s="103"/>
      <c r="B63" s="12" t="s">
        <v>13</v>
      </c>
      <c r="C63" s="10" t="s">
        <v>239</v>
      </c>
      <c r="D63" s="152"/>
      <c r="E63" s="170"/>
      <c r="F63" s="95"/>
      <c r="G63" s="153" t="str">
        <f t="shared" si="1"/>
        <v/>
      </c>
      <c r="H63" s="10" t="s">
        <v>20</v>
      </c>
      <c r="I63" s="331">
        <v>15.95</v>
      </c>
      <c r="J63" s="12">
        <f t="shared" si="4"/>
        <v>0</v>
      </c>
      <c r="K63" s="13"/>
    </row>
    <row r="64" spans="1:11" ht="14.5" hidden="1" customHeight="1" x14ac:dyDescent="0.35">
      <c r="A64" s="103"/>
      <c r="B64" s="12" t="s">
        <v>13</v>
      </c>
      <c r="C64" s="10" t="s">
        <v>240</v>
      </c>
      <c r="D64" s="152"/>
      <c r="E64" s="170"/>
      <c r="F64" s="95"/>
      <c r="G64" s="153" t="str">
        <f t="shared" si="1"/>
        <v/>
      </c>
      <c r="H64" s="10" t="s">
        <v>20</v>
      </c>
      <c r="I64" s="331">
        <v>15.45</v>
      </c>
      <c r="J64" s="12">
        <f t="shared" si="4"/>
        <v>0</v>
      </c>
      <c r="K64" s="13"/>
    </row>
    <row r="65" spans="1:11" s="6" customFormat="1" ht="15.65" hidden="1" customHeight="1" x14ac:dyDescent="0.35">
      <c r="A65" s="111"/>
      <c r="B65" s="126" t="s">
        <v>241</v>
      </c>
      <c r="C65" s="127"/>
      <c r="D65" s="226"/>
      <c r="E65" s="172"/>
      <c r="F65" s="144"/>
      <c r="G65" s="153" t="str">
        <f t="shared" si="1"/>
        <v/>
      </c>
      <c r="H65" s="127"/>
      <c r="I65" s="239"/>
      <c r="J65" s="128"/>
    </row>
    <row r="66" spans="1:11" ht="14.5" hidden="1" customHeight="1" x14ac:dyDescent="0.35">
      <c r="A66" s="103"/>
      <c r="B66" s="12" t="s">
        <v>13</v>
      </c>
      <c r="C66" s="10" t="s">
        <v>242</v>
      </c>
      <c r="D66" s="152"/>
      <c r="E66" s="170"/>
      <c r="F66" s="95"/>
      <c r="G66" s="153" t="str">
        <f t="shared" si="1"/>
        <v/>
      </c>
      <c r="H66" s="10" t="s">
        <v>20</v>
      </c>
      <c r="I66" s="331">
        <v>31.05</v>
      </c>
      <c r="J66" s="12">
        <f t="shared" ref="J66:J72" si="5">E66*I66</f>
        <v>0</v>
      </c>
      <c r="K66" s="13"/>
    </row>
    <row r="67" spans="1:11" ht="14.5" hidden="1" customHeight="1" x14ac:dyDescent="0.35">
      <c r="A67" s="103"/>
      <c r="B67" s="12" t="s">
        <v>13</v>
      </c>
      <c r="C67" s="10" t="s">
        <v>243</v>
      </c>
      <c r="D67" s="152"/>
      <c r="E67" s="170"/>
      <c r="F67" s="95"/>
      <c r="G67" s="153" t="str">
        <f t="shared" si="1"/>
        <v/>
      </c>
      <c r="H67" s="10" t="s">
        <v>20</v>
      </c>
      <c r="I67" s="331">
        <v>60.79</v>
      </c>
      <c r="J67" s="12">
        <f t="shared" si="5"/>
        <v>0</v>
      </c>
      <c r="K67" s="13"/>
    </row>
    <row r="68" spans="1:11" hidden="1" x14ac:dyDescent="0.35">
      <c r="A68" s="103"/>
      <c r="B68" s="12" t="s">
        <v>13</v>
      </c>
      <c r="C68" s="10" t="s">
        <v>244</v>
      </c>
      <c r="D68" s="152"/>
      <c r="E68" s="170"/>
      <c r="F68" s="95"/>
      <c r="G68" s="153" t="str">
        <f t="shared" si="1"/>
        <v/>
      </c>
      <c r="H68" s="10" t="s">
        <v>20</v>
      </c>
      <c r="I68" s="331">
        <v>56.55</v>
      </c>
      <c r="J68" s="12">
        <f t="shared" si="5"/>
        <v>0</v>
      </c>
      <c r="K68" s="13"/>
    </row>
    <row r="69" spans="1:11" hidden="1" x14ac:dyDescent="0.35">
      <c r="A69" s="103"/>
      <c r="B69" s="12" t="s">
        <v>13</v>
      </c>
      <c r="C69" s="10" t="s">
        <v>245</v>
      </c>
      <c r="D69" s="152"/>
      <c r="E69" s="170"/>
      <c r="F69" s="95"/>
      <c r="G69" s="153" t="str">
        <f t="shared" si="1"/>
        <v/>
      </c>
      <c r="H69" s="10" t="s">
        <v>20</v>
      </c>
      <c r="I69" s="331">
        <v>107.44</v>
      </c>
      <c r="J69" s="12">
        <f t="shared" si="5"/>
        <v>0</v>
      </c>
      <c r="K69" s="13"/>
    </row>
    <row r="70" spans="1:11" ht="14.5" hidden="1" customHeight="1" x14ac:dyDescent="0.35">
      <c r="A70" s="103"/>
      <c r="B70" s="12" t="s">
        <v>13</v>
      </c>
      <c r="C70" s="10" t="s">
        <v>246</v>
      </c>
      <c r="D70" s="152"/>
      <c r="E70" s="170"/>
      <c r="F70" s="95"/>
      <c r="G70" s="153" t="str">
        <f t="shared" si="1"/>
        <v/>
      </c>
      <c r="H70" s="10" t="s">
        <v>20</v>
      </c>
      <c r="I70" s="331">
        <v>47.4</v>
      </c>
      <c r="J70" s="12">
        <f t="shared" si="5"/>
        <v>0</v>
      </c>
      <c r="K70" s="13"/>
    </row>
    <row r="71" spans="1:11" ht="15.65" hidden="1" customHeight="1" x14ac:dyDescent="0.35">
      <c r="A71" s="103"/>
      <c r="B71" s="12" t="s">
        <v>13</v>
      </c>
      <c r="C71" s="10" t="s">
        <v>247</v>
      </c>
      <c r="D71" s="152"/>
      <c r="E71" s="170"/>
      <c r="F71" s="95"/>
      <c r="G71" s="153" t="str">
        <f t="shared" si="1"/>
        <v/>
      </c>
      <c r="H71" s="10" t="s">
        <v>20</v>
      </c>
      <c r="I71" s="331">
        <v>87.63</v>
      </c>
      <c r="J71" s="12">
        <f t="shared" si="5"/>
        <v>0</v>
      </c>
      <c r="K71" s="13"/>
    </row>
    <row r="72" spans="1:11" hidden="1" x14ac:dyDescent="0.35">
      <c r="A72" s="103"/>
      <c r="B72" s="12" t="s">
        <v>13</v>
      </c>
      <c r="C72" s="10" t="s">
        <v>248</v>
      </c>
      <c r="D72" s="152"/>
      <c r="E72" s="170"/>
      <c r="F72" s="95"/>
      <c r="G72" s="153" t="str">
        <f t="shared" si="1"/>
        <v/>
      </c>
      <c r="H72" s="10" t="s">
        <v>20</v>
      </c>
      <c r="I72" s="331">
        <v>52.31</v>
      </c>
      <c r="J72" s="12">
        <f t="shared" si="5"/>
        <v>0</v>
      </c>
      <c r="K72" s="13"/>
    </row>
    <row r="73" spans="1:11" ht="16.399999999999999" hidden="1" customHeight="1" x14ac:dyDescent="0.35">
      <c r="A73" s="111"/>
      <c r="B73" s="126" t="s">
        <v>249</v>
      </c>
      <c r="C73" s="127"/>
      <c r="D73" s="226"/>
      <c r="E73" s="172"/>
      <c r="F73" s="144"/>
      <c r="G73" s="153" t="str">
        <f t="shared" si="1"/>
        <v/>
      </c>
      <c r="H73" s="127"/>
      <c r="I73" s="239"/>
      <c r="J73" s="128"/>
      <c r="K73" s="13"/>
    </row>
    <row r="74" spans="1:11" ht="14.5" hidden="1" customHeight="1" x14ac:dyDescent="0.35">
      <c r="A74" s="103"/>
      <c r="B74" s="12" t="s">
        <v>13</v>
      </c>
      <c r="C74" s="10" t="s">
        <v>250</v>
      </c>
      <c r="D74" s="152"/>
      <c r="E74" s="170"/>
      <c r="F74" s="95"/>
      <c r="G74" s="153" t="str">
        <f t="shared" si="1"/>
        <v/>
      </c>
      <c r="H74" s="10" t="s">
        <v>20</v>
      </c>
      <c r="I74" s="331">
        <v>10.8</v>
      </c>
      <c r="J74" s="12">
        <f>E74*I74</f>
        <v>0</v>
      </c>
      <c r="K74" s="13"/>
    </row>
    <row r="75" spans="1:11" ht="14.5" hidden="1" customHeight="1" x14ac:dyDescent="0.35">
      <c r="A75" s="103"/>
      <c r="B75" s="12" t="s">
        <v>13</v>
      </c>
      <c r="C75" s="10" t="s">
        <v>251</v>
      </c>
      <c r="D75" s="152"/>
      <c r="E75" s="170"/>
      <c r="F75" s="95"/>
      <c r="G75" s="153" t="str">
        <f t="shared" si="1"/>
        <v/>
      </c>
      <c r="H75" s="10" t="s">
        <v>20</v>
      </c>
      <c r="I75" s="331">
        <v>11.2</v>
      </c>
      <c r="J75" s="12">
        <f>E75*I75</f>
        <v>0</v>
      </c>
      <c r="K75" s="13"/>
    </row>
    <row r="76" spans="1:11" s="24" customFormat="1" ht="15.65" customHeight="1" x14ac:dyDescent="0.35">
      <c r="A76" s="103"/>
      <c r="B76" s="12" t="s">
        <v>13</v>
      </c>
      <c r="C76" s="10" t="s">
        <v>252</v>
      </c>
      <c r="D76" s="152"/>
      <c r="E76" s="170"/>
      <c r="F76" s="95"/>
      <c r="G76" s="153" t="str">
        <f t="shared" si="1"/>
        <v/>
      </c>
      <c r="H76" s="10" t="s">
        <v>23</v>
      </c>
      <c r="I76" s="331">
        <v>4.5599999999999996</v>
      </c>
      <c r="J76" s="12">
        <f>E76*I76</f>
        <v>0</v>
      </c>
    </row>
    <row r="77" spans="1:11" s="6" customFormat="1" ht="15.65" customHeight="1" x14ac:dyDescent="0.35">
      <c r="A77" s="103"/>
      <c r="B77" s="12" t="s">
        <v>13</v>
      </c>
      <c r="C77" s="10" t="s">
        <v>253</v>
      </c>
      <c r="D77" s="152"/>
      <c r="E77" s="170"/>
      <c r="F77" s="95"/>
      <c r="G77" s="153" t="str">
        <f t="shared" si="1"/>
        <v/>
      </c>
      <c r="H77" s="10" t="s">
        <v>23</v>
      </c>
      <c r="I77" s="331">
        <v>37.700000000000003</v>
      </c>
      <c r="J77" s="12">
        <f>E77*I77</f>
        <v>0</v>
      </c>
    </row>
    <row r="78" spans="1:11" ht="14.5" hidden="1" customHeight="1" x14ac:dyDescent="0.35">
      <c r="A78" s="108" t="s">
        <v>254</v>
      </c>
      <c r="B78" s="108"/>
      <c r="C78" s="108"/>
      <c r="D78" s="223"/>
      <c r="E78" s="169"/>
      <c r="F78" s="109"/>
      <c r="G78" s="153" t="str">
        <f t="shared" si="1"/>
        <v/>
      </c>
      <c r="H78" s="108"/>
      <c r="I78" s="110" t="s">
        <v>18</v>
      </c>
      <c r="J78" s="115">
        <f>SUM(J80:J121)</f>
        <v>0</v>
      </c>
    </row>
    <row r="79" spans="1:11" ht="14.5" hidden="1" customHeight="1" x14ac:dyDescent="0.35">
      <c r="A79" s="111"/>
      <c r="B79" s="126" t="s">
        <v>255</v>
      </c>
      <c r="C79" s="127"/>
      <c r="D79" s="226"/>
      <c r="E79" s="172"/>
      <c r="F79" s="144"/>
      <c r="G79" s="153" t="str">
        <f t="shared" si="1"/>
        <v/>
      </c>
      <c r="H79" s="127"/>
      <c r="I79" s="239"/>
      <c r="J79" s="128"/>
      <c r="K79" s="13"/>
    </row>
    <row r="80" spans="1:11" ht="14.5" hidden="1" customHeight="1" x14ac:dyDescent="0.35">
      <c r="A80" s="103"/>
      <c r="B80" s="12" t="s">
        <v>3</v>
      </c>
      <c r="C80" s="10" t="s">
        <v>256</v>
      </c>
      <c r="D80" s="152"/>
      <c r="E80" s="170"/>
      <c r="F80" s="95"/>
      <c r="G80" s="153" t="str">
        <f t="shared" si="1"/>
        <v/>
      </c>
      <c r="H80" s="10" t="s">
        <v>20</v>
      </c>
      <c r="I80" s="331">
        <v>32.950000000000003</v>
      </c>
      <c r="J80" s="12">
        <f t="shared" ref="J80:J86" si="6">E80*I80</f>
        <v>0</v>
      </c>
      <c r="K80" s="13"/>
    </row>
    <row r="81" spans="1:13" ht="14.5" hidden="1" customHeight="1" x14ac:dyDescent="0.35">
      <c r="A81" s="103"/>
      <c r="B81" s="12" t="s">
        <v>3</v>
      </c>
      <c r="C81" s="10" t="s">
        <v>257</v>
      </c>
      <c r="D81" s="152"/>
      <c r="E81" s="170"/>
      <c r="F81" s="95"/>
      <c r="G81" s="153" t="str">
        <f t="shared" si="1"/>
        <v/>
      </c>
      <c r="H81" s="10" t="s">
        <v>20</v>
      </c>
      <c r="I81" s="331">
        <v>56.95</v>
      </c>
      <c r="J81" s="12">
        <f t="shared" si="6"/>
        <v>0</v>
      </c>
      <c r="K81" s="13" t="s">
        <v>47</v>
      </c>
    </row>
    <row r="82" spans="1:13" ht="14.5" hidden="1" customHeight="1" x14ac:dyDescent="0.35">
      <c r="A82" s="103"/>
      <c r="B82" s="12" t="s">
        <v>3</v>
      </c>
      <c r="C82" s="10" t="s">
        <v>258</v>
      </c>
      <c r="D82" s="152"/>
      <c r="E82" s="170"/>
      <c r="F82" s="95"/>
      <c r="G82" s="153" t="str">
        <f t="shared" si="1"/>
        <v/>
      </c>
      <c r="H82" s="10" t="s">
        <v>20</v>
      </c>
      <c r="I82" s="331">
        <v>15.95</v>
      </c>
      <c r="J82" s="12">
        <f t="shared" si="6"/>
        <v>0</v>
      </c>
    </row>
    <row r="83" spans="1:13" ht="14.5" hidden="1" customHeight="1" x14ac:dyDescent="0.35">
      <c r="A83" s="103"/>
      <c r="B83" s="12" t="s">
        <v>3</v>
      </c>
      <c r="C83" s="10" t="s">
        <v>259</v>
      </c>
      <c r="D83" s="152"/>
      <c r="E83" s="170"/>
      <c r="F83" s="95"/>
      <c r="G83" s="153" t="str">
        <f t="shared" si="1"/>
        <v/>
      </c>
      <c r="H83" s="10" t="s">
        <v>20</v>
      </c>
      <c r="I83" s="331">
        <v>19.95</v>
      </c>
      <c r="J83" s="12">
        <f t="shared" si="6"/>
        <v>0</v>
      </c>
      <c r="K83" s="28"/>
    </row>
    <row r="84" spans="1:13" s="6" customFormat="1" ht="15.65" hidden="1" customHeight="1" x14ac:dyDescent="0.35">
      <c r="A84" s="103"/>
      <c r="B84" s="12" t="s">
        <v>3</v>
      </c>
      <c r="C84" s="10" t="s">
        <v>260</v>
      </c>
      <c r="D84" s="152"/>
      <c r="E84" s="170"/>
      <c r="F84" s="95"/>
      <c r="G84" s="153" t="str">
        <f t="shared" si="1"/>
        <v/>
      </c>
      <c r="H84" s="10" t="s">
        <v>20</v>
      </c>
      <c r="I84" s="331">
        <v>46.95</v>
      </c>
      <c r="J84" s="12">
        <f t="shared" si="6"/>
        <v>0</v>
      </c>
      <c r="K84" s="30"/>
    </row>
    <row r="85" spans="1:13" ht="14.5" hidden="1" customHeight="1" x14ac:dyDescent="0.35">
      <c r="A85" s="103"/>
      <c r="B85" s="12" t="s">
        <v>3</v>
      </c>
      <c r="C85" s="10" t="s">
        <v>261</v>
      </c>
      <c r="D85" s="152"/>
      <c r="E85" s="170"/>
      <c r="F85" s="95"/>
      <c r="G85" s="153" t="str">
        <f t="shared" si="1"/>
        <v/>
      </c>
      <c r="H85" s="10" t="s">
        <v>20</v>
      </c>
      <c r="I85" s="331">
        <v>34.950000000000003</v>
      </c>
      <c r="J85" s="12">
        <f t="shared" si="6"/>
        <v>0</v>
      </c>
      <c r="K85" s="28"/>
    </row>
    <row r="86" spans="1:13" s="6" customFormat="1" ht="15.65" hidden="1" customHeight="1" x14ac:dyDescent="0.35">
      <c r="A86" s="103"/>
      <c r="B86" s="12" t="s">
        <v>3</v>
      </c>
      <c r="C86" s="10" t="s">
        <v>262</v>
      </c>
      <c r="D86" s="152"/>
      <c r="E86" s="170"/>
      <c r="F86" s="95"/>
      <c r="G86" s="153" t="str">
        <f t="shared" si="1"/>
        <v/>
      </c>
      <c r="H86" s="10" t="s">
        <v>20</v>
      </c>
      <c r="I86" s="331">
        <v>24.95</v>
      </c>
      <c r="J86" s="12">
        <f t="shared" si="6"/>
        <v>0</v>
      </c>
    </row>
    <row r="87" spans="1:13" ht="15.5" hidden="1" x14ac:dyDescent="0.35">
      <c r="A87" s="111"/>
      <c r="B87" s="126" t="s">
        <v>263</v>
      </c>
      <c r="C87" s="127"/>
      <c r="D87" s="226"/>
      <c r="E87" s="172"/>
      <c r="F87" s="144"/>
      <c r="G87" s="153" t="str">
        <f t="shared" si="1"/>
        <v/>
      </c>
      <c r="H87" s="127"/>
      <c r="I87" s="239"/>
      <c r="J87" s="128"/>
      <c r="K87" s="28"/>
      <c r="M87" t="s">
        <v>47</v>
      </c>
    </row>
    <row r="88" spans="1:13" hidden="1" x14ac:dyDescent="0.35">
      <c r="A88" s="103"/>
      <c r="B88" s="12" t="s">
        <v>3</v>
      </c>
      <c r="C88" s="10" t="s">
        <v>264</v>
      </c>
      <c r="D88" s="152"/>
      <c r="E88" s="170"/>
      <c r="F88" s="95"/>
      <c r="G88" s="153" t="str">
        <f t="shared" si="1"/>
        <v/>
      </c>
      <c r="H88" s="10" t="s">
        <v>20</v>
      </c>
      <c r="I88" s="331">
        <v>19.5</v>
      </c>
      <c r="J88" s="12">
        <f t="shared" ref="J88:J94" si="7">E88*I88</f>
        <v>0</v>
      </c>
      <c r="K88" s="28"/>
    </row>
    <row r="89" spans="1:13" hidden="1" x14ac:dyDescent="0.35">
      <c r="A89" s="103"/>
      <c r="B89" s="12" t="s">
        <v>3</v>
      </c>
      <c r="C89" s="10" t="s">
        <v>265</v>
      </c>
      <c r="D89" s="152"/>
      <c r="E89" s="170"/>
      <c r="F89" s="95"/>
      <c r="G89" s="153" t="str">
        <f t="shared" ref="G89:G152" si="8">IF(E89="","",IF(D89-E89&gt;0,D89-E89,""))</f>
        <v/>
      </c>
      <c r="H89" s="10" t="s">
        <v>20</v>
      </c>
      <c r="I89" s="331">
        <v>16.95</v>
      </c>
      <c r="J89" s="12">
        <f t="shared" si="7"/>
        <v>0</v>
      </c>
      <c r="K89" s="28"/>
    </row>
    <row r="90" spans="1:13" hidden="1" x14ac:dyDescent="0.35">
      <c r="A90" s="103"/>
      <c r="B90" s="12" t="s">
        <v>3</v>
      </c>
      <c r="C90" s="10" t="s">
        <v>266</v>
      </c>
      <c r="D90" s="152"/>
      <c r="E90" s="170"/>
      <c r="F90" s="95"/>
      <c r="G90" s="153" t="str">
        <f t="shared" si="8"/>
        <v/>
      </c>
      <c r="H90" s="10" t="s">
        <v>20</v>
      </c>
      <c r="I90" s="331">
        <v>17.95</v>
      </c>
      <c r="J90" s="12">
        <f t="shared" si="7"/>
        <v>0</v>
      </c>
      <c r="K90" s="28"/>
    </row>
    <row r="91" spans="1:13" hidden="1" x14ac:dyDescent="0.35">
      <c r="A91" s="103"/>
      <c r="B91" s="12" t="s">
        <v>3</v>
      </c>
      <c r="C91" s="10" t="s">
        <v>267</v>
      </c>
      <c r="D91" s="152"/>
      <c r="E91" s="170"/>
      <c r="F91" s="95"/>
      <c r="G91" s="153" t="str">
        <f t="shared" si="8"/>
        <v/>
      </c>
      <c r="H91" s="10" t="s">
        <v>20</v>
      </c>
      <c r="I91" s="331">
        <v>15.95</v>
      </c>
      <c r="J91" s="12">
        <f t="shared" si="7"/>
        <v>0</v>
      </c>
      <c r="K91" s="28"/>
    </row>
    <row r="92" spans="1:13" s="6" customFormat="1" ht="15.5" hidden="1" x14ac:dyDescent="0.35">
      <c r="A92" s="103"/>
      <c r="B92" s="12" t="s">
        <v>3</v>
      </c>
      <c r="C92" s="10" t="s">
        <v>268</v>
      </c>
      <c r="D92" s="152"/>
      <c r="E92" s="170"/>
      <c r="F92" s="95"/>
      <c r="G92" s="153" t="str">
        <f t="shared" si="8"/>
        <v/>
      </c>
      <c r="H92" s="10" t="s">
        <v>20</v>
      </c>
      <c r="I92" s="331">
        <v>20.95</v>
      </c>
      <c r="J92" s="12">
        <f t="shared" si="7"/>
        <v>0</v>
      </c>
      <c r="K92" s="30"/>
    </row>
    <row r="93" spans="1:13" hidden="1" x14ac:dyDescent="0.35">
      <c r="A93" s="103"/>
      <c r="B93" s="12" t="s">
        <v>3</v>
      </c>
      <c r="C93" s="10" t="s">
        <v>269</v>
      </c>
      <c r="D93" s="152"/>
      <c r="E93" s="170"/>
      <c r="F93" s="95"/>
      <c r="G93" s="153" t="str">
        <f t="shared" si="8"/>
        <v/>
      </c>
      <c r="H93" s="10" t="s">
        <v>20</v>
      </c>
      <c r="I93" s="331">
        <v>26.95</v>
      </c>
      <c r="J93" s="12">
        <f t="shared" si="7"/>
        <v>0</v>
      </c>
      <c r="K93" s="31"/>
    </row>
    <row r="94" spans="1:13" hidden="1" x14ac:dyDescent="0.35">
      <c r="A94" s="103"/>
      <c r="B94" s="12" t="s">
        <v>3</v>
      </c>
      <c r="C94" s="10" t="s">
        <v>270</v>
      </c>
      <c r="D94" s="152"/>
      <c r="E94" s="170"/>
      <c r="F94" s="95"/>
      <c r="G94" s="153" t="str">
        <f t="shared" si="8"/>
        <v/>
      </c>
      <c r="H94" s="10" t="s">
        <v>20</v>
      </c>
      <c r="I94" s="331">
        <v>26.95</v>
      </c>
      <c r="J94" s="12">
        <f t="shared" si="7"/>
        <v>0</v>
      </c>
      <c r="K94" s="31"/>
    </row>
    <row r="95" spans="1:13" s="6" customFormat="1" ht="15.5" hidden="1" x14ac:dyDescent="0.35">
      <c r="A95" s="111"/>
      <c r="B95" s="126" t="s">
        <v>271</v>
      </c>
      <c r="C95" s="127"/>
      <c r="D95" s="226"/>
      <c r="E95" s="172"/>
      <c r="F95" s="144"/>
      <c r="G95" s="153" t="str">
        <f t="shared" si="8"/>
        <v/>
      </c>
      <c r="H95" s="127"/>
      <c r="I95" s="239"/>
      <c r="J95" s="128"/>
      <c r="K95" s="30"/>
    </row>
    <row r="96" spans="1:13" ht="14.15" hidden="1" customHeight="1" x14ac:dyDescent="0.35">
      <c r="A96" s="103"/>
      <c r="B96" s="12" t="s">
        <v>3</v>
      </c>
      <c r="C96" s="10" t="s">
        <v>272</v>
      </c>
      <c r="D96" s="152"/>
      <c r="E96" s="170"/>
      <c r="F96" s="95"/>
      <c r="G96" s="153" t="str">
        <f t="shared" si="8"/>
        <v/>
      </c>
      <c r="H96" s="10" t="s">
        <v>20</v>
      </c>
      <c r="I96" s="331">
        <v>20.95</v>
      </c>
      <c r="J96" s="12">
        <f>E96*I96</f>
        <v>0</v>
      </c>
      <c r="K96" s="28"/>
    </row>
    <row r="97" spans="1:11" hidden="1" x14ac:dyDescent="0.35">
      <c r="A97" s="103"/>
      <c r="B97" s="12" t="s">
        <v>3</v>
      </c>
      <c r="C97" s="10" t="s">
        <v>273</v>
      </c>
      <c r="D97" s="152"/>
      <c r="E97" s="170"/>
      <c r="F97" s="95"/>
      <c r="G97" s="153" t="str">
        <f t="shared" si="8"/>
        <v/>
      </c>
      <c r="H97" s="10" t="s">
        <v>20</v>
      </c>
      <c r="I97" s="331">
        <v>23.95</v>
      </c>
      <c r="J97" s="12">
        <f>E97*I97</f>
        <v>0</v>
      </c>
      <c r="K97" s="28"/>
    </row>
    <row r="98" spans="1:11" s="6" customFormat="1" ht="15.65" hidden="1" customHeight="1" x14ac:dyDescent="0.35">
      <c r="A98" s="103"/>
      <c r="B98" s="12" t="s">
        <v>3</v>
      </c>
      <c r="C98" s="10" t="s">
        <v>274</v>
      </c>
      <c r="D98" s="152"/>
      <c r="E98" s="170"/>
      <c r="F98" s="95"/>
      <c r="G98" s="153" t="str">
        <f t="shared" si="8"/>
        <v/>
      </c>
      <c r="H98" s="10" t="s">
        <v>20</v>
      </c>
      <c r="I98" s="331">
        <v>22.5</v>
      </c>
      <c r="J98" s="12">
        <f>E98*I98</f>
        <v>0</v>
      </c>
      <c r="K98" s="30"/>
    </row>
    <row r="99" spans="1:11" ht="14.5" hidden="1" customHeight="1" x14ac:dyDescent="0.35">
      <c r="A99" s="103"/>
      <c r="B99" s="12" t="s">
        <v>3</v>
      </c>
      <c r="C99" s="10" t="s">
        <v>275</v>
      </c>
      <c r="D99" s="152"/>
      <c r="E99" s="170"/>
      <c r="F99" s="95"/>
      <c r="G99" s="153" t="str">
        <f t="shared" si="8"/>
        <v/>
      </c>
      <c r="H99" s="10" t="s">
        <v>20</v>
      </c>
      <c r="I99" s="331">
        <v>29.95</v>
      </c>
      <c r="J99" s="12">
        <f>E99*I99</f>
        <v>0</v>
      </c>
      <c r="K99" s="31"/>
    </row>
    <row r="100" spans="1:11" s="6" customFormat="1" ht="15.65" hidden="1" customHeight="1" x14ac:dyDescent="0.35">
      <c r="A100" s="111"/>
      <c r="B100" s="126" t="s">
        <v>276</v>
      </c>
      <c r="C100" s="127"/>
      <c r="D100" s="226"/>
      <c r="E100" s="172"/>
      <c r="F100" s="144"/>
      <c r="G100" s="153" t="str">
        <f t="shared" si="8"/>
        <v/>
      </c>
      <c r="H100" s="127"/>
      <c r="I100" s="239"/>
      <c r="J100" s="128"/>
    </row>
    <row r="101" spans="1:11" hidden="1" x14ac:dyDescent="0.35">
      <c r="A101" s="103"/>
      <c r="B101" s="12" t="s">
        <v>3</v>
      </c>
      <c r="C101" s="10" t="s">
        <v>277</v>
      </c>
      <c r="D101" s="152"/>
      <c r="E101" s="170"/>
      <c r="F101" s="95"/>
      <c r="G101" s="153" t="str">
        <f t="shared" si="8"/>
        <v/>
      </c>
      <c r="H101" s="10" t="s">
        <v>20</v>
      </c>
      <c r="I101" s="331">
        <v>17.95</v>
      </c>
      <c r="J101" s="12">
        <f>E101*I101</f>
        <v>0</v>
      </c>
      <c r="K101" s="28"/>
    </row>
    <row r="102" spans="1:11" s="6" customFormat="1" ht="15.5" hidden="1" x14ac:dyDescent="0.35">
      <c r="A102" s="103"/>
      <c r="B102" s="12" t="s">
        <v>3</v>
      </c>
      <c r="C102" s="10" t="s">
        <v>278</v>
      </c>
      <c r="D102" s="152"/>
      <c r="E102" s="170"/>
      <c r="F102" s="95"/>
      <c r="G102" s="153" t="str">
        <f t="shared" si="8"/>
        <v/>
      </c>
      <c r="H102" s="10" t="s">
        <v>20</v>
      </c>
      <c r="I102" s="331">
        <v>20.95</v>
      </c>
      <c r="J102" s="12">
        <f>E102*I102</f>
        <v>0</v>
      </c>
    </row>
    <row r="103" spans="1:11" hidden="1" x14ac:dyDescent="0.35">
      <c r="A103" s="103"/>
      <c r="B103" s="12" t="s">
        <v>3</v>
      </c>
      <c r="C103" s="10" t="s">
        <v>279</v>
      </c>
      <c r="D103" s="152"/>
      <c r="E103" s="170"/>
      <c r="F103" s="95"/>
      <c r="G103" s="153" t="str">
        <f t="shared" si="8"/>
        <v/>
      </c>
      <c r="H103" s="10" t="s">
        <v>20</v>
      </c>
      <c r="I103" s="331">
        <v>19.95</v>
      </c>
      <c r="J103" s="12">
        <f>E103*I103</f>
        <v>0</v>
      </c>
      <c r="K103" s="13"/>
    </row>
    <row r="104" spans="1:11" hidden="1" x14ac:dyDescent="0.35">
      <c r="A104" s="103"/>
      <c r="B104" s="40" t="s">
        <v>3</v>
      </c>
      <c r="C104" s="41" t="s">
        <v>280</v>
      </c>
      <c r="D104" s="227"/>
      <c r="E104" s="170"/>
      <c r="F104" s="145"/>
      <c r="G104" s="153" t="str">
        <f t="shared" si="8"/>
        <v/>
      </c>
      <c r="H104" s="41" t="s">
        <v>20</v>
      </c>
      <c r="I104" s="334">
        <v>59.95</v>
      </c>
      <c r="J104" s="40">
        <f>E104*I104</f>
        <v>0</v>
      </c>
      <c r="K104" s="13"/>
    </row>
    <row r="105" spans="1:11" ht="15.5" hidden="1" x14ac:dyDescent="0.35">
      <c r="A105" s="111"/>
      <c r="B105" s="126" t="s">
        <v>281</v>
      </c>
      <c r="C105" s="127"/>
      <c r="D105" s="226"/>
      <c r="E105" s="172"/>
      <c r="F105" s="144"/>
      <c r="G105" s="153" t="str">
        <f t="shared" si="8"/>
        <v/>
      </c>
      <c r="H105" s="127"/>
      <c r="I105" s="239"/>
      <c r="J105" s="128"/>
      <c r="K105" s="13"/>
    </row>
    <row r="106" spans="1:11" hidden="1" x14ac:dyDescent="0.35">
      <c r="A106" s="103"/>
      <c r="B106" s="12" t="s">
        <v>3</v>
      </c>
      <c r="C106" s="10" t="s">
        <v>282</v>
      </c>
      <c r="D106" s="152"/>
      <c r="E106" s="170"/>
      <c r="F106" s="95"/>
      <c r="G106" s="153" t="str">
        <f t="shared" si="8"/>
        <v/>
      </c>
      <c r="H106" s="10" t="s">
        <v>20</v>
      </c>
      <c r="I106" s="331">
        <v>54.95</v>
      </c>
      <c r="J106" s="12">
        <f>E106*I106</f>
        <v>0</v>
      </c>
      <c r="K106" s="13"/>
    </row>
    <row r="107" spans="1:11" ht="14.5" hidden="1" customHeight="1" x14ac:dyDescent="0.35">
      <c r="A107" s="103"/>
      <c r="B107" s="12" t="s">
        <v>3</v>
      </c>
      <c r="C107" s="10" t="s">
        <v>283</v>
      </c>
      <c r="D107" s="152"/>
      <c r="E107" s="170"/>
      <c r="F107" s="95"/>
      <c r="G107" s="153" t="str">
        <f t="shared" si="8"/>
        <v/>
      </c>
      <c r="H107" s="10" t="s">
        <v>20</v>
      </c>
      <c r="I107" s="331">
        <v>49.95</v>
      </c>
      <c r="J107" s="12">
        <f>E107*I107</f>
        <v>0</v>
      </c>
      <c r="K107" s="13"/>
    </row>
    <row r="108" spans="1:11" ht="14.5" hidden="1" customHeight="1" x14ac:dyDescent="0.35">
      <c r="A108" s="111"/>
      <c r="B108" s="126" t="s">
        <v>284</v>
      </c>
      <c r="C108" s="127"/>
      <c r="D108" s="226"/>
      <c r="E108" s="172"/>
      <c r="F108" s="144"/>
      <c r="G108" s="153" t="str">
        <f t="shared" si="8"/>
        <v/>
      </c>
      <c r="H108" s="127"/>
      <c r="I108" s="239"/>
      <c r="J108" s="128"/>
      <c r="K108" s="13"/>
    </row>
    <row r="109" spans="1:11" ht="14.5" hidden="1" customHeight="1" x14ac:dyDescent="0.35">
      <c r="A109" s="103"/>
      <c r="B109" s="12" t="s">
        <v>3</v>
      </c>
      <c r="C109" s="10" t="s">
        <v>285</v>
      </c>
      <c r="D109" s="152"/>
      <c r="E109" s="170"/>
      <c r="F109" s="95"/>
      <c r="G109" s="153" t="str">
        <f t="shared" si="8"/>
        <v/>
      </c>
      <c r="H109" s="10" t="s">
        <v>20</v>
      </c>
      <c r="I109" s="331">
        <v>41.5</v>
      </c>
      <c r="J109" s="12">
        <f t="shared" ref="J109:J114" si="9">E109*I109</f>
        <v>0</v>
      </c>
      <c r="K109" s="13"/>
    </row>
    <row r="110" spans="1:11" ht="15.65" hidden="1" customHeight="1" x14ac:dyDescent="0.35">
      <c r="A110" s="103"/>
      <c r="B110" s="12" t="s">
        <v>3</v>
      </c>
      <c r="C110" s="10" t="s">
        <v>286</v>
      </c>
      <c r="D110" s="152"/>
      <c r="E110" s="170"/>
      <c r="F110" s="95"/>
      <c r="G110" s="153" t="str">
        <f t="shared" si="8"/>
        <v/>
      </c>
      <c r="H110" s="10" t="s">
        <v>20</v>
      </c>
      <c r="I110" s="331">
        <v>36.200000000000003</v>
      </c>
      <c r="J110" s="12">
        <f t="shared" si="9"/>
        <v>0</v>
      </c>
      <c r="K110" s="13"/>
    </row>
    <row r="111" spans="1:11" hidden="1" x14ac:dyDescent="0.35">
      <c r="A111" s="103"/>
      <c r="B111" s="12" t="s">
        <v>3</v>
      </c>
      <c r="C111" s="10" t="s">
        <v>287</v>
      </c>
      <c r="D111" s="152"/>
      <c r="E111" s="170"/>
      <c r="F111" s="95"/>
      <c r="G111" s="153" t="str">
        <f t="shared" si="8"/>
        <v/>
      </c>
      <c r="H111" s="10" t="s">
        <v>20</v>
      </c>
      <c r="I111" s="331">
        <v>25.95</v>
      </c>
      <c r="J111" s="12">
        <f t="shared" si="9"/>
        <v>0</v>
      </c>
      <c r="K111" s="13"/>
    </row>
    <row r="112" spans="1:11" hidden="1" x14ac:dyDescent="0.35">
      <c r="A112" s="103"/>
      <c r="B112" s="12" t="s">
        <v>3</v>
      </c>
      <c r="C112" s="10" t="s">
        <v>288</v>
      </c>
      <c r="D112" s="152"/>
      <c r="E112" s="170"/>
      <c r="F112" s="95"/>
      <c r="G112" s="153" t="str">
        <f t="shared" si="8"/>
        <v/>
      </c>
      <c r="H112" s="10" t="s">
        <v>20</v>
      </c>
      <c r="I112" s="331">
        <v>32.799999999999997</v>
      </c>
      <c r="J112" s="12">
        <f t="shared" si="9"/>
        <v>0</v>
      </c>
      <c r="K112" s="13"/>
    </row>
    <row r="113" spans="1:11" s="6" customFormat="1" ht="15.5" hidden="1" x14ac:dyDescent="0.35">
      <c r="A113" s="103"/>
      <c r="B113" s="12" t="s">
        <v>3</v>
      </c>
      <c r="C113" s="10" t="s">
        <v>289</v>
      </c>
      <c r="D113" s="152"/>
      <c r="E113" s="170"/>
      <c r="F113" s="95"/>
      <c r="G113" s="153" t="str">
        <f t="shared" si="8"/>
        <v/>
      </c>
      <c r="H113" s="10" t="s">
        <v>20</v>
      </c>
      <c r="I113" s="331">
        <v>29.2</v>
      </c>
      <c r="J113" s="12">
        <f t="shared" si="9"/>
        <v>0</v>
      </c>
    </row>
    <row r="114" spans="1:11" hidden="1" x14ac:dyDescent="0.35">
      <c r="A114" s="103"/>
      <c r="B114" s="12" t="s">
        <v>3</v>
      </c>
      <c r="C114" s="10" t="s">
        <v>290</v>
      </c>
      <c r="D114" s="152"/>
      <c r="E114" s="170"/>
      <c r="F114" s="95"/>
      <c r="G114" s="153" t="str">
        <f t="shared" si="8"/>
        <v/>
      </c>
      <c r="H114" s="10" t="s">
        <v>20</v>
      </c>
      <c r="I114" s="331">
        <v>22.95</v>
      </c>
      <c r="J114" s="12">
        <f t="shared" si="9"/>
        <v>0</v>
      </c>
      <c r="K114" s="13"/>
    </row>
    <row r="115" spans="1:11" ht="15.5" hidden="1" x14ac:dyDescent="0.35">
      <c r="A115" s="111"/>
      <c r="B115" s="126" t="s">
        <v>291</v>
      </c>
      <c r="C115" s="127"/>
      <c r="D115" s="226"/>
      <c r="E115" s="172"/>
      <c r="F115" s="144"/>
      <c r="G115" s="153" t="str">
        <f t="shared" si="8"/>
        <v/>
      </c>
      <c r="H115" s="127"/>
      <c r="I115" s="239"/>
      <c r="J115" s="128"/>
      <c r="K115" s="13"/>
    </row>
    <row r="116" spans="1:11" ht="14.5" hidden="1" customHeight="1" x14ac:dyDescent="0.35">
      <c r="A116" s="103"/>
      <c r="B116" s="12" t="s">
        <v>3</v>
      </c>
      <c r="C116" s="10" t="s">
        <v>292</v>
      </c>
      <c r="D116" s="152"/>
      <c r="E116" s="170"/>
      <c r="F116" s="95"/>
      <c r="G116" s="153" t="str">
        <f t="shared" si="8"/>
        <v/>
      </c>
      <c r="H116" s="10" t="s">
        <v>20</v>
      </c>
      <c r="I116" s="331">
        <v>17.95</v>
      </c>
      <c r="J116" s="12">
        <f t="shared" ref="J116:J121" si="10">E116*I116</f>
        <v>0</v>
      </c>
      <c r="K116" s="13"/>
    </row>
    <row r="117" spans="1:11" ht="14.5" hidden="1" customHeight="1" x14ac:dyDescent="0.35">
      <c r="A117" s="103"/>
      <c r="B117" s="12" t="s">
        <v>3</v>
      </c>
      <c r="C117" s="10" t="s">
        <v>293</v>
      </c>
      <c r="D117" s="152"/>
      <c r="E117" s="170"/>
      <c r="F117" s="95"/>
      <c r="G117" s="153" t="str">
        <f t="shared" si="8"/>
        <v/>
      </c>
      <c r="H117" s="10" t="s">
        <v>20</v>
      </c>
      <c r="I117" s="331">
        <v>12.95</v>
      </c>
      <c r="J117" s="12">
        <f t="shared" si="10"/>
        <v>0</v>
      </c>
      <c r="K117" s="13"/>
    </row>
    <row r="118" spans="1:11" ht="14.5" hidden="1" customHeight="1" x14ac:dyDescent="0.35">
      <c r="A118" s="103"/>
      <c r="B118" s="12" t="s">
        <v>3</v>
      </c>
      <c r="C118" s="10" t="s">
        <v>294</v>
      </c>
      <c r="D118" s="152"/>
      <c r="E118" s="170"/>
      <c r="F118" s="95"/>
      <c r="G118" s="153" t="str">
        <f t="shared" si="8"/>
        <v/>
      </c>
      <c r="H118" s="10" t="s">
        <v>20</v>
      </c>
      <c r="I118" s="331">
        <v>21.95</v>
      </c>
      <c r="J118" s="12">
        <f t="shared" si="10"/>
        <v>0</v>
      </c>
      <c r="K118" s="13"/>
    </row>
    <row r="119" spans="1:11" ht="14.5" hidden="1" customHeight="1" x14ac:dyDescent="0.35">
      <c r="A119" s="103"/>
      <c r="B119" s="12" t="s">
        <v>3</v>
      </c>
      <c r="C119" s="10" t="s">
        <v>295</v>
      </c>
      <c r="D119" s="152"/>
      <c r="E119" s="170"/>
      <c r="F119" s="95"/>
      <c r="G119" s="153" t="str">
        <f t="shared" si="8"/>
        <v/>
      </c>
      <c r="H119" s="10" t="s">
        <v>20</v>
      </c>
      <c r="I119" s="331"/>
      <c r="J119" s="12">
        <f t="shared" si="10"/>
        <v>0</v>
      </c>
      <c r="K119" s="13"/>
    </row>
    <row r="120" spans="1:11" ht="15.65" hidden="1" customHeight="1" x14ac:dyDescent="0.35">
      <c r="A120" s="103"/>
      <c r="B120" s="12" t="s">
        <v>3</v>
      </c>
      <c r="C120" s="10" t="s">
        <v>296</v>
      </c>
      <c r="D120" s="152"/>
      <c r="E120" s="170"/>
      <c r="F120" s="95"/>
      <c r="G120" s="153" t="str">
        <f t="shared" si="8"/>
        <v/>
      </c>
      <c r="H120" s="10" t="s">
        <v>20</v>
      </c>
      <c r="I120" s="331"/>
      <c r="J120" s="12">
        <f t="shared" si="10"/>
        <v>0</v>
      </c>
      <c r="K120" s="13"/>
    </row>
    <row r="121" spans="1:11" ht="15.65" hidden="1" customHeight="1" x14ac:dyDescent="0.35">
      <c r="A121" s="103"/>
      <c r="B121" s="12" t="s">
        <v>3</v>
      </c>
      <c r="C121" s="10" t="s">
        <v>297</v>
      </c>
      <c r="D121" s="152"/>
      <c r="E121" s="170"/>
      <c r="F121" s="95"/>
      <c r="G121" s="153" t="str">
        <f t="shared" si="8"/>
        <v/>
      </c>
      <c r="H121" s="10" t="s">
        <v>20</v>
      </c>
      <c r="I121" s="331">
        <v>22.95</v>
      </c>
      <c r="J121" s="12">
        <f t="shared" si="10"/>
        <v>0</v>
      </c>
      <c r="K121" s="13"/>
    </row>
    <row r="122" spans="1:11" ht="14.5" hidden="1" customHeight="1" x14ac:dyDescent="0.35">
      <c r="A122" s="112" t="s">
        <v>298</v>
      </c>
      <c r="B122" s="116"/>
      <c r="C122" s="116"/>
      <c r="D122" s="228"/>
      <c r="E122" s="173"/>
      <c r="F122" s="146"/>
      <c r="G122" s="153" t="str">
        <f t="shared" si="8"/>
        <v/>
      </c>
      <c r="H122" s="117"/>
      <c r="I122" s="106" t="s">
        <v>18</v>
      </c>
      <c r="J122" s="115">
        <f>SUM(J123:J175)</f>
        <v>298.56999999999994</v>
      </c>
      <c r="K122" s="13"/>
    </row>
    <row r="123" spans="1:11" ht="14.5" hidden="1" customHeight="1" x14ac:dyDescent="0.35">
      <c r="A123" s="103"/>
      <c r="B123" s="20" t="s">
        <v>4</v>
      </c>
      <c r="C123" s="18" t="s">
        <v>62</v>
      </c>
      <c r="D123" s="229"/>
      <c r="E123" s="170"/>
      <c r="F123" s="147"/>
      <c r="G123" s="153" t="str">
        <f t="shared" si="8"/>
        <v/>
      </c>
      <c r="H123" s="18" t="s">
        <v>20</v>
      </c>
      <c r="I123" s="335">
        <v>7.35</v>
      </c>
      <c r="J123" s="20">
        <f>E123*I123</f>
        <v>0</v>
      </c>
      <c r="K123" s="13"/>
    </row>
    <row r="124" spans="1:11" ht="14.5" hidden="1" customHeight="1" x14ac:dyDescent="0.35">
      <c r="A124" s="103"/>
      <c r="B124" s="20" t="s">
        <v>4</v>
      </c>
      <c r="C124" s="18" t="s">
        <v>60</v>
      </c>
      <c r="D124" s="229"/>
      <c r="E124" s="170"/>
      <c r="F124" s="147"/>
      <c r="G124" s="153" t="str">
        <f t="shared" si="8"/>
        <v/>
      </c>
      <c r="H124" s="18" t="s">
        <v>20</v>
      </c>
      <c r="I124" s="335">
        <v>10.65</v>
      </c>
      <c r="J124" s="20">
        <f>E124*I124</f>
        <v>0</v>
      </c>
      <c r="K124" s="13"/>
    </row>
    <row r="125" spans="1:11" ht="15.65" hidden="1" customHeight="1" x14ac:dyDescent="0.35">
      <c r="A125" s="113" t="s">
        <v>40</v>
      </c>
      <c r="B125" s="124"/>
      <c r="C125" s="124"/>
      <c r="D125" s="230"/>
      <c r="E125" s="174"/>
      <c r="F125" s="148"/>
      <c r="G125" s="153" t="str">
        <f t="shared" si="8"/>
        <v/>
      </c>
      <c r="H125" s="124"/>
      <c r="I125" s="241"/>
      <c r="J125" s="125"/>
      <c r="K125" s="13"/>
    </row>
    <row r="126" spans="1:11" hidden="1" x14ac:dyDescent="0.35">
      <c r="A126" s="103"/>
      <c r="B126" s="20" t="s">
        <v>4</v>
      </c>
      <c r="C126" s="18" t="s">
        <v>299</v>
      </c>
      <c r="D126" s="229"/>
      <c r="E126" s="170"/>
      <c r="F126" s="147"/>
      <c r="G126" s="153" t="str">
        <f t="shared" si="8"/>
        <v/>
      </c>
      <c r="H126" s="18" t="s">
        <v>20</v>
      </c>
      <c r="I126" s="335">
        <v>1.31</v>
      </c>
      <c r="J126" s="12">
        <f t="shared" ref="J126:J137" si="11">E126*I126</f>
        <v>0</v>
      </c>
      <c r="K126" s="13"/>
    </row>
    <row r="127" spans="1:11" hidden="1" x14ac:dyDescent="0.35">
      <c r="A127" s="103"/>
      <c r="B127" s="12" t="s">
        <v>4</v>
      </c>
      <c r="C127" s="10" t="s">
        <v>300</v>
      </c>
      <c r="D127" s="152"/>
      <c r="E127" s="170"/>
      <c r="F127" s="95"/>
      <c r="G127" s="153" t="str">
        <f t="shared" si="8"/>
        <v/>
      </c>
      <c r="H127" s="10" t="s">
        <v>20</v>
      </c>
      <c r="I127" s="331">
        <v>1.31</v>
      </c>
      <c r="J127" s="12">
        <f t="shared" si="11"/>
        <v>0</v>
      </c>
    </row>
    <row r="128" spans="1:11" hidden="1" x14ac:dyDescent="0.35">
      <c r="A128" s="103"/>
      <c r="B128" s="20" t="s">
        <v>4</v>
      </c>
      <c r="C128" s="18" t="s">
        <v>301</v>
      </c>
      <c r="D128" s="229"/>
      <c r="E128" s="170"/>
      <c r="F128" s="147"/>
      <c r="G128" s="153" t="str">
        <f t="shared" si="8"/>
        <v/>
      </c>
      <c r="H128" s="18" t="s">
        <v>20</v>
      </c>
      <c r="I128" s="335">
        <v>1.4039999999999999</v>
      </c>
      <c r="J128" s="12">
        <f t="shared" si="11"/>
        <v>0</v>
      </c>
    </row>
    <row r="129" spans="1:11" hidden="1" x14ac:dyDescent="0.35">
      <c r="A129" s="103"/>
      <c r="B129" s="12" t="s">
        <v>4</v>
      </c>
      <c r="C129" s="10" t="s">
        <v>302</v>
      </c>
      <c r="D129" s="152"/>
      <c r="E129" s="170"/>
      <c r="F129" s="95"/>
      <c r="G129" s="153" t="str">
        <f t="shared" si="8"/>
        <v/>
      </c>
      <c r="H129" s="10" t="s">
        <v>20</v>
      </c>
      <c r="I129" s="331">
        <v>1.4039999999999999</v>
      </c>
      <c r="J129" s="12">
        <f t="shared" si="11"/>
        <v>0</v>
      </c>
    </row>
    <row r="130" spans="1:11" hidden="1" x14ac:dyDescent="0.35">
      <c r="A130" s="103"/>
      <c r="B130" s="12" t="s">
        <v>4</v>
      </c>
      <c r="C130" s="10" t="s">
        <v>303</v>
      </c>
      <c r="D130" s="152"/>
      <c r="E130" s="170"/>
      <c r="F130" s="95"/>
      <c r="G130" s="153" t="str">
        <f t="shared" si="8"/>
        <v/>
      </c>
      <c r="H130" s="10" t="s">
        <v>20</v>
      </c>
      <c r="I130" s="331">
        <v>1.53</v>
      </c>
      <c r="J130" s="12">
        <f t="shared" si="11"/>
        <v>0</v>
      </c>
    </row>
    <row r="131" spans="1:11" hidden="1" x14ac:dyDescent="0.35">
      <c r="A131" s="103"/>
      <c r="B131" s="12" t="s">
        <v>4</v>
      </c>
      <c r="C131" s="10" t="s">
        <v>304</v>
      </c>
      <c r="D131" s="152"/>
      <c r="E131" s="170"/>
      <c r="F131" s="95"/>
      <c r="G131" s="153" t="str">
        <f t="shared" si="8"/>
        <v/>
      </c>
      <c r="H131" s="10" t="s">
        <v>20</v>
      </c>
      <c r="I131" s="331">
        <v>1.65</v>
      </c>
      <c r="J131" s="12">
        <f t="shared" si="11"/>
        <v>0</v>
      </c>
    </row>
    <row r="132" spans="1:11" hidden="1" x14ac:dyDescent="0.35">
      <c r="A132" s="103"/>
      <c r="B132" s="12" t="s">
        <v>4</v>
      </c>
      <c r="C132" s="10" t="s">
        <v>83</v>
      </c>
      <c r="D132" s="152"/>
      <c r="E132" s="170"/>
      <c r="F132" s="95"/>
      <c r="G132" s="153" t="str">
        <f t="shared" si="8"/>
        <v/>
      </c>
      <c r="H132" s="10" t="s">
        <v>20</v>
      </c>
      <c r="I132" s="331">
        <v>1.04</v>
      </c>
      <c r="J132" s="12">
        <f t="shared" si="11"/>
        <v>0</v>
      </c>
    </row>
    <row r="133" spans="1:11" hidden="1" x14ac:dyDescent="0.35">
      <c r="A133" s="103"/>
      <c r="B133" s="12" t="s">
        <v>4</v>
      </c>
      <c r="C133" s="10" t="s">
        <v>305</v>
      </c>
      <c r="D133" s="152"/>
      <c r="E133" s="170"/>
      <c r="F133" s="95"/>
      <c r="G133" s="153" t="str">
        <f t="shared" si="8"/>
        <v/>
      </c>
      <c r="H133" s="10" t="s">
        <v>20</v>
      </c>
      <c r="I133" s="331">
        <v>1.04</v>
      </c>
      <c r="J133" s="12">
        <f t="shared" si="11"/>
        <v>0</v>
      </c>
    </row>
    <row r="134" spans="1:11" ht="14.5" hidden="1" customHeight="1" x14ac:dyDescent="0.35">
      <c r="A134" s="103"/>
      <c r="B134" s="12" t="s">
        <v>4</v>
      </c>
      <c r="C134" s="10" t="s">
        <v>306</v>
      </c>
      <c r="D134" s="152"/>
      <c r="E134" s="170"/>
      <c r="F134" s="95"/>
      <c r="G134" s="153" t="str">
        <f t="shared" si="8"/>
        <v/>
      </c>
      <c r="H134" s="10" t="s">
        <v>20</v>
      </c>
      <c r="I134" s="331">
        <v>1.06</v>
      </c>
      <c r="J134" s="12">
        <f t="shared" si="11"/>
        <v>0</v>
      </c>
    </row>
    <row r="135" spans="1:11" ht="14.5" hidden="1" customHeight="1" x14ac:dyDescent="0.35">
      <c r="A135" s="103"/>
      <c r="B135" s="12" t="s">
        <v>4</v>
      </c>
      <c r="C135" s="10" t="s">
        <v>307</v>
      </c>
      <c r="D135" s="152"/>
      <c r="E135" s="170"/>
      <c r="F135" s="95"/>
      <c r="G135" s="153" t="str">
        <f t="shared" si="8"/>
        <v/>
      </c>
      <c r="H135" s="10" t="s">
        <v>20</v>
      </c>
      <c r="I135" s="331">
        <v>1.06</v>
      </c>
      <c r="J135" s="12">
        <f t="shared" si="11"/>
        <v>0</v>
      </c>
    </row>
    <row r="136" spans="1:11" ht="14.5" hidden="1" customHeight="1" x14ac:dyDescent="0.35">
      <c r="A136" s="103"/>
      <c r="B136" s="12" t="s">
        <v>4</v>
      </c>
      <c r="C136" s="10" t="s">
        <v>308</v>
      </c>
      <c r="D136" s="152"/>
      <c r="E136" s="170"/>
      <c r="F136" s="95"/>
      <c r="G136" s="153" t="str">
        <f t="shared" si="8"/>
        <v/>
      </c>
      <c r="H136" s="10" t="s">
        <v>20</v>
      </c>
      <c r="I136" s="331">
        <v>1.2869999999999999</v>
      </c>
      <c r="J136" s="12">
        <f t="shared" si="11"/>
        <v>0</v>
      </c>
    </row>
    <row r="137" spans="1:11" ht="15.65" hidden="1" customHeight="1" x14ac:dyDescent="0.35">
      <c r="A137" s="103"/>
      <c r="B137" s="12" t="s">
        <v>4</v>
      </c>
      <c r="C137" s="10" t="s">
        <v>309</v>
      </c>
      <c r="D137" s="152"/>
      <c r="E137" s="170"/>
      <c r="F137" s="95"/>
      <c r="G137" s="153" t="str">
        <f t="shared" si="8"/>
        <v/>
      </c>
      <c r="H137" s="10" t="s">
        <v>20</v>
      </c>
      <c r="I137" s="331">
        <v>1.59</v>
      </c>
      <c r="J137" s="12">
        <f t="shared" si="11"/>
        <v>0</v>
      </c>
      <c r="K137" s="13"/>
    </row>
    <row r="138" spans="1:11" hidden="1" x14ac:dyDescent="0.35">
      <c r="A138" s="113" t="s">
        <v>310</v>
      </c>
      <c r="B138" s="124"/>
      <c r="C138" s="124"/>
      <c r="D138" s="230"/>
      <c r="E138" s="174"/>
      <c r="F138" s="148"/>
      <c r="G138" s="153" t="str">
        <f t="shared" si="8"/>
        <v/>
      </c>
      <c r="H138" s="124"/>
      <c r="I138" s="241"/>
      <c r="J138" s="125"/>
    </row>
    <row r="139" spans="1:11" hidden="1" x14ac:dyDescent="0.35">
      <c r="A139" s="103"/>
      <c r="B139" s="12" t="s">
        <v>4</v>
      </c>
      <c r="C139" s="10" t="s">
        <v>311</v>
      </c>
      <c r="D139" s="152"/>
      <c r="E139" s="170"/>
      <c r="F139" s="95"/>
      <c r="G139" s="153" t="str">
        <f t="shared" si="8"/>
        <v/>
      </c>
      <c r="H139" s="10" t="s">
        <v>20</v>
      </c>
      <c r="I139" s="331">
        <v>1.1000000000000001</v>
      </c>
      <c r="J139" s="12">
        <f t="shared" ref="J139:J149" si="12">E139*I139</f>
        <v>0</v>
      </c>
    </row>
    <row r="140" spans="1:11" hidden="1" x14ac:dyDescent="0.35">
      <c r="A140" s="103"/>
      <c r="B140" s="12" t="s">
        <v>4</v>
      </c>
      <c r="C140" s="10" t="s">
        <v>312</v>
      </c>
      <c r="D140" s="152"/>
      <c r="E140" s="170"/>
      <c r="F140" s="95"/>
      <c r="G140" s="153" t="str">
        <f t="shared" si="8"/>
        <v/>
      </c>
      <c r="H140" s="10" t="s">
        <v>20</v>
      </c>
      <c r="I140" s="331">
        <v>1.1000000000000001</v>
      </c>
      <c r="J140" s="12">
        <f t="shared" si="12"/>
        <v>0</v>
      </c>
    </row>
    <row r="141" spans="1:11" hidden="1" x14ac:dyDescent="0.35">
      <c r="A141" s="103"/>
      <c r="B141" s="12" t="s">
        <v>4</v>
      </c>
      <c r="C141" s="10" t="s">
        <v>313</v>
      </c>
      <c r="D141" s="152"/>
      <c r="E141" s="170"/>
      <c r="F141" s="95"/>
      <c r="G141" s="153" t="str">
        <f t="shared" si="8"/>
        <v/>
      </c>
      <c r="H141" s="10" t="s">
        <v>20</v>
      </c>
      <c r="I141" s="331">
        <v>1.3</v>
      </c>
      <c r="J141" s="12">
        <f t="shared" si="12"/>
        <v>0</v>
      </c>
    </row>
    <row r="142" spans="1:11" ht="14.5" hidden="1" customHeight="1" x14ac:dyDescent="0.35">
      <c r="A142" s="103"/>
      <c r="B142" s="12" t="s">
        <v>4</v>
      </c>
      <c r="C142" s="10" t="s">
        <v>314</v>
      </c>
      <c r="D142" s="152"/>
      <c r="E142" s="170"/>
      <c r="F142" s="95"/>
      <c r="G142" s="153" t="str">
        <f t="shared" si="8"/>
        <v/>
      </c>
      <c r="H142" s="10" t="s">
        <v>20</v>
      </c>
      <c r="I142" s="331">
        <v>1.36</v>
      </c>
      <c r="J142" s="12">
        <f t="shared" si="12"/>
        <v>0</v>
      </c>
    </row>
    <row r="143" spans="1:11" ht="14.5" hidden="1" customHeight="1" x14ac:dyDescent="0.35">
      <c r="A143" s="103"/>
      <c r="B143" s="12" t="s">
        <v>4</v>
      </c>
      <c r="C143" s="10" t="s">
        <v>315</v>
      </c>
      <c r="D143" s="152"/>
      <c r="E143" s="170"/>
      <c r="F143" s="95"/>
      <c r="G143" s="153" t="str">
        <f t="shared" si="8"/>
        <v/>
      </c>
      <c r="H143" s="10" t="s">
        <v>20</v>
      </c>
      <c r="I143" s="331">
        <v>1.3</v>
      </c>
      <c r="J143" s="12">
        <f t="shared" si="12"/>
        <v>0</v>
      </c>
    </row>
    <row r="144" spans="1:11" ht="15.65" hidden="1" customHeight="1" x14ac:dyDescent="0.35">
      <c r="A144" s="103"/>
      <c r="B144" s="12" t="s">
        <v>4</v>
      </c>
      <c r="C144" s="10" t="s">
        <v>316</v>
      </c>
      <c r="D144" s="152"/>
      <c r="E144" s="170"/>
      <c r="F144" s="95"/>
      <c r="G144" s="153" t="str">
        <f t="shared" si="8"/>
        <v/>
      </c>
      <c r="H144" s="10" t="s">
        <v>20</v>
      </c>
      <c r="I144" s="331">
        <v>1.35</v>
      </c>
      <c r="J144" s="12">
        <f t="shared" si="12"/>
        <v>0</v>
      </c>
      <c r="K144" s="13"/>
    </row>
    <row r="145" spans="1:11" hidden="1" x14ac:dyDescent="0.35">
      <c r="A145" s="103"/>
      <c r="B145" s="12" t="s">
        <v>4</v>
      </c>
      <c r="C145" s="10" t="s">
        <v>317</v>
      </c>
      <c r="D145" s="152"/>
      <c r="E145" s="170"/>
      <c r="F145" s="95"/>
      <c r="G145" s="153" t="str">
        <f t="shared" si="8"/>
        <v/>
      </c>
      <c r="H145" s="10" t="s">
        <v>20</v>
      </c>
      <c r="I145" s="331">
        <v>1.28</v>
      </c>
      <c r="J145" s="12">
        <f t="shared" si="12"/>
        <v>0</v>
      </c>
    </row>
    <row r="146" spans="1:11" hidden="1" x14ac:dyDescent="0.35">
      <c r="A146" s="103"/>
      <c r="B146" s="12" t="s">
        <v>4</v>
      </c>
      <c r="C146" s="10" t="s">
        <v>318</v>
      </c>
      <c r="D146" s="152"/>
      <c r="E146" s="170"/>
      <c r="F146" s="95"/>
      <c r="G146" s="153" t="str">
        <f t="shared" si="8"/>
        <v/>
      </c>
      <c r="H146" s="10" t="s">
        <v>20</v>
      </c>
      <c r="I146" s="331">
        <v>1.1000000000000001</v>
      </c>
      <c r="J146" s="12">
        <f t="shared" si="12"/>
        <v>0</v>
      </c>
    </row>
    <row r="147" spans="1:11" hidden="1" x14ac:dyDescent="0.35">
      <c r="A147" s="103"/>
      <c r="B147" s="12" t="s">
        <v>4</v>
      </c>
      <c r="C147" s="10" t="s">
        <v>319</v>
      </c>
      <c r="D147" s="152"/>
      <c r="E147" s="170"/>
      <c r="F147" s="95"/>
      <c r="G147" s="153" t="str">
        <f t="shared" si="8"/>
        <v/>
      </c>
      <c r="H147" s="10" t="s">
        <v>20</v>
      </c>
      <c r="I147" s="331">
        <v>1.1000000000000001</v>
      </c>
      <c r="J147" s="12">
        <f t="shared" si="12"/>
        <v>0</v>
      </c>
    </row>
    <row r="148" spans="1:11" hidden="1" x14ac:dyDescent="0.35">
      <c r="A148" s="103"/>
      <c r="B148" s="12" t="s">
        <v>4</v>
      </c>
      <c r="C148" s="10" t="s">
        <v>320</v>
      </c>
      <c r="D148" s="152"/>
      <c r="E148" s="170"/>
      <c r="F148" s="95"/>
      <c r="G148" s="153" t="str">
        <f t="shared" si="8"/>
        <v/>
      </c>
      <c r="H148" s="10" t="s">
        <v>20</v>
      </c>
      <c r="I148" s="331">
        <v>1.1000000000000001</v>
      </c>
      <c r="J148" s="12">
        <f t="shared" si="12"/>
        <v>0</v>
      </c>
    </row>
    <row r="149" spans="1:11" hidden="1" x14ac:dyDescent="0.35">
      <c r="A149" s="103"/>
      <c r="B149" s="12" t="s">
        <v>4</v>
      </c>
      <c r="C149" s="10" t="s">
        <v>321</v>
      </c>
      <c r="D149" s="152"/>
      <c r="E149" s="170"/>
      <c r="F149" s="95"/>
      <c r="G149" s="153" t="str">
        <f t="shared" si="8"/>
        <v/>
      </c>
      <c r="H149" s="10" t="s">
        <v>20</v>
      </c>
      <c r="I149" s="331">
        <v>1.1000000000000001</v>
      </c>
      <c r="J149" s="12">
        <f t="shared" si="12"/>
        <v>0</v>
      </c>
    </row>
    <row r="150" spans="1:11" x14ac:dyDescent="0.35">
      <c r="A150" s="113" t="s">
        <v>41</v>
      </c>
      <c r="B150" s="124"/>
      <c r="C150" s="124"/>
      <c r="D150" s="230"/>
      <c r="E150" s="174"/>
      <c r="F150" s="148"/>
      <c r="G150" s="165" t="str">
        <f t="shared" si="8"/>
        <v/>
      </c>
      <c r="H150" s="124"/>
      <c r="I150" s="241"/>
      <c r="J150" s="125"/>
    </row>
    <row r="151" spans="1:11" x14ac:dyDescent="0.35">
      <c r="A151" s="103"/>
      <c r="B151" s="12" t="s">
        <v>4</v>
      </c>
      <c r="C151" s="10" t="s">
        <v>24</v>
      </c>
      <c r="D151" s="152">
        <v>30</v>
      </c>
      <c r="E151" s="170">
        <v>8</v>
      </c>
      <c r="F151" s="95"/>
      <c r="G151" s="153">
        <f t="shared" si="8"/>
        <v>22</v>
      </c>
      <c r="H151" s="10" t="s">
        <v>20</v>
      </c>
      <c r="I151" s="331">
        <v>3.04</v>
      </c>
      <c r="J151" s="12">
        <f t="shared" ref="J151:J164" si="13">E151*I151</f>
        <v>24.32</v>
      </c>
      <c r="K151" s="13"/>
    </row>
    <row r="152" spans="1:11" x14ac:dyDescent="0.35">
      <c r="A152" s="103"/>
      <c r="B152" s="12" t="s">
        <v>4</v>
      </c>
      <c r="C152" s="10" t="s">
        <v>80</v>
      </c>
      <c r="D152" s="152">
        <v>60</v>
      </c>
      <c r="E152" s="170">
        <v>35</v>
      </c>
      <c r="F152" s="95"/>
      <c r="G152" s="153">
        <f t="shared" si="8"/>
        <v>25</v>
      </c>
      <c r="H152" s="10" t="s">
        <v>20</v>
      </c>
      <c r="I152" s="331">
        <v>2.31</v>
      </c>
      <c r="J152" s="12">
        <f t="shared" si="13"/>
        <v>80.850000000000009</v>
      </c>
    </row>
    <row r="153" spans="1:11" ht="15.65" customHeight="1" x14ac:dyDescent="0.35">
      <c r="A153" s="103"/>
      <c r="B153" s="12" t="s">
        <v>4</v>
      </c>
      <c r="C153" s="10" t="s">
        <v>84</v>
      </c>
      <c r="D153" s="152">
        <v>30</v>
      </c>
      <c r="E153" s="170">
        <v>20</v>
      </c>
      <c r="F153" s="95"/>
      <c r="G153" s="153">
        <f t="shared" ref="G153:G223" si="14">IF(E153="","",IF(D153-E153&gt;0,D153-E153,""))</f>
        <v>10</v>
      </c>
      <c r="H153" s="10" t="s">
        <v>20</v>
      </c>
      <c r="I153" s="331">
        <v>2.31</v>
      </c>
      <c r="J153" s="12">
        <f t="shared" si="13"/>
        <v>46.2</v>
      </c>
    </row>
    <row r="154" spans="1:11" ht="14.5" hidden="1" customHeight="1" x14ac:dyDescent="0.35">
      <c r="A154" s="103"/>
      <c r="B154" s="12" t="s">
        <v>4</v>
      </c>
      <c r="C154" s="10" t="s">
        <v>394</v>
      </c>
      <c r="D154" s="152"/>
      <c r="E154" s="170"/>
      <c r="F154" s="95"/>
      <c r="G154" s="153" t="str">
        <f t="shared" si="14"/>
        <v/>
      </c>
      <c r="H154" s="10" t="s">
        <v>20</v>
      </c>
      <c r="I154" s="331">
        <v>2.54</v>
      </c>
      <c r="J154" s="12">
        <f t="shared" si="13"/>
        <v>0</v>
      </c>
    </row>
    <row r="155" spans="1:11" ht="14.5" hidden="1" customHeight="1" x14ac:dyDescent="0.35">
      <c r="A155" s="103"/>
      <c r="B155" s="12" t="s">
        <v>4</v>
      </c>
      <c r="C155" s="10" t="s">
        <v>394</v>
      </c>
      <c r="D155" s="152"/>
      <c r="E155" s="170"/>
      <c r="F155" s="95"/>
      <c r="G155" s="153" t="str">
        <f t="shared" si="14"/>
        <v/>
      </c>
      <c r="H155" s="10" t="s">
        <v>20</v>
      </c>
      <c r="I155" s="331">
        <v>2.54</v>
      </c>
      <c r="J155" s="12">
        <f t="shared" si="13"/>
        <v>0</v>
      </c>
    </row>
    <row r="156" spans="1:11" ht="14.5" customHeight="1" x14ac:dyDescent="0.35">
      <c r="A156" s="103"/>
      <c r="B156" s="12" t="s">
        <v>4</v>
      </c>
      <c r="C156" s="10" t="s">
        <v>25</v>
      </c>
      <c r="D156" s="152">
        <v>30</v>
      </c>
      <c r="E156" s="170">
        <v>8</v>
      </c>
      <c r="F156" s="95"/>
      <c r="G156" s="153">
        <f t="shared" si="14"/>
        <v>22</v>
      </c>
      <c r="H156" s="10" t="s">
        <v>20</v>
      </c>
      <c r="I156" s="331">
        <v>1.79</v>
      </c>
      <c r="J156" s="12">
        <f t="shared" si="13"/>
        <v>14.32</v>
      </c>
      <c r="K156" s="13"/>
    </row>
    <row r="157" spans="1:11" ht="15.65" hidden="1" customHeight="1" x14ac:dyDescent="0.35">
      <c r="A157" s="103"/>
      <c r="B157" s="12" t="s">
        <v>4</v>
      </c>
      <c r="C157" s="10" t="s">
        <v>322</v>
      </c>
      <c r="D157" s="152"/>
      <c r="E157" s="170"/>
      <c r="F157" s="95"/>
      <c r="G157" s="153" t="str">
        <f t="shared" si="14"/>
        <v/>
      </c>
      <c r="H157" s="10" t="s">
        <v>20</v>
      </c>
      <c r="I157" s="331">
        <v>2.46</v>
      </c>
      <c r="J157" s="12">
        <f t="shared" si="13"/>
        <v>0</v>
      </c>
    </row>
    <row r="158" spans="1:11" x14ac:dyDescent="0.35">
      <c r="A158" s="103"/>
      <c r="B158" s="12" t="s">
        <v>4</v>
      </c>
      <c r="C158" s="10" t="s">
        <v>393</v>
      </c>
      <c r="D158" s="152">
        <v>60</v>
      </c>
      <c r="E158" s="170">
        <v>20</v>
      </c>
      <c r="F158" s="95"/>
      <c r="G158" s="153">
        <f t="shared" si="14"/>
        <v>40</v>
      </c>
      <c r="H158" s="10" t="s">
        <v>20</v>
      </c>
      <c r="I158" s="331">
        <v>2.46</v>
      </c>
      <c r="J158" s="12">
        <f t="shared" si="13"/>
        <v>49.2</v>
      </c>
    </row>
    <row r="159" spans="1:11" hidden="1" x14ac:dyDescent="0.35">
      <c r="A159" s="103"/>
      <c r="B159" s="12" t="s">
        <v>4</v>
      </c>
      <c r="C159" s="10" t="s">
        <v>43</v>
      </c>
      <c r="D159" s="152"/>
      <c r="E159" s="170"/>
      <c r="F159" s="95"/>
      <c r="G159" s="153" t="str">
        <f t="shared" si="14"/>
        <v/>
      </c>
      <c r="H159" s="10" t="s">
        <v>20</v>
      </c>
      <c r="I159" s="331">
        <v>2.5499999999999998</v>
      </c>
      <c r="J159" s="12">
        <f t="shared" si="13"/>
        <v>0</v>
      </c>
    </row>
    <row r="160" spans="1:11" ht="14.5" customHeight="1" x14ac:dyDescent="0.35">
      <c r="A160" s="103"/>
      <c r="B160" s="12" t="s">
        <v>4</v>
      </c>
      <c r="C160" s="10" t="s">
        <v>81</v>
      </c>
      <c r="D160" s="152">
        <v>60</v>
      </c>
      <c r="E160" s="170">
        <v>20</v>
      </c>
      <c r="F160" s="95"/>
      <c r="G160" s="153">
        <f t="shared" si="14"/>
        <v>40</v>
      </c>
      <c r="H160" s="10" t="s">
        <v>20</v>
      </c>
      <c r="I160" s="331">
        <v>1.51</v>
      </c>
      <c r="J160" s="12">
        <f t="shared" si="13"/>
        <v>30.2</v>
      </c>
      <c r="K160" s="13"/>
    </row>
    <row r="161" spans="1:11" ht="15.65" customHeight="1" x14ac:dyDescent="0.35">
      <c r="A161" s="103"/>
      <c r="B161" s="12" t="s">
        <v>4</v>
      </c>
      <c r="C161" s="10" t="s">
        <v>82</v>
      </c>
      <c r="D161" s="152">
        <v>60</v>
      </c>
      <c r="E161" s="170">
        <v>20</v>
      </c>
      <c r="F161" s="95"/>
      <c r="G161" s="153">
        <f t="shared" si="14"/>
        <v>40</v>
      </c>
      <c r="H161" s="10" t="s">
        <v>20</v>
      </c>
      <c r="I161" s="331">
        <v>1.51</v>
      </c>
      <c r="J161" s="12">
        <f t="shared" si="13"/>
        <v>30.2</v>
      </c>
    </row>
    <row r="162" spans="1:11" hidden="1" x14ac:dyDescent="0.35">
      <c r="A162" s="103"/>
      <c r="B162" s="12" t="s">
        <v>4</v>
      </c>
      <c r="C162" s="10" t="s">
        <v>323</v>
      </c>
      <c r="D162" s="152"/>
      <c r="E162" s="170"/>
      <c r="F162" s="95"/>
      <c r="G162" s="153" t="str">
        <f t="shared" si="14"/>
        <v/>
      </c>
      <c r="H162" s="10" t="s">
        <v>20</v>
      </c>
      <c r="I162" s="331">
        <v>1.54</v>
      </c>
      <c r="J162" s="12">
        <f t="shared" si="13"/>
        <v>0</v>
      </c>
    </row>
    <row r="163" spans="1:11" ht="14.5" hidden="1" customHeight="1" x14ac:dyDescent="0.35">
      <c r="A163" s="103"/>
      <c r="B163" s="12" t="s">
        <v>4</v>
      </c>
      <c r="C163" s="10" t="s">
        <v>324</v>
      </c>
      <c r="D163" s="152"/>
      <c r="E163" s="170"/>
      <c r="F163" s="95"/>
      <c r="G163" s="153" t="str">
        <f t="shared" si="14"/>
        <v/>
      </c>
      <c r="H163" s="10" t="s">
        <v>20</v>
      </c>
      <c r="I163" s="331">
        <v>1.6</v>
      </c>
      <c r="J163" s="12">
        <f t="shared" si="13"/>
        <v>0</v>
      </c>
    </row>
    <row r="164" spans="1:11" ht="14.5" hidden="1" customHeight="1" x14ac:dyDescent="0.35">
      <c r="A164" s="103"/>
      <c r="B164" s="12" t="s">
        <v>4</v>
      </c>
      <c r="C164" s="78" t="s">
        <v>325</v>
      </c>
      <c r="D164" s="224"/>
      <c r="E164" s="170"/>
      <c r="F164" s="142"/>
      <c r="G164" s="153" t="str">
        <f t="shared" si="14"/>
        <v/>
      </c>
      <c r="H164" s="10" t="s">
        <v>20</v>
      </c>
      <c r="I164" s="333">
        <v>49.95</v>
      </c>
      <c r="J164" s="12">
        <f t="shared" si="13"/>
        <v>0</v>
      </c>
    </row>
    <row r="165" spans="1:11" ht="14.5" customHeight="1" x14ac:dyDescent="0.35">
      <c r="A165" s="113" t="s">
        <v>44</v>
      </c>
      <c r="B165" s="124"/>
      <c r="C165" s="124"/>
      <c r="D165" s="230"/>
      <c r="E165" s="174"/>
      <c r="F165" s="148"/>
      <c r="G165" s="165" t="str">
        <f t="shared" si="14"/>
        <v/>
      </c>
      <c r="H165" s="124"/>
      <c r="I165" s="241"/>
      <c r="J165" s="125"/>
    </row>
    <row r="166" spans="1:11" x14ac:dyDescent="0.35">
      <c r="A166" s="103"/>
      <c r="B166" s="12" t="s">
        <v>4</v>
      </c>
      <c r="C166" s="10" t="s">
        <v>48</v>
      </c>
      <c r="D166" s="152">
        <v>10</v>
      </c>
      <c r="E166" s="170">
        <v>3</v>
      </c>
      <c r="F166" s="95"/>
      <c r="G166" s="153">
        <f t="shared" si="14"/>
        <v>7</v>
      </c>
      <c r="H166" s="10" t="s">
        <v>20</v>
      </c>
      <c r="I166" s="331">
        <v>1.94</v>
      </c>
      <c r="J166" s="12">
        <f t="shared" ref="J166:J175" si="15">E166*I166</f>
        <v>5.82</v>
      </c>
    </row>
    <row r="167" spans="1:11" x14ac:dyDescent="0.35">
      <c r="A167" s="103"/>
      <c r="B167" s="12" t="s">
        <v>4</v>
      </c>
      <c r="C167" s="10" t="s">
        <v>49</v>
      </c>
      <c r="D167" s="152">
        <v>10</v>
      </c>
      <c r="E167" s="170">
        <v>6</v>
      </c>
      <c r="F167" s="95"/>
      <c r="G167" s="153">
        <f t="shared" si="14"/>
        <v>4</v>
      </c>
      <c r="H167" s="10" t="s">
        <v>20</v>
      </c>
      <c r="I167" s="331">
        <v>1.94</v>
      </c>
      <c r="J167" s="12">
        <f t="shared" si="15"/>
        <v>11.64</v>
      </c>
    </row>
    <row r="168" spans="1:11" x14ac:dyDescent="0.35">
      <c r="A168" s="103"/>
      <c r="B168" s="12" t="s">
        <v>4</v>
      </c>
      <c r="C168" s="10" t="s">
        <v>50</v>
      </c>
      <c r="D168" s="152">
        <v>10</v>
      </c>
      <c r="E168" s="170">
        <v>3</v>
      </c>
      <c r="F168" s="95"/>
      <c r="G168" s="153">
        <f t="shared" si="14"/>
        <v>7</v>
      </c>
      <c r="H168" s="10" t="s">
        <v>20</v>
      </c>
      <c r="I168" s="331">
        <v>1.94</v>
      </c>
      <c r="J168" s="12">
        <f t="shared" si="15"/>
        <v>5.82</v>
      </c>
    </row>
    <row r="169" spans="1:11" hidden="1" x14ac:dyDescent="0.35">
      <c r="A169" s="103"/>
      <c r="B169" s="12" t="s">
        <v>4</v>
      </c>
      <c r="C169" s="10" t="s">
        <v>415</v>
      </c>
      <c r="D169" s="152"/>
      <c r="E169" s="170"/>
      <c r="F169" s="95"/>
      <c r="G169" s="153" t="str">
        <f t="shared" si="14"/>
        <v/>
      </c>
      <c r="H169" s="10" t="s">
        <v>20</v>
      </c>
      <c r="I169" s="331">
        <v>1.98</v>
      </c>
      <c r="J169" s="12">
        <f t="shared" si="15"/>
        <v>0</v>
      </c>
    </row>
    <row r="170" spans="1:11" ht="14.5" hidden="1" customHeight="1" x14ac:dyDescent="0.35">
      <c r="A170" s="103"/>
      <c r="B170" s="12" t="s">
        <v>4</v>
      </c>
      <c r="C170" s="10" t="s">
        <v>414</v>
      </c>
      <c r="D170" s="152"/>
      <c r="E170" s="170"/>
      <c r="F170" s="95"/>
      <c r="G170" s="153" t="str">
        <f t="shared" si="14"/>
        <v/>
      </c>
      <c r="H170" s="10" t="s">
        <v>20</v>
      </c>
      <c r="I170" s="331">
        <v>1.98</v>
      </c>
      <c r="J170" s="12">
        <f t="shared" si="15"/>
        <v>0</v>
      </c>
    </row>
    <row r="171" spans="1:11" ht="14.5" hidden="1" customHeight="1" x14ac:dyDescent="0.35">
      <c r="A171" s="103"/>
      <c r="B171" s="12" t="s">
        <v>4</v>
      </c>
      <c r="C171" s="10" t="s">
        <v>328</v>
      </c>
      <c r="D171" s="152"/>
      <c r="E171" s="170"/>
      <c r="F171" s="95"/>
      <c r="G171" s="153" t="str">
        <f t="shared" si="14"/>
        <v/>
      </c>
      <c r="H171" s="10" t="s">
        <v>20</v>
      </c>
      <c r="I171" s="331">
        <v>1.98</v>
      </c>
      <c r="J171" s="12">
        <f t="shared" si="15"/>
        <v>0</v>
      </c>
    </row>
    <row r="172" spans="1:11" hidden="1" x14ac:dyDescent="0.35">
      <c r="A172" s="103"/>
      <c r="B172" s="12" t="s">
        <v>4</v>
      </c>
      <c r="C172" s="10" t="s">
        <v>329</v>
      </c>
      <c r="D172" s="152"/>
      <c r="E172" s="170"/>
      <c r="F172" s="95"/>
      <c r="G172" s="153" t="str">
        <f t="shared" si="14"/>
        <v/>
      </c>
      <c r="H172" s="10" t="s">
        <v>20</v>
      </c>
      <c r="I172" s="331">
        <v>1.98</v>
      </c>
      <c r="J172" s="12">
        <f t="shared" si="15"/>
        <v>0</v>
      </c>
    </row>
    <row r="173" spans="1:11" ht="14.5" hidden="1" customHeight="1" x14ac:dyDescent="0.35">
      <c r="A173" s="103"/>
      <c r="B173" s="40" t="s">
        <v>4</v>
      </c>
      <c r="C173" s="41" t="s">
        <v>330</v>
      </c>
      <c r="D173" s="227"/>
      <c r="E173" s="170"/>
      <c r="F173" s="145"/>
      <c r="G173" s="153" t="str">
        <f t="shared" si="14"/>
        <v/>
      </c>
      <c r="H173" s="10" t="s">
        <v>20</v>
      </c>
      <c r="I173" s="331">
        <v>1.98</v>
      </c>
      <c r="J173" s="12">
        <f t="shared" si="15"/>
        <v>0</v>
      </c>
    </row>
    <row r="174" spans="1:11" ht="14.5" hidden="1" customHeight="1" x14ac:dyDescent="0.35">
      <c r="A174" s="103"/>
      <c r="B174" s="40" t="s">
        <v>4</v>
      </c>
      <c r="C174" s="41" t="s">
        <v>331</v>
      </c>
      <c r="D174" s="227"/>
      <c r="E174" s="170"/>
      <c r="F174" s="145"/>
      <c r="G174" s="153" t="str">
        <f t="shared" si="14"/>
        <v/>
      </c>
      <c r="H174" s="10" t="s">
        <v>20</v>
      </c>
      <c r="I174" s="331">
        <v>1.98</v>
      </c>
      <c r="J174" s="12">
        <f t="shared" si="15"/>
        <v>0</v>
      </c>
    </row>
    <row r="175" spans="1:11" ht="14.5" hidden="1" customHeight="1" x14ac:dyDescent="0.35">
      <c r="A175" s="103"/>
      <c r="B175" s="40" t="s">
        <v>4</v>
      </c>
      <c r="C175" s="41" t="s">
        <v>413</v>
      </c>
      <c r="D175" s="227"/>
      <c r="E175" s="170"/>
      <c r="F175" s="145"/>
      <c r="G175" s="153" t="str">
        <f t="shared" si="14"/>
        <v/>
      </c>
      <c r="H175" s="41" t="s">
        <v>20</v>
      </c>
      <c r="I175" s="334">
        <v>1.98</v>
      </c>
      <c r="J175" s="12">
        <f t="shared" si="15"/>
        <v>0</v>
      </c>
    </row>
    <row r="176" spans="1:11" ht="15.5" hidden="1" x14ac:dyDescent="0.35">
      <c r="A176" s="114" t="s">
        <v>333</v>
      </c>
      <c r="B176" s="120"/>
      <c r="C176" s="120"/>
      <c r="D176" s="228"/>
      <c r="E176" s="175"/>
      <c r="F176" s="149"/>
      <c r="G176" s="153" t="str">
        <f t="shared" si="14"/>
        <v/>
      </c>
      <c r="H176" s="121"/>
      <c r="I176" s="122" t="s">
        <v>18</v>
      </c>
      <c r="J176" s="123">
        <f>SUM(J177:J186)</f>
        <v>0</v>
      </c>
      <c r="K176" s="13"/>
    </row>
    <row r="177" spans="1:14" hidden="1" x14ac:dyDescent="0.35">
      <c r="A177" s="103"/>
      <c r="B177" s="12" t="s">
        <v>26</v>
      </c>
      <c r="C177" s="10" t="s">
        <v>334</v>
      </c>
      <c r="D177" s="152"/>
      <c r="E177" s="170"/>
      <c r="F177" s="95"/>
      <c r="G177" s="153" t="str">
        <f t="shared" si="14"/>
        <v/>
      </c>
      <c r="H177" s="10" t="s">
        <v>335</v>
      </c>
      <c r="I177" s="331">
        <v>20</v>
      </c>
      <c r="J177" s="12">
        <f t="shared" ref="J177:J186" si="16">E177*I177</f>
        <v>0</v>
      </c>
    </row>
    <row r="178" spans="1:14" hidden="1" x14ac:dyDescent="0.35">
      <c r="A178" s="103"/>
      <c r="B178" s="20" t="s">
        <v>26</v>
      </c>
      <c r="C178" s="18" t="s">
        <v>53</v>
      </c>
      <c r="D178" s="229"/>
      <c r="E178" s="170"/>
      <c r="F178" s="147"/>
      <c r="G178" s="153" t="str">
        <f t="shared" si="14"/>
        <v/>
      </c>
      <c r="H178" s="18" t="s">
        <v>20</v>
      </c>
      <c r="I178" s="335">
        <v>0.43</v>
      </c>
      <c r="J178" s="20">
        <f t="shared" si="16"/>
        <v>0</v>
      </c>
      <c r="N178" t="s">
        <v>47</v>
      </c>
    </row>
    <row r="179" spans="1:14" hidden="1" x14ac:dyDescent="0.35">
      <c r="A179" s="103"/>
      <c r="B179" s="20" t="s">
        <v>26</v>
      </c>
      <c r="C179" s="18" t="s">
        <v>336</v>
      </c>
      <c r="D179" s="229"/>
      <c r="E179" s="170"/>
      <c r="F179" s="147"/>
      <c r="G179" s="153" t="str">
        <f t="shared" si="14"/>
        <v/>
      </c>
      <c r="H179" s="18" t="s">
        <v>20</v>
      </c>
      <c r="I179" s="335">
        <v>0.43</v>
      </c>
      <c r="J179" s="20">
        <f t="shared" si="16"/>
        <v>0</v>
      </c>
    </row>
    <row r="180" spans="1:14" ht="16.399999999999999" hidden="1" customHeight="1" x14ac:dyDescent="0.35">
      <c r="A180" s="103"/>
      <c r="B180" s="12" t="s">
        <v>26</v>
      </c>
      <c r="C180" s="10" t="s">
        <v>337</v>
      </c>
      <c r="D180" s="152"/>
      <c r="E180" s="170"/>
      <c r="F180" s="95"/>
      <c r="G180" s="153" t="str">
        <f t="shared" si="14"/>
        <v/>
      </c>
      <c r="H180" s="10" t="s">
        <v>20</v>
      </c>
      <c r="I180" s="331">
        <v>0.43</v>
      </c>
      <c r="J180" s="12">
        <f t="shared" si="16"/>
        <v>0</v>
      </c>
    </row>
    <row r="181" spans="1:14" hidden="1" x14ac:dyDescent="0.35">
      <c r="A181" s="103"/>
      <c r="B181" s="12" t="s">
        <v>26</v>
      </c>
      <c r="C181" s="10" t="s">
        <v>51</v>
      </c>
      <c r="D181" s="152"/>
      <c r="E181" s="170"/>
      <c r="F181" s="95"/>
      <c r="G181" s="153" t="str">
        <f t="shared" si="14"/>
        <v/>
      </c>
      <c r="H181" s="10" t="s">
        <v>61</v>
      </c>
      <c r="I181" s="331">
        <v>14</v>
      </c>
      <c r="J181" s="12">
        <f t="shared" si="16"/>
        <v>0</v>
      </c>
    </row>
    <row r="182" spans="1:14" hidden="1" x14ac:dyDescent="0.35">
      <c r="A182" s="103"/>
      <c r="B182" s="12" t="s">
        <v>26</v>
      </c>
      <c r="C182" s="10" t="s">
        <v>338</v>
      </c>
      <c r="D182" s="152"/>
      <c r="E182" s="170"/>
      <c r="F182" s="95"/>
      <c r="G182" s="153" t="str">
        <f t="shared" si="14"/>
        <v/>
      </c>
      <c r="H182" s="10" t="s">
        <v>61</v>
      </c>
      <c r="I182" s="331">
        <v>14.78</v>
      </c>
      <c r="J182" s="12">
        <f t="shared" si="16"/>
        <v>0</v>
      </c>
    </row>
    <row r="183" spans="1:14" hidden="1" x14ac:dyDescent="0.35">
      <c r="A183" s="103"/>
      <c r="B183" s="12" t="s">
        <v>26</v>
      </c>
      <c r="C183" s="10" t="s">
        <v>339</v>
      </c>
      <c r="D183" s="152"/>
      <c r="E183" s="170"/>
      <c r="F183" s="95"/>
      <c r="G183" s="153" t="str">
        <f t="shared" si="14"/>
        <v/>
      </c>
      <c r="H183" s="10" t="s">
        <v>61</v>
      </c>
      <c r="I183" s="331">
        <v>14.78</v>
      </c>
      <c r="J183" s="12">
        <f t="shared" si="16"/>
        <v>0</v>
      </c>
    </row>
    <row r="184" spans="1:14" hidden="1" x14ac:dyDescent="0.35">
      <c r="A184" s="103"/>
      <c r="B184" s="12" t="s">
        <v>26</v>
      </c>
      <c r="C184" s="10" t="s">
        <v>340</v>
      </c>
      <c r="D184" s="152"/>
      <c r="E184" s="170"/>
      <c r="F184" s="95"/>
      <c r="G184" s="153" t="str">
        <f t="shared" si="14"/>
        <v/>
      </c>
      <c r="H184" s="10" t="s">
        <v>61</v>
      </c>
      <c r="I184" s="331">
        <v>14.78</v>
      </c>
      <c r="J184" s="12">
        <f t="shared" si="16"/>
        <v>0</v>
      </c>
    </row>
    <row r="185" spans="1:14" hidden="1" x14ac:dyDescent="0.35">
      <c r="A185" s="103"/>
      <c r="B185" s="12" t="s">
        <v>26</v>
      </c>
      <c r="C185" s="10" t="s">
        <v>341</v>
      </c>
      <c r="D185" s="152"/>
      <c r="E185" s="170"/>
      <c r="F185" s="95"/>
      <c r="G185" s="153" t="str">
        <f t="shared" si="14"/>
        <v/>
      </c>
      <c r="H185" s="10" t="s">
        <v>61</v>
      </c>
      <c r="I185" s="331">
        <v>14.78</v>
      </c>
      <c r="J185" s="12">
        <f t="shared" si="16"/>
        <v>0</v>
      </c>
    </row>
    <row r="186" spans="1:14" hidden="1" x14ac:dyDescent="0.35">
      <c r="A186" s="103"/>
      <c r="B186" s="12" t="s">
        <v>26</v>
      </c>
      <c r="C186" s="10" t="s">
        <v>342</v>
      </c>
      <c r="D186" s="152"/>
      <c r="E186" s="170"/>
      <c r="F186" s="95"/>
      <c r="G186" s="153" t="str">
        <f t="shared" si="14"/>
        <v/>
      </c>
      <c r="H186" s="10" t="s">
        <v>61</v>
      </c>
      <c r="I186" s="331">
        <v>14.78</v>
      </c>
      <c r="J186" s="10">
        <f t="shared" si="16"/>
        <v>0</v>
      </c>
    </row>
    <row r="187" spans="1:14" ht="15.5" x14ac:dyDescent="0.35">
      <c r="A187" s="108" t="s">
        <v>343</v>
      </c>
      <c r="B187" s="108"/>
      <c r="C187" s="108"/>
      <c r="D187" s="223"/>
      <c r="E187" s="169"/>
      <c r="F187" s="109"/>
      <c r="G187" s="165" t="str">
        <f t="shared" si="14"/>
        <v/>
      </c>
      <c r="H187" s="108"/>
      <c r="I187" s="106" t="s">
        <v>18</v>
      </c>
      <c r="J187" s="107">
        <f>SUM(J188:J192)</f>
        <v>40.44</v>
      </c>
    </row>
    <row r="188" spans="1:14" hidden="1" x14ac:dyDescent="0.35">
      <c r="A188" s="103"/>
      <c r="B188" s="7" t="s">
        <v>6</v>
      </c>
      <c r="C188" s="14" t="s">
        <v>344</v>
      </c>
      <c r="D188" s="152"/>
      <c r="E188" s="170"/>
      <c r="F188" s="95"/>
      <c r="G188" s="153" t="str">
        <f t="shared" si="14"/>
        <v/>
      </c>
      <c r="H188" s="14" t="s">
        <v>20</v>
      </c>
      <c r="I188" s="336">
        <v>0.79</v>
      </c>
      <c r="J188" s="7">
        <f>E188*I188</f>
        <v>0</v>
      </c>
    </row>
    <row r="189" spans="1:14" x14ac:dyDescent="0.35">
      <c r="A189" s="103"/>
      <c r="B189" s="7" t="s">
        <v>6</v>
      </c>
      <c r="C189" s="14" t="s">
        <v>345</v>
      </c>
      <c r="D189" s="152">
        <v>10</v>
      </c>
      <c r="E189" s="170">
        <v>14</v>
      </c>
      <c r="F189" s="95"/>
      <c r="G189" s="153" t="str">
        <f t="shared" si="14"/>
        <v/>
      </c>
      <c r="H189" s="14" t="s">
        <v>20</v>
      </c>
      <c r="I189" s="336">
        <v>2.76</v>
      </c>
      <c r="J189" s="7">
        <f>E189*I189</f>
        <v>38.64</v>
      </c>
    </row>
    <row r="190" spans="1:14" x14ac:dyDescent="0.35">
      <c r="A190" s="103"/>
      <c r="B190" s="7" t="s">
        <v>6</v>
      </c>
      <c r="C190" s="14" t="s">
        <v>346</v>
      </c>
      <c r="D190" s="152"/>
      <c r="E190" s="170"/>
      <c r="F190" s="95"/>
      <c r="G190" s="153" t="str">
        <f t="shared" si="14"/>
        <v/>
      </c>
      <c r="H190" s="14" t="s">
        <v>20</v>
      </c>
      <c r="I190" s="336">
        <v>1</v>
      </c>
      <c r="J190" s="7">
        <f>E190*I190</f>
        <v>0</v>
      </c>
    </row>
    <row r="191" spans="1:14" x14ac:dyDescent="0.35">
      <c r="A191" s="103"/>
      <c r="B191" s="7" t="s">
        <v>6</v>
      </c>
      <c r="C191" s="14" t="s">
        <v>34</v>
      </c>
      <c r="D191" s="152">
        <v>20</v>
      </c>
      <c r="E191" s="170">
        <v>1</v>
      </c>
      <c r="F191" s="95"/>
      <c r="G191" s="153">
        <f t="shared" si="14"/>
        <v>19</v>
      </c>
      <c r="H191" s="14" t="s">
        <v>20</v>
      </c>
      <c r="I191" s="336">
        <v>1.8</v>
      </c>
      <c r="J191" s="7">
        <f>E191*I191</f>
        <v>1.8</v>
      </c>
    </row>
    <row r="192" spans="1:14" x14ac:dyDescent="0.35">
      <c r="A192" s="103"/>
      <c r="B192" s="7" t="s">
        <v>6</v>
      </c>
      <c r="C192" s="14" t="s">
        <v>35</v>
      </c>
      <c r="D192" s="152">
        <v>20</v>
      </c>
      <c r="E192" s="170"/>
      <c r="F192" s="95"/>
      <c r="G192" s="153" t="str">
        <f t="shared" si="14"/>
        <v/>
      </c>
      <c r="H192" s="14" t="s">
        <v>20</v>
      </c>
      <c r="I192" s="336">
        <v>1.8</v>
      </c>
      <c r="J192" s="7">
        <f>E192*I192</f>
        <v>0</v>
      </c>
    </row>
    <row r="193" spans="1:10" ht="15.5" x14ac:dyDescent="0.35">
      <c r="A193" s="112" t="s">
        <v>347</v>
      </c>
      <c r="B193" s="116"/>
      <c r="C193" s="116"/>
      <c r="D193" s="228"/>
      <c r="E193" s="173"/>
      <c r="F193" s="146"/>
      <c r="G193" s="165" t="str">
        <f t="shared" si="14"/>
        <v/>
      </c>
      <c r="H193" s="117"/>
      <c r="I193" s="118" t="s">
        <v>18</v>
      </c>
      <c r="J193" s="119">
        <f>SUM(J194)</f>
        <v>0</v>
      </c>
    </row>
    <row r="194" spans="1:10" x14ac:dyDescent="0.35">
      <c r="A194" s="103"/>
      <c r="B194" s="12" t="s">
        <v>5</v>
      </c>
      <c r="C194" s="10" t="s">
        <v>55</v>
      </c>
      <c r="D194" s="152"/>
      <c r="E194" s="170"/>
      <c r="F194" s="95"/>
      <c r="G194" s="153" t="str">
        <f t="shared" si="14"/>
        <v/>
      </c>
      <c r="H194" s="10" t="s">
        <v>20</v>
      </c>
      <c r="I194" s="331">
        <v>1.01</v>
      </c>
      <c r="J194" s="12">
        <f>E194*I194</f>
        <v>0</v>
      </c>
    </row>
    <row r="195" spans="1:10" ht="15.5" x14ac:dyDescent="0.35">
      <c r="A195" s="112" t="s">
        <v>348</v>
      </c>
      <c r="B195" s="116"/>
      <c r="C195" s="116"/>
      <c r="D195" s="228"/>
      <c r="E195" s="173"/>
      <c r="F195" s="146"/>
      <c r="G195" s="165" t="str">
        <f t="shared" si="14"/>
        <v/>
      </c>
      <c r="H195" s="117"/>
      <c r="I195" s="118" t="s">
        <v>18</v>
      </c>
      <c r="J195" s="119">
        <f>SUM(J196:J207)</f>
        <v>201.96</v>
      </c>
    </row>
    <row r="196" spans="1:10" x14ac:dyDescent="0.35">
      <c r="A196" s="103"/>
      <c r="B196" s="20" t="s">
        <v>8</v>
      </c>
      <c r="C196" s="18" t="s">
        <v>349</v>
      </c>
      <c r="D196" s="229">
        <v>1</v>
      </c>
      <c r="E196" s="170"/>
      <c r="F196" s="147"/>
      <c r="G196" s="153" t="str">
        <f t="shared" si="14"/>
        <v/>
      </c>
      <c r="H196" s="18" t="s">
        <v>27</v>
      </c>
      <c r="I196" s="337">
        <v>28.62</v>
      </c>
      <c r="J196" s="12">
        <f t="shared" ref="J196:J207" si="17">E196*I196</f>
        <v>0</v>
      </c>
    </row>
    <row r="197" spans="1:10" x14ac:dyDescent="0.35">
      <c r="A197" s="103"/>
      <c r="B197" s="12" t="s">
        <v>8</v>
      </c>
      <c r="C197" s="10" t="s">
        <v>350</v>
      </c>
      <c r="D197" s="152"/>
      <c r="E197" s="170"/>
      <c r="F197" s="95"/>
      <c r="G197" s="153" t="str">
        <f t="shared" si="14"/>
        <v/>
      </c>
      <c r="H197" s="10" t="s">
        <v>335</v>
      </c>
      <c r="I197" s="338">
        <v>30</v>
      </c>
      <c r="J197" s="12">
        <f t="shared" si="17"/>
        <v>0</v>
      </c>
    </row>
    <row r="198" spans="1:10" x14ac:dyDescent="0.35">
      <c r="A198" s="103"/>
      <c r="B198" s="12" t="s">
        <v>8</v>
      </c>
      <c r="C198" s="10" t="s">
        <v>351</v>
      </c>
      <c r="D198" s="152"/>
      <c r="E198" s="170"/>
      <c r="F198" s="95"/>
      <c r="G198" s="153" t="str">
        <f t="shared" si="14"/>
        <v/>
      </c>
      <c r="H198" s="10" t="s">
        <v>335</v>
      </c>
      <c r="I198" s="331">
        <v>1.1499999999999999</v>
      </c>
      <c r="J198" s="12">
        <f t="shared" si="17"/>
        <v>0</v>
      </c>
    </row>
    <row r="199" spans="1:10" x14ac:dyDescent="0.35">
      <c r="A199" s="103"/>
      <c r="B199" s="12" t="s">
        <v>8</v>
      </c>
      <c r="C199" s="10" t="s">
        <v>352</v>
      </c>
      <c r="D199" s="152">
        <v>3</v>
      </c>
      <c r="E199" s="170">
        <v>2</v>
      </c>
      <c r="F199" s="95"/>
      <c r="G199" s="153">
        <f t="shared" si="14"/>
        <v>1</v>
      </c>
      <c r="H199" s="10" t="s">
        <v>27</v>
      </c>
      <c r="I199" s="331">
        <v>23.83</v>
      </c>
      <c r="J199" s="12">
        <f t="shared" si="17"/>
        <v>47.66</v>
      </c>
    </row>
    <row r="200" spans="1:10" x14ac:dyDescent="0.35">
      <c r="A200" s="103"/>
      <c r="B200" s="12" t="s">
        <v>8</v>
      </c>
      <c r="C200" s="10" t="s">
        <v>353</v>
      </c>
      <c r="D200" s="152">
        <v>3</v>
      </c>
      <c r="E200" s="170">
        <v>4</v>
      </c>
      <c r="F200" s="95"/>
      <c r="G200" s="153" t="str">
        <f t="shared" si="14"/>
        <v/>
      </c>
      <c r="H200" s="10" t="s">
        <v>27</v>
      </c>
      <c r="I200" s="331">
        <v>28.89</v>
      </c>
      <c r="J200" s="12">
        <f t="shared" si="17"/>
        <v>115.56</v>
      </c>
    </row>
    <row r="201" spans="1:10" x14ac:dyDescent="0.35">
      <c r="A201" s="103"/>
      <c r="B201" s="12" t="s">
        <v>8</v>
      </c>
      <c r="C201" s="10" t="s">
        <v>354</v>
      </c>
      <c r="D201" s="152">
        <v>3</v>
      </c>
      <c r="E201" s="170">
        <v>2</v>
      </c>
      <c r="F201" s="95"/>
      <c r="G201" s="153">
        <f>IF(E201="","",IF(D201-E201&gt;0,D201-E201,""))</f>
        <v>1</v>
      </c>
      <c r="H201" s="10" t="s">
        <v>27</v>
      </c>
      <c r="I201" s="331">
        <v>19.37</v>
      </c>
      <c r="J201" s="12">
        <f>E201*I201</f>
        <v>38.74</v>
      </c>
    </row>
    <row r="202" spans="1:10" x14ac:dyDescent="0.35">
      <c r="A202" s="103"/>
      <c r="B202" s="12" t="s">
        <v>8</v>
      </c>
      <c r="C202" s="10" t="s">
        <v>429</v>
      </c>
      <c r="D202" s="152"/>
      <c r="E202" s="170"/>
      <c r="F202" s="95"/>
      <c r="G202" s="153"/>
      <c r="H202" s="10" t="s">
        <v>27</v>
      </c>
      <c r="I202" s="331">
        <v>14.07</v>
      </c>
      <c r="J202" s="12"/>
    </row>
    <row r="203" spans="1:10" x14ac:dyDescent="0.35">
      <c r="A203" s="103"/>
      <c r="B203" s="12" t="s">
        <v>8</v>
      </c>
      <c r="C203" s="10" t="s">
        <v>430</v>
      </c>
      <c r="D203" s="152"/>
      <c r="E203" s="170"/>
      <c r="F203" s="95"/>
      <c r="G203" s="153"/>
      <c r="H203" s="10" t="s">
        <v>27</v>
      </c>
      <c r="I203" s="331">
        <v>16.07</v>
      </c>
      <c r="J203" s="12"/>
    </row>
    <row r="204" spans="1:10" x14ac:dyDescent="0.35">
      <c r="A204" s="103"/>
      <c r="B204" s="12" t="s">
        <v>8</v>
      </c>
      <c r="C204" s="10" t="s">
        <v>431</v>
      </c>
      <c r="D204" s="152"/>
      <c r="G204" s="153"/>
      <c r="H204" s="10" t="s">
        <v>27</v>
      </c>
      <c r="I204" s="339">
        <v>14.62</v>
      </c>
      <c r="J204" s="12"/>
    </row>
    <row r="205" spans="1:10" hidden="1" x14ac:dyDescent="0.35">
      <c r="A205" s="103"/>
      <c r="B205" s="12" t="s">
        <v>8</v>
      </c>
      <c r="C205" s="10" t="s">
        <v>355</v>
      </c>
      <c r="D205" s="152"/>
      <c r="E205" s="170"/>
      <c r="F205" s="95"/>
      <c r="G205" s="153" t="str">
        <f t="shared" si="14"/>
        <v/>
      </c>
      <c r="H205" s="10" t="s">
        <v>61</v>
      </c>
      <c r="I205" s="331">
        <v>17.11</v>
      </c>
      <c r="J205" s="12">
        <f t="shared" si="17"/>
        <v>0</v>
      </c>
    </row>
    <row r="206" spans="1:10" hidden="1" x14ac:dyDescent="0.35">
      <c r="A206" s="103"/>
      <c r="B206" s="12" t="s">
        <v>8</v>
      </c>
      <c r="C206" s="10" t="s">
        <v>356</v>
      </c>
      <c r="D206" s="152"/>
      <c r="E206" s="170"/>
      <c r="F206" s="95"/>
      <c r="G206" s="153" t="str">
        <f t="shared" si="14"/>
        <v/>
      </c>
      <c r="H206" s="10" t="s">
        <v>61</v>
      </c>
      <c r="I206" s="331">
        <v>22.13</v>
      </c>
      <c r="J206" s="12">
        <f t="shared" si="17"/>
        <v>0</v>
      </c>
    </row>
    <row r="207" spans="1:10" hidden="1" x14ac:dyDescent="0.35">
      <c r="A207" s="103"/>
      <c r="B207" s="40" t="s">
        <v>8</v>
      </c>
      <c r="C207" s="41" t="s">
        <v>357</v>
      </c>
      <c r="D207" s="227"/>
      <c r="E207" s="170"/>
      <c r="F207" s="145"/>
      <c r="G207" s="153" t="str">
        <f t="shared" si="14"/>
        <v/>
      </c>
      <c r="H207" s="41" t="s">
        <v>61</v>
      </c>
      <c r="I207" s="334">
        <v>18.8</v>
      </c>
      <c r="J207" s="40">
        <f t="shared" si="17"/>
        <v>0</v>
      </c>
    </row>
    <row r="208" spans="1:10" ht="15.5" x14ac:dyDescent="0.35">
      <c r="A208" s="112" t="s">
        <v>358</v>
      </c>
      <c r="B208" s="116"/>
      <c r="C208" s="116"/>
      <c r="D208" s="228"/>
      <c r="E208" s="173"/>
      <c r="F208" s="146"/>
      <c r="G208" s="165" t="str">
        <f t="shared" si="14"/>
        <v/>
      </c>
      <c r="H208" s="117"/>
      <c r="I208" s="118" t="s">
        <v>18</v>
      </c>
      <c r="J208" s="119">
        <f>J209+J210+J211+J212+J213</f>
        <v>731.47500000000002</v>
      </c>
    </row>
    <row r="209" spans="1:10" x14ac:dyDescent="0.35">
      <c r="A209" s="103"/>
      <c r="B209" s="13" t="s">
        <v>11</v>
      </c>
      <c r="C209" s="298" t="s">
        <v>359</v>
      </c>
      <c r="D209" s="299">
        <v>40</v>
      </c>
      <c r="E209" s="300">
        <v>10</v>
      </c>
      <c r="F209" s="301"/>
      <c r="G209" s="302">
        <f t="shared" si="14"/>
        <v>30</v>
      </c>
      <c r="H209" s="41" t="s">
        <v>52</v>
      </c>
      <c r="I209" s="334">
        <v>11.63</v>
      </c>
      <c r="J209" s="40">
        <f>E209*I209</f>
        <v>116.30000000000001</v>
      </c>
    </row>
    <row r="210" spans="1:10" x14ac:dyDescent="0.35">
      <c r="A210" s="103"/>
      <c r="B210" s="12" t="s">
        <v>11</v>
      </c>
      <c r="C210" s="10" t="s">
        <v>436</v>
      </c>
      <c r="D210" s="152"/>
      <c r="E210" s="170">
        <v>11</v>
      </c>
      <c r="F210" s="95"/>
      <c r="G210" s="153"/>
      <c r="H210" s="10" t="s">
        <v>52</v>
      </c>
      <c r="I210" s="331">
        <v>16.8</v>
      </c>
      <c r="J210" s="40">
        <f t="shared" ref="J210:J213" si="18">E210*I210</f>
        <v>184.8</v>
      </c>
    </row>
    <row r="211" spans="1:10" x14ac:dyDescent="0.35">
      <c r="A211" s="103"/>
      <c r="B211" s="12" t="s">
        <v>11</v>
      </c>
      <c r="C211" s="10" t="s">
        <v>437</v>
      </c>
      <c r="D211" s="152"/>
      <c r="E211" s="170">
        <v>22.5</v>
      </c>
      <c r="F211" s="95"/>
      <c r="G211" s="153"/>
      <c r="H211" s="10" t="s">
        <v>440</v>
      </c>
      <c r="I211" s="331">
        <v>9.35</v>
      </c>
      <c r="J211" s="40">
        <f>E211*I211</f>
        <v>210.375</v>
      </c>
    </row>
    <row r="212" spans="1:10" x14ac:dyDescent="0.35">
      <c r="A212" s="103"/>
      <c r="B212" s="12" t="s">
        <v>11</v>
      </c>
      <c r="C212" s="10" t="s">
        <v>438</v>
      </c>
      <c r="D212" s="152"/>
      <c r="E212" s="170"/>
      <c r="F212" s="95"/>
      <c r="G212" s="153"/>
      <c r="H212" s="10" t="s">
        <v>52</v>
      </c>
      <c r="I212" s="331">
        <v>87</v>
      </c>
      <c r="J212" s="40">
        <f t="shared" si="18"/>
        <v>0</v>
      </c>
    </row>
    <row r="213" spans="1:10" x14ac:dyDescent="0.35">
      <c r="A213" s="103"/>
      <c r="B213" s="12" t="s">
        <v>11</v>
      </c>
      <c r="C213" s="10" t="s">
        <v>439</v>
      </c>
      <c r="D213" s="152"/>
      <c r="E213" s="170">
        <v>4</v>
      </c>
      <c r="F213" s="95"/>
      <c r="G213" s="153"/>
      <c r="H213" s="10" t="s">
        <v>52</v>
      </c>
      <c r="I213" s="331">
        <v>55</v>
      </c>
      <c r="J213" s="40">
        <f t="shared" si="18"/>
        <v>220</v>
      </c>
    </row>
    <row r="214" spans="1:10" ht="15.5" x14ac:dyDescent="0.35">
      <c r="A214" s="108" t="s">
        <v>360</v>
      </c>
      <c r="B214" s="108"/>
      <c r="C214" s="108"/>
      <c r="D214" s="223"/>
      <c r="E214" s="169"/>
      <c r="F214" s="109"/>
      <c r="G214" s="310" t="str">
        <f t="shared" si="14"/>
        <v/>
      </c>
      <c r="H214" s="108"/>
      <c r="I214" s="106" t="s">
        <v>18</v>
      </c>
      <c r="J214" s="107">
        <f>SUM(J215:J216)</f>
        <v>0</v>
      </c>
    </row>
    <row r="215" spans="1:10" x14ac:dyDescent="0.35">
      <c r="A215" s="103"/>
      <c r="B215" s="12" t="s">
        <v>12</v>
      </c>
      <c r="C215" s="10" t="s">
        <v>70</v>
      </c>
      <c r="D215" s="152">
        <v>40</v>
      </c>
      <c r="E215" s="170"/>
      <c r="F215" s="95"/>
      <c r="G215" s="153" t="str">
        <f t="shared" si="14"/>
        <v/>
      </c>
      <c r="H215" s="10" t="s">
        <v>27</v>
      </c>
      <c r="I215" s="331">
        <v>20.7</v>
      </c>
      <c r="J215" s="12">
        <f>+E215*I215</f>
        <v>0</v>
      </c>
    </row>
    <row r="216" spans="1:10" x14ac:dyDescent="0.35">
      <c r="A216" s="103"/>
      <c r="B216" s="12" t="s">
        <v>12</v>
      </c>
      <c r="C216" s="10" t="s">
        <v>71</v>
      </c>
      <c r="D216" s="152">
        <v>40</v>
      </c>
      <c r="E216" s="170"/>
      <c r="F216" s="95"/>
      <c r="G216" s="153" t="str">
        <f t="shared" si="14"/>
        <v/>
      </c>
      <c r="H216" s="10" t="s">
        <v>27</v>
      </c>
      <c r="I216" s="331">
        <v>13.7</v>
      </c>
      <c r="J216" s="12">
        <f>+E216*I216</f>
        <v>0</v>
      </c>
    </row>
    <row r="217" spans="1:10" ht="15.5" hidden="1" x14ac:dyDescent="0.35">
      <c r="A217" s="108" t="s">
        <v>361</v>
      </c>
      <c r="B217" s="108"/>
      <c r="C217" s="108"/>
      <c r="D217" s="223"/>
      <c r="E217" s="169"/>
      <c r="F217" s="109"/>
      <c r="G217" s="153" t="str">
        <f t="shared" si="14"/>
        <v/>
      </c>
      <c r="H217" s="108"/>
      <c r="I217" s="106" t="s">
        <v>18</v>
      </c>
      <c r="J217" s="107">
        <f>SUM(J218:J221)</f>
        <v>0</v>
      </c>
    </row>
    <row r="218" spans="1:10" hidden="1" x14ac:dyDescent="0.35">
      <c r="A218" s="103"/>
      <c r="B218" s="12" t="s">
        <v>10</v>
      </c>
      <c r="C218" s="10" t="s">
        <v>362</v>
      </c>
      <c r="D218" s="152"/>
      <c r="E218" s="170"/>
      <c r="F218" s="95"/>
      <c r="G218" s="153" t="str">
        <f t="shared" si="14"/>
        <v/>
      </c>
      <c r="H218" s="10" t="s">
        <v>20</v>
      </c>
      <c r="I218" s="331">
        <v>11.08</v>
      </c>
      <c r="J218" s="12">
        <f>E218*I218</f>
        <v>0</v>
      </c>
    </row>
    <row r="219" spans="1:10" hidden="1" x14ac:dyDescent="0.35">
      <c r="A219" s="103"/>
      <c r="B219" s="12" t="s">
        <v>10</v>
      </c>
      <c r="C219" s="10" t="s">
        <v>363</v>
      </c>
      <c r="D219" s="152"/>
      <c r="E219" s="170"/>
      <c r="F219" s="95"/>
      <c r="G219" s="153" t="str">
        <f t="shared" si="14"/>
        <v/>
      </c>
      <c r="H219" s="10" t="s">
        <v>27</v>
      </c>
      <c r="I219" s="331">
        <v>16.21</v>
      </c>
      <c r="J219" s="12">
        <f>E219*I219</f>
        <v>0</v>
      </c>
    </row>
    <row r="220" spans="1:10" hidden="1" x14ac:dyDescent="0.35">
      <c r="A220" s="103"/>
      <c r="B220" s="12" t="s">
        <v>10</v>
      </c>
      <c r="C220" s="10" t="s">
        <v>364</v>
      </c>
      <c r="D220" s="152"/>
      <c r="E220" s="170"/>
      <c r="F220" s="95"/>
      <c r="G220" s="153" t="str">
        <f t="shared" si="14"/>
        <v/>
      </c>
      <c r="H220" s="10" t="s">
        <v>27</v>
      </c>
      <c r="I220" s="331">
        <v>19.350000000000001</v>
      </c>
      <c r="J220" s="12">
        <f>E220*I220</f>
        <v>0</v>
      </c>
    </row>
    <row r="221" spans="1:10" hidden="1" x14ac:dyDescent="0.35">
      <c r="A221" s="103"/>
      <c r="B221" s="12" t="s">
        <v>10</v>
      </c>
      <c r="C221" s="10" t="s">
        <v>365</v>
      </c>
      <c r="D221" s="152"/>
      <c r="E221" s="170"/>
      <c r="F221" s="95"/>
      <c r="G221" s="153" t="str">
        <f t="shared" si="14"/>
        <v/>
      </c>
      <c r="H221" s="10" t="s">
        <v>27</v>
      </c>
      <c r="I221" s="331">
        <v>19.809999999999999</v>
      </c>
      <c r="J221" s="12">
        <f>E221*I221</f>
        <v>0</v>
      </c>
    </row>
    <row r="222" spans="1:10" ht="15.5" x14ac:dyDescent="0.35">
      <c r="A222" s="108" t="s">
        <v>366</v>
      </c>
      <c r="B222" s="108"/>
      <c r="C222" s="108"/>
      <c r="D222" s="223"/>
      <c r="E222" s="169"/>
      <c r="F222" s="109"/>
      <c r="G222" s="165" t="str">
        <f t="shared" si="14"/>
        <v/>
      </c>
      <c r="H222" s="108"/>
      <c r="I222" s="106" t="s">
        <v>18</v>
      </c>
      <c r="J222" s="107">
        <f>J223</f>
        <v>208</v>
      </c>
    </row>
    <row r="223" spans="1:10" x14ac:dyDescent="0.35">
      <c r="A223" s="103"/>
      <c r="B223" s="12" t="s">
        <v>28</v>
      </c>
      <c r="C223" s="10" t="s">
        <v>29</v>
      </c>
      <c r="D223" s="152">
        <v>1</v>
      </c>
      <c r="E223" s="170">
        <v>2</v>
      </c>
      <c r="F223" s="150"/>
      <c r="G223" s="153" t="str">
        <f t="shared" si="14"/>
        <v/>
      </c>
      <c r="H223" s="10" t="s">
        <v>54</v>
      </c>
      <c r="I223" s="331">
        <v>104</v>
      </c>
      <c r="J223" s="12">
        <f>I223*E223</f>
        <v>208</v>
      </c>
    </row>
    <row r="224" spans="1:10" ht="15.5" x14ac:dyDescent="0.35">
      <c r="A224" s="108" t="s">
        <v>367</v>
      </c>
      <c r="B224" s="108"/>
      <c r="C224" s="108"/>
      <c r="D224" s="223"/>
      <c r="E224" s="169"/>
      <c r="F224" s="109"/>
      <c r="G224" s="165" t="str">
        <f t="shared" ref="G224:G257" si="19">IF(E224="","",IF(D224-E224&gt;0,D224-E224,""))</f>
        <v/>
      </c>
      <c r="H224" s="108"/>
      <c r="I224" s="106" t="s">
        <v>18</v>
      </c>
      <c r="J224" s="115">
        <f>SUM(J225:J244)</f>
        <v>226.2</v>
      </c>
    </row>
    <row r="225" spans="1:10" x14ac:dyDescent="0.35">
      <c r="A225" s="103"/>
      <c r="B225" s="12" t="s">
        <v>9</v>
      </c>
      <c r="C225" s="10" t="s">
        <v>423</v>
      </c>
      <c r="D225" s="152"/>
      <c r="E225" s="170"/>
      <c r="F225" s="95"/>
      <c r="G225" s="153" t="str">
        <f t="shared" si="19"/>
        <v/>
      </c>
      <c r="H225" s="10" t="s">
        <v>20</v>
      </c>
      <c r="I225" s="331">
        <v>78</v>
      </c>
      <c r="J225" s="50">
        <f t="shared" ref="J225:J244" si="20">E225*I225</f>
        <v>0</v>
      </c>
    </row>
    <row r="226" spans="1:10" x14ac:dyDescent="0.35">
      <c r="A226" s="103"/>
      <c r="B226" s="12" t="s">
        <v>9</v>
      </c>
      <c r="C226" s="10" t="s">
        <v>424</v>
      </c>
      <c r="D226" s="152"/>
      <c r="E226" s="170"/>
      <c r="F226" s="95"/>
      <c r="G226" s="153" t="str">
        <f t="shared" si="19"/>
        <v/>
      </c>
      <c r="H226" s="10" t="s">
        <v>61</v>
      </c>
      <c r="I226" s="340">
        <v>107.12</v>
      </c>
      <c r="J226" s="50">
        <f t="shared" si="20"/>
        <v>0</v>
      </c>
    </row>
    <row r="227" spans="1:10" x14ac:dyDescent="0.35">
      <c r="A227" s="103"/>
      <c r="B227" s="12" t="s">
        <v>9</v>
      </c>
      <c r="C227" s="10" t="s">
        <v>369</v>
      </c>
      <c r="D227" s="152"/>
      <c r="E227" s="170"/>
      <c r="F227" s="95"/>
      <c r="G227" s="153" t="str">
        <f t="shared" si="19"/>
        <v/>
      </c>
      <c r="H227" s="10" t="s">
        <v>20</v>
      </c>
      <c r="I227" s="331">
        <v>0.04</v>
      </c>
      <c r="J227" s="50">
        <f t="shared" si="20"/>
        <v>0</v>
      </c>
    </row>
    <row r="228" spans="1:10" x14ac:dyDescent="0.35">
      <c r="A228" s="103"/>
      <c r="B228" s="12" t="s">
        <v>9</v>
      </c>
      <c r="C228" s="10" t="s">
        <v>370</v>
      </c>
      <c r="D228" s="152"/>
      <c r="E228" s="170"/>
      <c r="F228" s="95"/>
      <c r="G228" s="153" t="str">
        <f t="shared" si="19"/>
        <v/>
      </c>
      <c r="H228" s="10" t="s">
        <v>20</v>
      </c>
      <c r="I228" s="331">
        <v>7.0999999999999994E-2</v>
      </c>
      <c r="J228" s="50">
        <f t="shared" si="20"/>
        <v>0</v>
      </c>
    </row>
    <row r="229" spans="1:10" hidden="1" x14ac:dyDescent="0.35">
      <c r="A229" s="103"/>
      <c r="B229" s="12" t="s">
        <v>9</v>
      </c>
      <c r="C229" s="10" t="s">
        <v>411</v>
      </c>
      <c r="D229" s="152"/>
      <c r="E229" s="170"/>
      <c r="F229" s="95"/>
      <c r="G229" s="153"/>
      <c r="H229" s="10" t="s">
        <v>20</v>
      </c>
      <c r="I229" s="331">
        <v>1.97</v>
      </c>
      <c r="J229" s="50"/>
    </row>
    <row r="230" spans="1:10" hidden="1" x14ac:dyDescent="0.35">
      <c r="A230" s="103"/>
      <c r="B230" s="12" t="s">
        <v>9</v>
      </c>
      <c r="C230" s="10" t="s">
        <v>371</v>
      </c>
      <c r="D230" s="152"/>
      <c r="E230" s="170"/>
      <c r="F230" s="95"/>
      <c r="G230" s="153" t="str">
        <f t="shared" si="19"/>
        <v/>
      </c>
      <c r="H230" s="10" t="s">
        <v>61</v>
      </c>
      <c r="I230" s="331">
        <v>163.80000000000001</v>
      </c>
      <c r="J230" s="50">
        <f t="shared" si="20"/>
        <v>0</v>
      </c>
    </row>
    <row r="231" spans="1:10" hidden="1" x14ac:dyDescent="0.35">
      <c r="A231" s="103"/>
      <c r="B231" s="12" t="s">
        <v>9</v>
      </c>
      <c r="C231" s="10" t="s">
        <v>410</v>
      </c>
      <c r="D231" s="152"/>
      <c r="E231" s="170"/>
      <c r="F231" s="151"/>
      <c r="G231" s="153" t="str">
        <f t="shared" si="19"/>
        <v/>
      </c>
      <c r="H231" s="10" t="s">
        <v>61</v>
      </c>
      <c r="I231" s="331">
        <v>49.33</v>
      </c>
      <c r="J231" s="50">
        <f t="shared" si="20"/>
        <v>0</v>
      </c>
    </row>
    <row r="232" spans="1:10" hidden="1" x14ac:dyDescent="0.35">
      <c r="A232" s="103"/>
      <c r="B232" s="12" t="s">
        <v>9</v>
      </c>
      <c r="C232" s="10" t="s">
        <v>373</v>
      </c>
      <c r="D232" s="152"/>
      <c r="E232" s="170"/>
      <c r="F232" s="151"/>
      <c r="G232" s="153" t="str">
        <f t="shared" si="19"/>
        <v/>
      </c>
      <c r="H232" s="10" t="s">
        <v>61</v>
      </c>
      <c r="I232" s="331">
        <v>105.6</v>
      </c>
      <c r="J232" s="50">
        <f t="shared" si="20"/>
        <v>0</v>
      </c>
    </row>
    <row r="233" spans="1:10" hidden="1" x14ac:dyDescent="0.35">
      <c r="A233" s="103"/>
      <c r="B233" s="12" t="s">
        <v>9</v>
      </c>
      <c r="C233" s="10" t="s">
        <v>374</v>
      </c>
      <c r="D233" s="152"/>
      <c r="E233" s="170"/>
      <c r="F233" s="151"/>
      <c r="G233" s="153" t="str">
        <f t="shared" si="19"/>
        <v/>
      </c>
      <c r="H233" s="10" t="s">
        <v>61</v>
      </c>
      <c r="I233" s="331">
        <v>114.75</v>
      </c>
      <c r="J233" s="50">
        <f t="shared" si="20"/>
        <v>0</v>
      </c>
    </row>
    <row r="234" spans="1:10" hidden="1" x14ac:dyDescent="0.35">
      <c r="A234" s="103"/>
      <c r="B234" s="12" t="s">
        <v>9</v>
      </c>
      <c r="C234" s="10" t="s">
        <v>375</v>
      </c>
      <c r="D234" s="152"/>
      <c r="E234" s="170"/>
      <c r="F234" s="95"/>
      <c r="G234" s="153" t="str">
        <f t="shared" si="19"/>
        <v/>
      </c>
      <c r="H234" s="10" t="s">
        <v>61</v>
      </c>
      <c r="I234" s="331">
        <v>105.55</v>
      </c>
      <c r="J234" s="50">
        <f t="shared" si="20"/>
        <v>0</v>
      </c>
    </row>
    <row r="235" spans="1:10" x14ac:dyDescent="0.35">
      <c r="A235" s="103"/>
      <c r="B235" s="12" t="s">
        <v>9</v>
      </c>
      <c r="C235" s="10" t="s">
        <v>376</v>
      </c>
      <c r="D235" s="152">
        <v>1</v>
      </c>
      <c r="E235" s="170">
        <v>2</v>
      </c>
      <c r="F235" s="95"/>
      <c r="G235" s="153" t="str">
        <f t="shared" si="19"/>
        <v/>
      </c>
      <c r="H235" s="10" t="s">
        <v>61</v>
      </c>
      <c r="I235" s="331">
        <v>33.25</v>
      </c>
      <c r="J235" s="50">
        <f t="shared" si="20"/>
        <v>66.5</v>
      </c>
    </row>
    <row r="236" spans="1:10" hidden="1" x14ac:dyDescent="0.35">
      <c r="A236" s="103"/>
      <c r="B236" s="12" t="s">
        <v>9</v>
      </c>
      <c r="C236" s="10" t="s">
        <v>377</v>
      </c>
      <c r="D236" s="152"/>
      <c r="E236" s="170"/>
      <c r="F236" s="95"/>
      <c r="G236" s="153" t="str">
        <f t="shared" si="19"/>
        <v/>
      </c>
      <c r="H236" s="10" t="s">
        <v>20</v>
      </c>
      <c r="I236" s="331">
        <v>0.28999999999999998</v>
      </c>
      <c r="J236" s="50">
        <f t="shared" si="20"/>
        <v>0</v>
      </c>
    </row>
    <row r="237" spans="1:10" hidden="1" x14ac:dyDescent="0.35">
      <c r="A237" s="103"/>
      <c r="B237" s="12" t="s">
        <v>9</v>
      </c>
      <c r="C237" s="10" t="s">
        <v>378</v>
      </c>
      <c r="D237" s="152"/>
      <c r="E237" s="170"/>
      <c r="F237" s="95"/>
      <c r="G237" s="153" t="str">
        <f t="shared" si="19"/>
        <v/>
      </c>
      <c r="H237" s="10" t="s">
        <v>61</v>
      </c>
      <c r="I237" s="336">
        <v>37.85</v>
      </c>
      <c r="J237" s="50">
        <f t="shared" si="20"/>
        <v>0</v>
      </c>
    </row>
    <row r="238" spans="1:10" x14ac:dyDescent="0.35">
      <c r="A238" s="103"/>
      <c r="B238" s="12" t="s">
        <v>9</v>
      </c>
      <c r="C238" s="10" t="s">
        <v>425</v>
      </c>
      <c r="D238" s="152">
        <v>1</v>
      </c>
      <c r="E238" s="170">
        <v>1</v>
      </c>
      <c r="F238" s="95"/>
      <c r="G238" s="153" t="str">
        <f t="shared" si="19"/>
        <v/>
      </c>
      <c r="H238" s="10" t="s">
        <v>61</v>
      </c>
      <c r="I238" s="336">
        <v>111.47</v>
      </c>
      <c r="J238" s="50">
        <f t="shared" si="20"/>
        <v>111.47</v>
      </c>
    </row>
    <row r="239" spans="1:10" hidden="1" x14ac:dyDescent="0.35">
      <c r="A239" s="103"/>
      <c r="B239" s="12" t="s">
        <v>9</v>
      </c>
      <c r="C239" s="10" t="s">
        <v>379</v>
      </c>
      <c r="D239" s="152"/>
      <c r="E239" s="170"/>
      <c r="F239" s="95"/>
      <c r="G239" s="153" t="str">
        <f t="shared" si="19"/>
        <v/>
      </c>
      <c r="H239" s="10" t="s">
        <v>61</v>
      </c>
      <c r="I239" s="336">
        <v>174.97</v>
      </c>
      <c r="J239" s="50">
        <f t="shared" si="20"/>
        <v>0</v>
      </c>
    </row>
    <row r="240" spans="1:10" x14ac:dyDescent="0.35">
      <c r="A240" s="103"/>
      <c r="B240" s="12" t="s">
        <v>9</v>
      </c>
      <c r="C240" s="10" t="s">
        <v>380</v>
      </c>
      <c r="D240" s="152"/>
      <c r="E240" s="170"/>
      <c r="F240" s="95"/>
      <c r="G240" s="153" t="str">
        <f t="shared" si="19"/>
        <v/>
      </c>
      <c r="H240" s="10" t="s">
        <v>61</v>
      </c>
      <c r="I240" s="336">
        <v>44.93</v>
      </c>
      <c r="J240" s="50">
        <f t="shared" si="20"/>
        <v>0</v>
      </c>
    </row>
    <row r="241" spans="1:10" x14ac:dyDescent="0.35">
      <c r="A241" s="103"/>
      <c r="B241" s="12" t="s">
        <v>9</v>
      </c>
      <c r="C241" s="10" t="s">
        <v>426</v>
      </c>
      <c r="D241" s="152">
        <v>2</v>
      </c>
      <c r="E241" s="170">
        <v>1</v>
      </c>
      <c r="F241" s="95"/>
      <c r="G241" s="153">
        <f t="shared" si="19"/>
        <v>1</v>
      </c>
      <c r="H241" s="10" t="s">
        <v>20</v>
      </c>
      <c r="I241" s="336">
        <v>29.2</v>
      </c>
      <c r="J241" s="50">
        <f t="shared" si="20"/>
        <v>29.2</v>
      </c>
    </row>
    <row r="242" spans="1:10" x14ac:dyDescent="0.35">
      <c r="A242" s="103"/>
      <c r="B242" s="12" t="s">
        <v>9</v>
      </c>
      <c r="C242" s="10" t="s">
        <v>427</v>
      </c>
      <c r="D242" s="152">
        <v>2</v>
      </c>
      <c r="E242" s="170">
        <v>1</v>
      </c>
      <c r="F242" s="95"/>
      <c r="G242" s="153">
        <f t="shared" si="19"/>
        <v>1</v>
      </c>
      <c r="H242" s="10" t="s">
        <v>20</v>
      </c>
      <c r="I242" s="336">
        <v>19.03</v>
      </c>
      <c r="J242" s="50">
        <f t="shared" si="20"/>
        <v>19.03</v>
      </c>
    </row>
    <row r="243" spans="1:10" x14ac:dyDescent="0.35">
      <c r="A243" s="103"/>
      <c r="B243" s="12" t="s">
        <v>9</v>
      </c>
      <c r="C243" s="10" t="s">
        <v>428</v>
      </c>
      <c r="D243" s="152"/>
      <c r="E243" s="170"/>
      <c r="F243" s="95"/>
      <c r="G243" s="153" t="str">
        <f t="shared" si="19"/>
        <v/>
      </c>
      <c r="H243" s="10" t="s">
        <v>20</v>
      </c>
      <c r="I243" s="336">
        <v>8.4600000000000009</v>
      </c>
      <c r="J243" s="50">
        <f t="shared" si="20"/>
        <v>0</v>
      </c>
    </row>
    <row r="244" spans="1:10" hidden="1" x14ac:dyDescent="0.35">
      <c r="A244" s="103"/>
      <c r="B244" s="12" t="s">
        <v>9</v>
      </c>
      <c r="C244" s="10" t="s">
        <v>381</v>
      </c>
      <c r="D244" s="152"/>
      <c r="E244" s="170"/>
      <c r="F244" s="95"/>
      <c r="G244" s="153" t="str">
        <f t="shared" si="19"/>
        <v/>
      </c>
      <c r="H244" s="10" t="s">
        <v>20</v>
      </c>
      <c r="I244" s="336">
        <v>0.02</v>
      </c>
      <c r="J244" s="50">
        <f t="shared" si="20"/>
        <v>0</v>
      </c>
    </row>
    <row r="245" spans="1:10" ht="15.5" x14ac:dyDescent="0.35">
      <c r="A245" s="108" t="s">
        <v>382</v>
      </c>
      <c r="B245" s="108"/>
      <c r="C245" s="108"/>
      <c r="D245" s="223"/>
      <c r="E245" s="169"/>
      <c r="F245" s="109"/>
      <c r="G245" s="165" t="str">
        <f t="shared" si="19"/>
        <v/>
      </c>
      <c r="H245" s="108"/>
      <c r="I245" s="106" t="s">
        <v>18</v>
      </c>
      <c r="J245" s="107">
        <f>SUM(J246:J256)</f>
        <v>247.67000000000002</v>
      </c>
    </row>
    <row r="246" spans="1:10" x14ac:dyDescent="0.35">
      <c r="A246" s="103"/>
      <c r="B246" s="12" t="s">
        <v>31</v>
      </c>
      <c r="C246" s="10" t="s">
        <v>383</v>
      </c>
      <c r="D246" s="152"/>
      <c r="E246" s="170"/>
      <c r="F246" s="95"/>
      <c r="G246" s="153" t="str">
        <f t="shared" si="19"/>
        <v/>
      </c>
      <c r="H246" s="10" t="s">
        <v>20</v>
      </c>
      <c r="I246" s="331">
        <v>5.5</v>
      </c>
      <c r="J246" s="12">
        <f t="shared" ref="J246:J256" si="21">E246*I246</f>
        <v>0</v>
      </c>
    </row>
    <row r="247" spans="1:10" x14ac:dyDescent="0.35">
      <c r="A247" s="103"/>
      <c r="B247" s="12" t="s">
        <v>31</v>
      </c>
      <c r="C247" s="10" t="s">
        <v>39</v>
      </c>
      <c r="D247" s="152">
        <v>2</v>
      </c>
      <c r="E247" s="170">
        <v>7</v>
      </c>
      <c r="F247" s="95"/>
      <c r="G247" s="153" t="str">
        <f t="shared" si="19"/>
        <v/>
      </c>
      <c r="H247" s="10" t="s">
        <v>20</v>
      </c>
      <c r="I247" s="331">
        <v>4.55</v>
      </c>
      <c r="J247" s="12">
        <f t="shared" si="21"/>
        <v>31.849999999999998</v>
      </c>
    </row>
    <row r="248" spans="1:10" x14ac:dyDescent="0.35">
      <c r="A248" s="103"/>
      <c r="B248" s="12" t="s">
        <v>31</v>
      </c>
      <c r="C248" s="10" t="s">
        <v>422</v>
      </c>
      <c r="D248" s="152">
        <v>2</v>
      </c>
      <c r="E248" s="170">
        <v>20</v>
      </c>
      <c r="F248" s="95"/>
      <c r="G248" s="153" t="str">
        <f t="shared" si="19"/>
        <v/>
      </c>
      <c r="H248" s="10" t="s">
        <v>20</v>
      </c>
      <c r="I248" s="331">
        <v>3.7</v>
      </c>
      <c r="J248" s="12">
        <f t="shared" si="21"/>
        <v>74</v>
      </c>
    </row>
    <row r="249" spans="1:10" x14ac:dyDescent="0.35">
      <c r="A249" s="103"/>
      <c r="B249" s="12" t="s">
        <v>31</v>
      </c>
      <c r="C249" s="10" t="s">
        <v>67</v>
      </c>
      <c r="D249" s="152">
        <v>1</v>
      </c>
      <c r="E249" s="170">
        <v>4</v>
      </c>
      <c r="F249" s="95"/>
      <c r="G249" s="153" t="str">
        <f t="shared" si="19"/>
        <v/>
      </c>
      <c r="H249" s="10" t="s">
        <v>20</v>
      </c>
      <c r="I249" s="331">
        <v>15.56</v>
      </c>
      <c r="J249" s="12">
        <f t="shared" si="21"/>
        <v>62.24</v>
      </c>
    </row>
    <row r="250" spans="1:10" hidden="1" x14ac:dyDescent="0.35">
      <c r="A250" s="103"/>
      <c r="B250" s="12" t="s">
        <v>31</v>
      </c>
      <c r="C250" s="10" t="s">
        <v>384</v>
      </c>
      <c r="D250" s="152"/>
      <c r="E250" s="170"/>
      <c r="F250" s="95"/>
      <c r="G250" s="153" t="str">
        <f t="shared" si="19"/>
        <v/>
      </c>
      <c r="H250" s="10" t="s">
        <v>20</v>
      </c>
      <c r="I250" s="331">
        <v>0.8</v>
      </c>
      <c r="J250" s="12">
        <f t="shared" si="21"/>
        <v>0</v>
      </c>
    </row>
    <row r="251" spans="1:10" hidden="1" x14ac:dyDescent="0.35">
      <c r="A251" s="103"/>
      <c r="B251" s="12" t="s">
        <v>31</v>
      </c>
      <c r="C251" s="10" t="s">
        <v>385</v>
      </c>
      <c r="D251" s="152"/>
      <c r="E251" s="170"/>
      <c r="F251" s="95"/>
      <c r="G251" s="153" t="str">
        <f t="shared" si="19"/>
        <v/>
      </c>
      <c r="H251" s="10" t="s">
        <v>20</v>
      </c>
      <c r="I251" s="331">
        <v>1.83</v>
      </c>
      <c r="J251" s="12">
        <f t="shared" si="21"/>
        <v>0</v>
      </c>
    </row>
    <row r="252" spans="1:10" x14ac:dyDescent="0.35">
      <c r="A252" s="103"/>
      <c r="B252" s="12" t="s">
        <v>31</v>
      </c>
      <c r="C252" s="10" t="s">
        <v>386</v>
      </c>
      <c r="D252" s="152">
        <v>2</v>
      </c>
      <c r="E252" s="170">
        <v>11</v>
      </c>
      <c r="F252" s="95"/>
      <c r="G252" s="153" t="str">
        <f t="shared" si="19"/>
        <v/>
      </c>
      <c r="H252" s="10" t="s">
        <v>20</v>
      </c>
      <c r="I252" s="331">
        <v>2.65</v>
      </c>
      <c r="J252" s="12">
        <f t="shared" si="21"/>
        <v>29.15</v>
      </c>
    </row>
    <row r="253" spans="1:10" x14ac:dyDescent="0.35">
      <c r="A253" s="103"/>
      <c r="B253" s="12" t="s">
        <v>31</v>
      </c>
      <c r="C253" s="10" t="s">
        <v>65</v>
      </c>
      <c r="D253" s="152">
        <v>1</v>
      </c>
      <c r="E253" s="170"/>
      <c r="F253" s="95"/>
      <c r="G253" s="153" t="str">
        <f t="shared" si="19"/>
        <v/>
      </c>
      <c r="H253" s="10" t="s">
        <v>20</v>
      </c>
      <c r="I253" s="331">
        <v>13.43</v>
      </c>
      <c r="J253" s="12">
        <f t="shared" si="21"/>
        <v>0</v>
      </c>
    </row>
    <row r="254" spans="1:10" hidden="1" x14ac:dyDescent="0.35">
      <c r="A254" s="103"/>
      <c r="B254" s="12" t="s">
        <v>31</v>
      </c>
      <c r="C254" s="10" t="s">
        <v>66</v>
      </c>
      <c r="D254" s="152"/>
      <c r="E254" s="170"/>
      <c r="F254" s="95"/>
      <c r="G254" s="153" t="str">
        <f t="shared" si="19"/>
        <v/>
      </c>
      <c r="H254" s="10" t="s">
        <v>20</v>
      </c>
      <c r="I254" s="331">
        <v>75.38</v>
      </c>
      <c r="J254" s="12">
        <f t="shared" si="21"/>
        <v>0</v>
      </c>
    </row>
    <row r="255" spans="1:10" x14ac:dyDescent="0.35">
      <c r="A255" s="103"/>
      <c r="B255" s="12" t="s">
        <v>31</v>
      </c>
      <c r="C255" s="10" t="s">
        <v>412</v>
      </c>
      <c r="D255" s="152">
        <v>1</v>
      </c>
      <c r="E255" s="170">
        <v>1</v>
      </c>
      <c r="F255" s="95"/>
      <c r="G255" s="153" t="str">
        <f t="shared" si="19"/>
        <v/>
      </c>
      <c r="H255" s="10" t="s">
        <v>20</v>
      </c>
      <c r="I255" s="331">
        <v>8.43</v>
      </c>
      <c r="J255" s="12">
        <f t="shared" si="21"/>
        <v>8.43</v>
      </c>
    </row>
    <row r="256" spans="1:10" x14ac:dyDescent="0.35">
      <c r="A256" s="103"/>
      <c r="B256" s="12" t="s">
        <v>31</v>
      </c>
      <c r="C256" s="10" t="s">
        <v>69</v>
      </c>
      <c r="D256" s="152">
        <v>1</v>
      </c>
      <c r="E256" s="170">
        <v>12</v>
      </c>
      <c r="F256" s="95"/>
      <c r="G256" s="153" t="str">
        <f t="shared" si="19"/>
        <v/>
      </c>
      <c r="H256" s="10" t="s">
        <v>63</v>
      </c>
      <c r="I256" s="331">
        <v>3.5</v>
      </c>
      <c r="J256" s="12">
        <f t="shared" si="21"/>
        <v>42</v>
      </c>
    </row>
    <row r="257" spans="1:10" ht="15.5" x14ac:dyDescent="0.35">
      <c r="A257" s="108" t="s">
        <v>57</v>
      </c>
      <c r="B257" s="108"/>
      <c r="C257" s="108"/>
      <c r="D257" s="231"/>
      <c r="E257" s="169"/>
      <c r="F257" s="109"/>
      <c r="G257" s="165" t="str">
        <f t="shared" si="19"/>
        <v/>
      </c>
      <c r="H257" s="108"/>
      <c r="I257" s="106" t="s">
        <v>18</v>
      </c>
      <c r="J257" s="107">
        <f>SUM(J258:J259)</f>
        <v>0</v>
      </c>
    </row>
    <row r="258" spans="1:10" hidden="1" x14ac:dyDescent="0.35">
      <c r="A258" s="103"/>
      <c r="B258" s="12" t="s">
        <v>56</v>
      </c>
      <c r="C258" s="10" t="s">
        <v>58</v>
      </c>
      <c r="D258" s="94"/>
      <c r="E258" s="170"/>
      <c r="F258" s="94"/>
      <c r="G258" s="94" t="str">
        <f t="shared" ref="G258:G259" si="22">IF(D258-E258&gt;0,D258-E258,"")</f>
        <v/>
      </c>
      <c r="H258" s="10" t="s">
        <v>20</v>
      </c>
      <c r="I258" s="331">
        <v>54.05</v>
      </c>
      <c r="J258" s="12">
        <f>E258*I258</f>
        <v>0</v>
      </c>
    </row>
    <row r="259" spans="1:10" hidden="1" x14ac:dyDescent="0.35">
      <c r="A259" s="103"/>
      <c r="B259" s="12" t="s">
        <v>56</v>
      </c>
      <c r="C259" s="10" t="s">
        <v>388</v>
      </c>
      <c r="D259" s="94"/>
      <c r="E259" s="170"/>
      <c r="F259" s="94"/>
      <c r="G259" s="94" t="str">
        <f t="shared" si="22"/>
        <v/>
      </c>
      <c r="H259" s="10" t="s">
        <v>20</v>
      </c>
      <c r="I259" s="331">
        <v>0</v>
      </c>
      <c r="J259" s="12">
        <f>E259*I259</f>
        <v>0</v>
      </c>
    </row>
  </sheetData>
  <mergeCells count="2">
    <mergeCell ref="B1:C1"/>
    <mergeCell ref="B2:C2"/>
  </mergeCells>
  <pageMargins left="0.7" right="0.7" top="0.75" bottom="0.75" header="0.3" footer="0.3"/>
  <pageSetup paperSize="9" scale="73" fitToHeight="0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97B18-CE7B-6645-9B6E-09378239895A}">
  <sheetPr codeName="Feuil24">
    <tabColor theme="8" tint="0.39997558519241921"/>
    <pageSetUpPr fitToPage="1"/>
  </sheetPr>
  <dimension ref="A1:N259"/>
  <sheetViews>
    <sheetView topLeftCell="A181" zoomScaleNormal="100" workbookViewId="0">
      <selection activeCell="J209" sqref="J209"/>
    </sheetView>
  </sheetViews>
  <sheetFormatPr baseColWidth="10" defaultColWidth="8.453125" defaultRowHeight="14.5" x14ac:dyDescent="0.35"/>
  <cols>
    <col min="1" max="1" width="2.54296875" customWidth="1"/>
    <col min="2" max="2" width="32.26953125" customWidth="1"/>
    <col min="3" max="3" width="44.54296875" bestFit="1" customWidth="1"/>
    <col min="4" max="4" width="19.7265625" bestFit="1" customWidth="1"/>
    <col min="5" max="5" width="18.81640625" style="34" bestFit="1" customWidth="1"/>
    <col min="6" max="6" width="18.26953125" hidden="1" customWidth="1"/>
    <col min="7" max="7" width="14" bestFit="1" customWidth="1"/>
    <col min="8" max="8" width="6.81640625" bestFit="1" customWidth="1"/>
    <col min="9" max="9" width="8.453125" style="86" bestFit="1" customWidth="1"/>
    <col min="10" max="10" width="7.1796875" customWidth="1"/>
  </cols>
  <sheetData>
    <row r="1" spans="2:7" ht="15" thickBot="1" x14ac:dyDescent="0.4">
      <c r="B1" s="321" t="s">
        <v>198</v>
      </c>
      <c r="C1" s="322"/>
      <c r="F1" s="89"/>
      <c r="G1" s="89"/>
    </row>
    <row r="2" spans="2:7" ht="15" thickBot="1" x14ac:dyDescent="0.4">
      <c r="B2" s="319"/>
      <c r="C2" s="320"/>
      <c r="F2" s="90"/>
      <c r="G2" s="90"/>
    </row>
    <row r="3" spans="2:7" x14ac:dyDescent="0.35">
      <c r="B3" s="75"/>
      <c r="C3" s="75"/>
      <c r="F3" s="75"/>
      <c r="G3" s="75"/>
    </row>
    <row r="4" spans="2:7" ht="15.5" x14ac:dyDescent="0.35">
      <c r="B4" s="70" t="s">
        <v>0</v>
      </c>
      <c r="C4" s="70" t="s">
        <v>1</v>
      </c>
      <c r="F4" s="91"/>
      <c r="G4" s="91"/>
    </row>
    <row r="5" spans="2:7" x14ac:dyDescent="0.35">
      <c r="B5" s="71" t="s">
        <v>2</v>
      </c>
      <c r="C5" s="72">
        <f>J23</f>
        <v>2684.1000000000004</v>
      </c>
      <c r="F5" s="92"/>
      <c r="G5" s="92"/>
    </row>
    <row r="6" spans="2:7" x14ac:dyDescent="0.35">
      <c r="B6" s="71" t="s">
        <v>7</v>
      </c>
      <c r="C6" s="72">
        <f>J4</f>
        <v>0</v>
      </c>
      <c r="F6" s="92"/>
      <c r="G6" s="92"/>
    </row>
    <row r="7" spans="2:7" x14ac:dyDescent="0.35">
      <c r="B7" s="71" t="s">
        <v>13</v>
      </c>
      <c r="C7" s="72">
        <f>J50</f>
        <v>120.9</v>
      </c>
      <c r="F7" s="92"/>
      <c r="G7" s="92"/>
    </row>
    <row r="8" spans="2:7" x14ac:dyDescent="0.35">
      <c r="B8" s="71" t="s">
        <v>3</v>
      </c>
      <c r="C8" s="72">
        <f>J78</f>
        <v>0</v>
      </c>
      <c r="F8" s="92"/>
      <c r="G8" s="92"/>
    </row>
    <row r="9" spans="2:7" x14ac:dyDescent="0.35">
      <c r="B9" s="71" t="s">
        <v>4</v>
      </c>
      <c r="C9" s="72">
        <f>J122</f>
        <v>475.27000000000004</v>
      </c>
      <c r="F9" s="92"/>
      <c r="G9" s="92"/>
    </row>
    <row r="10" spans="2:7" x14ac:dyDescent="0.35">
      <c r="B10" s="71" t="s">
        <v>199</v>
      </c>
      <c r="C10" s="72">
        <f>J176</f>
        <v>0</v>
      </c>
      <c r="F10" s="92"/>
      <c r="G10" s="92"/>
    </row>
    <row r="11" spans="2:7" x14ac:dyDescent="0.35">
      <c r="B11" s="71" t="s">
        <v>200</v>
      </c>
      <c r="C11" s="72">
        <f>J187</f>
        <v>96.6</v>
      </c>
      <c r="F11" s="92"/>
      <c r="G11" s="92"/>
    </row>
    <row r="12" spans="2:7" x14ac:dyDescent="0.35">
      <c r="B12" s="71" t="s">
        <v>201</v>
      </c>
      <c r="C12" s="72">
        <f>J193</f>
        <v>0</v>
      </c>
      <c r="F12" s="92"/>
      <c r="G12" s="92"/>
    </row>
    <row r="13" spans="2:7" x14ac:dyDescent="0.35">
      <c r="B13" s="71" t="s">
        <v>202</v>
      </c>
      <c r="C13" s="72">
        <f>J195</f>
        <v>0</v>
      </c>
      <c r="F13" s="92"/>
      <c r="G13" s="92"/>
    </row>
    <row r="14" spans="2:7" x14ac:dyDescent="0.35">
      <c r="B14" s="71" t="s">
        <v>203</v>
      </c>
      <c r="C14" s="72">
        <f>J208</f>
        <v>0</v>
      </c>
      <c r="F14" s="92"/>
      <c r="G14" s="92"/>
    </row>
    <row r="15" spans="2:7" x14ac:dyDescent="0.35">
      <c r="B15" s="71" t="s">
        <v>12</v>
      </c>
      <c r="C15" s="72">
        <f>J214</f>
        <v>0</v>
      </c>
      <c r="F15" s="92"/>
      <c r="G15" s="92"/>
    </row>
    <row r="16" spans="2:7" x14ac:dyDescent="0.35">
      <c r="B16" s="71" t="s">
        <v>204</v>
      </c>
      <c r="C16" s="72">
        <f>J222</f>
        <v>0</v>
      </c>
      <c r="F16" s="92"/>
      <c r="G16" s="92"/>
    </row>
    <row r="17" spans="1:11" x14ac:dyDescent="0.35">
      <c r="B17" s="71" t="s">
        <v>9</v>
      </c>
      <c r="C17" s="72">
        <f>J224</f>
        <v>0</v>
      </c>
      <c r="F17" s="92"/>
      <c r="G17" s="92"/>
    </row>
    <row r="18" spans="1:11" x14ac:dyDescent="0.35">
      <c r="B18" s="71" t="s">
        <v>205</v>
      </c>
      <c r="C18" s="72">
        <f>J245</f>
        <v>11.75</v>
      </c>
      <c r="F18" s="92"/>
      <c r="G18" s="92"/>
    </row>
    <row r="19" spans="1:11" x14ac:dyDescent="0.35">
      <c r="B19" s="71" t="s">
        <v>56</v>
      </c>
      <c r="C19" s="72">
        <f>J257</f>
        <v>0</v>
      </c>
      <c r="F19" s="92"/>
      <c r="G19" s="92"/>
    </row>
    <row r="20" spans="1:11" x14ac:dyDescent="0.35">
      <c r="B20" s="73" t="s">
        <v>14</v>
      </c>
      <c r="C20" s="74">
        <f>C5+C6+C7+C8+C9+C10+C11+C12+C13+C14+C15+C16+C17+C18+C19</f>
        <v>3388.6200000000003</v>
      </c>
      <c r="F20" s="93"/>
      <c r="G20" s="93"/>
    </row>
    <row r="21" spans="1:11" ht="18.75" customHeight="1" x14ac:dyDescent="0.45">
      <c r="A21" s="76" t="s">
        <v>207</v>
      </c>
      <c r="B21" s="76"/>
      <c r="C21" s="76"/>
      <c r="D21" s="76"/>
      <c r="E21" s="167"/>
      <c r="F21" s="76"/>
      <c r="G21" s="76"/>
      <c r="H21" s="76"/>
      <c r="I21" s="262"/>
      <c r="J21" s="76"/>
    </row>
    <row r="22" spans="1:11" ht="14.25" customHeight="1" x14ac:dyDescent="0.35">
      <c r="A22" s="129"/>
      <c r="B22" s="129" t="s">
        <v>15</v>
      </c>
      <c r="C22" s="129" t="s">
        <v>16</v>
      </c>
      <c r="D22" s="130" t="s">
        <v>398</v>
      </c>
      <c r="E22" s="168" t="s">
        <v>401</v>
      </c>
      <c r="F22" s="130" t="s">
        <v>399</v>
      </c>
      <c r="G22" s="164" t="s">
        <v>400</v>
      </c>
      <c r="H22" s="132" t="s">
        <v>406</v>
      </c>
      <c r="I22" s="341" t="s">
        <v>45</v>
      </c>
      <c r="J22" s="132" t="s">
        <v>402</v>
      </c>
    </row>
    <row r="23" spans="1:11" s="6" customFormat="1" ht="15.5" x14ac:dyDescent="0.35">
      <c r="A23" s="108" t="s">
        <v>208</v>
      </c>
      <c r="B23" s="108"/>
      <c r="C23" s="108"/>
      <c r="D23" s="108"/>
      <c r="E23" s="169" t="s">
        <v>421</v>
      </c>
      <c r="F23" s="108"/>
      <c r="G23" s="108"/>
      <c r="H23" s="108"/>
      <c r="I23" s="110" t="s">
        <v>18</v>
      </c>
      <c r="J23" s="107">
        <f>SUM(J24:J40)</f>
        <v>2684.1000000000004</v>
      </c>
    </row>
    <row r="24" spans="1:11" x14ac:dyDescent="0.35">
      <c r="A24" s="103"/>
      <c r="B24" s="7" t="s">
        <v>2</v>
      </c>
      <c r="C24" s="14" t="s">
        <v>19</v>
      </c>
      <c r="D24" s="152">
        <v>2</v>
      </c>
      <c r="E24" s="170">
        <v>4</v>
      </c>
      <c r="F24" s="95"/>
      <c r="G24" s="153" t="str">
        <f>IF(E24="","",IF(D24-E24&gt;0,D24-E24,""))</f>
        <v/>
      </c>
      <c r="H24" s="10" t="s">
        <v>20</v>
      </c>
      <c r="I24" s="331">
        <v>55.95</v>
      </c>
      <c r="J24" s="12">
        <f t="shared" ref="J24:J40" si="0">E24*I24</f>
        <v>223.8</v>
      </c>
      <c r="K24" s="13"/>
    </row>
    <row r="25" spans="1:11" hidden="1" x14ac:dyDescent="0.35">
      <c r="A25" s="103"/>
      <c r="B25" s="7" t="s">
        <v>2</v>
      </c>
      <c r="C25" s="14" t="s">
        <v>209</v>
      </c>
      <c r="D25" s="152"/>
      <c r="E25" s="170"/>
      <c r="F25" s="95"/>
      <c r="G25" s="153" t="str">
        <f t="shared" ref="G25:G88" si="1">IF(E25="","",IF(D25-E25&gt;0,D25-E25,""))</f>
        <v/>
      </c>
      <c r="H25" s="10" t="s">
        <v>20</v>
      </c>
      <c r="I25" s="331">
        <v>173.1</v>
      </c>
      <c r="J25" s="12">
        <f t="shared" si="0"/>
        <v>0</v>
      </c>
      <c r="K25" s="13"/>
    </row>
    <row r="26" spans="1:11" x14ac:dyDescent="0.35">
      <c r="A26" s="103"/>
      <c r="B26" s="12" t="s">
        <v>2</v>
      </c>
      <c r="C26" s="10" t="s">
        <v>21</v>
      </c>
      <c r="D26" s="152">
        <v>15</v>
      </c>
      <c r="E26" s="170">
        <v>27</v>
      </c>
      <c r="F26" s="95"/>
      <c r="G26" s="153" t="str">
        <f t="shared" si="1"/>
        <v/>
      </c>
      <c r="H26" s="10" t="s">
        <v>20</v>
      </c>
      <c r="I26" s="331">
        <v>75.400000000000006</v>
      </c>
      <c r="J26" s="12">
        <f t="shared" si="0"/>
        <v>2035.8000000000002</v>
      </c>
      <c r="K26" s="13"/>
    </row>
    <row r="27" spans="1:11" ht="14.5" customHeight="1" x14ac:dyDescent="0.35">
      <c r="A27" s="103"/>
      <c r="B27" s="12" t="s">
        <v>2</v>
      </c>
      <c r="C27" s="10" t="s">
        <v>210</v>
      </c>
      <c r="D27" s="152">
        <v>15</v>
      </c>
      <c r="E27" s="170">
        <v>5</v>
      </c>
      <c r="F27" s="95"/>
      <c r="G27" s="153">
        <f t="shared" si="1"/>
        <v>10</v>
      </c>
      <c r="H27" s="10" t="s">
        <v>20</v>
      </c>
      <c r="I27" s="331">
        <v>84.9</v>
      </c>
      <c r="J27" s="12">
        <f t="shared" si="0"/>
        <v>424.5</v>
      </c>
      <c r="K27" s="13"/>
    </row>
    <row r="28" spans="1:11" ht="14.5" hidden="1" customHeight="1" x14ac:dyDescent="0.35">
      <c r="A28" s="103"/>
      <c r="B28" s="12" t="s">
        <v>2</v>
      </c>
      <c r="C28" s="10" t="s">
        <v>211</v>
      </c>
      <c r="D28" s="152"/>
      <c r="E28" s="170"/>
      <c r="F28" s="95"/>
      <c r="G28" s="153" t="str">
        <f t="shared" si="1"/>
        <v/>
      </c>
      <c r="H28" s="10" t="s">
        <v>20</v>
      </c>
      <c r="I28" s="331">
        <v>2.96</v>
      </c>
      <c r="J28" s="12">
        <f t="shared" si="0"/>
        <v>0</v>
      </c>
      <c r="K28" s="13"/>
    </row>
    <row r="29" spans="1:11" ht="14.5" hidden="1" customHeight="1" x14ac:dyDescent="0.35">
      <c r="A29" s="103"/>
      <c r="B29" s="12" t="s">
        <v>2</v>
      </c>
      <c r="C29" s="10" t="s">
        <v>212</v>
      </c>
      <c r="D29" s="152"/>
      <c r="E29" s="170"/>
      <c r="F29" s="95"/>
      <c r="G29" s="153" t="str">
        <f t="shared" si="1"/>
        <v/>
      </c>
      <c r="H29" s="10" t="s">
        <v>20</v>
      </c>
      <c r="I29" s="331">
        <v>2.96</v>
      </c>
      <c r="J29" s="12">
        <f t="shared" si="0"/>
        <v>0</v>
      </c>
      <c r="K29" s="13"/>
    </row>
    <row r="30" spans="1:11" hidden="1" x14ac:dyDescent="0.35">
      <c r="A30" s="103"/>
      <c r="B30" s="12" t="s">
        <v>2</v>
      </c>
      <c r="C30" s="10" t="s">
        <v>213</v>
      </c>
      <c r="D30" s="152"/>
      <c r="E30" s="170"/>
      <c r="F30" s="95"/>
      <c r="G30" s="153" t="str">
        <f t="shared" si="1"/>
        <v/>
      </c>
      <c r="H30" s="10" t="s">
        <v>20</v>
      </c>
      <c r="I30" s="331">
        <v>2.96</v>
      </c>
      <c r="J30" s="12">
        <f t="shared" si="0"/>
        <v>0</v>
      </c>
      <c r="K30" s="13"/>
    </row>
    <row r="31" spans="1:11" hidden="1" x14ac:dyDescent="0.35">
      <c r="A31" s="103"/>
      <c r="B31" s="7" t="s">
        <v>2</v>
      </c>
      <c r="C31" s="14" t="s">
        <v>22</v>
      </c>
      <c r="D31" s="152"/>
      <c r="E31" s="170"/>
      <c r="F31" s="95"/>
      <c r="G31" s="153" t="str">
        <f t="shared" si="1"/>
        <v/>
      </c>
      <c r="H31" s="10" t="s">
        <v>20</v>
      </c>
      <c r="I31" s="331">
        <v>107.2</v>
      </c>
      <c r="J31" s="12">
        <f t="shared" si="0"/>
        <v>0</v>
      </c>
      <c r="K31" s="13"/>
    </row>
    <row r="32" spans="1:11" ht="14.5" hidden="1" customHeight="1" x14ac:dyDescent="0.35">
      <c r="A32" s="103"/>
      <c r="B32" s="7" t="s">
        <v>2</v>
      </c>
      <c r="C32" s="14" t="s">
        <v>214</v>
      </c>
      <c r="D32" s="152"/>
      <c r="E32" s="170"/>
      <c r="F32" s="95"/>
      <c r="G32" s="153" t="str">
        <f t="shared" si="1"/>
        <v/>
      </c>
      <c r="H32" s="10" t="s">
        <v>20</v>
      </c>
      <c r="I32" s="331">
        <v>170.7</v>
      </c>
      <c r="J32" s="12">
        <f t="shared" si="0"/>
        <v>0</v>
      </c>
      <c r="K32" s="13"/>
    </row>
    <row r="33" spans="1:11" ht="14.5" hidden="1" customHeight="1" x14ac:dyDescent="0.35">
      <c r="A33" s="103"/>
      <c r="B33" s="12" t="s">
        <v>2</v>
      </c>
      <c r="C33" s="10" t="s">
        <v>215</v>
      </c>
      <c r="D33" s="152"/>
      <c r="E33" s="170"/>
      <c r="F33" s="95"/>
      <c r="G33" s="153" t="str">
        <f t="shared" si="1"/>
        <v/>
      </c>
      <c r="H33" s="10" t="s">
        <v>216</v>
      </c>
      <c r="I33" s="331">
        <v>3.77</v>
      </c>
      <c r="J33" s="12">
        <f t="shared" si="0"/>
        <v>0</v>
      </c>
      <c r="K33" s="13"/>
    </row>
    <row r="34" spans="1:11" s="6" customFormat="1" ht="15.65" hidden="1" customHeight="1" x14ac:dyDescent="0.35">
      <c r="A34" s="103"/>
      <c r="B34" s="12" t="s">
        <v>2</v>
      </c>
      <c r="C34" s="10" t="s">
        <v>217</v>
      </c>
      <c r="D34" s="152"/>
      <c r="E34" s="170"/>
      <c r="F34" s="95"/>
      <c r="G34" s="153" t="str">
        <f t="shared" si="1"/>
        <v/>
      </c>
      <c r="H34" s="10" t="s">
        <v>20</v>
      </c>
      <c r="I34" s="331">
        <v>2.56</v>
      </c>
      <c r="J34" s="12">
        <f t="shared" si="0"/>
        <v>0</v>
      </c>
    </row>
    <row r="35" spans="1:11" ht="14.5" hidden="1" customHeight="1" x14ac:dyDescent="0.35">
      <c r="A35" s="103"/>
      <c r="B35" s="12" t="s">
        <v>2</v>
      </c>
      <c r="C35" s="10" t="s">
        <v>218</v>
      </c>
      <c r="D35" s="152"/>
      <c r="E35" s="170"/>
      <c r="F35" s="95"/>
      <c r="G35" s="153" t="str">
        <f t="shared" si="1"/>
        <v/>
      </c>
      <c r="H35" s="10" t="s">
        <v>20</v>
      </c>
      <c r="I35" s="331">
        <v>3.08</v>
      </c>
      <c r="J35" s="12">
        <f t="shared" si="0"/>
        <v>0</v>
      </c>
      <c r="K35" s="13"/>
    </row>
    <row r="36" spans="1:11" ht="14.5" hidden="1" customHeight="1" x14ac:dyDescent="0.35">
      <c r="A36" s="103"/>
      <c r="B36" s="12" t="s">
        <v>2</v>
      </c>
      <c r="C36" s="10" t="s">
        <v>219</v>
      </c>
      <c r="D36" s="152"/>
      <c r="E36" s="170"/>
      <c r="F36" s="95"/>
      <c r="G36" s="153" t="str">
        <f t="shared" si="1"/>
        <v/>
      </c>
      <c r="H36" s="10" t="s">
        <v>20</v>
      </c>
      <c r="I36" s="331">
        <v>2.56</v>
      </c>
      <c r="J36" s="12">
        <f t="shared" si="0"/>
        <v>0</v>
      </c>
      <c r="K36" s="13"/>
    </row>
    <row r="37" spans="1:11" hidden="1" x14ac:dyDescent="0.35">
      <c r="A37" s="103"/>
      <c r="B37" s="12" t="s">
        <v>2</v>
      </c>
      <c r="C37" s="10" t="s">
        <v>220</v>
      </c>
      <c r="D37" s="152"/>
      <c r="E37" s="170"/>
      <c r="F37" s="95"/>
      <c r="G37" s="153" t="str">
        <f t="shared" si="1"/>
        <v/>
      </c>
      <c r="H37" s="10" t="s">
        <v>20</v>
      </c>
      <c r="I37" s="331">
        <v>1.41</v>
      </c>
      <c r="J37" s="12">
        <f t="shared" si="0"/>
        <v>0</v>
      </c>
      <c r="K37" s="13"/>
    </row>
    <row r="38" spans="1:11" hidden="1" x14ac:dyDescent="0.35">
      <c r="A38" s="103"/>
      <c r="B38" s="12" t="s">
        <v>2</v>
      </c>
      <c r="C38" s="10" t="s">
        <v>221</v>
      </c>
      <c r="D38" s="152"/>
      <c r="E38" s="170"/>
      <c r="F38" s="95"/>
      <c r="G38" s="153" t="str">
        <f t="shared" si="1"/>
        <v/>
      </c>
      <c r="H38" s="10" t="s">
        <v>20</v>
      </c>
      <c r="I38" s="331">
        <v>1.73</v>
      </c>
      <c r="J38" s="12">
        <f t="shared" si="0"/>
        <v>0</v>
      </c>
      <c r="K38" s="13"/>
    </row>
    <row r="39" spans="1:11" hidden="1" x14ac:dyDescent="0.35">
      <c r="A39" s="103"/>
      <c r="B39" s="12" t="s">
        <v>2</v>
      </c>
      <c r="C39" s="10" t="s">
        <v>222</v>
      </c>
      <c r="D39" s="152"/>
      <c r="E39" s="170"/>
      <c r="F39" s="95"/>
      <c r="G39" s="153" t="str">
        <f t="shared" si="1"/>
        <v/>
      </c>
      <c r="H39" s="10" t="s">
        <v>20</v>
      </c>
      <c r="I39" s="331">
        <v>1.46</v>
      </c>
      <c r="J39" s="12">
        <f t="shared" si="0"/>
        <v>0</v>
      </c>
      <c r="K39" s="13"/>
    </row>
    <row r="40" spans="1:11" ht="14.5" hidden="1" customHeight="1" x14ac:dyDescent="0.35">
      <c r="A40" s="103"/>
      <c r="B40" s="12" t="s">
        <v>2</v>
      </c>
      <c r="C40" s="10" t="s">
        <v>223</v>
      </c>
      <c r="D40" s="222"/>
      <c r="E40" s="170"/>
      <c r="F40" s="141"/>
      <c r="G40" s="153" t="str">
        <f t="shared" si="1"/>
        <v/>
      </c>
      <c r="H40" s="10" t="s">
        <v>20</v>
      </c>
      <c r="I40" s="332">
        <v>3.45</v>
      </c>
      <c r="J40" s="12">
        <f t="shared" si="0"/>
        <v>0</v>
      </c>
      <c r="K40" s="13"/>
    </row>
    <row r="41" spans="1:11" s="6" customFormat="1" ht="15.65" customHeight="1" x14ac:dyDescent="0.35">
      <c r="A41" s="108" t="s">
        <v>119</v>
      </c>
      <c r="B41" s="108"/>
      <c r="C41" s="108"/>
      <c r="D41" s="223"/>
      <c r="E41" s="169"/>
      <c r="F41" s="109"/>
      <c r="G41" s="165" t="str">
        <f t="shared" si="1"/>
        <v/>
      </c>
      <c r="H41" s="108"/>
      <c r="I41" s="106" t="s">
        <v>18</v>
      </c>
      <c r="J41" s="107">
        <f>SUM(J42:J49)</f>
        <v>2055</v>
      </c>
    </row>
    <row r="42" spans="1:11" ht="14.5" customHeight="1" x14ac:dyDescent="0.35">
      <c r="A42" s="103"/>
      <c r="B42" s="12" t="s">
        <v>7</v>
      </c>
      <c r="C42" s="10" t="s">
        <v>224</v>
      </c>
      <c r="D42" s="152"/>
      <c r="E42" s="166">
        <f>E24</f>
        <v>4</v>
      </c>
      <c r="F42" s="95"/>
      <c r="G42" s="153" t="str">
        <f t="shared" si="1"/>
        <v/>
      </c>
      <c r="H42" s="10" t="s">
        <v>20</v>
      </c>
      <c r="I42" s="331">
        <v>100</v>
      </c>
      <c r="J42" s="12">
        <f t="shared" ref="J42:J49" si="2">E42*I42</f>
        <v>400</v>
      </c>
      <c r="K42" s="13"/>
    </row>
    <row r="43" spans="1:11" hidden="1" x14ac:dyDescent="0.35">
      <c r="A43" s="103"/>
      <c r="B43" s="12" t="s">
        <v>7</v>
      </c>
      <c r="C43" s="10" t="s">
        <v>225</v>
      </c>
      <c r="D43" s="152"/>
      <c r="E43" s="170"/>
      <c r="F43" s="95"/>
      <c r="G43" s="153" t="str">
        <f t="shared" si="1"/>
        <v/>
      </c>
      <c r="H43" s="10" t="s">
        <v>20</v>
      </c>
      <c r="I43" s="331">
        <v>12.2</v>
      </c>
      <c r="J43" s="12">
        <f t="shared" si="2"/>
        <v>0</v>
      </c>
      <c r="K43" s="13"/>
    </row>
    <row r="44" spans="1:11" ht="14.5" hidden="1" customHeight="1" x14ac:dyDescent="0.35">
      <c r="A44" s="103"/>
      <c r="B44" s="12" t="s">
        <v>7</v>
      </c>
      <c r="C44" s="10" t="s">
        <v>226</v>
      </c>
      <c r="D44" s="152"/>
      <c r="E44" s="170"/>
      <c r="F44" s="95"/>
      <c r="G44" s="153" t="str">
        <f t="shared" si="1"/>
        <v/>
      </c>
      <c r="H44" s="10" t="s">
        <v>20</v>
      </c>
      <c r="I44" s="331">
        <v>11</v>
      </c>
      <c r="J44" s="12">
        <f t="shared" si="2"/>
        <v>0</v>
      </c>
      <c r="K44" s="88"/>
    </row>
    <row r="45" spans="1:11" hidden="1" x14ac:dyDescent="0.35">
      <c r="A45" s="103"/>
      <c r="B45" s="12" t="s">
        <v>7</v>
      </c>
      <c r="C45" s="10" t="s">
        <v>227</v>
      </c>
      <c r="D45" s="152"/>
      <c r="E45" s="170"/>
      <c r="F45" s="95"/>
      <c r="G45" s="153" t="str">
        <f t="shared" si="1"/>
        <v/>
      </c>
      <c r="H45" s="10" t="s">
        <v>20</v>
      </c>
      <c r="I45" s="331">
        <v>5</v>
      </c>
      <c r="J45" s="12">
        <f t="shared" si="2"/>
        <v>0</v>
      </c>
      <c r="K45" s="13" t="s">
        <v>47</v>
      </c>
    </row>
    <row r="46" spans="1:11" x14ac:dyDescent="0.35">
      <c r="A46" s="103"/>
      <c r="B46" s="12" t="s">
        <v>7</v>
      </c>
      <c r="C46" s="10" t="s">
        <v>46</v>
      </c>
      <c r="D46" s="152"/>
      <c r="E46" s="170">
        <v>11</v>
      </c>
      <c r="F46" s="95"/>
      <c r="G46" s="153" t="str">
        <f t="shared" si="1"/>
        <v/>
      </c>
      <c r="H46" s="10" t="s">
        <v>20</v>
      </c>
      <c r="I46" s="331">
        <v>5</v>
      </c>
      <c r="J46" s="12">
        <f t="shared" si="2"/>
        <v>55</v>
      </c>
      <c r="K46" s="13"/>
    </row>
    <row r="47" spans="1:11" ht="14.5" hidden="1" customHeight="1" x14ac:dyDescent="0.35">
      <c r="A47" s="103"/>
      <c r="B47" s="12" t="s">
        <v>7</v>
      </c>
      <c r="C47" s="10" t="s">
        <v>228</v>
      </c>
      <c r="D47" s="152"/>
      <c r="E47" s="170"/>
      <c r="F47" s="95"/>
      <c r="G47" s="153" t="str">
        <f t="shared" si="1"/>
        <v/>
      </c>
      <c r="H47" s="10" t="s">
        <v>20</v>
      </c>
      <c r="I47" s="331">
        <v>11</v>
      </c>
      <c r="J47" s="12">
        <f t="shared" si="2"/>
        <v>0</v>
      </c>
      <c r="K47" s="13"/>
    </row>
    <row r="48" spans="1:11" ht="16.399999999999999" customHeight="1" x14ac:dyDescent="0.35">
      <c r="A48" s="103"/>
      <c r="B48" s="12" t="s">
        <v>7</v>
      </c>
      <c r="C48" s="10" t="s">
        <v>229</v>
      </c>
      <c r="D48" s="152"/>
      <c r="E48" s="166">
        <f>E26+E27</f>
        <v>32</v>
      </c>
      <c r="F48" s="95"/>
      <c r="G48" s="153" t="str">
        <f t="shared" si="1"/>
        <v/>
      </c>
      <c r="H48" s="10" t="s">
        <v>20</v>
      </c>
      <c r="I48" s="331">
        <v>50</v>
      </c>
      <c r="J48" s="12">
        <f t="shared" si="2"/>
        <v>1600</v>
      </c>
      <c r="K48" s="13"/>
    </row>
    <row r="49" spans="1:11" hidden="1" x14ac:dyDescent="0.35">
      <c r="A49" s="103"/>
      <c r="B49" s="12" t="s">
        <v>7</v>
      </c>
      <c r="C49" s="78" t="s">
        <v>206</v>
      </c>
      <c r="D49" s="224"/>
      <c r="E49" s="170"/>
      <c r="F49" s="142"/>
      <c r="G49" s="153" t="str">
        <f t="shared" si="1"/>
        <v/>
      </c>
      <c r="H49" s="10" t="s">
        <v>20</v>
      </c>
      <c r="I49" s="333">
        <v>5</v>
      </c>
      <c r="J49" s="12">
        <f t="shared" si="2"/>
        <v>0</v>
      </c>
      <c r="K49" s="13"/>
    </row>
    <row r="50" spans="1:11" ht="14.5" customHeight="1" x14ac:dyDescent="0.35">
      <c r="A50" s="103"/>
      <c r="B50" s="104" t="s">
        <v>230</v>
      </c>
      <c r="C50" s="105"/>
      <c r="D50" s="225"/>
      <c r="E50" s="171"/>
      <c r="F50" s="143"/>
      <c r="G50" s="165" t="str">
        <f t="shared" si="1"/>
        <v/>
      </c>
      <c r="H50" s="105"/>
      <c r="I50" s="106" t="s">
        <v>18</v>
      </c>
      <c r="J50" s="107">
        <f>SUM(J52:J77)</f>
        <v>120.9</v>
      </c>
      <c r="K50" s="13"/>
    </row>
    <row r="51" spans="1:11" ht="14.5" customHeight="1" x14ac:dyDescent="0.35">
      <c r="A51" s="111"/>
      <c r="B51" s="126" t="s">
        <v>231</v>
      </c>
      <c r="C51" s="127"/>
      <c r="D51" s="226"/>
      <c r="E51" s="172"/>
      <c r="F51" s="144"/>
      <c r="G51" s="165" t="str">
        <f t="shared" si="1"/>
        <v/>
      </c>
      <c r="H51" s="127"/>
      <c r="I51" s="239"/>
      <c r="J51" s="128"/>
      <c r="K51" s="13"/>
    </row>
    <row r="52" spans="1:11" ht="14.5" hidden="1" customHeight="1" x14ac:dyDescent="0.35">
      <c r="A52" s="103"/>
      <c r="B52" s="12" t="s">
        <v>13</v>
      </c>
      <c r="C52" s="10" t="s">
        <v>78</v>
      </c>
      <c r="D52" s="152"/>
      <c r="E52" s="170"/>
      <c r="F52" s="95"/>
      <c r="G52" s="153" t="str">
        <f t="shared" si="1"/>
        <v/>
      </c>
      <c r="H52" s="10" t="s">
        <v>20</v>
      </c>
      <c r="I52" s="331">
        <v>13</v>
      </c>
      <c r="J52" s="12">
        <f t="shared" ref="J52:J58" si="3">E52*I52</f>
        <v>0</v>
      </c>
      <c r="K52" s="13"/>
    </row>
    <row r="53" spans="1:11" ht="15.75" hidden="1" customHeight="1" x14ac:dyDescent="0.35">
      <c r="A53" s="103"/>
      <c r="B53" s="12" t="s">
        <v>13</v>
      </c>
      <c r="C53" s="10" t="s">
        <v>232</v>
      </c>
      <c r="D53" s="152"/>
      <c r="E53" s="170"/>
      <c r="F53" s="95"/>
      <c r="G53" s="153" t="str">
        <f t="shared" si="1"/>
        <v/>
      </c>
      <c r="H53" s="10" t="s">
        <v>20</v>
      </c>
      <c r="I53" s="331">
        <v>13</v>
      </c>
      <c r="J53" s="12">
        <f t="shared" si="3"/>
        <v>0</v>
      </c>
      <c r="K53" s="134"/>
    </row>
    <row r="54" spans="1:11" hidden="1" x14ac:dyDescent="0.35">
      <c r="A54" s="103"/>
      <c r="B54" s="12" t="s">
        <v>13</v>
      </c>
      <c r="C54" s="10" t="s">
        <v>233</v>
      </c>
      <c r="D54" s="152"/>
      <c r="E54" s="170"/>
      <c r="F54" s="95"/>
      <c r="G54" s="153" t="str">
        <f t="shared" si="1"/>
        <v/>
      </c>
      <c r="H54" s="10" t="s">
        <v>20</v>
      </c>
      <c r="I54" s="331">
        <v>8.9</v>
      </c>
      <c r="J54" s="12">
        <f t="shared" si="3"/>
        <v>0</v>
      </c>
      <c r="K54" s="13"/>
    </row>
    <row r="55" spans="1:11" x14ac:dyDescent="0.35">
      <c r="A55" s="103"/>
      <c r="B55" s="12" t="s">
        <v>13</v>
      </c>
      <c r="C55" s="10" t="s">
        <v>32</v>
      </c>
      <c r="D55" s="152">
        <v>6</v>
      </c>
      <c r="E55" s="170">
        <v>6</v>
      </c>
      <c r="F55" s="95"/>
      <c r="G55" s="153" t="str">
        <f t="shared" si="1"/>
        <v/>
      </c>
      <c r="H55" s="10" t="s">
        <v>20</v>
      </c>
      <c r="I55" s="331">
        <v>8.35</v>
      </c>
      <c r="J55" s="12">
        <f t="shared" si="3"/>
        <v>50.099999999999994</v>
      </c>
      <c r="K55" s="13"/>
    </row>
    <row r="56" spans="1:11" s="6" customFormat="1" ht="15.65" customHeight="1" x14ac:dyDescent="0.35">
      <c r="A56" s="103"/>
      <c r="B56" s="12" t="s">
        <v>13</v>
      </c>
      <c r="C56" s="10" t="s">
        <v>33</v>
      </c>
      <c r="D56" s="152">
        <v>6</v>
      </c>
      <c r="E56" s="170">
        <v>6</v>
      </c>
      <c r="F56" s="95"/>
      <c r="G56" s="153" t="str">
        <f t="shared" si="1"/>
        <v/>
      </c>
      <c r="H56" s="10" t="s">
        <v>20</v>
      </c>
      <c r="I56" s="331">
        <v>8.9</v>
      </c>
      <c r="J56" s="12">
        <f t="shared" si="3"/>
        <v>53.400000000000006</v>
      </c>
    </row>
    <row r="57" spans="1:11" s="6" customFormat="1" ht="15.65" customHeight="1" x14ac:dyDescent="0.35">
      <c r="A57" s="103"/>
      <c r="B57" s="12" t="s">
        <v>13</v>
      </c>
      <c r="C57" s="10" t="s">
        <v>59</v>
      </c>
      <c r="D57" s="152">
        <v>6</v>
      </c>
      <c r="E57" s="170">
        <v>2</v>
      </c>
      <c r="F57" s="95"/>
      <c r="G57" s="153">
        <f t="shared" si="1"/>
        <v>4</v>
      </c>
      <c r="H57" s="10" t="s">
        <v>20</v>
      </c>
      <c r="I57" s="331">
        <v>8.6999999999999993</v>
      </c>
      <c r="J57" s="12">
        <f t="shared" si="3"/>
        <v>17.399999999999999</v>
      </c>
    </row>
    <row r="58" spans="1:11" ht="14.5" customHeight="1" x14ac:dyDescent="0.35">
      <c r="A58" s="103"/>
      <c r="B58" s="12" t="s">
        <v>13</v>
      </c>
      <c r="C58" s="10" t="s">
        <v>234</v>
      </c>
      <c r="D58" s="152"/>
      <c r="E58" s="170"/>
      <c r="F58" s="95"/>
      <c r="G58" s="153" t="str">
        <f t="shared" si="1"/>
        <v/>
      </c>
      <c r="H58" s="10" t="s">
        <v>20</v>
      </c>
      <c r="I58" s="331">
        <v>12.15</v>
      </c>
      <c r="J58" s="12">
        <f t="shared" si="3"/>
        <v>0</v>
      </c>
      <c r="K58" s="13"/>
    </row>
    <row r="59" spans="1:11" ht="14.5" hidden="1" customHeight="1" x14ac:dyDescent="0.35">
      <c r="A59" s="103"/>
      <c r="B59" s="12" t="s">
        <v>13</v>
      </c>
      <c r="C59" s="10" t="s">
        <v>235</v>
      </c>
      <c r="D59" s="152"/>
      <c r="E59" s="170"/>
      <c r="F59" s="95"/>
      <c r="G59" s="153" t="str">
        <f t="shared" si="1"/>
        <v/>
      </c>
      <c r="H59" s="10" t="s">
        <v>20</v>
      </c>
      <c r="I59" s="331">
        <v>11.35</v>
      </c>
      <c r="J59" s="12">
        <f t="shared" ref="J59:J64" si="4">E59*I59</f>
        <v>0</v>
      </c>
      <c r="K59" s="13"/>
    </row>
    <row r="60" spans="1:11" s="6" customFormat="1" ht="15.65" hidden="1" customHeight="1" x14ac:dyDescent="0.35">
      <c r="A60" s="103"/>
      <c r="B60" s="12" t="s">
        <v>13</v>
      </c>
      <c r="C60" s="10" t="s">
        <v>236</v>
      </c>
      <c r="D60" s="152"/>
      <c r="E60" s="170"/>
      <c r="F60" s="95"/>
      <c r="G60" s="153" t="str">
        <f t="shared" si="1"/>
        <v/>
      </c>
      <c r="H60" s="10" t="s">
        <v>20</v>
      </c>
      <c r="I60" s="331">
        <v>14.65</v>
      </c>
      <c r="J60" s="12">
        <f t="shared" si="4"/>
        <v>0</v>
      </c>
    </row>
    <row r="61" spans="1:11" ht="14.5" hidden="1" customHeight="1" x14ac:dyDescent="0.35">
      <c r="A61" s="103"/>
      <c r="B61" s="12" t="s">
        <v>13</v>
      </c>
      <c r="C61" s="10" t="s">
        <v>237</v>
      </c>
      <c r="D61" s="152"/>
      <c r="E61" s="170"/>
      <c r="F61" s="95"/>
      <c r="G61" s="153" t="str">
        <f t="shared" si="1"/>
        <v/>
      </c>
      <c r="H61" s="10" t="s">
        <v>20</v>
      </c>
      <c r="I61" s="331">
        <v>16.25</v>
      </c>
      <c r="J61" s="12">
        <f t="shared" si="4"/>
        <v>0</v>
      </c>
      <c r="K61" s="13"/>
    </row>
    <row r="62" spans="1:11" s="6" customFormat="1" ht="15.5" hidden="1" x14ac:dyDescent="0.35">
      <c r="A62" s="103"/>
      <c r="B62" s="12" t="s">
        <v>13</v>
      </c>
      <c r="C62" s="10" t="s">
        <v>238</v>
      </c>
      <c r="D62" s="152"/>
      <c r="E62" s="170"/>
      <c r="F62" s="95"/>
      <c r="G62" s="153" t="str">
        <f t="shared" si="1"/>
        <v/>
      </c>
      <c r="H62" s="10" t="s">
        <v>20</v>
      </c>
      <c r="I62" s="331">
        <v>17.899999999999999</v>
      </c>
      <c r="J62" s="12">
        <f t="shared" si="4"/>
        <v>0</v>
      </c>
    </row>
    <row r="63" spans="1:11" hidden="1" x14ac:dyDescent="0.35">
      <c r="A63" s="103"/>
      <c r="B63" s="12" t="s">
        <v>13</v>
      </c>
      <c r="C63" s="10" t="s">
        <v>239</v>
      </c>
      <c r="D63" s="152"/>
      <c r="E63" s="170"/>
      <c r="F63" s="95"/>
      <c r="G63" s="153" t="str">
        <f t="shared" si="1"/>
        <v/>
      </c>
      <c r="H63" s="10" t="s">
        <v>20</v>
      </c>
      <c r="I63" s="331">
        <v>15.95</v>
      </c>
      <c r="J63" s="12">
        <f t="shared" si="4"/>
        <v>0</v>
      </c>
      <c r="K63" s="13"/>
    </row>
    <row r="64" spans="1:11" ht="14.5" hidden="1" customHeight="1" x14ac:dyDescent="0.35">
      <c r="A64" s="103"/>
      <c r="B64" s="12" t="s">
        <v>13</v>
      </c>
      <c r="C64" s="10" t="s">
        <v>240</v>
      </c>
      <c r="D64" s="152"/>
      <c r="E64" s="170"/>
      <c r="F64" s="95"/>
      <c r="G64" s="153" t="str">
        <f t="shared" si="1"/>
        <v/>
      </c>
      <c r="H64" s="10" t="s">
        <v>20</v>
      </c>
      <c r="I64" s="331">
        <v>15.45</v>
      </c>
      <c r="J64" s="12">
        <f t="shared" si="4"/>
        <v>0</v>
      </c>
      <c r="K64" s="13"/>
    </row>
    <row r="65" spans="1:11" s="6" customFormat="1" ht="15.65" hidden="1" customHeight="1" x14ac:dyDescent="0.35">
      <c r="A65" s="111"/>
      <c r="B65" s="126" t="s">
        <v>241</v>
      </c>
      <c r="C65" s="127"/>
      <c r="D65" s="226"/>
      <c r="E65" s="172"/>
      <c r="F65" s="144"/>
      <c r="G65" s="153" t="str">
        <f t="shared" si="1"/>
        <v/>
      </c>
      <c r="H65" s="127"/>
      <c r="I65" s="239"/>
      <c r="J65" s="128"/>
    </row>
    <row r="66" spans="1:11" ht="14.5" hidden="1" customHeight="1" x14ac:dyDescent="0.35">
      <c r="A66" s="103"/>
      <c r="B66" s="12" t="s">
        <v>13</v>
      </c>
      <c r="C66" s="10" t="s">
        <v>242</v>
      </c>
      <c r="D66" s="152"/>
      <c r="E66" s="170"/>
      <c r="F66" s="95"/>
      <c r="G66" s="153" t="str">
        <f t="shared" si="1"/>
        <v/>
      </c>
      <c r="H66" s="10" t="s">
        <v>20</v>
      </c>
      <c r="I66" s="331">
        <v>31.05</v>
      </c>
      <c r="J66" s="12">
        <f t="shared" ref="J66:J72" si="5">E66*I66</f>
        <v>0</v>
      </c>
      <c r="K66" s="13"/>
    </row>
    <row r="67" spans="1:11" ht="14.5" hidden="1" customHeight="1" x14ac:dyDescent="0.35">
      <c r="A67" s="103"/>
      <c r="B67" s="12" t="s">
        <v>13</v>
      </c>
      <c r="C67" s="10" t="s">
        <v>243</v>
      </c>
      <c r="D67" s="152"/>
      <c r="E67" s="170"/>
      <c r="F67" s="95"/>
      <c r="G67" s="153" t="str">
        <f t="shared" si="1"/>
        <v/>
      </c>
      <c r="H67" s="10" t="s">
        <v>20</v>
      </c>
      <c r="I67" s="331">
        <v>60.79</v>
      </c>
      <c r="J67" s="12">
        <f t="shared" si="5"/>
        <v>0</v>
      </c>
      <c r="K67" s="13"/>
    </row>
    <row r="68" spans="1:11" hidden="1" x14ac:dyDescent="0.35">
      <c r="A68" s="103"/>
      <c r="B68" s="12" t="s">
        <v>13</v>
      </c>
      <c r="C68" s="10" t="s">
        <v>244</v>
      </c>
      <c r="D68" s="152"/>
      <c r="E68" s="170"/>
      <c r="F68" s="95"/>
      <c r="G68" s="153" t="str">
        <f t="shared" si="1"/>
        <v/>
      </c>
      <c r="H68" s="10" t="s">
        <v>20</v>
      </c>
      <c r="I68" s="331">
        <v>56.55</v>
      </c>
      <c r="J68" s="12">
        <f t="shared" si="5"/>
        <v>0</v>
      </c>
      <c r="K68" s="13"/>
    </row>
    <row r="69" spans="1:11" hidden="1" x14ac:dyDescent="0.35">
      <c r="A69" s="103"/>
      <c r="B69" s="12" t="s">
        <v>13</v>
      </c>
      <c r="C69" s="10" t="s">
        <v>245</v>
      </c>
      <c r="D69" s="152"/>
      <c r="E69" s="170"/>
      <c r="F69" s="95"/>
      <c r="G69" s="153" t="str">
        <f t="shared" si="1"/>
        <v/>
      </c>
      <c r="H69" s="10" t="s">
        <v>20</v>
      </c>
      <c r="I69" s="331">
        <v>107.44</v>
      </c>
      <c r="J69" s="12">
        <f t="shared" si="5"/>
        <v>0</v>
      </c>
      <c r="K69" s="13"/>
    </row>
    <row r="70" spans="1:11" ht="14.5" hidden="1" customHeight="1" x14ac:dyDescent="0.35">
      <c r="A70" s="103"/>
      <c r="B70" s="12" t="s">
        <v>13</v>
      </c>
      <c r="C70" s="10" t="s">
        <v>246</v>
      </c>
      <c r="D70" s="152"/>
      <c r="E70" s="170"/>
      <c r="F70" s="95"/>
      <c r="G70" s="153" t="str">
        <f t="shared" si="1"/>
        <v/>
      </c>
      <c r="H70" s="10" t="s">
        <v>20</v>
      </c>
      <c r="I70" s="331">
        <v>47.4</v>
      </c>
      <c r="J70" s="12">
        <f t="shared" si="5"/>
        <v>0</v>
      </c>
      <c r="K70" s="13"/>
    </row>
    <row r="71" spans="1:11" ht="15.65" hidden="1" customHeight="1" x14ac:dyDescent="0.35">
      <c r="A71" s="103"/>
      <c r="B71" s="12" t="s">
        <v>13</v>
      </c>
      <c r="C71" s="10" t="s">
        <v>247</v>
      </c>
      <c r="D71" s="152"/>
      <c r="E71" s="170"/>
      <c r="F71" s="95"/>
      <c r="G71" s="153" t="str">
        <f t="shared" si="1"/>
        <v/>
      </c>
      <c r="H71" s="10" t="s">
        <v>20</v>
      </c>
      <c r="I71" s="331">
        <v>87.63</v>
      </c>
      <c r="J71" s="12">
        <f t="shared" si="5"/>
        <v>0</v>
      </c>
      <c r="K71" s="13"/>
    </row>
    <row r="72" spans="1:11" ht="15.65" hidden="1" customHeight="1" x14ac:dyDescent="0.35">
      <c r="A72" s="103"/>
      <c r="B72" s="12" t="s">
        <v>13</v>
      </c>
      <c r="C72" s="10" t="s">
        <v>248</v>
      </c>
      <c r="D72" s="152"/>
      <c r="E72" s="170"/>
      <c r="F72" s="95"/>
      <c r="G72" s="153" t="str">
        <f t="shared" si="1"/>
        <v/>
      </c>
      <c r="H72" s="10" t="s">
        <v>20</v>
      </c>
      <c r="I72" s="331">
        <v>52.31</v>
      </c>
      <c r="J72" s="12">
        <f t="shared" si="5"/>
        <v>0</v>
      </c>
      <c r="K72" s="13"/>
    </row>
    <row r="73" spans="1:11" ht="16.399999999999999" hidden="1" customHeight="1" x14ac:dyDescent="0.35">
      <c r="A73" s="111"/>
      <c r="B73" s="126" t="s">
        <v>249</v>
      </c>
      <c r="C73" s="127"/>
      <c r="D73" s="226"/>
      <c r="E73" s="172"/>
      <c r="F73" s="144"/>
      <c r="G73" s="153" t="str">
        <f t="shared" si="1"/>
        <v/>
      </c>
      <c r="H73" s="127"/>
      <c r="I73" s="239"/>
      <c r="J73" s="128"/>
      <c r="K73" s="13"/>
    </row>
    <row r="74" spans="1:11" ht="14.5" hidden="1" customHeight="1" x14ac:dyDescent="0.35">
      <c r="A74" s="103"/>
      <c r="B74" s="12" t="s">
        <v>13</v>
      </c>
      <c r="C74" s="10" t="s">
        <v>250</v>
      </c>
      <c r="D74" s="152"/>
      <c r="E74" s="170"/>
      <c r="F74" s="95"/>
      <c r="G74" s="153" t="str">
        <f t="shared" si="1"/>
        <v/>
      </c>
      <c r="H74" s="10" t="s">
        <v>20</v>
      </c>
      <c r="I74" s="331">
        <v>10.8</v>
      </c>
      <c r="J74" s="12">
        <f>E74*I74</f>
        <v>0</v>
      </c>
      <c r="K74" s="13"/>
    </row>
    <row r="75" spans="1:11" ht="14.5" hidden="1" customHeight="1" x14ac:dyDescent="0.35">
      <c r="A75" s="103"/>
      <c r="B75" s="12" t="s">
        <v>13</v>
      </c>
      <c r="C75" s="10" t="s">
        <v>251</v>
      </c>
      <c r="D75" s="152"/>
      <c r="E75" s="170"/>
      <c r="F75" s="95"/>
      <c r="G75" s="153" t="str">
        <f t="shared" si="1"/>
        <v/>
      </c>
      <c r="H75" s="10" t="s">
        <v>20</v>
      </c>
      <c r="I75" s="331">
        <v>11.2</v>
      </c>
      <c r="J75" s="12">
        <f>E75*I75</f>
        <v>0</v>
      </c>
      <c r="K75" s="13"/>
    </row>
    <row r="76" spans="1:11" s="24" customFormat="1" ht="15.65" customHeight="1" x14ac:dyDescent="0.35">
      <c r="A76" s="103"/>
      <c r="B76" s="12" t="s">
        <v>13</v>
      </c>
      <c r="C76" s="10" t="s">
        <v>252</v>
      </c>
      <c r="D76" s="152"/>
      <c r="E76" s="170"/>
      <c r="F76" s="95"/>
      <c r="G76" s="153" t="str">
        <f t="shared" si="1"/>
        <v/>
      </c>
      <c r="H76" s="10" t="s">
        <v>23</v>
      </c>
      <c r="I76" s="331">
        <v>4.5599999999999996</v>
      </c>
      <c r="J76" s="12">
        <f>E76*I76</f>
        <v>0</v>
      </c>
    </row>
    <row r="77" spans="1:11" s="6" customFormat="1" ht="15.65" customHeight="1" x14ac:dyDescent="0.35">
      <c r="A77" s="103"/>
      <c r="B77" s="12" t="s">
        <v>13</v>
      </c>
      <c r="C77" s="10" t="s">
        <v>253</v>
      </c>
      <c r="D77" s="152"/>
      <c r="E77" s="170"/>
      <c r="F77" s="95"/>
      <c r="G77" s="153" t="str">
        <f t="shared" si="1"/>
        <v/>
      </c>
      <c r="H77" s="10" t="s">
        <v>23</v>
      </c>
      <c r="I77" s="331">
        <v>37.700000000000003</v>
      </c>
      <c r="J77" s="12">
        <f>E77*I77</f>
        <v>0</v>
      </c>
    </row>
    <row r="78" spans="1:11" ht="14.5" hidden="1" customHeight="1" x14ac:dyDescent="0.35">
      <c r="A78" s="108" t="s">
        <v>254</v>
      </c>
      <c r="B78" s="108"/>
      <c r="C78" s="108"/>
      <c r="D78" s="223"/>
      <c r="E78" s="169"/>
      <c r="F78" s="109"/>
      <c r="G78" s="153" t="str">
        <f t="shared" si="1"/>
        <v/>
      </c>
      <c r="H78" s="108"/>
      <c r="I78" s="110" t="s">
        <v>18</v>
      </c>
      <c r="J78" s="115">
        <f>SUM(J80:J121)</f>
        <v>0</v>
      </c>
    </row>
    <row r="79" spans="1:11" ht="14.5" hidden="1" customHeight="1" x14ac:dyDescent="0.35">
      <c r="A79" s="111"/>
      <c r="B79" s="126" t="s">
        <v>255</v>
      </c>
      <c r="C79" s="127"/>
      <c r="D79" s="226"/>
      <c r="E79" s="172"/>
      <c r="F79" s="144"/>
      <c r="G79" s="153" t="str">
        <f t="shared" si="1"/>
        <v/>
      </c>
      <c r="H79" s="127"/>
      <c r="I79" s="239"/>
      <c r="J79" s="128"/>
      <c r="K79" s="13"/>
    </row>
    <row r="80" spans="1:11" ht="14.5" hidden="1" customHeight="1" x14ac:dyDescent="0.35">
      <c r="A80" s="103"/>
      <c r="B80" s="12" t="s">
        <v>3</v>
      </c>
      <c r="C80" s="10" t="s">
        <v>256</v>
      </c>
      <c r="D80" s="152"/>
      <c r="E80" s="170"/>
      <c r="F80" s="95"/>
      <c r="G80" s="153" t="str">
        <f t="shared" si="1"/>
        <v/>
      </c>
      <c r="H80" s="10" t="s">
        <v>20</v>
      </c>
      <c r="I80" s="331">
        <v>32.950000000000003</v>
      </c>
      <c r="J80" s="12">
        <f t="shared" ref="J80:J86" si="6">E80*I80</f>
        <v>0</v>
      </c>
      <c r="K80" s="13"/>
    </row>
    <row r="81" spans="1:13" ht="14.5" hidden="1" customHeight="1" x14ac:dyDescent="0.35">
      <c r="A81" s="103"/>
      <c r="B81" s="12" t="s">
        <v>3</v>
      </c>
      <c r="C81" s="10" t="s">
        <v>257</v>
      </c>
      <c r="D81" s="152"/>
      <c r="E81" s="170"/>
      <c r="F81" s="95"/>
      <c r="G81" s="153" t="str">
        <f t="shared" si="1"/>
        <v/>
      </c>
      <c r="H81" s="10" t="s">
        <v>20</v>
      </c>
      <c r="I81" s="331">
        <v>56.95</v>
      </c>
      <c r="J81" s="12">
        <f t="shared" si="6"/>
        <v>0</v>
      </c>
      <c r="K81" s="13" t="s">
        <v>47</v>
      </c>
    </row>
    <row r="82" spans="1:13" ht="14.5" hidden="1" customHeight="1" x14ac:dyDescent="0.35">
      <c r="A82" s="103"/>
      <c r="B82" s="12" t="s">
        <v>3</v>
      </c>
      <c r="C82" s="10" t="s">
        <v>258</v>
      </c>
      <c r="D82" s="152"/>
      <c r="E82" s="170"/>
      <c r="F82" s="95"/>
      <c r="G82" s="153" t="str">
        <f t="shared" si="1"/>
        <v/>
      </c>
      <c r="H82" s="10" t="s">
        <v>20</v>
      </c>
      <c r="I82" s="331">
        <v>15.95</v>
      </c>
      <c r="J82" s="12">
        <f t="shared" si="6"/>
        <v>0</v>
      </c>
    </row>
    <row r="83" spans="1:13" ht="14.5" hidden="1" customHeight="1" x14ac:dyDescent="0.35">
      <c r="A83" s="103"/>
      <c r="B83" s="12" t="s">
        <v>3</v>
      </c>
      <c r="C83" s="10" t="s">
        <v>259</v>
      </c>
      <c r="D83" s="152"/>
      <c r="E83" s="170"/>
      <c r="F83" s="95"/>
      <c r="G83" s="153" t="str">
        <f t="shared" si="1"/>
        <v/>
      </c>
      <c r="H83" s="10" t="s">
        <v>20</v>
      </c>
      <c r="I83" s="331">
        <v>19.95</v>
      </c>
      <c r="J83" s="12">
        <f t="shared" si="6"/>
        <v>0</v>
      </c>
      <c r="K83" s="28"/>
    </row>
    <row r="84" spans="1:13" s="6" customFormat="1" ht="15.65" hidden="1" customHeight="1" x14ac:dyDescent="0.35">
      <c r="A84" s="103"/>
      <c r="B84" s="12" t="s">
        <v>3</v>
      </c>
      <c r="C84" s="10" t="s">
        <v>260</v>
      </c>
      <c r="D84" s="152"/>
      <c r="E84" s="170"/>
      <c r="F84" s="95"/>
      <c r="G84" s="153" t="str">
        <f t="shared" si="1"/>
        <v/>
      </c>
      <c r="H84" s="10" t="s">
        <v>20</v>
      </c>
      <c r="I84" s="331">
        <v>46.95</v>
      </c>
      <c r="J84" s="12">
        <f t="shared" si="6"/>
        <v>0</v>
      </c>
      <c r="K84" s="30"/>
    </row>
    <row r="85" spans="1:13" ht="14.5" hidden="1" customHeight="1" x14ac:dyDescent="0.35">
      <c r="A85" s="103"/>
      <c r="B85" s="12" t="s">
        <v>3</v>
      </c>
      <c r="C85" s="10" t="s">
        <v>261</v>
      </c>
      <c r="D85" s="152"/>
      <c r="E85" s="170"/>
      <c r="F85" s="95"/>
      <c r="G85" s="153" t="str">
        <f t="shared" si="1"/>
        <v/>
      </c>
      <c r="H85" s="10" t="s">
        <v>20</v>
      </c>
      <c r="I85" s="331">
        <v>34.950000000000003</v>
      </c>
      <c r="J85" s="12">
        <f t="shared" si="6"/>
        <v>0</v>
      </c>
      <c r="K85" s="28"/>
    </row>
    <row r="86" spans="1:13" s="6" customFormat="1" ht="15.65" hidden="1" customHeight="1" x14ac:dyDescent="0.35">
      <c r="A86" s="103"/>
      <c r="B86" s="12" t="s">
        <v>3</v>
      </c>
      <c r="C86" s="10" t="s">
        <v>262</v>
      </c>
      <c r="D86" s="152"/>
      <c r="E86" s="170"/>
      <c r="F86" s="95"/>
      <c r="G86" s="153" t="str">
        <f t="shared" si="1"/>
        <v/>
      </c>
      <c r="H86" s="10" t="s">
        <v>20</v>
      </c>
      <c r="I86" s="331">
        <v>24.95</v>
      </c>
      <c r="J86" s="12">
        <f t="shared" si="6"/>
        <v>0</v>
      </c>
    </row>
    <row r="87" spans="1:13" ht="15.5" hidden="1" x14ac:dyDescent="0.35">
      <c r="A87" s="111"/>
      <c r="B87" s="126" t="s">
        <v>263</v>
      </c>
      <c r="C87" s="127"/>
      <c r="D87" s="226"/>
      <c r="E87" s="172"/>
      <c r="F87" s="144"/>
      <c r="G87" s="153" t="str">
        <f t="shared" si="1"/>
        <v/>
      </c>
      <c r="H87" s="127"/>
      <c r="I87" s="239"/>
      <c r="J87" s="128"/>
      <c r="K87" s="28"/>
      <c r="M87" t="s">
        <v>47</v>
      </c>
    </row>
    <row r="88" spans="1:13" hidden="1" x14ac:dyDescent="0.35">
      <c r="A88" s="103"/>
      <c r="B88" s="12" t="s">
        <v>3</v>
      </c>
      <c r="C88" s="10" t="s">
        <v>264</v>
      </c>
      <c r="D88" s="152"/>
      <c r="E88" s="170"/>
      <c r="F88" s="95"/>
      <c r="G88" s="153" t="str">
        <f t="shared" si="1"/>
        <v/>
      </c>
      <c r="H88" s="10" t="s">
        <v>20</v>
      </c>
      <c r="I88" s="331">
        <v>19.5</v>
      </c>
      <c r="J88" s="12">
        <f t="shared" ref="J88:J94" si="7">E88*I88</f>
        <v>0</v>
      </c>
      <c r="K88" s="28"/>
    </row>
    <row r="89" spans="1:13" hidden="1" x14ac:dyDescent="0.35">
      <c r="A89" s="103"/>
      <c r="B89" s="12" t="s">
        <v>3</v>
      </c>
      <c r="C89" s="10" t="s">
        <v>265</v>
      </c>
      <c r="D89" s="152"/>
      <c r="E89" s="170"/>
      <c r="F89" s="95"/>
      <c r="G89" s="153" t="str">
        <f t="shared" ref="G89:G152" si="8">IF(E89="","",IF(D89-E89&gt;0,D89-E89,""))</f>
        <v/>
      </c>
      <c r="H89" s="10" t="s">
        <v>20</v>
      </c>
      <c r="I89" s="331">
        <v>16.95</v>
      </c>
      <c r="J89" s="12">
        <f t="shared" si="7"/>
        <v>0</v>
      </c>
      <c r="K89" s="28"/>
    </row>
    <row r="90" spans="1:13" hidden="1" x14ac:dyDescent="0.35">
      <c r="A90" s="103"/>
      <c r="B90" s="12" t="s">
        <v>3</v>
      </c>
      <c r="C90" s="10" t="s">
        <v>266</v>
      </c>
      <c r="D90" s="152"/>
      <c r="E90" s="170"/>
      <c r="F90" s="95"/>
      <c r="G90" s="153" t="str">
        <f t="shared" si="8"/>
        <v/>
      </c>
      <c r="H90" s="10" t="s">
        <v>20</v>
      </c>
      <c r="I90" s="331">
        <v>17.95</v>
      </c>
      <c r="J90" s="12">
        <f t="shared" si="7"/>
        <v>0</v>
      </c>
      <c r="K90" s="28"/>
    </row>
    <row r="91" spans="1:13" hidden="1" x14ac:dyDescent="0.35">
      <c r="A91" s="103"/>
      <c r="B91" s="12" t="s">
        <v>3</v>
      </c>
      <c r="C91" s="10" t="s">
        <v>267</v>
      </c>
      <c r="D91" s="152"/>
      <c r="E91" s="170"/>
      <c r="F91" s="95"/>
      <c r="G91" s="153" t="str">
        <f t="shared" si="8"/>
        <v/>
      </c>
      <c r="H91" s="10" t="s">
        <v>20</v>
      </c>
      <c r="I91" s="331">
        <v>15.95</v>
      </c>
      <c r="J91" s="12">
        <f t="shared" si="7"/>
        <v>0</v>
      </c>
      <c r="K91" s="28"/>
    </row>
    <row r="92" spans="1:13" s="6" customFormat="1" ht="15.5" hidden="1" x14ac:dyDescent="0.35">
      <c r="A92" s="103"/>
      <c r="B92" s="12" t="s">
        <v>3</v>
      </c>
      <c r="C92" s="10" t="s">
        <v>268</v>
      </c>
      <c r="D92" s="152"/>
      <c r="E92" s="170"/>
      <c r="F92" s="95"/>
      <c r="G92" s="153" t="str">
        <f t="shared" si="8"/>
        <v/>
      </c>
      <c r="H92" s="10" t="s">
        <v>20</v>
      </c>
      <c r="I92" s="331">
        <v>20.95</v>
      </c>
      <c r="J92" s="12">
        <f t="shared" si="7"/>
        <v>0</v>
      </c>
      <c r="K92" s="30"/>
    </row>
    <row r="93" spans="1:13" hidden="1" x14ac:dyDescent="0.35">
      <c r="A93" s="103"/>
      <c r="B93" s="12" t="s">
        <v>3</v>
      </c>
      <c r="C93" s="10" t="s">
        <v>269</v>
      </c>
      <c r="D93" s="152"/>
      <c r="E93" s="170"/>
      <c r="F93" s="95"/>
      <c r="G93" s="153" t="str">
        <f t="shared" si="8"/>
        <v/>
      </c>
      <c r="H93" s="10" t="s">
        <v>20</v>
      </c>
      <c r="I93" s="331">
        <v>26.95</v>
      </c>
      <c r="J93" s="12">
        <f t="shared" si="7"/>
        <v>0</v>
      </c>
      <c r="K93" s="31"/>
    </row>
    <row r="94" spans="1:13" hidden="1" x14ac:dyDescent="0.35">
      <c r="A94" s="103"/>
      <c r="B94" s="12" t="s">
        <v>3</v>
      </c>
      <c r="C94" s="10" t="s">
        <v>270</v>
      </c>
      <c r="D94" s="152"/>
      <c r="E94" s="170"/>
      <c r="F94" s="95"/>
      <c r="G94" s="153" t="str">
        <f t="shared" si="8"/>
        <v/>
      </c>
      <c r="H94" s="10" t="s">
        <v>20</v>
      </c>
      <c r="I94" s="331">
        <v>26.95</v>
      </c>
      <c r="J94" s="12">
        <f t="shared" si="7"/>
        <v>0</v>
      </c>
      <c r="K94" s="31"/>
    </row>
    <row r="95" spans="1:13" s="6" customFormat="1" ht="15.5" hidden="1" x14ac:dyDescent="0.35">
      <c r="A95" s="111"/>
      <c r="B95" s="126" t="s">
        <v>271</v>
      </c>
      <c r="C95" s="127"/>
      <c r="D95" s="226"/>
      <c r="E95" s="172"/>
      <c r="F95" s="144"/>
      <c r="G95" s="153" t="str">
        <f t="shared" si="8"/>
        <v/>
      </c>
      <c r="H95" s="127"/>
      <c r="I95" s="239"/>
      <c r="J95" s="128"/>
      <c r="K95" s="30"/>
    </row>
    <row r="96" spans="1:13" ht="14.15" hidden="1" customHeight="1" x14ac:dyDescent="0.35">
      <c r="A96" s="103"/>
      <c r="B96" s="12" t="s">
        <v>3</v>
      </c>
      <c r="C96" s="10" t="s">
        <v>272</v>
      </c>
      <c r="D96" s="152"/>
      <c r="E96" s="170"/>
      <c r="F96" s="95"/>
      <c r="G96" s="153" t="str">
        <f t="shared" si="8"/>
        <v/>
      </c>
      <c r="H96" s="10" t="s">
        <v>20</v>
      </c>
      <c r="I96" s="331">
        <v>20.95</v>
      </c>
      <c r="J96" s="12">
        <f>E96*I96</f>
        <v>0</v>
      </c>
      <c r="K96" s="28"/>
    </row>
    <row r="97" spans="1:11" hidden="1" x14ac:dyDescent="0.35">
      <c r="A97" s="103"/>
      <c r="B97" s="12" t="s">
        <v>3</v>
      </c>
      <c r="C97" s="10" t="s">
        <v>273</v>
      </c>
      <c r="D97" s="152"/>
      <c r="E97" s="170"/>
      <c r="F97" s="95"/>
      <c r="G97" s="153" t="str">
        <f t="shared" si="8"/>
        <v/>
      </c>
      <c r="H97" s="10" t="s">
        <v>20</v>
      </c>
      <c r="I97" s="331">
        <v>23.95</v>
      </c>
      <c r="J97" s="12">
        <f>E97*I97</f>
        <v>0</v>
      </c>
      <c r="K97" s="28"/>
    </row>
    <row r="98" spans="1:11" s="6" customFormat="1" ht="15.65" hidden="1" customHeight="1" x14ac:dyDescent="0.35">
      <c r="A98" s="103"/>
      <c r="B98" s="12" t="s">
        <v>3</v>
      </c>
      <c r="C98" s="10" t="s">
        <v>274</v>
      </c>
      <c r="D98" s="152"/>
      <c r="E98" s="170"/>
      <c r="F98" s="95"/>
      <c r="G98" s="153" t="str">
        <f t="shared" si="8"/>
        <v/>
      </c>
      <c r="H98" s="10" t="s">
        <v>20</v>
      </c>
      <c r="I98" s="331">
        <v>22.5</v>
      </c>
      <c r="J98" s="12">
        <f>E98*I98</f>
        <v>0</v>
      </c>
      <c r="K98" s="30"/>
    </row>
    <row r="99" spans="1:11" ht="14.5" hidden="1" customHeight="1" x14ac:dyDescent="0.35">
      <c r="A99" s="103"/>
      <c r="B99" s="12" t="s">
        <v>3</v>
      </c>
      <c r="C99" s="10" t="s">
        <v>275</v>
      </c>
      <c r="D99" s="152"/>
      <c r="E99" s="170"/>
      <c r="F99" s="95"/>
      <c r="G99" s="153" t="str">
        <f t="shared" si="8"/>
        <v/>
      </c>
      <c r="H99" s="10" t="s">
        <v>20</v>
      </c>
      <c r="I99" s="331">
        <v>29.95</v>
      </c>
      <c r="J99" s="12">
        <f>E99*I99</f>
        <v>0</v>
      </c>
      <c r="K99" s="31"/>
    </row>
    <row r="100" spans="1:11" s="6" customFormat="1" ht="15.65" hidden="1" customHeight="1" x14ac:dyDescent="0.35">
      <c r="A100" s="111"/>
      <c r="B100" s="126" t="s">
        <v>276</v>
      </c>
      <c r="C100" s="127"/>
      <c r="D100" s="226"/>
      <c r="E100" s="172"/>
      <c r="F100" s="144"/>
      <c r="G100" s="153" t="str">
        <f t="shared" si="8"/>
        <v/>
      </c>
      <c r="H100" s="127"/>
      <c r="I100" s="239"/>
      <c r="J100" s="128"/>
    </row>
    <row r="101" spans="1:11" hidden="1" x14ac:dyDescent="0.35">
      <c r="A101" s="103"/>
      <c r="B101" s="12" t="s">
        <v>3</v>
      </c>
      <c r="C101" s="10" t="s">
        <v>277</v>
      </c>
      <c r="D101" s="152"/>
      <c r="E101" s="170"/>
      <c r="F101" s="95"/>
      <c r="G101" s="153" t="str">
        <f t="shared" si="8"/>
        <v/>
      </c>
      <c r="H101" s="10" t="s">
        <v>20</v>
      </c>
      <c r="I101" s="331">
        <v>17.95</v>
      </c>
      <c r="J101" s="12">
        <f>E101*I101</f>
        <v>0</v>
      </c>
      <c r="K101" s="28"/>
    </row>
    <row r="102" spans="1:11" s="6" customFormat="1" ht="15.5" hidden="1" x14ac:dyDescent="0.35">
      <c r="A102" s="103"/>
      <c r="B102" s="12" t="s">
        <v>3</v>
      </c>
      <c r="C102" s="10" t="s">
        <v>278</v>
      </c>
      <c r="D102" s="152"/>
      <c r="E102" s="170"/>
      <c r="F102" s="95"/>
      <c r="G102" s="153" t="str">
        <f t="shared" si="8"/>
        <v/>
      </c>
      <c r="H102" s="10" t="s">
        <v>20</v>
      </c>
      <c r="I102" s="331">
        <v>20.95</v>
      </c>
      <c r="J102" s="12">
        <f>E102*I102</f>
        <v>0</v>
      </c>
    </row>
    <row r="103" spans="1:11" hidden="1" x14ac:dyDescent="0.35">
      <c r="A103" s="103"/>
      <c r="B103" s="12" t="s">
        <v>3</v>
      </c>
      <c r="C103" s="10" t="s">
        <v>279</v>
      </c>
      <c r="D103" s="152"/>
      <c r="E103" s="170"/>
      <c r="F103" s="95"/>
      <c r="G103" s="153" t="str">
        <f t="shared" si="8"/>
        <v/>
      </c>
      <c r="H103" s="10" t="s">
        <v>20</v>
      </c>
      <c r="I103" s="331">
        <v>19.95</v>
      </c>
      <c r="J103" s="12">
        <f>E103*I103</f>
        <v>0</v>
      </c>
      <c r="K103" s="13"/>
    </row>
    <row r="104" spans="1:11" hidden="1" x14ac:dyDescent="0.35">
      <c r="A104" s="103"/>
      <c r="B104" s="40" t="s">
        <v>3</v>
      </c>
      <c r="C104" s="41" t="s">
        <v>280</v>
      </c>
      <c r="D104" s="227"/>
      <c r="E104" s="170"/>
      <c r="F104" s="145"/>
      <c r="G104" s="153" t="str">
        <f t="shared" si="8"/>
        <v/>
      </c>
      <c r="H104" s="41" t="s">
        <v>20</v>
      </c>
      <c r="I104" s="334">
        <v>59.95</v>
      </c>
      <c r="J104" s="40">
        <f>E104*I104</f>
        <v>0</v>
      </c>
      <c r="K104" s="13"/>
    </row>
    <row r="105" spans="1:11" ht="15.65" hidden="1" customHeight="1" x14ac:dyDescent="0.35">
      <c r="A105" s="111"/>
      <c r="B105" s="126" t="s">
        <v>281</v>
      </c>
      <c r="C105" s="127"/>
      <c r="D105" s="226"/>
      <c r="E105" s="172"/>
      <c r="F105" s="144"/>
      <c r="G105" s="153" t="str">
        <f t="shared" si="8"/>
        <v/>
      </c>
      <c r="H105" s="127"/>
      <c r="I105" s="239"/>
      <c r="J105" s="128"/>
      <c r="K105" s="13"/>
    </row>
    <row r="106" spans="1:11" ht="14.5" hidden="1" customHeight="1" x14ac:dyDescent="0.35">
      <c r="A106" s="103"/>
      <c r="B106" s="12" t="s">
        <v>3</v>
      </c>
      <c r="C106" s="10" t="s">
        <v>282</v>
      </c>
      <c r="D106" s="152"/>
      <c r="E106" s="170"/>
      <c r="F106" s="95"/>
      <c r="G106" s="153" t="str">
        <f t="shared" si="8"/>
        <v/>
      </c>
      <c r="H106" s="10" t="s">
        <v>20</v>
      </c>
      <c r="I106" s="331">
        <v>54.95</v>
      </c>
      <c r="J106" s="12">
        <f>E106*I106</f>
        <v>0</v>
      </c>
      <c r="K106" s="13"/>
    </row>
    <row r="107" spans="1:11" ht="14.5" hidden="1" customHeight="1" x14ac:dyDescent="0.35">
      <c r="A107" s="103"/>
      <c r="B107" s="12" t="s">
        <v>3</v>
      </c>
      <c r="C107" s="10" t="s">
        <v>283</v>
      </c>
      <c r="D107" s="152"/>
      <c r="E107" s="170"/>
      <c r="F107" s="95"/>
      <c r="G107" s="153" t="str">
        <f t="shared" si="8"/>
        <v/>
      </c>
      <c r="H107" s="10" t="s">
        <v>20</v>
      </c>
      <c r="I107" s="331">
        <v>49.95</v>
      </c>
      <c r="J107" s="12">
        <f>E107*I107</f>
        <v>0</v>
      </c>
      <c r="K107" s="13"/>
    </row>
    <row r="108" spans="1:11" ht="14.5" hidden="1" customHeight="1" x14ac:dyDescent="0.35">
      <c r="A108" s="111"/>
      <c r="B108" s="126" t="s">
        <v>284</v>
      </c>
      <c r="C108" s="127"/>
      <c r="D108" s="226"/>
      <c r="E108" s="172"/>
      <c r="F108" s="144"/>
      <c r="G108" s="153" t="str">
        <f t="shared" si="8"/>
        <v/>
      </c>
      <c r="H108" s="127"/>
      <c r="I108" s="239"/>
      <c r="J108" s="128"/>
      <c r="K108" s="13"/>
    </row>
    <row r="109" spans="1:11" ht="14.5" hidden="1" customHeight="1" x14ac:dyDescent="0.35">
      <c r="A109" s="103"/>
      <c r="B109" s="12" t="s">
        <v>3</v>
      </c>
      <c r="C109" s="10" t="s">
        <v>285</v>
      </c>
      <c r="D109" s="152"/>
      <c r="E109" s="170"/>
      <c r="F109" s="95"/>
      <c r="G109" s="153" t="str">
        <f t="shared" si="8"/>
        <v/>
      </c>
      <c r="H109" s="10" t="s">
        <v>20</v>
      </c>
      <c r="I109" s="331">
        <v>41.5</v>
      </c>
      <c r="J109" s="12">
        <f t="shared" ref="J109:J114" si="9">E109*I109</f>
        <v>0</v>
      </c>
      <c r="K109" s="13"/>
    </row>
    <row r="110" spans="1:11" ht="15.65" hidden="1" customHeight="1" x14ac:dyDescent="0.35">
      <c r="A110" s="103"/>
      <c r="B110" s="12" t="s">
        <v>3</v>
      </c>
      <c r="C110" s="10" t="s">
        <v>286</v>
      </c>
      <c r="D110" s="152"/>
      <c r="E110" s="170"/>
      <c r="F110" s="95"/>
      <c r="G110" s="153" t="str">
        <f t="shared" si="8"/>
        <v/>
      </c>
      <c r="H110" s="10" t="s">
        <v>20</v>
      </c>
      <c r="I110" s="331">
        <v>36.200000000000003</v>
      </c>
      <c r="J110" s="12">
        <f t="shared" si="9"/>
        <v>0</v>
      </c>
      <c r="K110" s="13"/>
    </row>
    <row r="111" spans="1:11" hidden="1" x14ac:dyDescent="0.35">
      <c r="A111" s="103"/>
      <c r="B111" s="12" t="s">
        <v>3</v>
      </c>
      <c r="C111" s="10" t="s">
        <v>287</v>
      </c>
      <c r="D111" s="152"/>
      <c r="E111" s="170"/>
      <c r="F111" s="95"/>
      <c r="G111" s="153" t="str">
        <f t="shared" si="8"/>
        <v/>
      </c>
      <c r="H111" s="10" t="s">
        <v>20</v>
      </c>
      <c r="I111" s="331">
        <v>25.95</v>
      </c>
      <c r="J111" s="12">
        <f t="shared" si="9"/>
        <v>0</v>
      </c>
      <c r="K111" s="13"/>
    </row>
    <row r="112" spans="1:11" hidden="1" x14ac:dyDescent="0.35">
      <c r="A112" s="103"/>
      <c r="B112" s="12" t="s">
        <v>3</v>
      </c>
      <c r="C112" s="10" t="s">
        <v>288</v>
      </c>
      <c r="D112" s="152"/>
      <c r="E112" s="170"/>
      <c r="F112" s="95"/>
      <c r="G112" s="153" t="str">
        <f t="shared" si="8"/>
        <v/>
      </c>
      <c r="H112" s="10" t="s">
        <v>20</v>
      </c>
      <c r="I112" s="331">
        <v>32.799999999999997</v>
      </c>
      <c r="J112" s="12">
        <f t="shared" si="9"/>
        <v>0</v>
      </c>
      <c r="K112" s="13"/>
    </row>
    <row r="113" spans="1:11" s="6" customFormat="1" ht="15.5" hidden="1" x14ac:dyDescent="0.35">
      <c r="A113" s="103"/>
      <c r="B113" s="12" t="s">
        <v>3</v>
      </c>
      <c r="C113" s="10" t="s">
        <v>289</v>
      </c>
      <c r="D113" s="152"/>
      <c r="E113" s="170"/>
      <c r="F113" s="95"/>
      <c r="G113" s="153" t="str">
        <f t="shared" si="8"/>
        <v/>
      </c>
      <c r="H113" s="10" t="s">
        <v>20</v>
      </c>
      <c r="I113" s="331">
        <v>29.2</v>
      </c>
      <c r="J113" s="12">
        <f t="shared" si="9"/>
        <v>0</v>
      </c>
    </row>
    <row r="114" spans="1:11" hidden="1" x14ac:dyDescent="0.35">
      <c r="A114" s="103"/>
      <c r="B114" s="12" t="s">
        <v>3</v>
      </c>
      <c r="C114" s="10" t="s">
        <v>290</v>
      </c>
      <c r="D114" s="152"/>
      <c r="E114" s="170"/>
      <c r="F114" s="95"/>
      <c r="G114" s="153" t="str">
        <f t="shared" si="8"/>
        <v/>
      </c>
      <c r="H114" s="10" t="s">
        <v>20</v>
      </c>
      <c r="I114" s="331">
        <v>22.95</v>
      </c>
      <c r="J114" s="12">
        <f t="shared" si="9"/>
        <v>0</v>
      </c>
      <c r="K114" s="13"/>
    </row>
    <row r="115" spans="1:11" ht="15.5" hidden="1" x14ac:dyDescent="0.35">
      <c r="A115" s="111"/>
      <c r="B115" s="126" t="s">
        <v>291</v>
      </c>
      <c r="C115" s="127"/>
      <c r="D115" s="226"/>
      <c r="E115" s="172"/>
      <c r="F115" s="144"/>
      <c r="G115" s="153" t="str">
        <f t="shared" si="8"/>
        <v/>
      </c>
      <c r="H115" s="127"/>
      <c r="I115" s="239"/>
      <c r="J115" s="128"/>
      <c r="K115" s="13"/>
    </row>
    <row r="116" spans="1:11" ht="14.5" hidden="1" customHeight="1" x14ac:dyDescent="0.35">
      <c r="A116" s="103"/>
      <c r="B116" s="12" t="s">
        <v>3</v>
      </c>
      <c r="C116" s="10" t="s">
        <v>292</v>
      </c>
      <c r="D116" s="152"/>
      <c r="E116" s="170"/>
      <c r="F116" s="95"/>
      <c r="G116" s="153" t="str">
        <f t="shared" si="8"/>
        <v/>
      </c>
      <c r="H116" s="10" t="s">
        <v>20</v>
      </c>
      <c r="I116" s="331">
        <v>17.95</v>
      </c>
      <c r="J116" s="12">
        <f t="shared" ref="J116:J121" si="10">E116*I116</f>
        <v>0</v>
      </c>
      <c r="K116" s="13"/>
    </row>
    <row r="117" spans="1:11" ht="14.5" hidden="1" customHeight="1" x14ac:dyDescent="0.35">
      <c r="A117" s="103"/>
      <c r="B117" s="12" t="s">
        <v>3</v>
      </c>
      <c r="C117" s="10" t="s">
        <v>293</v>
      </c>
      <c r="D117" s="152"/>
      <c r="E117" s="170"/>
      <c r="F117" s="95"/>
      <c r="G117" s="153" t="str">
        <f t="shared" si="8"/>
        <v/>
      </c>
      <c r="H117" s="10" t="s">
        <v>20</v>
      </c>
      <c r="I117" s="331">
        <v>12.95</v>
      </c>
      <c r="J117" s="12">
        <f t="shared" si="10"/>
        <v>0</v>
      </c>
      <c r="K117" s="13"/>
    </row>
    <row r="118" spans="1:11" ht="14.5" hidden="1" customHeight="1" x14ac:dyDescent="0.35">
      <c r="A118" s="103"/>
      <c r="B118" s="12" t="s">
        <v>3</v>
      </c>
      <c r="C118" s="10" t="s">
        <v>294</v>
      </c>
      <c r="D118" s="152"/>
      <c r="E118" s="170"/>
      <c r="F118" s="95"/>
      <c r="G118" s="153" t="str">
        <f t="shared" si="8"/>
        <v/>
      </c>
      <c r="H118" s="10" t="s">
        <v>20</v>
      </c>
      <c r="I118" s="331">
        <v>21.95</v>
      </c>
      <c r="J118" s="12">
        <f t="shared" si="10"/>
        <v>0</v>
      </c>
      <c r="K118" s="13"/>
    </row>
    <row r="119" spans="1:11" ht="14.5" hidden="1" customHeight="1" x14ac:dyDescent="0.35">
      <c r="A119" s="103"/>
      <c r="B119" s="12" t="s">
        <v>3</v>
      </c>
      <c r="C119" s="10" t="s">
        <v>295</v>
      </c>
      <c r="D119" s="152"/>
      <c r="E119" s="170"/>
      <c r="F119" s="95"/>
      <c r="G119" s="153" t="str">
        <f t="shared" si="8"/>
        <v/>
      </c>
      <c r="H119" s="10" t="s">
        <v>20</v>
      </c>
      <c r="I119" s="331"/>
      <c r="J119" s="12">
        <f t="shared" si="10"/>
        <v>0</v>
      </c>
      <c r="K119" s="13"/>
    </row>
    <row r="120" spans="1:11" ht="15.65" hidden="1" customHeight="1" x14ac:dyDescent="0.35">
      <c r="A120" s="103"/>
      <c r="B120" s="12" t="s">
        <v>3</v>
      </c>
      <c r="C120" s="10" t="s">
        <v>296</v>
      </c>
      <c r="D120" s="152"/>
      <c r="E120" s="170"/>
      <c r="F120" s="95"/>
      <c r="G120" s="153" t="str">
        <f t="shared" si="8"/>
        <v/>
      </c>
      <c r="H120" s="10" t="s">
        <v>20</v>
      </c>
      <c r="I120" s="331"/>
      <c r="J120" s="12">
        <f t="shared" si="10"/>
        <v>0</v>
      </c>
      <c r="K120" s="13"/>
    </row>
    <row r="121" spans="1:11" ht="15.65" hidden="1" customHeight="1" x14ac:dyDescent="0.35">
      <c r="A121" s="103"/>
      <c r="B121" s="12" t="s">
        <v>3</v>
      </c>
      <c r="C121" s="10" t="s">
        <v>297</v>
      </c>
      <c r="D121" s="152"/>
      <c r="E121" s="170"/>
      <c r="F121" s="95"/>
      <c r="G121" s="153" t="str">
        <f t="shared" si="8"/>
        <v/>
      </c>
      <c r="H121" s="10" t="s">
        <v>20</v>
      </c>
      <c r="I121" s="331">
        <v>22.95</v>
      </c>
      <c r="J121" s="12">
        <f t="shared" si="10"/>
        <v>0</v>
      </c>
      <c r="K121" s="13"/>
    </row>
    <row r="122" spans="1:11" ht="14.5" hidden="1" customHeight="1" x14ac:dyDescent="0.35">
      <c r="A122" s="112" t="s">
        <v>298</v>
      </c>
      <c r="B122" s="116"/>
      <c r="C122" s="116"/>
      <c r="D122" s="228"/>
      <c r="E122" s="173"/>
      <c r="F122" s="146"/>
      <c r="G122" s="153" t="str">
        <f t="shared" si="8"/>
        <v/>
      </c>
      <c r="H122" s="117"/>
      <c r="I122" s="106" t="s">
        <v>18</v>
      </c>
      <c r="J122" s="115">
        <f>SUM(J123:J175)</f>
        <v>475.27000000000004</v>
      </c>
      <c r="K122" s="13"/>
    </row>
    <row r="123" spans="1:11" ht="14.5" hidden="1" customHeight="1" x14ac:dyDescent="0.35">
      <c r="A123" s="103"/>
      <c r="B123" s="20" t="s">
        <v>4</v>
      </c>
      <c r="C123" s="18" t="s">
        <v>62</v>
      </c>
      <c r="D123" s="229"/>
      <c r="E123" s="170"/>
      <c r="F123" s="147"/>
      <c r="G123" s="153" t="str">
        <f t="shared" si="8"/>
        <v/>
      </c>
      <c r="H123" s="18" t="s">
        <v>20</v>
      </c>
      <c r="I123" s="335">
        <v>7.35</v>
      </c>
      <c r="J123" s="20">
        <f>E123*I123</f>
        <v>0</v>
      </c>
      <c r="K123" s="13"/>
    </row>
    <row r="124" spans="1:11" ht="14.5" hidden="1" customHeight="1" x14ac:dyDescent="0.35">
      <c r="A124" s="103"/>
      <c r="B124" s="20" t="s">
        <v>4</v>
      </c>
      <c r="C124" s="18" t="s">
        <v>60</v>
      </c>
      <c r="D124" s="229"/>
      <c r="E124" s="170"/>
      <c r="F124" s="147"/>
      <c r="G124" s="153" t="str">
        <f t="shared" si="8"/>
        <v/>
      </c>
      <c r="H124" s="18" t="s">
        <v>20</v>
      </c>
      <c r="I124" s="335">
        <v>10.65</v>
      </c>
      <c r="J124" s="20">
        <f>E124*I124</f>
        <v>0</v>
      </c>
      <c r="K124" s="13"/>
    </row>
    <row r="125" spans="1:11" ht="15.65" hidden="1" customHeight="1" x14ac:dyDescent="0.35">
      <c r="A125" s="113" t="s">
        <v>40</v>
      </c>
      <c r="B125" s="124"/>
      <c r="C125" s="124"/>
      <c r="D125" s="230"/>
      <c r="E125" s="174"/>
      <c r="F125" s="148"/>
      <c r="G125" s="153" t="str">
        <f t="shared" si="8"/>
        <v/>
      </c>
      <c r="H125" s="124"/>
      <c r="I125" s="241"/>
      <c r="J125" s="125"/>
      <c r="K125" s="13"/>
    </row>
    <row r="126" spans="1:11" ht="15.65" hidden="1" customHeight="1" x14ac:dyDescent="0.35">
      <c r="A126" s="103"/>
      <c r="B126" s="20" t="s">
        <v>4</v>
      </c>
      <c r="C126" s="18" t="s">
        <v>299</v>
      </c>
      <c r="D126" s="229"/>
      <c r="E126" s="170"/>
      <c r="F126" s="147"/>
      <c r="G126" s="153" t="str">
        <f t="shared" si="8"/>
        <v/>
      </c>
      <c r="H126" s="18" t="s">
        <v>20</v>
      </c>
      <c r="I126" s="335">
        <v>1.31</v>
      </c>
      <c r="J126" s="12">
        <f t="shared" ref="J126:J137" si="11">E126*I126</f>
        <v>0</v>
      </c>
      <c r="K126" s="13"/>
    </row>
    <row r="127" spans="1:11" ht="14.5" hidden="1" customHeight="1" x14ac:dyDescent="0.35">
      <c r="A127" s="103"/>
      <c r="B127" s="12" t="s">
        <v>4</v>
      </c>
      <c r="C127" s="10" t="s">
        <v>300</v>
      </c>
      <c r="D127" s="152"/>
      <c r="E127" s="170"/>
      <c r="F127" s="95"/>
      <c r="G127" s="153" t="str">
        <f t="shared" si="8"/>
        <v/>
      </c>
      <c r="H127" s="10" t="s">
        <v>20</v>
      </c>
      <c r="I127" s="331">
        <v>1.31</v>
      </c>
      <c r="J127" s="12">
        <f t="shared" si="11"/>
        <v>0</v>
      </c>
    </row>
    <row r="128" spans="1:11" ht="14.5" hidden="1" customHeight="1" x14ac:dyDescent="0.35">
      <c r="A128" s="103"/>
      <c r="B128" s="20" t="s">
        <v>4</v>
      </c>
      <c r="C128" s="18" t="s">
        <v>301</v>
      </c>
      <c r="D128" s="229"/>
      <c r="E128" s="170"/>
      <c r="F128" s="147"/>
      <c r="G128" s="153" t="str">
        <f t="shared" si="8"/>
        <v/>
      </c>
      <c r="H128" s="18" t="s">
        <v>20</v>
      </c>
      <c r="I128" s="335">
        <v>1.4039999999999999</v>
      </c>
      <c r="J128" s="12">
        <f t="shared" si="11"/>
        <v>0</v>
      </c>
    </row>
    <row r="129" spans="1:11" ht="14.5" hidden="1" customHeight="1" x14ac:dyDescent="0.35">
      <c r="A129" s="103"/>
      <c r="B129" s="12" t="s">
        <v>4</v>
      </c>
      <c r="C129" s="10" t="s">
        <v>302</v>
      </c>
      <c r="D129" s="152"/>
      <c r="E129" s="170"/>
      <c r="F129" s="95"/>
      <c r="G129" s="153" t="str">
        <f t="shared" si="8"/>
        <v/>
      </c>
      <c r="H129" s="10" t="s">
        <v>20</v>
      </c>
      <c r="I129" s="331">
        <v>1.4039999999999999</v>
      </c>
      <c r="J129" s="12">
        <f t="shared" si="11"/>
        <v>0</v>
      </c>
    </row>
    <row r="130" spans="1:11" ht="14.5" hidden="1" customHeight="1" x14ac:dyDescent="0.35">
      <c r="A130" s="103"/>
      <c r="B130" s="12" t="s">
        <v>4</v>
      </c>
      <c r="C130" s="10" t="s">
        <v>303</v>
      </c>
      <c r="D130" s="152"/>
      <c r="E130" s="170"/>
      <c r="F130" s="95"/>
      <c r="G130" s="153" t="str">
        <f t="shared" si="8"/>
        <v/>
      </c>
      <c r="H130" s="10" t="s">
        <v>20</v>
      </c>
      <c r="I130" s="331">
        <v>1.53</v>
      </c>
      <c r="J130" s="12">
        <f t="shared" si="11"/>
        <v>0</v>
      </c>
    </row>
    <row r="131" spans="1:11" ht="14.5" hidden="1" customHeight="1" x14ac:dyDescent="0.35">
      <c r="A131" s="103"/>
      <c r="B131" s="12" t="s">
        <v>4</v>
      </c>
      <c r="C131" s="10" t="s">
        <v>304</v>
      </c>
      <c r="D131" s="152"/>
      <c r="E131" s="170"/>
      <c r="F131" s="95"/>
      <c r="G131" s="153" t="str">
        <f t="shared" si="8"/>
        <v/>
      </c>
      <c r="H131" s="10" t="s">
        <v>20</v>
      </c>
      <c r="I131" s="331">
        <v>1.65</v>
      </c>
      <c r="J131" s="12">
        <f t="shared" si="11"/>
        <v>0</v>
      </c>
    </row>
    <row r="132" spans="1:11" ht="14.5" hidden="1" customHeight="1" x14ac:dyDescent="0.35">
      <c r="A132" s="103"/>
      <c r="B132" s="12" t="s">
        <v>4</v>
      </c>
      <c r="C132" s="10" t="s">
        <v>83</v>
      </c>
      <c r="D132" s="152"/>
      <c r="E132" s="170"/>
      <c r="F132" s="95"/>
      <c r="G132" s="153" t="str">
        <f t="shared" si="8"/>
        <v/>
      </c>
      <c r="H132" s="10" t="s">
        <v>20</v>
      </c>
      <c r="I132" s="331">
        <v>1.04</v>
      </c>
      <c r="J132" s="12">
        <f t="shared" si="11"/>
        <v>0</v>
      </c>
    </row>
    <row r="133" spans="1:11" ht="14.5" hidden="1" customHeight="1" x14ac:dyDescent="0.35">
      <c r="A133" s="103"/>
      <c r="B133" s="12" t="s">
        <v>4</v>
      </c>
      <c r="C133" s="10" t="s">
        <v>305</v>
      </c>
      <c r="D133" s="152"/>
      <c r="E133" s="170"/>
      <c r="F133" s="95"/>
      <c r="G133" s="153" t="str">
        <f t="shared" si="8"/>
        <v/>
      </c>
      <c r="H133" s="10" t="s">
        <v>20</v>
      </c>
      <c r="I133" s="331">
        <v>1.04</v>
      </c>
      <c r="J133" s="12">
        <f t="shared" si="11"/>
        <v>0</v>
      </c>
    </row>
    <row r="134" spans="1:11" ht="14.5" hidden="1" customHeight="1" x14ac:dyDescent="0.35">
      <c r="A134" s="103"/>
      <c r="B134" s="12" t="s">
        <v>4</v>
      </c>
      <c r="C134" s="10" t="s">
        <v>306</v>
      </c>
      <c r="D134" s="152"/>
      <c r="E134" s="170"/>
      <c r="F134" s="95"/>
      <c r="G134" s="153" t="str">
        <f t="shared" si="8"/>
        <v/>
      </c>
      <c r="H134" s="10" t="s">
        <v>20</v>
      </c>
      <c r="I134" s="331">
        <v>1.06</v>
      </c>
      <c r="J134" s="12">
        <f t="shared" si="11"/>
        <v>0</v>
      </c>
    </row>
    <row r="135" spans="1:11" ht="14.5" hidden="1" customHeight="1" x14ac:dyDescent="0.35">
      <c r="A135" s="103"/>
      <c r="B135" s="12" t="s">
        <v>4</v>
      </c>
      <c r="C135" s="10" t="s">
        <v>307</v>
      </c>
      <c r="D135" s="152"/>
      <c r="E135" s="170"/>
      <c r="F135" s="95"/>
      <c r="G135" s="153" t="str">
        <f t="shared" si="8"/>
        <v/>
      </c>
      <c r="H135" s="10" t="s">
        <v>20</v>
      </c>
      <c r="I135" s="331">
        <v>1.06</v>
      </c>
      <c r="J135" s="12">
        <f t="shared" si="11"/>
        <v>0</v>
      </c>
    </row>
    <row r="136" spans="1:11" ht="14.5" hidden="1" customHeight="1" x14ac:dyDescent="0.35">
      <c r="A136" s="103"/>
      <c r="B136" s="12" t="s">
        <v>4</v>
      </c>
      <c r="C136" s="10" t="s">
        <v>308</v>
      </c>
      <c r="D136" s="152"/>
      <c r="E136" s="170"/>
      <c r="F136" s="95"/>
      <c r="G136" s="153" t="str">
        <f t="shared" si="8"/>
        <v/>
      </c>
      <c r="H136" s="10" t="s">
        <v>20</v>
      </c>
      <c r="I136" s="331">
        <v>1.2869999999999999</v>
      </c>
      <c r="J136" s="12">
        <f t="shared" si="11"/>
        <v>0</v>
      </c>
    </row>
    <row r="137" spans="1:11" ht="15.65" hidden="1" customHeight="1" x14ac:dyDescent="0.35">
      <c r="A137" s="103"/>
      <c r="B137" s="12" t="s">
        <v>4</v>
      </c>
      <c r="C137" s="10" t="s">
        <v>309</v>
      </c>
      <c r="D137" s="152"/>
      <c r="E137" s="170"/>
      <c r="F137" s="95"/>
      <c r="G137" s="153" t="str">
        <f t="shared" si="8"/>
        <v/>
      </c>
      <c r="H137" s="10" t="s">
        <v>20</v>
      </c>
      <c r="I137" s="331">
        <v>1.59</v>
      </c>
      <c r="J137" s="12">
        <f t="shared" si="11"/>
        <v>0</v>
      </c>
      <c r="K137" s="13"/>
    </row>
    <row r="138" spans="1:11" ht="15.65" hidden="1" customHeight="1" x14ac:dyDescent="0.35">
      <c r="A138" s="113" t="s">
        <v>310</v>
      </c>
      <c r="B138" s="124"/>
      <c r="C138" s="124"/>
      <c r="D138" s="230"/>
      <c r="E138" s="174"/>
      <c r="F138" s="148"/>
      <c r="G138" s="153" t="str">
        <f t="shared" si="8"/>
        <v/>
      </c>
      <c r="H138" s="124"/>
      <c r="I138" s="241"/>
      <c r="J138" s="125"/>
    </row>
    <row r="139" spans="1:11" ht="14.5" hidden="1" customHeight="1" x14ac:dyDescent="0.35">
      <c r="A139" s="103"/>
      <c r="B139" s="12" t="s">
        <v>4</v>
      </c>
      <c r="C139" s="10" t="s">
        <v>311</v>
      </c>
      <c r="D139" s="152"/>
      <c r="E139" s="170"/>
      <c r="F139" s="95"/>
      <c r="G139" s="153" t="str">
        <f t="shared" si="8"/>
        <v/>
      </c>
      <c r="H139" s="10" t="s">
        <v>20</v>
      </c>
      <c r="I139" s="331">
        <v>1.1000000000000001</v>
      </c>
      <c r="J139" s="12">
        <f t="shared" ref="J139:J149" si="12">E139*I139</f>
        <v>0</v>
      </c>
    </row>
    <row r="140" spans="1:11" ht="14.5" hidden="1" customHeight="1" x14ac:dyDescent="0.35">
      <c r="A140" s="103"/>
      <c r="B140" s="12" t="s">
        <v>4</v>
      </c>
      <c r="C140" s="10" t="s">
        <v>312</v>
      </c>
      <c r="D140" s="152"/>
      <c r="E140" s="170"/>
      <c r="F140" s="95"/>
      <c r="G140" s="153" t="str">
        <f t="shared" si="8"/>
        <v/>
      </c>
      <c r="H140" s="10" t="s">
        <v>20</v>
      </c>
      <c r="I140" s="331">
        <v>1.1000000000000001</v>
      </c>
      <c r="J140" s="12">
        <f t="shared" si="12"/>
        <v>0</v>
      </c>
    </row>
    <row r="141" spans="1:11" ht="14.5" hidden="1" customHeight="1" x14ac:dyDescent="0.35">
      <c r="A141" s="103"/>
      <c r="B141" s="12" t="s">
        <v>4</v>
      </c>
      <c r="C141" s="10" t="s">
        <v>313</v>
      </c>
      <c r="D141" s="152"/>
      <c r="E141" s="170"/>
      <c r="F141" s="95"/>
      <c r="G141" s="153" t="str">
        <f t="shared" si="8"/>
        <v/>
      </c>
      <c r="H141" s="10" t="s">
        <v>20</v>
      </c>
      <c r="I141" s="331">
        <v>1.3</v>
      </c>
      <c r="J141" s="12">
        <f t="shared" si="12"/>
        <v>0</v>
      </c>
    </row>
    <row r="142" spans="1:11" ht="14.5" hidden="1" customHeight="1" x14ac:dyDescent="0.35">
      <c r="A142" s="103"/>
      <c r="B142" s="12" t="s">
        <v>4</v>
      </c>
      <c r="C142" s="10" t="s">
        <v>314</v>
      </c>
      <c r="D142" s="152"/>
      <c r="E142" s="170"/>
      <c r="F142" s="95"/>
      <c r="G142" s="153" t="str">
        <f t="shared" si="8"/>
        <v/>
      </c>
      <c r="H142" s="10" t="s">
        <v>20</v>
      </c>
      <c r="I142" s="331">
        <v>1.36</v>
      </c>
      <c r="J142" s="12">
        <f t="shared" si="12"/>
        <v>0</v>
      </c>
    </row>
    <row r="143" spans="1:11" ht="14.5" hidden="1" customHeight="1" x14ac:dyDescent="0.35">
      <c r="A143" s="103"/>
      <c r="B143" s="12" t="s">
        <v>4</v>
      </c>
      <c r="C143" s="10" t="s">
        <v>315</v>
      </c>
      <c r="D143" s="152"/>
      <c r="E143" s="170"/>
      <c r="F143" s="95"/>
      <c r="G143" s="153" t="str">
        <f t="shared" si="8"/>
        <v/>
      </c>
      <c r="H143" s="10" t="s">
        <v>20</v>
      </c>
      <c r="I143" s="331">
        <v>1.3</v>
      </c>
      <c r="J143" s="12">
        <f t="shared" si="12"/>
        <v>0</v>
      </c>
    </row>
    <row r="144" spans="1:11" ht="15.65" hidden="1" customHeight="1" x14ac:dyDescent="0.35">
      <c r="A144" s="103"/>
      <c r="B144" s="12" t="s">
        <v>4</v>
      </c>
      <c r="C144" s="10" t="s">
        <v>316</v>
      </c>
      <c r="D144" s="152"/>
      <c r="E144" s="170"/>
      <c r="F144" s="95"/>
      <c r="G144" s="153" t="str">
        <f t="shared" si="8"/>
        <v/>
      </c>
      <c r="H144" s="10" t="s">
        <v>20</v>
      </c>
      <c r="I144" s="331">
        <v>1.35</v>
      </c>
      <c r="J144" s="12">
        <f t="shared" si="12"/>
        <v>0</v>
      </c>
      <c r="K144" s="13"/>
    </row>
    <row r="145" spans="1:11" ht="15.65" hidden="1" customHeight="1" x14ac:dyDescent="0.35">
      <c r="A145" s="103"/>
      <c r="B145" s="12" t="s">
        <v>4</v>
      </c>
      <c r="C145" s="10" t="s">
        <v>317</v>
      </c>
      <c r="D145" s="152"/>
      <c r="E145" s="170"/>
      <c r="F145" s="95"/>
      <c r="G145" s="153" t="str">
        <f t="shared" si="8"/>
        <v/>
      </c>
      <c r="H145" s="10" t="s">
        <v>20</v>
      </c>
      <c r="I145" s="331">
        <v>1.28</v>
      </c>
      <c r="J145" s="12">
        <f t="shared" si="12"/>
        <v>0</v>
      </c>
    </row>
    <row r="146" spans="1:11" ht="14.5" hidden="1" customHeight="1" x14ac:dyDescent="0.35">
      <c r="A146" s="103"/>
      <c r="B146" s="12" t="s">
        <v>4</v>
      </c>
      <c r="C146" s="10" t="s">
        <v>318</v>
      </c>
      <c r="D146" s="152"/>
      <c r="E146" s="170"/>
      <c r="F146" s="95"/>
      <c r="G146" s="153" t="str">
        <f t="shared" si="8"/>
        <v/>
      </c>
      <c r="H146" s="10" t="s">
        <v>20</v>
      </c>
      <c r="I146" s="331">
        <v>1.1000000000000001</v>
      </c>
      <c r="J146" s="12">
        <f t="shared" si="12"/>
        <v>0</v>
      </c>
    </row>
    <row r="147" spans="1:11" ht="14.5" hidden="1" customHeight="1" x14ac:dyDescent="0.35">
      <c r="A147" s="103"/>
      <c r="B147" s="12" t="s">
        <v>4</v>
      </c>
      <c r="C147" s="10" t="s">
        <v>319</v>
      </c>
      <c r="D147" s="152"/>
      <c r="E147" s="170"/>
      <c r="F147" s="95"/>
      <c r="G147" s="153" t="str">
        <f t="shared" si="8"/>
        <v/>
      </c>
      <c r="H147" s="10" t="s">
        <v>20</v>
      </c>
      <c r="I147" s="331">
        <v>1.1000000000000001</v>
      </c>
      <c r="J147" s="12">
        <f t="shared" si="12"/>
        <v>0</v>
      </c>
    </row>
    <row r="148" spans="1:11" ht="14.5" hidden="1" customHeight="1" x14ac:dyDescent="0.35">
      <c r="A148" s="103"/>
      <c r="B148" s="12" t="s">
        <v>4</v>
      </c>
      <c r="C148" s="10" t="s">
        <v>320</v>
      </c>
      <c r="D148" s="152"/>
      <c r="E148" s="170"/>
      <c r="F148" s="95"/>
      <c r="G148" s="153" t="str">
        <f t="shared" si="8"/>
        <v/>
      </c>
      <c r="H148" s="10" t="s">
        <v>20</v>
      </c>
      <c r="I148" s="331">
        <v>1.1000000000000001</v>
      </c>
      <c r="J148" s="12">
        <f t="shared" si="12"/>
        <v>0</v>
      </c>
    </row>
    <row r="149" spans="1:11" ht="14.5" hidden="1" customHeight="1" x14ac:dyDescent="0.35">
      <c r="A149" s="103"/>
      <c r="B149" s="12" t="s">
        <v>4</v>
      </c>
      <c r="C149" s="10" t="s">
        <v>321</v>
      </c>
      <c r="D149" s="152"/>
      <c r="E149" s="170"/>
      <c r="F149" s="95"/>
      <c r="G149" s="153" t="str">
        <f t="shared" si="8"/>
        <v/>
      </c>
      <c r="H149" s="10" t="s">
        <v>20</v>
      </c>
      <c r="I149" s="331">
        <v>1.1000000000000001</v>
      </c>
      <c r="J149" s="12">
        <f t="shared" si="12"/>
        <v>0</v>
      </c>
    </row>
    <row r="150" spans="1:11" ht="14.5" customHeight="1" x14ac:dyDescent="0.35">
      <c r="A150" s="113" t="s">
        <v>41</v>
      </c>
      <c r="B150" s="124"/>
      <c r="C150" s="124"/>
      <c r="D150" s="230"/>
      <c r="E150" s="174"/>
      <c r="F150" s="148"/>
      <c r="G150" s="165" t="str">
        <f t="shared" si="8"/>
        <v/>
      </c>
      <c r="H150" s="124"/>
      <c r="I150" s="241"/>
      <c r="J150" s="125"/>
    </row>
    <row r="151" spans="1:11" ht="14.5" customHeight="1" x14ac:dyDescent="0.35">
      <c r="A151" s="103"/>
      <c r="B151" s="12" t="s">
        <v>4</v>
      </c>
      <c r="C151" s="10" t="s">
        <v>24</v>
      </c>
      <c r="D151" s="152">
        <v>20</v>
      </c>
      <c r="E151" s="170">
        <v>17</v>
      </c>
      <c r="F151" s="95"/>
      <c r="G151" s="153">
        <f t="shared" si="8"/>
        <v>3</v>
      </c>
      <c r="H151" s="10" t="s">
        <v>20</v>
      </c>
      <c r="I151" s="331">
        <v>3.04</v>
      </c>
      <c r="J151" s="12">
        <f t="shared" ref="J151:J164" si="13">E151*I151</f>
        <v>51.68</v>
      </c>
      <c r="K151" s="13"/>
    </row>
    <row r="152" spans="1:11" ht="15.65" customHeight="1" x14ac:dyDescent="0.35">
      <c r="A152" s="103"/>
      <c r="B152" s="12" t="s">
        <v>4</v>
      </c>
      <c r="C152" s="10" t="s">
        <v>80</v>
      </c>
      <c r="D152" s="152">
        <v>40</v>
      </c>
      <c r="E152" s="170">
        <v>65</v>
      </c>
      <c r="F152" s="95"/>
      <c r="G152" s="153" t="str">
        <f t="shared" si="8"/>
        <v/>
      </c>
      <c r="H152" s="10" t="s">
        <v>20</v>
      </c>
      <c r="I152" s="331">
        <v>2.31</v>
      </c>
      <c r="J152" s="12">
        <f t="shared" si="13"/>
        <v>150.15</v>
      </c>
    </row>
    <row r="153" spans="1:11" ht="15.65" customHeight="1" x14ac:dyDescent="0.35">
      <c r="A153" s="103"/>
      <c r="B153" s="12" t="s">
        <v>4</v>
      </c>
      <c r="C153" s="10" t="s">
        <v>84</v>
      </c>
      <c r="D153" s="152">
        <v>20</v>
      </c>
      <c r="E153" s="170">
        <v>38</v>
      </c>
      <c r="F153" s="95"/>
      <c r="G153" s="153" t="str">
        <f t="shared" ref="G153:G223" si="14">IF(E153="","",IF(D153-E153&gt;0,D153-E153,""))</f>
        <v/>
      </c>
      <c r="H153" s="10" t="s">
        <v>20</v>
      </c>
      <c r="I153" s="331">
        <v>2.31</v>
      </c>
      <c r="J153" s="12">
        <f t="shared" si="13"/>
        <v>87.78</v>
      </c>
    </row>
    <row r="154" spans="1:11" ht="14.5" hidden="1" customHeight="1" x14ac:dyDescent="0.35">
      <c r="A154" s="103"/>
      <c r="B154" s="12" t="s">
        <v>4</v>
      </c>
      <c r="C154" s="10" t="s">
        <v>394</v>
      </c>
      <c r="D154" s="152"/>
      <c r="E154" s="170"/>
      <c r="F154" s="95"/>
      <c r="G154" s="153" t="str">
        <f t="shared" si="14"/>
        <v/>
      </c>
      <c r="H154" s="10" t="s">
        <v>20</v>
      </c>
      <c r="I154" s="331">
        <v>2.54</v>
      </c>
      <c r="J154" s="12">
        <f t="shared" si="13"/>
        <v>0</v>
      </c>
    </row>
    <row r="155" spans="1:11" ht="14.5" hidden="1" customHeight="1" x14ac:dyDescent="0.35">
      <c r="A155" s="103"/>
      <c r="B155" s="12" t="s">
        <v>4</v>
      </c>
      <c r="C155" s="10" t="s">
        <v>394</v>
      </c>
      <c r="D155" s="152"/>
      <c r="E155" s="170"/>
      <c r="F155" s="95"/>
      <c r="G155" s="153" t="str">
        <f t="shared" si="14"/>
        <v/>
      </c>
      <c r="H155" s="10" t="s">
        <v>20</v>
      </c>
      <c r="I155" s="331">
        <v>2.54</v>
      </c>
      <c r="J155" s="12">
        <f t="shared" si="13"/>
        <v>0</v>
      </c>
    </row>
    <row r="156" spans="1:11" ht="14.5" customHeight="1" x14ac:dyDescent="0.35">
      <c r="A156" s="103"/>
      <c r="B156" s="12" t="s">
        <v>4</v>
      </c>
      <c r="C156" s="10" t="s">
        <v>25</v>
      </c>
      <c r="D156" s="152">
        <v>20</v>
      </c>
      <c r="E156" s="170">
        <v>12</v>
      </c>
      <c r="F156" s="95"/>
      <c r="G156" s="153">
        <f t="shared" si="14"/>
        <v>8</v>
      </c>
      <c r="H156" s="10" t="s">
        <v>20</v>
      </c>
      <c r="I156" s="331">
        <v>1.79</v>
      </c>
      <c r="J156" s="12">
        <f t="shared" si="13"/>
        <v>21.48</v>
      </c>
      <c r="K156" s="13"/>
    </row>
    <row r="157" spans="1:11" ht="15.65" hidden="1" customHeight="1" x14ac:dyDescent="0.35">
      <c r="A157" s="103"/>
      <c r="B157" s="12" t="s">
        <v>4</v>
      </c>
      <c r="C157" s="10" t="s">
        <v>322</v>
      </c>
      <c r="D157" s="152"/>
      <c r="E157" s="170"/>
      <c r="F157" s="95"/>
      <c r="G157" s="153" t="str">
        <f t="shared" si="14"/>
        <v/>
      </c>
      <c r="H157" s="10" t="s">
        <v>20</v>
      </c>
      <c r="I157" s="331">
        <v>2.46</v>
      </c>
      <c r="J157" s="12">
        <f t="shared" si="13"/>
        <v>0</v>
      </c>
    </row>
    <row r="158" spans="1:11" ht="15.65" customHeight="1" x14ac:dyDescent="0.35">
      <c r="A158" s="103"/>
      <c r="B158" s="12" t="s">
        <v>4</v>
      </c>
      <c r="C158" s="10" t="s">
        <v>393</v>
      </c>
      <c r="D158" s="152">
        <v>40</v>
      </c>
      <c r="E158" s="170">
        <v>25</v>
      </c>
      <c r="F158" s="95"/>
      <c r="G158" s="153">
        <f t="shared" si="14"/>
        <v>15</v>
      </c>
      <c r="H158" s="10" t="s">
        <v>20</v>
      </c>
      <c r="I158" s="331">
        <v>2.46</v>
      </c>
      <c r="J158" s="12">
        <f t="shared" si="13"/>
        <v>61.5</v>
      </c>
    </row>
    <row r="159" spans="1:11" ht="14.5" hidden="1" customHeight="1" x14ac:dyDescent="0.35">
      <c r="A159" s="103"/>
      <c r="B159" s="12" t="s">
        <v>4</v>
      </c>
      <c r="C159" s="10" t="s">
        <v>43</v>
      </c>
      <c r="D159" s="152"/>
      <c r="E159" s="170"/>
      <c r="F159" s="95"/>
      <c r="G159" s="153" t="str">
        <f t="shared" si="14"/>
        <v/>
      </c>
      <c r="H159" s="10" t="s">
        <v>20</v>
      </c>
      <c r="I159" s="331">
        <v>2.5499999999999998</v>
      </c>
      <c r="J159" s="12">
        <f t="shared" si="13"/>
        <v>0</v>
      </c>
    </row>
    <row r="160" spans="1:11" ht="14.5" customHeight="1" x14ac:dyDescent="0.35">
      <c r="A160" s="103"/>
      <c r="B160" s="12" t="s">
        <v>4</v>
      </c>
      <c r="C160" s="10" t="s">
        <v>81</v>
      </c>
      <c r="D160" s="152">
        <v>40</v>
      </c>
      <c r="E160" s="170">
        <v>30</v>
      </c>
      <c r="F160" s="95"/>
      <c r="G160" s="153">
        <f t="shared" si="14"/>
        <v>10</v>
      </c>
      <c r="H160" s="10" t="s">
        <v>20</v>
      </c>
      <c r="I160" s="331">
        <v>1.51</v>
      </c>
      <c r="J160" s="12">
        <f t="shared" si="13"/>
        <v>45.3</v>
      </c>
      <c r="K160" s="13"/>
    </row>
    <row r="161" spans="1:11" ht="15.65" customHeight="1" x14ac:dyDescent="0.35">
      <c r="A161" s="103"/>
      <c r="B161" s="12" t="s">
        <v>4</v>
      </c>
      <c r="C161" s="10" t="s">
        <v>82</v>
      </c>
      <c r="D161" s="152">
        <v>40</v>
      </c>
      <c r="E161" s="170">
        <v>38</v>
      </c>
      <c r="F161" s="95"/>
      <c r="G161" s="153">
        <f t="shared" si="14"/>
        <v>2</v>
      </c>
      <c r="H161" s="10" t="s">
        <v>20</v>
      </c>
      <c r="I161" s="331">
        <v>1.51</v>
      </c>
      <c r="J161" s="12">
        <f t="shared" si="13"/>
        <v>57.38</v>
      </c>
    </row>
    <row r="162" spans="1:11" ht="15.65" hidden="1" customHeight="1" x14ac:dyDescent="0.35">
      <c r="A162" s="103"/>
      <c r="B162" s="12" t="s">
        <v>4</v>
      </c>
      <c r="C162" s="10" t="s">
        <v>323</v>
      </c>
      <c r="D162" s="152"/>
      <c r="E162" s="170"/>
      <c r="F162" s="95"/>
      <c r="G162" s="153" t="str">
        <f t="shared" si="14"/>
        <v/>
      </c>
      <c r="H162" s="10" t="s">
        <v>20</v>
      </c>
      <c r="I162" s="331">
        <v>1.54</v>
      </c>
      <c r="J162" s="12">
        <f t="shared" si="13"/>
        <v>0</v>
      </c>
    </row>
    <row r="163" spans="1:11" ht="14.5" hidden="1" customHeight="1" x14ac:dyDescent="0.35">
      <c r="A163" s="103"/>
      <c r="B163" s="12" t="s">
        <v>4</v>
      </c>
      <c r="C163" s="10" t="s">
        <v>324</v>
      </c>
      <c r="D163" s="152"/>
      <c r="E163" s="170"/>
      <c r="F163" s="95"/>
      <c r="G163" s="153" t="str">
        <f t="shared" si="14"/>
        <v/>
      </c>
      <c r="H163" s="10" t="s">
        <v>20</v>
      </c>
      <c r="I163" s="331">
        <v>1.6</v>
      </c>
      <c r="J163" s="12">
        <f t="shared" si="13"/>
        <v>0</v>
      </c>
    </row>
    <row r="164" spans="1:11" ht="14.5" hidden="1" customHeight="1" x14ac:dyDescent="0.35">
      <c r="A164" s="103"/>
      <c r="B164" s="12" t="s">
        <v>4</v>
      </c>
      <c r="C164" s="78" t="s">
        <v>325</v>
      </c>
      <c r="D164" s="224"/>
      <c r="E164" s="170"/>
      <c r="F164" s="142"/>
      <c r="G164" s="153" t="str">
        <f t="shared" si="14"/>
        <v/>
      </c>
      <c r="H164" s="10" t="s">
        <v>20</v>
      </c>
      <c r="I164" s="333">
        <v>49.95</v>
      </c>
      <c r="J164" s="12">
        <f t="shared" si="13"/>
        <v>0</v>
      </c>
    </row>
    <row r="165" spans="1:11" ht="14.5" customHeight="1" x14ac:dyDescent="0.35">
      <c r="A165" s="113" t="s">
        <v>44</v>
      </c>
      <c r="B165" s="124"/>
      <c r="C165" s="124"/>
      <c r="D165" s="230"/>
      <c r="E165" s="174"/>
      <c r="F165" s="148"/>
      <c r="G165" s="165" t="str">
        <f t="shared" si="14"/>
        <v/>
      </c>
      <c r="H165" s="124"/>
      <c r="I165" s="241"/>
      <c r="J165" s="125"/>
    </row>
    <row r="166" spans="1:11" ht="14.5" customHeight="1" x14ac:dyDescent="0.35">
      <c r="A166" s="103"/>
      <c r="B166" s="12" t="s">
        <v>4</v>
      </c>
      <c r="C166" s="10" t="s">
        <v>48</v>
      </c>
      <c r="D166" s="152"/>
      <c r="E166" s="170"/>
      <c r="F166" s="95"/>
      <c r="G166" s="153" t="str">
        <f t="shared" si="14"/>
        <v/>
      </c>
      <c r="H166" s="10" t="s">
        <v>20</v>
      </c>
      <c r="I166" s="331">
        <v>1.94</v>
      </c>
      <c r="J166" s="12">
        <f t="shared" ref="J166:J175" si="15">E166*I166</f>
        <v>0</v>
      </c>
    </row>
    <row r="167" spans="1:11" ht="14.5" customHeight="1" x14ac:dyDescent="0.35">
      <c r="A167" s="103"/>
      <c r="B167" s="12" t="s">
        <v>4</v>
      </c>
      <c r="C167" s="10" t="s">
        <v>49</v>
      </c>
      <c r="D167" s="152"/>
      <c r="E167" s="170"/>
      <c r="F167" s="95"/>
      <c r="G167" s="153" t="str">
        <f t="shared" si="14"/>
        <v/>
      </c>
      <c r="H167" s="10" t="s">
        <v>20</v>
      </c>
      <c r="I167" s="331">
        <v>1.94</v>
      </c>
      <c r="J167" s="12">
        <f t="shared" si="15"/>
        <v>0</v>
      </c>
    </row>
    <row r="168" spans="1:11" ht="14.5" hidden="1" customHeight="1" x14ac:dyDescent="0.35">
      <c r="A168" s="103"/>
      <c r="B168" s="12" t="s">
        <v>4</v>
      </c>
      <c r="C168" s="10" t="s">
        <v>50</v>
      </c>
      <c r="D168" s="152"/>
      <c r="E168" s="170"/>
      <c r="F168" s="95"/>
      <c r="G168" s="153" t="str">
        <f t="shared" si="14"/>
        <v/>
      </c>
      <c r="H168" s="10" t="s">
        <v>20</v>
      </c>
      <c r="I168" s="331">
        <v>1.94</v>
      </c>
      <c r="J168" s="12">
        <f t="shared" si="15"/>
        <v>0</v>
      </c>
    </row>
    <row r="169" spans="1:11" ht="14.5" hidden="1" customHeight="1" x14ac:dyDescent="0.35">
      <c r="A169" s="103"/>
      <c r="B169" s="12" t="s">
        <v>4</v>
      </c>
      <c r="C169" s="10" t="s">
        <v>415</v>
      </c>
      <c r="D169" s="152"/>
      <c r="E169" s="170"/>
      <c r="F169" s="95"/>
      <c r="G169" s="153" t="str">
        <f t="shared" si="14"/>
        <v/>
      </c>
      <c r="H169" s="10" t="s">
        <v>20</v>
      </c>
      <c r="I169" s="331">
        <v>1.98</v>
      </c>
      <c r="J169" s="12">
        <f t="shared" si="15"/>
        <v>0</v>
      </c>
    </row>
    <row r="170" spans="1:11" ht="14.5" hidden="1" customHeight="1" x14ac:dyDescent="0.35">
      <c r="A170" s="103"/>
      <c r="B170" s="12" t="s">
        <v>4</v>
      </c>
      <c r="C170" s="10" t="s">
        <v>414</v>
      </c>
      <c r="D170" s="152"/>
      <c r="E170" s="170"/>
      <c r="F170" s="95"/>
      <c r="G170" s="153" t="str">
        <f t="shared" si="14"/>
        <v/>
      </c>
      <c r="H170" s="10" t="s">
        <v>20</v>
      </c>
      <c r="I170" s="331">
        <v>1.98</v>
      </c>
      <c r="J170" s="12">
        <f t="shared" si="15"/>
        <v>0</v>
      </c>
    </row>
    <row r="171" spans="1:11" ht="14.5" hidden="1" customHeight="1" x14ac:dyDescent="0.35">
      <c r="A171" s="103"/>
      <c r="B171" s="12" t="s">
        <v>4</v>
      </c>
      <c r="C171" s="10" t="s">
        <v>328</v>
      </c>
      <c r="D171" s="152"/>
      <c r="E171" s="170"/>
      <c r="F171" s="95"/>
      <c r="G171" s="153" t="str">
        <f t="shared" si="14"/>
        <v/>
      </c>
      <c r="H171" s="10" t="s">
        <v>20</v>
      </c>
      <c r="I171" s="331">
        <v>1.98</v>
      </c>
      <c r="J171" s="12">
        <f t="shared" si="15"/>
        <v>0</v>
      </c>
    </row>
    <row r="172" spans="1:11" ht="14.5" hidden="1" customHeight="1" x14ac:dyDescent="0.35">
      <c r="A172" s="103"/>
      <c r="B172" s="12" t="s">
        <v>4</v>
      </c>
      <c r="C172" s="10" t="s">
        <v>329</v>
      </c>
      <c r="D172" s="152"/>
      <c r="E172" s="170"/>
      <c r="F172" s="95"/>
      <c r="G172" s="153" t="str">
        <f t="shared" si="14"/>
        <v/>
      </c>
      <c r="H172" s="10" t="s">
        <v>20</v>
      </c>
      <c r="I172" s="331">
        <v>1.98</v>
      </c>
      <c r="J172" s="12">
        <f t="shared" si="15"/>
        <v>0</v>
      </c>
    </row>
    <row r="173" spans="1:11" ht="14.5" hidden="1" customHeight="1" x14ac:dyDescent="0.35">
      <c r="A173" s="103"/>
      <c r="B173" s="40" t="s">
        <v>4</v>
      </c>
      <c r="C173" s="41" t="s">
        <v>330</v>
      </c>
      <c r="D173" s="227"/>
      <c r="E173" s="170"/>
      <c r="F173" s="145"/>
      <c r="G173" s="153" t="str">
        <f t="shared" si="14"/>
        <v/>
      </c>
      <c r="H173" s="10" t="s">
        <v>20</v>
      </c>
      <c r="I173" s="331">
        <v>1.98</v>
      </c>
      <c r="J173" s="12">
        <f t="shared" si="15"/>
        <v>0</v>
      </c>
    </row>
    <row r="174" spans="1:11" ht="14.5" hidden="1" customHeight="1" x14ac:dyDescent="0.35">
      <c r="A174" s="103"/>
      <c r="B174" s="40" t="s">
        <v>4</v>
      </c>
      <c r="C174" s="41" t="s">
        <v>331</v>
      </c>
      <c r="D174" s="227"/>
      <c r="E174" s="170"/>
      <c r="F174" s="145"/>
      <c r="G174" s="153" t="str">
        <f t="shared" si="14"/>
        <v/>
      </c>
      <c r="H174" s="10" t="s">
        <v>20</v>
      </c>
      <c r="I174" s="331">
        <v>1.98</v>
      </c>
      <c r="J174" s="12">
        <f t="shared" si="15"/>
        <v>0</v>
      </c>
    </row>
    <row r="175" spans="1:11" ht="14.5" hidden="1" customHeight="1" x14ac:dyDescent="0.35">
      <c r="A175" s="103"/>
      <c r="B175" s="40" t="s">
        <v>4</v>
      </c>
      <c r="C175" s="41" t="s">
        <v>413</v>
      </c>
      <c r="D175" s="227"/>
      <c r="E175" s="170"/>
      <c r="F175" s="145"/>
      <c r="G175" s="153" t="str">
        <f t="shared" si="14"/>
        <v/>
      </c>
      <c r="H175" s="41" t="s">
        <v>20</v>
      </c>
      <c r="I175" s="334">
        <v>1.98</v>
      </c>
      <c r="J175" s="12">
        <f t="shared" si="15"/>
        <v>0</v>
      </c>
    </row>
    <row r="176" spans="1:11" ht="14.5" customHeight="1" x14ac:dyDescent="0.35">
      <c r="A176" s="114" t="s">
        <v>333</v>
      </c>
      <c r="B176" s="120"/>
      <c r="C176" s="120"/>
      <c r="D176" s="228"/>
      <c r="E176" s="175"/>
      <c r="F176" s="149"/>
      <c r="G176" s="153" t="str">
        <f t="shared" si="14"/>
        <v/>
      </c>
      <c r="H176" s="121"/>
      <c r="I176" s="122" t="s">
        <v>18</v>
      </c>
      <c r="J176" s="123">
        <f>SUM(J177:J186)</f>
        <v>0</v>
      </c>
      <c r="K176" s="13"/>
    </row>
    <row r="177" spans="1:14" ht="15.65" customHeight="1" x14ac:dyDescent="0.35">
      <c r="A177" s="103"/>
      <c r="B177" s="12" t="s">
        <v>26</v>
      </c>
      <c r="C177" s="10" t="s">
        <v>334</v>
      </c>
      <c r="D177" s="152"/>
      <c r="E177" s="170"/>
      <c r="F177" s="95"/>
      <c r="G177" s="153" t="str">
        <f t="shared" si="14"/>
        <v/>
      </c>
      <c r="H177" s="10" t="s">
        <v>335</v>
      </c>
      <c r="I177" s="331">
        <v>20</v>
      </c>
      <c r="J177" s="12">
        <f t="shared" ref="J177:J186" si="16">E177*I177</f>
        <v>0</v>
      </c>
    </row>
    <row r="178" spans="1:14" x14ac:dyDescent="0.35">
      <c r="A178" s="103"/>
      <c r="B178" s="20" t="s">
        <v>26</v>
      </c>
      <c r="C178" s="18" t="s">
        <v>53</v>
      </c>
      <c r="D178" s="229"/>
      <c r="E178" s="170"/>
      <c r="F178" s="147"/>
      <c r="G178" s="153" t="str">
        <f t="shared" si="14"/>
        <v/>
      </c>
      <c r="H178" s="18" t="s">
        <v>20</v>
      </c>
      <c r="I178" s="335">
        <v>0.43</v>
      </c>
      <c r="J178" s="20">
        <f t="shared" si="16"/>
        <v>0</v>
      </c>
      <c r="N178" t="s">
        <v>47</v>
      </c>
    </row>
    <row r="179" spans="1:14" x14ac:dyDescent="0.35">
      <c r="A179" s="103"/>
      <c r="B179" s="20" t="s">
        <v>26</v>
      </c>
      <c r="C179" s="18" t="s">
        <v>336</v>
      </c>
      <c r="D179" s="229"/>
      <c r="E179" s="170"/>
      <c r="F179" s="147"/>
      <c r="G179" s="153" t="str">
        <f t="shared" si="14"/>
        <v/>
      </c>
      <c r="H179" s="18" t="s">
        <v>20</v>
      </c>
      <c r="I179" s="335">
        <v>0.43</v>
      </c>
      <c r="J179" s="20">
        <f t="shared" si="16"/>
        <v>0</v>
      </c>
    </row>
    <row r="180" spans="1:14" ht="16.399999999999999" customHeight="1" x14ac:dyDescent="0.35">
      <c r="A180" s="103"/>
      <c r="B180" s="12" t="s">
        <v>26</v>
      </c>
      <c r="C180" s="10" t="s">
        <v>337</v>
      </c>
      <c r="D180" s="152"/>
      <c r="E180" s="170"/>
      <c r="F180" s="95"/>
      <c r="G180" s="153" t="str">
        <f t="shared" si="14"/>
        <v/>
      </c>
      <c r="H180" s="10" t="s">
        <v>20</v>
      </c>
      <c r="I180" s="331">
        <v>0.43</v>
      </c>
      <c r="J180" s="12">
        <f t="shared" si="16"/>
        <v>0</v>
      </c>
    </row>
    <row r="181" spans="1:14" x14ac:dyDescent="0.35">
      <c r="A181" s="103"/>
      <c r="B181" s="12" t="s">
        <v>26</v>
      </c>
      <c r="C181" s="10" t="s">
        <v>51</v>
      </c>
      <c r="D181" s="152"/>
      <c r="E181" s="170"/>
      <c r="F181" s="95"/>
      <c r="G181" s="153" t="str">
        <f t="shared" si="14"/>
        <v/>
      </c>
      <c r="H181" s="10" t="s">
        <v>61</v>
      </c>
      <c r="I181" s="331">
        <v>14</v>
      </c>
      <c r="J181" s="12">
        <f t="shared" si="16"/>
        <v>0</v>
      </c>
    </row>
    <row r="182" spans="1:14" x14ac:dyDescent="0.35">
      <c r="A182" s="103"/>
      <c r="B182" s="12" t="s">
        <v>26</v>
      </c>
      <c r="C182" s="10" t="s">
        <v>338</v>
      </c>
      <c r="D182" s="152"/>
      <c r="E182" s="170"/>
      <c r="F182" s="95"/>
      <c r="G182" s="153" t="str">
        <f t="shared" si="14"/>
        <v/>
      </c>
      <c r="H182" s="10" t="s">
        <v>61</v>
      </c>
      <c r="I182" s="331">
        <v>14.78</v>
      </c>
      <c r="J182" s="12">
        <f t="shared" si="16"/>
        <v>0</v>
      </c>
    </row>
    <row r="183" spans="1:14" x14ac:dyDescent="0.35">
      <c r="A183" s="103"/>
      <c r="B183" s="12" t="s">
        <v>26</v>
      </c>
      <c r="C183" s="10" t="s">
        <v>339</v>
      </c>
      <c r="D183" s="152"/>
      <c r="E183" s="170"/>
      <c r="F183" s="95"/>
      <c r="G183" s="153" t="str">
        <f t="shared" si="14"/>
        <v/>
      </c>
      <c r="H183" s="10" t="s">
        <v>61</v>
      </c>
      <c r="I183" s="331">
        <v>14.78</v>
      </c>
      <c r="J183" s="12">
        <f t="shared" si="16"/>
        <v>0</v>
      </c>
    </row>
    <row r="184" spans="1:14" ht="14.5" customHeight="1" x14ac:dyDescent="0.35">
      <c r="A184" s="103"/>
      <c r="B184" s="12" t="s">
        <v>26</v>
      </c>
      <c r="C184" s="10" t="s">
        <v>340</v>
      </c>
      <c r="D184" s="152"/>
      <c r="E184" s="170"/>
      <c r="F184" s="95"/>
      <c r="G184" s="153" t="str">
        <f t="shared" si="14"/>
        <v/>
      </c>
      <c r="H184" s="10" t="s">
        <v>61</v>
      </c>
      <c r="I184" s="331">
        <v>14.78</v>
      </c>
      <c r="J184" s="12">
        <f t="shared" si="16"/>
        <v>0</v>
      </c>
    </row>
    <row r="185" spans="1:14" x14ac:dyDescent="0.35">
      <c r="A185" s="103"/>
      <c r="B185" s="12" t="s">
        <v>26</v>
      </c>
      <c r="C185" s="10" t="s">
        <v>341</v>
      </c>
      <c r="D185" s="152"/>
      <c r="E185" s="170"/>
      <c r="F185" s="95"/>
      <c r="G185" s="153" t="str">
        <f t="shared" si="14"/>
        <v/>
      </c>
      <c r="H185" s="10" t="s">
        <v>61</v>
      </c>
      <c r="I185" s="331">
        <v>14.78</v>
      </c>
      <c r="J185" s="12">
        <f t="shared" si="16"/>
        <v>0</v>
      </c>
    </row>
    <row r="186" spans="1:14" ht="14.5" customHeight="1" x14ac:dyDescent="0.35">
      <c r="A186" s="103"/>
      <c r="B186" s="12" t="s">
        <v>26</v>
      </c>
      <c r="C186" s="10" t="s">
        <v>342</v>
      </c>
      <c r="D186" s="152"/>
      <c r="E186" s="170"/>
      <c r="F186" s="95"/>
      <c r="G186" s="153" t="str">
        <f t="shared" si="14"/>
        <v/>
      </c>
      <c r="H186" s="10" t="s">
        <v>61</v>
      </c>
      <c r="I186" s="331">
        <v>14.78</v>
      </c>
      <c r="J186" s="10">
        <f t="shared" si="16"/>
        <v>0</v>
      </c>
    </row>
    <row r="187" spans="1:14" ht="15.5" x14ac:dyDescent="0.35">
      <c r="A187" s="108" t="s">
        <v>343</v>
      </c>
      <c r="B187" s="108"/>
      <c r="C187" s="108"/>
      <c r="D187" s="223"/>
      <c r="E187" s="169"/>
      <c r="F187" s="109"/>
      <c r="G187" s="165" t="str">
        <f t="shared" si="14"/>
        <v/>
      </c>
      <c r="H187" s="108"/>
      <c r="I187" s="106" t="s">
        <v>18</v>
      </c>
      <c r="J187" s="107">
        <f>SUM(J188:J192)</f>
        <v>96.6</v>
      </c>
    </row>
    <row r="188" spans="1:14" ht="14.5" hidden="1" customHeight="1" x14ac:dyDescent="0.35">
      <c r="A188" s="103"/>
      <c r="B188" s="7" t="s">
        <v>6</v>
      </c>
      <c r="C188" s="14" t="s">
        <v>344</v>
      </c>
      <c r="D188" s="152"/>
      <c r="E188" s="170"/>
      <c r="F188" s="95"/>
      <c r="G188" s="153" t="str">
        <f t="shared" si="14"/>
        <v/>
      </c>
      <c r="H188" s="14" t="s">
        <v>20</v>
      </c>
      <c r="I188" s="336">
        <v>0.79</v>
      </c>
      <c r="J188" s="7">
        <f>E188*I188</f>
        <v>0</v>
      </c>
    </row>
    <row r="189" spans="1:14" ht="15.65" customHeight="1" x14ac:dyDescent="0.35">
      <c r="A189" s="103"/>
      <c r="B189" s="7" t="s">
        <v>6</v>
      </c>
      <c r="C189" s="14" t="s">
        <v>345</v>
      </c>
      <c r="D189" s="152">
        <v>10</v>
      </c>
      <c r="E189" s="170">
        <v>35</v>
      </c>
      <c r="F189" s="95"/>
      <c r="G189" s="153" t="str">
        <f t="shared" si="14"/>
        <v/>
      </c>
      <c r="H189" s="14" t="s">
        <v>20</v>
      </c>
      <c r="I189" s="336">
        <v>2.76</v>
      </c>
      <c r="J189" s="7">
        <f>E189*I189</f>
        <v>96.6</v>
      </c>
    </row>
    <row r="190" spans="1:14" ht="14.5" customHeight="1" x14ac:dyDescent="0.35">
      <c r="A190" s="103"/>
      <c r="B190" s="7" t="s">
        <v>6</v>
      </c>
      <c r="C190" s="14" t="s">
        <v>346</v>
      </c>
      <c r="D190" s="152"/>
      <c r="E190" s="170"/>
      <c r="F190" s="95"/>
      <c r="G190" s="153" t="str">
        <f t="shared" si="14"/>
        <v/>
      </c>
      <c r="H190" s="14" t="s">
        <v>20</v>
      </c>
      <c r="I190" s="336">
        <v>1</v>
      </c>
      <c r="J190" s="7">
        <f>E190*I190</f>
        <v>0</v>
      </c>
    </row>
    <row r="191" spans="1:14" x14ac:dyDescent="0.35">
      <c r="A191" s="103"/>
      <c r="B191" s="7" t="s">
        <v>6</v>
      </c>
      <c r="C191" s="14" t="s">
        <v>34</v>
      </c>
      <c r="D191" s="152">
        <v>10</v>
      </c>
      <c r="E191" s="170"/>
      <c r="F191" s="95"/>
      <c r="G191" s="153" t="str">
        <f t="shared" si="14"/>
        <v/>
      </c>
      <c r="H191" s="14" t="s">
        <v>20</v>
      </c>
      <c r="I191" s="336">
        <v>1.8</v>
      </c>
      <c r="J191" s="7">
        <f>E191*I191</f>
        <v>0</v>
      </c>
    </row>
    <row r="192" spans="1:14" x14ac:dyDescent="0.35">
      <c r="A192" s="103"/>
      <c r="B192" s="7" t="s">
        <v>6</v>
      </c>
      <c r="C192" s="14" t="s">
        <v>35</v>
      </c>
      <c r="D192" s="152">
        <v>10</v>
      </c>
      <c r="E192" s="170"/>
      <c r="F192" s="95"/>
      <c r="G192" s="153" t="str">
        <f t="shared" si="14"/>
        <v/>
      </c>
      <c r="H192" s="14" t="s">
        <v>20</v>
      </c>
      <c r="I192" s="336">
        <v>1.8</v>
      </c>
      <c r="J192" s="7">
        <f>E192*I192</f>
        <v>0</v>
      </c>
    </row>
    <row r="193" spans="1:10" ht="15.5" hidden="1" x14ac:dyDescent="0.35">
      <c r="A193" s="112" t="s">
        <v>347</v>
      </c>
      <c r="B193" s="116"/>
      <c r="C193" s="116"/>
      <c r="D193" s="228"/>
      <c r="E193" s="173"/>
      <c r="F193" s="146"/>
      <c r="G193" s="165" t="str">
        <f t="shared" si="14"/>
        <v/>
      </c>
      <c r="H193" s="117"/>
      <c r="I193" s="118" t="s">
        <v>18</v>
      </c>
      <c r="J193" s="119">
        <f>SUM(J194)</f>
        <v>0</v>
      </c>
    </row>
    <row r="194" spans="1:10" hidden="1" x14ac:dyDescent="0.35">
      <c r="A194" s="103"/>
      <c r="B194" s="12" t="s">
        <v>5</v>
      </c>
      <c r="C194" s="10" t="s">
        <v>55</v>
      </c>
      <c r="D194" s="152"/>
      <c r="E194" s="170"/>
      <c r="F194" s="95"/>
      <c r="G194" s="153" t="str">
        <f t="shared" si="14"/>
        <v/>
      </c>
      <c r="H194" s="10" t="s">
        <v>20</v>
      </c>
      <c r="I194" s="331">
        <v>1.01</v>
      </c>
      <c r="J194" s="12">
        <f>E194*I194</f>
        <v>0</v>
      </c>
    </row>
    <row r="195" spans="1:10" ht="15.5" hidden="1" x14ac:dyDescent="0.35">
      <c r="A195" s="112" t="s">
        <v>348</v>
      </c>
      <c r="B195" s="116"/>
      <c r="C195" s="116"/>
      <c r="D195" s="228"/>
      <c r="E195" s="173"/>
      <c r="F195" s="146"/>
      <c r="G195" s="165" t="str">
        <f t="shared" si="14"/>
        <v/>
      </c>
      <c r="H195" s="117"/>
      <c r="I195" s="118" t="s">
        <v>18</v>
      </c>
      <c r="J195" s="119">
        <f>SUM(J196:J207)</f>
        <v>0</v>
      </c>
    </row>
    <row r="196" spans="1:10" hidden="1" x14ac:dyDescent="0.35">
      <c r="A196" s="103"/>
      <c r="B196" s="20" t="s">
        <v>8</v>
      </c>
      <c r="C196" s="18" t="s">
        <v>349</v>
      </c>
      <c r="D196" s="229"/>
      <c r="E196" s="170"/>
      <c r="F196" s="147"/>
      <c r="G196" s="153" t="str">
        <f t="shared" si="14"/>
        <v/>
      </c>
      <c r="H196" s="18" t="s">
        <v>27</v>
      </c>
      <c r="I196" s="337">
        <v>28.62</v>
      </c>
      <c r="J196" s="12">
        <f t="shared" ref="J196:J207" si="17">E196*I196</f>
        <v>0</v>
      </c>
    </row>
    <row r="197" spans="1:10" hidden="1" x14ac:dyDescent="0.35">
      <c r="A197" s="103"/>
      <c r="B197" s="12" t="s">
        <v>8</v>
      </c>
      <c r="C197" s="10" t="s">
        <v>350</v>
      </c>
      <c r="D197" s="152"/>
      <c r="E197" s="170"/>
      <c r="F197" s="95"/>
      <c r="G197" s="153" t="str">
        <f t="shared" si="14"/>
        <v/>
      </c>
      <c r="H197" s="10" t="s">
        <v>335</v>
      </c>
      <c r="I197" s="338">
        <v>30</v>
      </c>
      <c r="J197" s="12">
        <f t="shared" si="17"/>
        <v>0</v>
      </c>
    </row>
    <row r="198" spans="1:10" hidden="1" x14ac:dyDescent="0.35">
      <c r="A198" s="103"/>
      <c r="B198" s="12" t="s">
        <v>8</v>
      </c>
      <c r="C198" s="10" t="s">
        <v>351</v>
      </c>
      <c r="D198" s="152"/>
      <c r="E198" s="170"/>
      <c r="F198" s="95"/>
      <c r="G198" s="153" t="str">
        <f t="shared" si="14"/>
        <v/>
      </c>
      <c r="H198" s="10" t="s">
        <v>335</v>
      </c>
      <c r="I198" s="331">
        <v>1.1499999999999999</v>
      </c>
      <c r="J198" s="12">
        <f t="shared" si="17"/>
        <v>0</v>
      </c>
    </row>
    <row r="199" spans="1:10" hidden="1" x14ac:dyDescent="0.35">
      <c r="A199" s="103"/>
      <c r="B199" s="12" t="s">
        <v>8</v>
      </c>
      <c r="C199" s="10" t="s">
        <v>352</v>
      </c>
      <c r="D199" s="152"/>
      <c r="E199" s="170"/>
      <c r="F199" s="95"/>
      <c r="G199" s="153" t="str">
        <f t="shared" si="14"/>
        <v/>
      </c>
      <c r="H199" s="10" t="s">
        <v>27</v>
      </c>
      <c r="I199" s="331">
        <v>23.83</v>
      </c>
      <c r="J199" s="12">
        <f t="shared" si="17"/>
        <v>0</v>
      </c>
    </row>
    <row r="200" spans="1:10" hidden="1" x14ac:dyDescent="0.35">
      <c r="A200" s="103"/>
      <c r="B200" s="12" t="s">
        <v>8</v>
      </c>
      <c r="C200" s="10" t="s">
        <v>353</v>
      </c>
      <c r="D200" s="152"/>
      <c r="E200" s="170"/>
      <c r="F200" s="95"/>
      <c r="G200" s="153" t="str">
        <f t="shared" si="14"/>
        <v/>
      </c>
      <c r="H200" s="10" t="s">
        <v>27</v>
      </c>
      <c r="I200" s="331">
        <v>28.89</v>
      </c>
      <c r="J200" s="12">
        <f t="shared" si="17"/>
        <v>0</v>
      </c>
    </row>
    <row r="201" spans="1:10" hidden="1" x14ac:dyDescent="0.35">
      <c r="A201" s="103"/>
      <c r="B201" s="12" t="s">
        <v>8</v>
      </c>
      <c r="C201" s="10" t="s">
        <v>354</v>
      </c>
      <c r="D201" s="152"/>
      <c r="E201" s="170"/>
      <c r="F201" s="95"/>
      <c r="G201" s="153" t="str">
        <f>IF(E201="","",IF(D201-E201&gt;0,D201-E201,""))</f>
        <v/>
      </c>
      <c r="H201" s="10" t="s">
        <v>27</v>
      </c>
      <c r="I201" s="331">
        <v>19.37</v>
      </c>
      <c r="J201" s="12">
        <f>E201*I201</f>
        <v>0</v>
      </c>
    </row>
    <row r="202" spans="1:10" hidden="1" x14ac:dyDescent="0.35">
      <c r="A202" s="103"/>
      <c r="B202" s="12" t="s">
        <v>8</v>
      </c>
      <c r="C202" s="10" t="s">
        <v>429</v>
      </c>
      <c r="D202" s="152"/>
      <c r="E202" s="170"/>
      <c r="F202" s="95"/>
      <c r="G202" s="153"/>
      <c r="H202" s="10" t="s">
        <v>27</v>
      </c>
      <c r="I202" s="331">
        <v>14.07</v>
      </c>
      <c r="J202" s="12"/>
    </row>
    <row r="203" spans="1:10" hidden="1" x14ac:dyDescent="0.35">
      <c r="A203" s="103"/>
      <c r="B203" s="12" t="s">
        <v>8</v>
      </c>
      <c r="C203" s="10" t="s">
        <v>430</v>
      </c>
      <c r="D203" s="152"/>
      <c r="E203" s="170"/>
      <c r="F203" s="95"/>
      <c r="G203" s="153"/>
      <c r="H203" s="10" t="s">
        <v>27</v>
      </c>
      <c r="I203" s="331">
        <v>16.07</v>
      </c>
      <c r="J203" s="12"/>
    </row>
    <row r="204" spans="1:10" hidden="1" x14ac:dyDescent="0.35">
      <c r="A204" s="103"/>
      <c r="B204" s="12" t="s">
        <v>8</v>
      </c>
      <c r="C204" s="10" t="s">
        <v>431</v>
      </c>
      <c r="D204" s="152"/>
      <c r="G204" s="153"/>
      <c r="H204" s="10" t="s">
        <v>27</v>
      </c>
      <c r="I204" s="339">
        <v>14.62</v>
      </c>
      <c r="J204" s="12"/>
    </row>
    <row r="205" spans="1:10" hidden="1" x14ac:dyDescent="0.35">
      <c r="A205" s="103"/>
      <c r="B205" s="12" t="s">
        <v>8</v>
      </c>
      <c r="C205" s="10" t="s">
        <v>355</v>
      </c>
      <c r="D205" s="152"/>
      <c r="E205" s="170"/>
      <c r="F205" s="95"/>
      <c r="G205" s="153" t="str">
        <f t="shared" si="14"/>
        <v/>
      </c>
      <c r="H205" s="10" t="s">
        <v>61</v>
      </c>
      <c r="I205" s="331">
        <v>17.11</v>
      </c>
      <c r="J205" s="12">
        <f t="shared" si="17"/>
        <v>0</v>
      </c>
    </row>
    <row r="206" spans="1:10" hidden="1" x14ac:dyDescent="0.35">
      <c r="A206" s="103"/>
      <c r="B206" s="12" t="s">
        <v>8</v>
      </c>
      <c r="C206" s="10" t="s">
        <v>356</v>
      </c>
      <c r="D206" s="152"/>
      <c r="E206" s="170"/>
      <c r="F206" s="95"/>
      <c r="G206" s="153" t="str">
        <f t="shared" si="14"/>
        <v/>
      </c>
      <c r="H206" s="10" t="s">
        <v>61</v>
      </c>
      <c r="I206" s="331">
        <v>22.13</v>
      </c>
      <c r="J206" s="12">
        <f t="shared" si="17"/>
        <v>0</v>
      </c>
    </row>
    <row r="207" spans="1:10" hidden="1" x14ac:dyDescent="0.35">
      <c r="A207" s="103"/>
      <c r="B207" s="40" t="s">
        <v>8</v>
      </c>
      <c r="C207" s="41" t="s">
        <v>357</v>
      </c>
      <c r="D207" s="227"/>
      <c r="E207" s="170"/>
      <c r="F207" s="145"/>
      <c r="G207" s="153" t="str">
        <f t="shared" si="14"/>
        <v/>
      </c>
      <c r="H207" s="41" t="s">
        <v>61</v>
      </c>
      <c r="I207" s="334">
        <v>18.8</v>
      </c>
      <c r="J207" s="40">
        <f t="shared" si="17"/>
        <v>0</v>
      </c>
    </row>
    <row r="208" spans="1:10" ht="15.5" hidden="1" x14ac:dyDescent="0.35">
      <c r="A208" s="112" t="s">
        <v>358</v>
      </c>
      <c r="B208" s="116"/>
      <c r="C208" s="116"/>
      <c r="D208" s="228"/>
      <c r="E208" s="173"/>
      <c r="F208" s="146"/>
      <c r="G208" s="165" t="str">
        <f t="shared" si="14"/>
        <v/>
      </c>
      <c r="H208" s="117"/>
      <c r="I208" s="118" t="s">
        <v>18</v>
      </c>
      <c r="J208" s="119">
        <f>J209+J210+J211+J212+J213</f>
        <v>0</v>
      </c>
    </row>
    <row r="209" spans="1:10" hidden="1" x14ac:dyDescent="0.35">
      <c r="A209" s="103"/>
      <c r="B209" s="13" t="s">
        <v>11</v>
      </c>
      <c r="C209" s="298" t="s">
        <v>359</v>
      </c>
      <c r="D209" s="299"/>
      <c r="E209" s="300"/>
      <c r="F209" s="301"/>
      <c r="G209" s="302" t="str">
        <f t="shared" si="14"/>
        <v/>
      </c>
      <c r="H209" s="41" t="s">
        <v>52</v>
      </c>
      <c r="I209" s="334">
        <v>11.63</v>
      </c>
      <c r="J209" s="40">
        <f>E209*I209</f>
        <v>0</v>
      </c>
    </row>
    <row r="210" spans="1:10" hidden="1" x14ac:dyDescent="0.35">
      <c r="A210" s="103"/>
      <c r="B210" s="12" t="s">
        <v>11</v>
      </c>
      <c r="C210" s="10" t="s">
        <v>436</v>
      </c>
      <c r="D210" s="152"/>
      <c r="E210" s="170"/>
      <c r="F210" s="95"/>
      <c r="G210" s="153"/>
      <c r="H210" s="10" t="s">
        <v>52</v>
      </c>
      <c r="I210" s="331">
        <v>16.8</v>
      </c>
      <c r="J210" s="40">
        <f t="shared" ref="J210:J213" si="18">E210*I210</f>
        <v>0</v>
      </c>
    </row>
    <row r="211" spans="1:10" hidden="1" x14ac:dyDescent="0.35">
      <c r="A211" s="103"/>
      <c r="B211" s="12" t="s">
        <v>11</v>
      </c>
      <c r="C211" s="10" t="s">
        <v>437</v>
      </c>
      <c r="D211" s="152"/>
      <c r="E211" s="170"/>
      <c r="F211" s="95"/>
      <c r="G211" s="153"/>
      <c r="H211" s="10" t="s">
        <v>440</v>
      </c>
      <c r="I211" s="331">
        <v>9.35</v>
      </c>
      <c r="J211" s="40">
        <f>E211*I211</f>
        <v>0</v>
      </c>
    </row>
    <row r="212" spans="1:10" hidden="1" x14ac:dyDescent="0.35">
      <c r="A212" s="103"/>
      <c r="B212" s="12" t="s">
        <v>11</v>
      </c>
      <c r="C212" s="10" t="s">
        <v>438</v>
      </c>
      <c r="D212" s="152"/>
      <c r="E212" s="170"/>
      <c r="F212" s="95"/>
      <c r="G212" s="153"/>
      <c r="H212" s="10" t="s">
        <v>52</v>
      </c>
      <c r="I212" s="331">
        <v>87</v>
      </c>
      <c r="J212" s="40">
        <f t="shared" si="18"/>
        <v>0</v>
      </c>
    </row>
    <row r="213" spans="1:10" hidden="1" x14ac:dyDescent="0.35">
      <c r="A213" s="103"/>
      <c r="B213" s="12" t="s">
        <v>11</v>
      </c>
      <c r="C213" s="10" t="s">
        <v>439</v>
      </c>
      <c r="D213" s="152"/>
      <c r="E213" s="170"/>
      <c r="F213" s="95"/>
      <c r="G213" s="153"/>
      <c r="H213" s="10" t="s">
        <v>52</v>
      </c>
      <c r="I213" s="331">
        <v>55</v>
      </c>
      <c r="J213" s="40">
        <f t="shared" si="18"/>
        <v>0</v>
      </c>
    </row>
    <row r="214" spans="1:10" ht="15.5" hidden="1" x14ac:dyDescent="0.35">
      <c r="A214" s="108" t="s">
        <v>360</v>
      </c>
      <c r="B214" s="108"/>
      <c r="C214" s="108"/>
      <c r="D214" s="223"/>
      <c r="E214" s="169"/>
      <c r="F214" s="109"/>
      <c r="G214" s="310" t="str">
        <f t="shared" si="14"/>
        <v/>
      </c>
      <c r="H214" s="108"/>
      <c r="I214" s="106" t="s">
        <v>18</v>
      </c>
      <c r="J214" s="107">
        <f>SUM(J215:J216)</f>
        <v>0</v>
      </c>
    </row>
    <row r="215" spans="1:10" hidden="1" x14ac:dyDescent="0.35">
      <c r="A215" s="103"/>
      <c r="B215" s="12" t="s">
        <v>12</v>
      </c>
      <c r="C215" s="10" t="s">
        <v>70</v>
      </c>
      <c r="D215" s="152"/>
      <c r="E215" s="170"/>
      <c r="F215" s="95"/>
      <c r="G215" s="153" t="str">
        <f t="shared" si="14"/>
        <v/>
      </c>
      <c r="H215" s="10" t="s">
        <v>27</v>
      </c>
      <c r="I215" s="331">
        <v>20.7</v>
      </c>
      <c r="J215" s="12">
        <f>+E215*I215</f>
        <v>0</v>
      </c>
    </row>
    <row r="216" spans="1:10" hidden="1" x14ac:dyDescent="0.35">
      <c r="A216" s="103"/>
      <c r="B216" s="12" t="s">
        <v>12</v>
      </c>
      <c r="C216" s="10" t="s">
        <v>71</v>
      </c>
      <c r="D216" s="152"/>
      <c r="E216" s="170"/>
      <c r="F216" s="95"/>
      <c r="G216" s="153" t="str">
        <f t="shared" si="14"/>
        <v/>
      </c>
      <c r="H216" s="10" t="s">
        <v>27</v>
      </c>
      <c r="I216" s="331">
        <v>13.7</v>
      </c>
      <c r="J216" s="12">
        <f>+E216*I216</f>
        <v>0</v>
      </c>
    </row>
    <row r="217" spans="1:10" ht="15.5" hidden="1" x14ac:dyDescent="0.35">
      <c r="A217" s="108" t="s">
        <v>361</v>
      </c>
      <c r="B217" s="108"/>
      <c r="C217" s="108"/>
      <c r="D217" s="223"/>
      <c r="E217" s="169"/>
      <c r="F217" s="109"/>
      <c r="G217" s="153" t="str">
        <f t="shared" si="14"/>
        <v/>
      </c>
      <c r="H217" s="108"/>
      <c r="I217" s="106" t="s">
        <v>18</v>
      </c>
      <c r="J217" s="107">
        <f>SUM(J218:J221)</f>
        <v>0</v>
      </c>
    </row>
    <row r="218" spans="1:10" hidden="1" x14ac:dyDescent="0.35">
      <c r="A218" s="103"/>
      <c r="B218" s="12" t="s">
        <v>10</v>
      </c>
      <c r="C218" s="10" t="s">
        <v>362</v>
      </c>
      <c r="D218" s="152"/>
      <c r="E218" s="170"/>
      <c r="F218" s="95"/>
      <c r="G218" s="153" t="str">
        <f t="shared" si="14"/>
        <v/>
      </c>
      <c r="H218" s="10" t="s">
        <v>20</v>
      </c>
      <c r="I218" s="331">
        <v>11.08</v>
      </c>
      <c r="J218" s="12">
        <f>E218*I218</f>
        <v>0</v>
      </c>
    </row>
    <row r="219" spans="1:10" hidden="1" x14ac:dyDescent="0.35">
      <c r="A219" s="103"/>
      <c r="B219" s="12" t="s">
        <v>10</v>
      </c>
      <c r="C219" s="10" t="s">
        <v>363</v>
      </c>
      <c r="D219" s="152"/>
      <c r="E219" s="170"/>
      <c r="F219" s="95"/>
      <c r="G219" s="153" t="str">
        <f t="shared" si="14"/>
        <v/>
      </c>
      <c r="H219" s="10" t="s">
        <v>27</v>
      </c>
      <c r="I219" s="331">
        <v>16.21</v>
      </c>
      <c r="J219" s="12">
        <f>E219*I219</f>
        <v>0</v>
      </c>
    </row>
    <row r="220" spans="1:10" hidden="1" x14ac:dyDescent="0.35">
      <c r="A220" s="103"/>
      <c r="B220" s="12" t="s">
        <v>10</v>
      </c>
      <c r="C220" s="10" t="s">
        <v>364</v>
      </c>
      <c r="D220" s="152"/>
      <c r="E220" s="170"/>
      <c r="F220" s="95"/>
      <c r="G220" s="153" t="str">
        <f t="shared" si="14"/>
        <v/>
      </c>
      <c r="H220" s="10" t="s">
        <v>27</v>
      </c>
      <c r="I220" s="331">
        <v>19.350000000000001</v>
      </c>
      <c r="J220" s="12">
        <f>E220*I220</f>
        <v>0</v>
      </c>
    </row>
    <row r="221" spans="1:10" hidden="1" x14ac:dyDescent="0.35">
      <c r="A221" s="103"/>
      <c r="B221" s="12" t="s">
        <v>10</v>
      </c>
      <c r="C221" s="10" t="s">
        <v>365</v>
      </c>
      <c r="D221" s="152"/>
      <c r="E221" s="170"/>
      <c r="F221" s="95"/>
      <c r="G221" s="153" t="str">
        <f t="shared" si="14"/>
        <v/>
      </c>
      <c r="H221" s="10" t="s">
        <v>27</v>
      </c>
      <c r="I221" s="331">
        <v>19.809999999999999</v>
      </c>
      <c r="J221" s="12">
        <f>E221*I221</f>
        <v>0</v>
      </c>
    </row>
    <row r="222" spans="1:10" ht="15.5" hidden="1" x14ac:dyDescent="0.35">
      <c r="A222" s="108" t="s">
        <v>366</v>
      </c>
      <c r="B222" s="108"/>
      <c r="C222" s="108"/>
      <c r="D222" s="223"/>
      <c r="E222" s="169"/>
      <c r="F222" s="109"/>
      <c r="G222" s="165" t="str">
        <f t="shared" si="14"/>
        <v/>
      </c>
      <c r="H222" s="108"/>
      <c r="I222" s="106" t="s">
        <v>18</v>
      </c>
      <c r="J222" s="107">
        <f>J223</f>
        <v>0</v>
      </c>
    </row>
    <row r="223" spans="1:10" hidden="1" x14ac:dyDescent="0.35">
      <c r="A223" s="103"/>
      <c r="B223" s="12" t="s">
        <v>28</v>
      </c>
      <c r="C223" s="10" t="s">
        <v>29</v>
      </c>
      <c r="D223" s="152"/>
      <c r="E223" s="170"/>
      <c r="F223" s="150"/>
      <c r="G223" s="153" t="str">
        <f t="shared" si="14"/>
        <v/>
      </c>
      <c r="H223" s="10" t="s">
        <v>54</v>
      </c>
      <c r="I223" s="331">
        <v>104</v>
      </c>
      <c r="J223" s="12">
        <f>I223*E223</f>
        <v>0</v>
      </c>
    </row>
    <row r="224" spans="1:10" ht="15.5" x14ac:dyDescent="0.35">
      <c r="A224" s="108" t="s">
        <v>367</v>
      </c>
      <c r="B224" s="108"/>
      <c r="C224" s="108"/>
      <c r="D224" s="223"/>
      <c r="E224" s="169"/>
      <c r="F224" s="109"/>
      <c r="G224" s="165" t="str">
        <f t="shared" ref="G224:G257" si="19">IF(E224="","",IF(D224-E224&gt;0,D224-E224,""))</f>
        <v/>
      </c>
      <c r="H224" s="108"/>
      <c r="I224" s="106" t="s">
        <v>18</v>
      </c>
      <c r="J224" s="115">
        <f>SUM(J225:J244)</f>
        <v>0</v>
      </c>
    </row>
    <row r="225" spans="1:10" x14ac:dyDescent="0.35">
      <c r="A225" s="103"/>
      <c r="B225" s="12" t="s">
        <v>9</v>
      </c>
      <c r="C225" s="10" t="s">
        <v>423</v>
      </c>
      <c r="D225" s="152"/>
      <c r="E225" s="170"/>
      <c r="F225" s="95"/>
      <c r="G225" s="153" t="str">
        <f t="shared" si="19"/>
        <v/>
      </c>
      <c r="H225" s="10" t="s">
        <v>20</v>
      </c>
      <c r="I225" s="331">
        <v>78</v>
      </c>
      <c r="J225" s="50">
        <f t="shared" ref="J225:J244" si="20">E225*I225</f>
        <v>0</v>
      </c>
    </row>
    <row r="226" spans="1:10" x14ac:dyDescent="0.35">
      <c r="A226" s="103"/>
      <c r="B226" s="12" t="s">
        <v>9</v>
      </c>
      <c r="C226" s="10" t="s">
        <v>424</v>
      </c>
      <c r="D226" s="152"/>
      <c r="E226" s="170"/>
      <c r="F226" s="95"/>
      <c r="G226" s="153" t="str">
        <f t="shared" si="19"/>
        <v/>
      </c>
      <c r="H226" s="10" t="s">
        <v>61</v>
      </c>
      <c r="I226" s="340">
        <v>107.12</v>
      </c>
      <c r="J226" s="50">
        <f t="shared" si="20"/>
        <v>0</v>
      </c>
    </row>
    <row r="227" spans="1:10" x14ac:dyDescent="0.35">
      <c r="A227" s="103"/>
      <c r="B227" s="12" t="s">
        <v>9</v>
      </c>
      <c r="C227" s="10" t="s">
        <v>369</v>
      </c>
      <c r="D227" s="152"/>
      <c r="E227" s="170"/>
      <c r="F227" s="95"/>
      <c r="G227" s="153" t="str">
        <f t="shared" si="19"/>
        <v/>
      </c>
      <c r="H227" s="10" t="s">
        <v>20</v>
      </c>
      <c r="I227" s="331">
        <v>0.04</v>
      </c>
      <c r="J227" s="50">
        <f t="shared" si="20"/>
        <v>0</v>
      </c>
    </row>
    <row r="228" spans="1:10" x14ac:dyDescent="0.35">
      <c r="A228" s="103"/>
      <c r="B228" s="12" t="s">
        <v>9</v>
      </c>
      <c r="C228" s="10" t="s">
        <v>370</v>
      </c>
      <c r="D228" s="152"/>
      <c r="E228" s="170"/>
      <c r="F228" s="95"/>
      <c r="G228" s="153" t="str">
        <f t="shared" si="19"/>
        <v/>
      </c>
      <c r="H228" s="10" t="s">
        <v>20</v>
      </c>
      <c r="I228" s="331">
        <v>7.0999999999999994E-2</v>
      </c>
      <c r="J228" s="50">
        <f t="shared" si="20"/>
        <v>0</v>
      </c>
    </row>
    <row r="229" spans="1:10" hidden="1" x14ac:dyDescent="0.35">
      <c r="A229" s="103"/>
      <c r="B229" s="12" t="s">
        <v>9</v>
      </c>
      <c r="C229" s="10" t="s">
        <v>411</v>
      </c>
      <c r="D229" s="152"/>
      <c r="E229" s="170"/>
      <c r="F229" s="95"/>
      <c r="G229" s="153"/>
      <c r="H229" s="10" t="s">
        <v>20</v>
      </c>
      <c r="I229" s="331">
        <v>1.97</v>
      </c>
      <c r="J229" s="50"/>
    </row>
    <row r="230" spans="1:10" hidden="1" x14ac:dyDescent="0.35">
      <c r="A230" s="103"/>
      <c r="B230" s="12" t="s">
        <v>9</v>
      </c>
      <c r="C230" s="10" t="s">
        <v>371</v>
      </c>
      <c r="D230" s="152"/>
      <c r="E230" s="170"/>
      <c r="F230" s="95"/>
      <c r="G230" s="153" t="str">
        <f t="shared" si="19"/>
        <v/>
      </c>
      <c r="H230" s="10" t="s">
        <v>61</v>
      </c>
      <c r="I230" s="331">
        <v>163.80000000000001</v>
      </c>
      <c r="J230" s="50">
        <f t="shared" si="20"/>
        <v>0</v>
      </c>
    </row>
    <row r="231" spans="1:10" hidden="1" x14ac:dyDescent="0.35">
      <c r="A231" s="103"/>
      <c r="B231" s="12" t="s">
        <v>9</v>
      </c>
      <c r="C231" s="10" t="s">
        <v>410</v>
      </c>
      <c r="D231" s="152"/>
      <c r="E231" s="170"/>
      <c r="F231" s="151"/>
      <c r="G231" s="153" t="str">
        <f t="shared" si="19"/>
        <v/>
      </c>
      <c r="H231" s="10" t="s">
        <v>61</v>
      </c>
      <c r="I231" s="331">
        <v>49.33</v>
      </c>
      <c r="J231" s="50">
        <f t="shared" si="20"/>
        <v>0</v>
      </c>
    </row>
    <row r="232" spans="1:10" hidden="1" x14ac:dyDescent="0.35">
      <c r="A232" s="103"/>
      <c r="B232" s="12" t="s">
        <v>9</v>
      </c>
      <c r="C232" s="10" t="s">
        <v>373</v>
      </c>
      <c r="D232" s="152"/>
      <c r="E232" s="170"/>
      <c r="F232" s="151"/>
      <c r="G232" s="153" t="str">
        <f t="shared" si="19"/>
        <v/>
      </c>
      <c r="H232" s="10" t="s">
        <v>61</v>
      </c>
      <c r="I232" s="331">
        <v>105.6</v>
      </c>
      <c r="J232" s="50">
        <f t="shared" si="20"/>
        <v>0</v>
      </c>
    </row>
    <row r="233" spans="1:10" hidden="1" x14ac:dyDescent="0.35">
      <c r="A233" s="103"/>
      <c r="B233" s="12" t="s">
        <v>9</v>
      </c>
      <c r="C233" s="10" t="s">
        <v>374</v>
      </c>
      <c r="D233" s="152"/>
      <c r="E233" s="170"/>
      <c r="F233" s="151"/>
      <c r="G233" s="153" t="str">
        <f t="shared" si="19"/>
        <v/>
      </c>
      <c r="H233" s="10" t="s">
        <v>61</v>
      </c>
      <c r="I233" s="331">
        <v>114.75</v>
      </c>
      <c r="J233" s="50">
        <f t="shared" si="20"/>
        <v>0</v>
      </c>
    </row>
    <row r="234" spans="1:10" hidden="1" x14ac:dyDescent="0.35">
      <c r="A234" s="103"/>
      <c r="B234" s="12" t="s">
        <v>9</v>
      </c>
      <c r="C234" s="10" t="s">
        <v>375</v>
      </c>
      <c r="D234" s="152"/>
      <c r="E234" s="170"/>
      <c r="F234" s="95"/>
      <c r="G234" s="153" t="str">
        <f t="shared" si="19"/>
        <v/>
      </c>
      <c r="H234" s="10" t="s">
        <v>61</v>
      </c>
      <c r="I234" s="331">
        <v>105.55</v>
      </c>
      <c r="J234" s="50">
        <f t="shared" si="20"/>
        <v>0</v>
      </c>
    </row>
    <row r="235" spans="1:10" hidden="1" x14ac:dyDescent="0.35">
      <c r="A235" s="103"/>
      <c r="B235" s="12" t="s">
        <v>9</v>
      </c>
      <c r="C235" s="10" t="s">
        <v>376</v>
      </c>
      <c r="D235" s="152"/>
      <c r="E235" s="170"/>
      <c r="F235" s="95"/>
      <c r="G235" s="153" t="str">
        <f t="shared" si="19"/>
        <v/>
      </c>
      <c r="H235" s="10" t="s">
        <v>61</v>
      </c>
      <c r="I235" s="331">
        <v>33.25</v>
      </c>
      <c r="J235" s="50">
        <f t="shared" si="20"/>
        <v>0</v>
      </c>
    </row>
    <row r="236" spans="1:10" hidden="1" x14ac:dyDescent="0.35">
      <c r="A236" s="103"/>
      <c r="B236" s="12" t="s">
        <v>9</v>
      </c>
      <c r="C236" s="10" t="s">
        <v>377</v>
      </c>
      <c r="D236" s="152"/>
      <c r="E236" s="170"/>
      <c r="F236" s="95"/>
      <c r="G236" s="153" t="str">
        <f t="shared" si="19"/>
        <v/>
      </c>
      <c r="H236" s="10" t="s">
        <v>20</v>
      </c>
      <c r="I236" s="331">
        <v>0.28999999999999998</v>
      </c>
      <c r="J236" s="50">
        <f t="shared" si="20"/>
        <v>0</v>
      </c>
    </row>
    <row r="237" spans="1:10" hidden="1" x14ac:dyDescent="0.35">
      <c r="A237" s="103"/>
      <c r="B237" s="12" t="s">
        <v>9</v>
      </c>
      <c r="C237" s="10" t="s">
        <v>378</v>
      </c>
      <c r="D237" s="152"/>
      <c r="E237" s="170"/>
      <c r="F237" s="95"/>
      <c r="G237" s="153" t="str">
        <f t="shared" si="19"/>
        <v/>
      </c>
      <c r="H237" s="10" t="s">
        <v>61</v>
      </c>
      <c r="I237" s="336">
        <v>37.85</v>
      </c>
      <c r="J237" s="50">
        <f t="shared" si="20"/>
        <v>0</v>
      </c>
    </row>
    <row r="238" spans="1:10" x14ac:dyDescent="0.35">
      <c r="A238" s="103"/>
      <c r="B238" s="12" t="s">
        <v>9</v>
      </c>
      <c r="C238" s="10" t="s">
        <v>425</v>
      </c>
      <c r="D238" s="152">
        <v>1</v>
      </c>
      <c r="E238" s="170"/>
      <c r="F238" s="95"/>
      <c r="G238" s="153" t="str">
        <f t="shared" si="19"/>
        <v/>
      </c>
      <c r="H238" s="10" t="s">
        <v>61</v>
      </c>
      <c r="I238" s="336">
        <v>111.47</v>
      </c>
      <c r="J238" s="50">
        <f t="shared" si="20"/>
        <v>0</v>
      </c>
    </row>
    <row r="239" spans="1:10" hidden="1" x14ac:dyDescent="0.35">
      <c r="A239" s="103"/>
      <c r="B239" s="12" t="s">
        <v>9</v>
      </c>
      <c r="C239" s="10" t="s">
        <v>379</v>
      </c>
      <c r="D239" s="152"/>
      <c r="E239" s="170"/>
      <c r="F239" s="95"/>
      <c r="G239" s="153" t="str">
        <f t="shared" si="19"/>
        <v/>
      </c>
      <c r="H239" s="10" t="s">
        <v>61</v>
      </c>
      <c r="I239" s="336">
        <v>174.97</v>
      </c>
      <c r="J239" s="50">
        <f t="shared" si="20"/>
        <v>0</v>
      </c>
    </row>
    <row r="240" spans="1:10" hidden="1" x14ac:dyDescent="0.35">
      <c r="A240" s="103"/>
      <c r="B240" s="12" t="s">
        <v>9</v>
      </c>
      <c r="C240" s="10" t="s">
        <v>380</v>
      </c>
      <c r="D240" s="152"/>
      <c r="E240" s="170"/>
      <c r="F240" s="95"/>
      <c r="G240" s="153" t="str">
        <f t="shared" si="19"/>
        <v/>
      </c>
      <c r="H240" s="10" t="s">
        <v>61</v>
      </c>
      <c r="I240" s="336">
        <v>44.93</v>
      </c>
      <c r="J240" s="50">
        <f t="shared" si="20"/>
        <v>0</v>
      </c>
    </row>
    <row r="241" spans="1:10" hidden="1" x14ac:dyDescent="0.35">
      <c r="A241" s="103"/>
      <c r="B241" s="12" t="s">
        <v>9</v>
      </c>
      <c r="C241" s="10" t="s">
        <v>426</v>
      </c>
      <c r="D241" s="152"/>
      <c r="E241" s="170"/>
      <c r="F241" s="95"/>
      <c r="G241" s="153" t="str">
        <f t="shared" si="19"/>
        <v/>
      </c>
      <c r="H241" s="10" t="s">
        <v>20</v>
      </c>
      <c r="I241" s="336">
        <v>29.2</v>
      </c>
      <c r="J241" s="50">
        <f t="shared" si="20"/>
        <v>0</v>
      </c>
    </row>
    <row r="242" spans="1:10" hidden="1" x14ac:dyDescent="0.35">
      <c r="A242" s="103"/>
      <c r="B242" s="12" t="s">
        <v>9</v>
      </c>
      <c r="C242" s="10" t="s">
        <v>427</v>
      </c>
      <c r="D242" s="152"/>
      <c r="E242" s="170"/>
      <c r="F242" s="95"/>
      <c r="G242" s="153" t="str">
        <f t="shared" si="19"/>
        <v/>
      </c>
      <c r="H242" s="10" t="s">
        <v>20</v>
      </c>
      <c r="I242" s="336">
        <v>19.03</v>
      </c>
      <c r="J242" s="50">
        <f t="shared" si="20"/>
        <v>0</v>
      </c>
    </row>
    <row r="243" spans="1:10" hidden="1" x14ac:dyDescent="0.35">
      <c r="A243" s="103"/>
      <c r="B243" s="12" t="s">
        <v>9</v>
      </c>
      <c r="C243" s="10" t="s">
        <v>428</v>
      </c>
      <c r="D243" s="152"/>
      <c r="E243" s="170"/>
      <c r="F243" s="95"/>
      <c r="G243" s="153" t="str">
        <f t="shared" si="19"/>
        <v/>
      </c>
      <c r="H243" s="10" t="s">
        <v>20</v>
      </c>
      <c r="I243" s="336">
        <v>8.4600000000000009</v>
      </c>
      <c r="J243" s="50">
        <f t="shared" si="20"/>
        <v>0</v>
      </c>
    </row>
    <row r="244" spans="1:10" hidden="1" x14ac:dyDescent="0.35">
      <c r="A244" s="103"/>
      <c r="B244" s="12" t="s">
        <v>9</v>
      </c>
      <c r="C244" s="10" t="s">
        <v>381</v>
      </c>
      <c r="D244" s="152"/>
      <c r="E244" s="170"/>
      <c r="F244" s="95"/>
      <c r="G244" s="153" t="str">
        <f t="shared" si="19"/>
        <v/>
      </c>
      <c r="H244" s="10" t="s">
        <v>20</v>
      </c>
      <c r="I244" s="336">
        <v>0.02</v>
      </c>
      <c r="J244" s="50">
        <f t="shared" si="20"/>
        <v>0</v>
      </c>
    </row>
    <row r="245" spans="1:10" ht="15.5" x14ac:dyDescent="0.35">
      <c r="A245" s="108" t="s">
        <v>382</v>
      </c>
      <c r="B245" s="108"/>
      <c r="C245" s="108"/>
      <c r="D245" s="223"/>
      <c r="E245" s="169"/>
      <c r="F245" s="109"/>
      <c r="G245" s="165" t="str">
        <f t="shared" si="19"/>
        <v/>
      </c>
      <c r="H245" s="108"/>
      <c r="I245" s="106" t="s">
        <v>18</v>
      </c>
      <c r="J245" s="107">
        <f>SUM(J246:J256)</f>
        <v>11.75</v>
      </c>
    </row>
    <row r="246" spans="1:10" x14ac:dyDescent="0.35">
      <c r="A246" s="103"/>
      <c r="B246" s="12" t="s">
        <v>31</v>
      </c>
      <c r="C246" s="10" t="s">
        <v>383</v>
      </c>
      <c r="D246" s="152"/>
      <c r="E246" s="170"/>
      <c r="F246" s="95"/>
      <c r="G246" s="153" t="str">
        <f t="shared" si="19"/>
        <v/>
      </c>
      <c r="H246" s="10" t="s">
        <v>20</v>
      </c>
      <c r="I246" s="331">
        <v>5.5</v>
      </c>
      <c r="J246" s="12">
        <f t="shared" ref="J246:J256" si="21">E246*I246</f>
        <v>0</v>
      </c>
    </row>
    <row r="247" spans="1:10" x14ac:dyDescent="0.35">
      <c r="A247" s="103"/>
      <c r="B247" s="12" t="s">
        <v>31</v>
      </c>
      <c r="C247" s="10" t="s">
        <v>39</v>
      </c>
      <c r="D247" s="152">
        <v>1</v>
      </c>
      <c r="E247" s="170">
        <v>1</v>
      </c>
      <c r="F247" s="95"/>
      <c r="G247" s="153" t="str">
        <f t="shared" si="19"/>
        <v/>
      </c>
      <c r="H247" s="10" t="s">
        <v>20</v>
      </c>
      <c r="I247" s="331">
        <v>4.55</v>
      </c>
      <c r="J247" s="12">
        <f t="shared" si="21"/>
        <v>4.55</v>
      </c>
    </row>
    <row r="248" spans="1:10" x14ac:dyDescent="0.35">
      <c r="A248" s="103"/>
      <c r="B248" s="12" t="s">
        <v>31</v>
      </c>
      <c r="C248" s="10" t="s">
        <v>422</v>
      </c>
      <c r="D248" s="152">
        <v>1</v>
      </c>
      <c r="E248" s="170">
        <v>1</v>
      </c>
      <c r="F248" s="95"/>
      <c r="G248" s="153" t="str">
        <f t="shared" si="19"/>
        <v/>
      </c>
      <c r="H248" s="10" t="s">
        <v>20</v>
      </c>
      <c r="I248" s="331">
        <v>3.7</v>
      </c>
      <c r="J248" s="12">
        <f t="shared" si="21"/>
        <v>3.7</v>
      </c>
    </row>
    <row r="249" spans="1:10" x14ac:dyDescent="0.35">
      <c r="A249" s="103"/>
      <c r="B249" s="12" t="s">
        <v>31</v>
      </c>
      <c r="C249" s="10" t="s">
        <v>67</v>
      </c>
      <c r="D249" s="152"/>
      <c r="E249" s="170"/>
      <c r="F249" s="95"/>
      <c r="G249" s="153" t="str">
        <f t="shared" si="19"/>
        <v/>
      </c>
      <c r="H249" s="10" t="s">
        <v>20</v>
      </c>
      <c r="I249" s="331">
        <v>15.56</v>
      </c>
      <c r="J249" s="12">
        <f t="shared" si="21"/>
        <v>0</v>
      </c>
    </row>
    <row r="250" spans="1:10" hidden="1" x14ac:dyDescent="0.35">
      <c r="A250" s="103"/>
      <c r="B250" s="12" t="s">
        <v>31</v>
      </c>
      <c r="C250" s="10" t="s">
        <v>384</v>
      </c>
      <c r="D250" s="152"/>
      <c r="E250" s="170"/>
      <c r="F250" s="95"/>
      <c r="G250" s="153" t="str">
        <f t="shared" si="19"/>
        <v/>
      </c>
      <c r="H250" s="10" t="s">
        <v>20</v>
      </c>
      <c r="I250" s="331">
        <v>0.8</v>
      </c>
      <c r="J250" s="12">
        <f t="shared" si="21"/>
        <v>0</v>
      </c>
    </row>
    <row r="251" spans="1:10" hidden="1" x14ac:dyDescent="0.35">
      <c r="A251" s="103"/>
      <c r="B251" s="12" t="s">
        <v>31</v>
      </c>
      <c r="C251" s="10" t="s">
        <v>385</v>
      </c>
      <c r="D251" s="152"/>
      <c r="E251" s="170"/>
      <c r="F251" s="95"/>
      <c r="G251" s="153" t="str">
        <f t="shared" si="19"/>
        <v/>
      </c>
      <c r="H251" s="10" t="s">
        <v>20</v>
      </c>
      <c r="I251" s="331">
        <v>1.83</v>
      </c>
      <c r="J251" s="12">
        <f t="shared" si="21"/>
        <v>0</v>
      </c>
    </row>
    <row r="252" spans="1:10" x14ac:dyDescent="0.35">
      <c r="A252" s="103"/>
      <c r="B252" s="12" t="s">
        <v>31</v>
      </c>
      <c r="C252" s="10" t="s">
        <v>386</v>
      </c>
      <c r="D252" s="152">
        <v>1</v>
      </c>
      <c r="E252" s="170"/>
      <c r="F252" s="95"/>
      <c r="G252" s="153" t="str">
        <f t="shared" si="19"/>
        <v/>
      </c>
      <c r="H252" s="10" t="s">
        <v>20</v>
      </c>
      <c r="I252" s="331">
        <v>2.65</v>
      </c>
      <c r="J252" s="12">
        <f t="shared" si="21"/>
        <v>0</v>
      </c>
    </row>
    <row r="253" spans="1:10" x14ac:dyDescent="0.35">
      <c r="A253" s="103"/>
      <c r="B253" s="12" t="s">
        <v>31</v>
      </c>
      <c r="C253" s="10" t="s">
        <v>65</v>
      </c>
      <c r="D253" s="152">
        <v>1</v>
      </c>
      <c r="E253" s="170"/>
      <c r="F253" s="95"/>
      <c r="G253" s="153" t="str">
        <f t="shared" si="19"/>
        <v/>
      </c>
      <c r="H253" s="10" t="s">
        <v>20</v>
      </c>
      <c r="I253" s="331">
        <v>13.43</v>
      </c>
      <c r="J253" s="12">
        <f t="shared" si="21"/>
        <v>0</v>
      </c>
    </row>
    <row r="254" spans="1:10" hidden="1" x14ac:dyDescent="0.35">
      <c r="A254" s="103"/>
      <c r="B254" s="12" t="s">
        <v>31</v>
      </c>
      <c r="C254" s="10" t="s">
        <v>66</v>
      </c>
      <c r="D254" s="152"/>
      <c r="E254" s="170"/>
      <c r="F254" s="95"/>
      <c r="G254" s="153" t="str">
        <f t="shared" si="19"/>
        <v/>
      </c>
      <c r="H254" s="10" t="s">
        <v>20</v>
      </c>
      <c r="I254" s="331">
        <v>75.38</v>
      </c>
      <c r="J254" s="12">
        <f t="shared" si="21"/>
        <v>0</v>
      </c>
    </row>
    <row r="255" spans="1:10" x14ac:dyDescent="0.35">
      <c r="A255" s="103"/>
      <c r="B255" s="12" t="s">
        <v>31</v>
      </c>
      <c r="C255" s="10" t="s">
        <v>412</v>
      </c>
      <c r="D255" s="152"/>
      <c r="E255" s="170"/>
      <c r="F255" s="95"/>
      <c r="G255" s="153" t="str">
        <f t="shared" si="19"/>
        <v/>
      </c>
      <c r="H255" s="10" t="s">
        <v>20</v>
      </c>
      <c r="I255" s="331">
        <v>8.43</v>
      </c>
      <c r="J255" s="12">
        <f t="shared" si="21"/>
        <v>0</v>
      </c>
    </row>
    <row r="256" spans="1:10" x14ac:dyDescent="0.35">
      <c r="A256" s="103"/>
      <c r="B256" s="12" t="s">
        <v>31</v>
      </c>
      <c r="C256" s="10" t="s">
        <v>69</v>
      </c>
      <c r="D256" s="152">
        <v>1</v>
      </c>
      <c r="E256" s="170">
        <v>1</v>
      </c>
      <c r="F256" s="95"/>
      <c r="G256" s="153" t="str">
        <f t="shared" si="19"/>
        <v/>
      </c>
      <c r="H256" s="10" t="s">
        <v>63</v>
      </c>
      <c r="I256" s="331">
        <v>3.5</v>
      </c>
      <c r="J256" s="12">
        <f t="shared" si="21"/>
        <v>3.5</v>
      </c>
    </row>
    <row r="257" spans="1:10" ht="15.5" hidden="1" x14ac:dyDescent="0.35">
      <c r="A257" s="108" t="s">
        <v>57</v>
      </c>
      <c r="B257" s="108"/>
      <c r="C257" s="108"/>
      <c r="D257" s="108"/>
      <c r="E257" s="162"/>
      <c r="F257" s="108"/>
      <c r="G257" s="165" t="str">
        <f t="shared" si="19"/>
        <v/>
      </c>
      <c r="H257" s="108"/>
      <c r="I257" s="106" t="s">
        <v>18</v>
      </c>
      <c r="J257" s="107">
        <f>SUM(J258:J259)</f>
        <v>0</v>
      </c>
    </row>
    <row r="258" spans="1:10" hidden="1" x14ac:dyDescent="0.35">
      <c r="A258" s="103"/>
      <c r="B258" s="12" t="s">
        <v>56</v>
      </c>
      <c r="C258" s="10" t="s">
        <v>58</v>
      </c>
      <c r="D258" s="94"/>
      <c r="E258" s="170"/>
      <c r="F258" s="94"/>
      <c r="G258" s="94" t="str">
        <f t="shared" ref="G258:G259" si="22">IF(D258-E258&gt;0,D258-E258,"")</f>
        <v/>
      </c>
      <c r="H258" s="10" t="s">
        <v>20</v>
      </c>
      <c r="I258" s="331">
        <v>54.05</v>
      </c>
      <c r="J258" s="12">
        <f>E258*I258</f>
        <v>0</v>
      </c>
    </row>
    <row r="259" spans="1:10" hidden="1" x14ac:dyDescent="0.35">
      <c r="A259" s="103"/>
      <c r="B259" s="12" t="s">
        <v>56</v>
      </c>
      <c r="C259" s="10" t="s">
        <v>388</v>
      </c>
      <c r="D259" s="94"/>
      <c r="E259" s="170"/>
      <c r="F259" s="94"/>
      <c r="G259" s="94" t="str">
        <f t="shared" si="22"/>
        <v/>
      </c>
      <c r="H259" s="10" t="s">
        <v>20</v>
      </c>
      <c r="I259" s="331">
        <v>0</v>
      </c>
      <c r="J259" s="12">
        <f>E259*I259</f>
        <v>0</v>
      </c>
    </row>
  </sheetData>
  <mergeCells count="2">
    <mergeCell ref="B1:C1"/>
    <mergeCell ref="B2:C2"/>
  </mergeCells>
  <pageMargins left="0.7" right="0.7" top="0.75" bottom="0.75" header="0.3" footer="0.3"/>
  <pageSetup paperSize="9" scale="73" fitToHeight="0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3B02B-0638-404E-86A2-F42FF33F934F}">
  <sheetPr codeName="Feuil25">
    <tabColor theme="8" tint="0.39997558519241921"/>
    <pageSetUpPr fitToPage="1"/>
  </sheetPr>
  <dimension ref="A1:N259"/>
  <sheetViews>
    <sheetView topLeftCell="A5" zoomScaleNormal="100" workbookViewId="0">
      <selection activeCell="J209" sqref="J209"/>
    </sheetView>
  </sheetViews>
  <sheetFormatPr baseColWidth="10" defaultColWidth="8.453125" defaultRowHeight="14.5" x14ac:dyDescent="0.35"/>
  <cols>
    <col min="1" max="1" width="2.54296875" customWidth="1"/>
    <col min="2" max="2" width="32.26953125" customWidth="1"/>
    <col min="3" max="3" width="44.54296875" bestFit="1" customWidth="1"/>
    <col min="4" max="4" width="19.7265625" bestFit="1" customWidth="1"/>
    <col min="5" max="5" width="18.81640625" style="34" bestFit="1" customWidth="1"/>
    <col min="6" max="6" width="18.26953125" hidden="1" customWidth="1"/>
    <col min="7" max="7" width="14" bestFit="1" customWidth="1"/>
    <col min="8" max="8" width="6.81640625" bestFit="1" customWidth="1"/>
    <col min="9" max="9" width="8.453125" style="86" bestFit="1" customWidth="1"/>
    <col min="10" max="10" width="7.1796875" customWidth="1"/>
  </cols>
  <sheetData>
    <row r="1" spans="2:7" ht="15" thickBot="1" x14ac:dyDescent="0.4">
      <c r="B1" s="321" t="s">
        <v>198</v>
      </c>
      <c r="C1" s="322"/>
      <c r="F1" s="89"/>
      <c r="G1" s="89"/>
    </row>
    <row r="2" spans="2:7" ht="15" thickBot="1" x14ac:dyDescent="0.4">
      <c r="B2" s="319"/>
      <c r="C2" s="320"/>
      <c r="F2" s="90"/>
      <c r="G2" s="90"/>
    </row>
    <row r="3" spans="2:7" x14ac:dyDescent="0.35">
      <c r="B3" s="75"/>
      <c r="C3" s="75"/>
      <c r="F3" s="75"/>
      <c r="G3" s="75"/>
    </row>
    <row r="4" spans="2:7" ht="15.5" x14ac:dyDescent="0.35">
      <c r="B4" s="70" t="s">
        <v>0</v>
      </c>
      <c r="C4" s="70" t="s">
        <v>1</v>
      </c>
      <c r="F4" s="91"/>
      <c r="G4" s="91"/>
    </row>
    <row r="5" spans="2:7" x14ac:dyDescent="0.35">
      <c r="B5" s="71" t="s">
        <v>2</v>
      </c>
      <c r="C5" s="72">
        <f>J23</f>
        <v>1488.5500000000002</v>
      </c>
      <c r="F5" s="92"/>
      <c r="G5" s="92"/>
    </row>
    <row r="6" spans="2:7" x14ac:dyDescent="0.35">
      <c r="B6" s="71" t="s">
        <v>7</v>
      </c>
      <c r="C6" s="72">
        <f>J4</f>
        <v>0</v>
      </c>
      <c r="F6" s="92"/>
      <c r="G6" s="92"/>
    </row>
    <row r="7" spans="2:7" x14ac:dyDescent="0.35">
      <c r="B7" s="71" t="s">
        <v>13</v>
      </c>
      <c r="C7" s="72">
        <f>J50</f>
        <v>42.3</v>
      </c>
      <c r="F7" s="92"/>
      <c r="G7" s="92"/>
    </row>
    <row r="8" spans="2:7" x14ac:dyDescent="0.35">
      <c r="B8" s="71" t="s">
        <v>3</v>
      </c>
      <c r="C8" s="72">
        <f>J78</f>
        <v>0</v>
      </c>
      <c r="F8" s="92"/>
      <c r="G8" s="92"/>
    </row>
    <row r="9" spans="2:7" x14ac:dyDescent="0.35">
      <c r="B9" s="71" t="s">
        <v>4</v>
      </c>
      <c r="C9" s="72">
        <f>J122</f>
        <v>100.59</v>
      </c>
      <c r="F9" s="92"/>
      <c r="G9" s="92"/>
    </row>
    <row r="10" spans="2:7" x14ac:dyDescent="0.35">
      <c r="B10" s="71" t="s">
        <v>199</v>
      </c>
      <c r="C10" s="72">
        <f>J176</f>
        <v>0</v>
      </c>
      <c r="F10" s="92"/>
      <c r="G10" s="92"/>
    </row>
    <row r="11" spans="2:7" x14ac:dyDescent="0.35">
      <c r="B11" s="71" t="s">
        <v>200</v>
      </c>
      <c r="C11" s="72">
        <f>J187</f>
        <v>0</v>
      </c>
      <c r="F11" s="92"/>
      <c r="G11" s="92"/>
    </row>
    <row r="12" spans="2:7" x14ac:dyDescent="0.35">
      <c r="B12" s="71" t="s">
        <v>201</v>
      </c>
      <c r="C12" s="72">
        <f>J193</f>
        <v>0</v>
      </c>
      <c r="F12" s="92"/>
      <c r="G12" s="92"/>
    </row>
    <row r="13" spans="2:7" x14ac:dyDescent="0.35">
      <c r="B13" s="71" t="s">
        <v>202</v>
      </c>
      <c r="C13" s="72">
        <f>J195</f>
        <v>0</v>
      </c>
      <c r="F13" s="92"/>
      <c r="G13" s="92"/>
    </row>
    <row r="14" spans="2:7" x14ac:dyDescent="0.35">
      <c r="B14" s="71" t="s">
        <v>203</v>
      </c>
      <c r="C14" s="72">
        <f>J208</f>
        <v>0</v>
      </c>
      <c r="F14" s="92"/>
      <c r="G14" s="92"/>
    </row>
    <row r="15" spans="2:7" x14ac:dyDescent="0.35">
      <c r="B15" s="71" t="s">
        <v>12</v>
      </c>
      <c r="C15" s="72">
        <f>J214</f>
        <v>0</v>
      </c>
      <c r="F15" s="92"/>
      <c r="G15" s="92"/>
    </row>
    <row r="16" spans="2:7" x14ac:dyDescent="0.35">
      <c r="B16" s="71" t="s">
        <v>204</v>
      </c>
      <c r="C16" s="72">
        <f>J222</f>
        <v>0</v>
      </c>
      <c r="F16" s="92"/>
      <c r="G16" s="92"/>
    </row>
    <row r="17" spans="1:11" x14ac:dyDescent="0.35">
      <c r="B17" s="71" t="s">
        <v>9</v>
      </c>
      <c r="C17" s="72">
        <f>J224</f>
        <v>0</v>
      </c>
      <c r="F17" s="92"/>
      <c r="G17" s="92"/>
    </row>
    <row r="18" spans="1:11" x14ac:dyDescent="0.35">
      <c r="B18" s="71" t="s">
        <v>205</v>
      </c>
      <c r="C18" s="72">
        <f>J245</f>
        <v>4.55</v>
      </c>
      <c r="F18" s="92"/>
      <c r="G18" s="92"/>
    </row>
    <row r="19" spans="1:11" x14ac:dyDescent="0.35">
      <c r="B19" s="71" t="s">
        <v>56</v>
      </c>
      <c r="C19" s="72">
        <f>J257</f>
        <v>0</v>
      </c>
      <c r="F19" s="92"/>
      <c r="G19" s="92"/>
    </row>
    <row r="20" spans="1:11" x14ac:dyDescent="0.35">
      <c r="B20" s="73" t="s">
        <v>14</v>
      </c>
      <c r="C20" s="74">
        <f>C5+C6+C7+C8+C9+C10+C11+C12+C13+C14+C15+C16+C17+C18+C19</f>
        <v>1635.99</v>
      </c>
      <c r="F20" s="93"/>
      <c r="G20" s="93"/>
    </row>
    <row r="21" spans="1:11" ht="18.75" customHeight="1" x14ac:dyDescent="0.45">
      <c r="A21" s="76" t="s">
        <v>207</v>
      </c>
      <c r="B21" s="76"/>
      <c r="C21" s="76"/>
      <c r="D21" s="76"/>
      <c r="E21" s="167"/>
      <c r="F21" s="76"/>
      <c r="G21" s="76"/>
      <c r="H21" s="76"/>
      <c r="I21" s="262"/>
      <c r="J21" s="76"/>
    </row>
    <row r="22" spans="1:11" ht="14.25" customHeight="1" x14ac:dyDescent="0.35">
      <c r="A22" s="129"/>
      <c r="B22" s="129" t="s">
        <v>15</v>
      </c>
      <c r="C22" s="129" t="s">
        <v>16</v>
      </c>
      <c r="D22" s="130" t="s">
        <v>398</v>
      </c>
      <c r="E22" s="168" t="s">
        <v>401</v>
      </c>
      <c r="F22" s="130" t="s">
        <v>399</v>
      </c>
      <c r="G22" s="164" t="s">
        <v>400</v>
      </c>
      <c r="H22" s="132" t="s">
        <v>406</v>
      </c>
      <c r="I22" s="341" t="s">
        <v>45</v>
      </c>
      <c r="J22" s="132" t="s">
        <v>402</v>
      </c>
    </row>
    <row r="23" spans="1:11" s="6" customFormat="1" ht="15.5" x14ac:dyDescent="0.35">
      <c r="A23" s="108" t="s">
        <v>208</v>
      </c>
      <c r="B23" s="108"/>
      <c r="C23" s="108"/>
      <c r="D23" s="108"/>
      <c r="E23" s="169" t="s">
        <v>421</v>
      </c>
      <c r="F23" s="108"/>
      <c r="G23" s="108"/>
      <c r="H23" s="108"/>
      <c r="I23" s="110" t="s">
        <v>18</v>
      </c>
      <c r="J23" s="107">
        <f>SUM(J24:J40)</f>
        <v>1488.5500000000002</v>
      </c>
    </row>
    <row r="24" spans="1:11" x14ac:dyDescent="0.35">
      <c r="A24" s="103"/>
      <c r="B24" s="7" t="s">
        <v>2</v>
      </c>
      <c r="C24" s="14" t="s">
        <v>19</v>
      </c>
      <c r="D24" s="152">
        <v>2</v>
      </c>
      <c r="E24" s="170">
        <v>1</v>
      </c>
      <c r="F24" s="95"/>
      <c r="G24" s="153">
        <f>IF(E24="","",IF(D24-E24&gt;0,D24-E24,""))</f>
        <v>1</v>
      </c>
      <c r="H24" s="10" t="s">
        <v>20</v>
      </c>
      <c r="I24" s="331">
        <v>55.95</v>
      </c>
      <c r="J24" s="12">
        <f t="shared" ref="J24:J40" si="0">E24*I24</f>
        <v>55.95</v>
      </c>
      <c r="K24" s="13"/>
    </row>
    <row r="25" spans="1:11" hidden="1" x14ac:dyDescent="0.35">
      <c r="A25" s="103"/>
      <c r="B25" s="7" t="s">
        <v>2</v>
      </c>
      <c r="C25" s="14" t="s">
        <v>209</v>
      </c>
      <c r="D25" s="152"/>
      <c r="E25" s="170"/>
      <c r="F25" s="95"/>
      <c r="G25" s="153" t="str">
        <f t="shared" ref="G25:G88" si="1">IF(E25="","",IF(D25-E25&gt;0,D25-E25,""))</f>
        <v/>
      </c>
      <c r="H25" s="10" t="s">
        <v>20</v>
      </c>
      <c r="I25" s="331">
        <v>173.1</v>
      </c>
      <c r="J25" s="12">
        <f t="shared" si="0"/>
        <v>0</v>
      </c>
      <c r="K25" s="13"/>
    </row>
    <row r="26" spans="1:11" x14ac:dyDescent="0.35">
      <c r="A26" s="103"/>
      <c r="B26" s="12" t="s">
        <v>2</v>
      </c>
      <c r="C26" s="10" t="s">
        <v>21</v>
      </c>
      <c r="D26" s="152">
        <v>15</v>
      </c>
      <c r="E26" s="170">
        <v>19</v>
      </c>
      <c r="F26" s="95"/>
      <c r="G26" s="153" t="str">
        <f t="shared" si="1"/>
        <v/>
      </c>
      <c r="H26" s="10" t="s">
        <v>20</v>
      </c>
      <c r="I26" s="331">
        <v>75.400000000000006</v>
      </c>
      <c r="J26" s="12">
        <f t="shared" si="0"/>
        <v>1432.6000000000001</v>
      </c>
      <c r="K26" s="13"/>
    </row>
    <row r="27" spans="1:11" ht="14.5" customHeight="1" x14ac:dyDescent="0.35">
      <c r="A27" s="103"/>
      <c r="B27" s="12" t="s">
        <v>2</v>
      </c>
      <c r="C27" s="10" t="s">
        <v>210</v>
      </c>
      <c r="D27" s="152">
        <v>15</v>
      </c>
      <c r="E27" s="170"/>
      <c r="F27" s="95"/>
      <c r="G27" s="153" t="str">
        <f t="shared" si="1"/>
        <v/>
      </c>
      <c r="H27" s="10" t="s">
        <v>20</v>
      </c>
      <c r="I27" s="331">
        <v>84.9</v>
      </c>
      <c r="J27" s="12">
        <f t="shared" si="0"/>
        <v>0</v>
      </c>
      <c r="K27" s="13"/>
    </row>
    <row r="28" spans="1:11" ht="14.5" hidden="1" customHeight="1" x14ac:dyDescent="0.35">
      <c r="A28" s="103"/>
      <c r="B28" s="12" t="s">
        <v>2</v>
      </c>
      <c r="C28" s="10" t="s">
        <v>211</v>
      </c>
      <c r="D28" s="152"/>
      <c r="E28" s="170"/>
      <c r="F28" s="95"/>
      <c r="G28" s="153" t="str">
        <f t="shared" si="1"/>
        <v/>
      </c>
      <c r="H28" s="10" t="s">
        <v>20</v>
      </c>
      <c r="I28" s="331">
        <v>2.96</v>
      </c>
      <c r="J28" s="12">
        <f t="shared" si="0"/>
        <v>0</v>
      </c>
      <c r="K28" s="13"/>
    </row>
    <row r="29" spans="1:11" ht="14.5" hidden="1" customHeight="1" x14ac:dyDescent="0.35">
      <c r="A29" s="103"/>
      <c r="B29" s="12" t="s">
        <v>2</v>
      </c>
      <c r="C29" s="10" t="s">
        <v>212</v>
      </c>
      <c r="D29" s="152"/>
      <c r="E29" s="170"/>
      <c r="F29" s="95"/>
      <c r="G29" s="153" t="str">
        <f t="shared" si="1"/>
        <v/>
      </c>
      <c r="H29" s="10" t="s">
        <v>20</v>
      </c>
      <c r="I29" s="331">
        <v>2.96</v>
      </c>
      <c r="J29" s="12">
        <f t="shared" si="0"/>
        <v>0</v>
      </c>
      <c r="K29" s="13"/>
    </row>
    <row r="30" spans="1:11" hidden="1" x14ac:dyDescent="0.35">
      <c r="A30" s="103"/>
      <c r="B30" s="12" t="s">
        <v>2</v>
      </c>
      <c r="C30" s="10" t="s">
        <v>213</v>
      </c>
      <c r="D30" s="152"/>
      <c r="E30" s="170"/>
      <c r="F30" s="95"/>
      <c r="G30" s="153" t="str">
        <f t="shared" si="1"/>
        <v/>
      </c>
      <c r="H30" s="10" t="s">
        <v>20</v>
      </c>
      <c r="I30" s="331">
        <v>2.96</v>
      </c>
      <c r="J30" s="12">
        <f t="shared" si="0"/>
        <v>0</v>
      </c>
      <c r="K30" s="13"/>
    </row>
    <row r="31" spans="1:11" hidden="1" x14ac:dyDescent="0.35">
      <c r="A31" s="103"/>
      <c r="B31" s="7" t="s">
        <v>2</v>
      </c>
      <c r="C31" s="14" t="s">
        <v>22</v>
      </c>
      <c r="D31" s="152"/>
      <c r="E31" s="170"/>
      <c r="F31" s="95"/>
      <c r="G31" s="153" t="str">
        <f t="shared" si="1"/>
        <v/>
      </c>
      <c r="H31" s="10" t="s">
        <v>20</v>
      </c>
      <c r="I31" s="331">
        <v>107.2</v>
      </c>
      <c r="J31" s="12">
        <f t="shared" si="0"/>
        <v>0</v>
      </c>
      <c r="K31" s="13"/>
    </row>
    <row r="32" spans="1:11" ht="14.5" hidden="1" customHeight="1" x14ac:dyDescent="0.35">
      <c r="A32" s="103"/>
      <c r="B32" s="7" t="s">
        <v>2</v>
      </c>
      <c r="C32" s="14" t="s">
        <v>214</v>
      </c>
      <c r="D32" s="152"/>
      <c r="E32" s="170"/>
      <c r="F32" s="95"/>
      <c r="G32" s="153" t="str">
        <f t="shared" si="1"/>
        <v/>
      </c>
      <c r="H32" s="10" t="s">
        <v>20</v>
      </c>
      <c r="I32" s="331">
        <v>170.7</v>
      </c>
      <c r="J32" s="12">
        <f t="shared" si="0"/>
        <v>0</v>
      </c>
      <c r="K32" s="13"/>
    </row>
    <row r="33" spans="1:11" ht="14.5" hidden="1" customHeight="1" x14ac:dyDescent="0.35">
      <c r="A33" s="103"/>
      <c r="B33" s="12" t="s">
        <v>2</v>
      </c>
      <c r="C33" s="10" t="s">
        <v>215</v>
      </c>
      <c r="D33" s="152"/>
      <c r="E33" s="170"/>
      <c r="F33" s="95"/>
      <c r="G33" s="153" t="str">
        <f t="shared" si="1"/>
        <v/>
      </c>
      <c r="H33" s="10" t="s">
        <v>216</v>
      </c>
      <c r="I33" s="331">
        <v>3.77</v>
      </c>
      <c r="J33" s="12">
        <f t="shared" si="0"/>
        <v>0</v>
      </c>
      <c r="K33" s="13"/>
    </row>
    <row r="34" spans="1:11" s="6" customFormat="1" ht="15.65" hidden="1" customHeight="1" x14ac:dyDescent="0.35">
      <c r="A34" s="103"/>
      <c r="B34" s="12" t="s">
        <v>2</v>
      </c>
      <c r="C34" s="10" t="s">
        <v>217</v>
      </c>
      <c r="D34" s="152"/>
      <c r="E34" s="170"/>
      <c r="F34" s="95"/>
      <c r="G34" s="153" t="str">
        <f t="shared" si="1"/>
        <v/>
      </c>
      <c r="H34" s="10" t="s">
        <v>20</v>
      </c>
      <c r="I34" s="331">
        <v>2.56</v>
      </c>
      <c r="J34" s="12">
        <f t="shared" si="0"/>
        <v>0</v>
      </c>
    </row>
    <row r="35" spans="1:11" ht="14.5" hidden="1" customHeight="1" x14ac:dyDescent="0.35">
      <c r="A35" s="103"/>
      <c r="B35" s="12" t="s">
        <v>2</v>
      </c>
      <c r="C35" s="10" t="s">
        <v>218</v>
      </c>
      <c r="D35" s="152"/>
      <c r="E35" s="170"/>
      <c r="F35" s="95"/>
      <c r="G35" s="153" t="str">
        <f t="shared" si="1"/>
        <v/>
      </c>
      <c r="H35" s="10" t="s">
        <v>20</v>
      </c>
      <c r="I35" s="331">
        <v>3.08</v>
      </c>
      <c r="J35" s="12">
        <f t="shared" si="0"/>
        <v>0</v>
      </c>
      <c r="K35" s="13"/>
    </row>
    <row r="36" spans="1:11" ht="14.5" hidden="1" customHeight="1" x14ac:dyDescent="0.35">
      <c r="A36" s="103"/>
      <c r="B36" s="12" t="s">
        <v>2</v>
      </c>
      <c r="C36" s="10" t="s">
        <v>219</v>
      </c>
      <c r="D36" s="152"/>
      <c r="E36" s="170"/>
      <c r="F36" s="95"/>
      <c r="G36" s="153" t="str">
        <f t="shared" si="1"/>
        <v/>
      </c>
      <c r="H36" s="10" t="s">
        <v>20</v>
      </c>
      <c r="I36" s="331">
        <v>2.56</v>
      </c>
      <c r="J36" s="12">
        <f t="shared" si="0"/>
        <v>0</v>
      </c>
      <c r="K36" s="13"/>
    </row>
    <row r="37" spans="1:11" hidden="1" x14ac:dyDescent="0.35">
      <c r="A37" s="103"/>
      <c r="B37" s="12" t="s">
        <v>2</v>
      </c>
      <c r="C37" s="10" t="s">
        <v>220</v>
      </c>
      <c r="D37" s="152"/>
      <c r="E37" s="170"/>
      <c r="F37" s="95"/>
      <c r="G37" s="153" t="str">
        <f t="shared" si="1"/>
        <v/>
      </c>
      <c r="H37" s="10" t="s">
        <v>20</v>
      </c>
      <c r="I37" s="331">
        <v>1.41</v>
      </c>
      <c r="J37" s="12">
        <f t="shared" si="0"/>
        <v>0</v>
      </c>
      <c r="K37" s="13"/>
    </row>
    <row r="38" spans="1:11" hidden="1" x14ac:dyDescent="0.35">
      <c r="A38" s="103"/>
      <c r="B38" s="12" t="s">
        <v>2</v>
      </c>
      <c r="C38" s="10" t="s">
        <v>221</v>
      </c>
      <c r="D38" s="152"/>
      <c r="E38" s="170"/>
      <c r="F38" s="95"/>
      <c r="G38" s="153" t="str">
        <f t="shared" si="1"/>
        <v/>
      </c>
      <c r="H38" s="10" t="s">
        <v>20</v>
      </c>
      <c r="I38" s="331">
        <v>1.73</v>
      </c>
      <c r="J38" s="12">
        <f t="shared" si="0"/>
        <v>0</v>
      </c>
      <c r="K38" s="13"/>
    </row>
    <row r="39" spans="1:11" hidden="1" x14ac:dyDescent="0.35">
      <c r="A39" s="103"/>
      <c r="B39" s="12" t="s">
        <v>2</v>
      </c>
      <c r="C39" s="10" t="s">
        <v>222</v>
      </c>
      <c r="D39" s="152"/>
      <c r="E39" s="170"/>
      <c r="F39" s="95"/>
      <c r="G39" s="153" t="str">
        <f t="shared" si="1"/>
        <v/>
      </c>
      <c r="H39" s="10" t="s">
        <v>20</v>
      </c>
      <c r="I39" s="331">
        <v>1.46</v>
      </c>
      <c r="J39" s="12">
        <f t="shared" si="0"/>
        <v>0</v>
      </c>
      <c r="K39" s="13"/>
    </row>
    <row r="40" spans="1:11" ht="14.5" hidden="1" customHeight="1" x14ac:dyDescent="0.35">
      <c r="A40" s="103"/>
      <c r="B40" s="12" t="s">
        <v>2</v>
      </c>
      <c r="C40" s="10" t="s">
        <v>223</v>
      </c>
      <c r="D40" s="222"/>
      <c r="E40" s="170"/>
      <c r="F40" s="141"/>
      <c r="G40" s="153" t="str">
        <f t="shared" si="1"/>
        <v/>
      </c>
      <c r="H40" s="10" t="s">
        <v>20</v>
      </c>
      <c r="I40" s="332">
        <v>3.45</v>
      </c>
      <c r="J40" s="12">
        <f t="shared" si="0"/>
        <v>0</v>
      </c>
      <c r="K40" s="13"/>
    </row>
    <row r="41" spans="1:11" s="6" customFormat="1" ht="15.65" customHeight="1" x14ac:dyDescent="0.35">
      <c r="A41" s="108" t="s">
        <v>119</v>
      </c>
      <c r="B41" s="108"/>
      <c r="C41" s="108"/>
      <c r="D41" s="223"/>
      <c r="E41" s="169"/>
      <c r="F41" s="109"/>
      <c r="G41" s="165" t="str">
        <f t="shared" si="1"/>
        <v/>
      </c>
      <c r="H41" s="108"/>
      <c r="I41" s="106" t="s">
        <v>18</v>
      </c>
      <c r="J41" s="107">
        <f>SUM(J42:J49)</f>
        <v>1080</v>
      </c>
    </row>
    <row r="42" spans="1:11" ht="14.5" customHeight="1" x14ac:dyDescent="0.35">
      <c r="A42" s="103"/>
      <c r="B42" s="12" t="s">
        <v>7</v>
      </c>
      <c r="C42" s="10" t="s">
        <v>224</v>
      </c>
      <c r="D42" s="152"/>
      <c r="E42" s="166">
        <f>E24</f>
        <v>1</v>
      </c>
      <c r="F42" s="95"/>
      <c r="G42" s="153" t="str">
        <f t="shared" si="1"/>
        <v/>
      </c>
      <c r="H42" s="10" t="s">
        <v>20</v>
      </c>
      <c r="I42" s="331">
        <v>100</v>
      </c>
      <c r="J42" s="12">
        <f t="shared" ref="J42:J49" si="2">E42*I42</f>
        <v>100</v>
      </c>
      <c r="K42" s="13"/>
    </row>
    <row r="43" spans="1:11" hidden="1" x14ac:dyDescent="0.35">
      <c r="A43" s="103"/>
      <c r="B43" s="12" t="s">
        <v>7</v>
      </c>
      <c r="C43" s="10" t="s">
        <v>225</v>
      </c>
      <c r="D43" s="152"/>
      <c r="E43" s="170"/>
      <c r="F43" s="95"/>
      <c r="G43" s="153" t="str">
        <f t="shared" si="1"/>
        <v/>
      </c>
      <c r="H43" s="10" t="s">
        <v>20</v>
      </c>
      <c r="I43" s="331">
        <v>12.2</v>
      </c>
      <c r="J43" s="12">
        <f t="shared" si="2"/>
        <v>0</v>
      </c>
      <c r="K43" s="13"/>
    </row>
    <row r="44" spans="1:11" ht="14.5" hidden="1" customHeight="1" x14ac:dyDescent="0.35">
      <c r="A44" s="103"/>
      <c r="B44" s="12" t="s">
        <v>7</v>
      </c>
      <c r="C44" s="10" t="s">
        <v>226</v>
      </c>
      <c r="D44" s="152"/>
      <c r="E44" s="170"/>
      <c r="F44" s="95"/>
      <c r="G44" s="153" t="str">
        <f t="shared" si="1"/>
        <v/>
      </c>
      <c r="H44" s="10" t="s">
        <v>20</v>
      </c>
      <c r="I44" s="331">
        <v>11</v>
      </c>
      <c r="J44" s="12">
        <f t="shared" si="2"/>
        <v>0</v>
      </c>
      <c r="K44" s="88"/>
    </row>
    <row r="45" spans="1:11" hidden="1" x14ac:dyDescent="0.35">
      <c r="A45" s="103"/>
      <c r="B45" s="12" t="s">
        <v>7</v>
      </c>
      <c r="C45" s="10" t="s">
        <v>227</v>
      </c>
      <c r="D45" s="152"/>
      <c r="E45" s="170"/>
      <c r="F45" s="95"/>
      <c r="G45" s="153" t="str">
        <f t="shared" si="1"/>
        <v/>
      </c>
      <c r="H45" s="10" t="s">
        <v>20</v>
      </c>
      <c r="I45" s="331">
        <v>5</v>
      </c>
      <c r="J45" s="12">
        <f t="shared" si="2"/>
        <v>0</v>
      </c>
      <c r="K45" s="13" t="s">
        <v>47</v>
      </c>
    </row>
    <row r="46" spans="1:11" x14ac:dyDescent="0.35">
      <c r="A46" s="103"/>
      <c r="B46" s="12" t="s">
        <v>7</v>
      </c>
      <c r="C46" s="10" t="s">
        <v>46</v>
      </c>
      <c r="D46" s="152"/>
      <c r="E46" s="170">
        <v>6</v>
      </c>
      <c r="F46" s="95"/>
      <c r="G46" s="153" t="str">
        <f t="shared" si="1"/>
        <v/>
      </c>
      <c r="H46" s="10" t="s">
        <v>20</v>
      </c>
      <c r="I46" s="331">
        <v>5</v>
      </c>
      <c r="J46" s="12">
        <f t="shared" si="2"/>
        <v>30</v>
      </c>
      <c r="K46" s="13"/>
    </row>
    <row r="47" spans="1:11" ht="14.5" hidden="1" customHeight="1" x14ac:dyDescent="0.35">
      <c r="A47" s="103"/>
      <c r="B47" s="12" t="s">
        <v>7</v>
      </c>
      <c r="C47" s="10" t="s">
        <v>228</v>
      </c>
      <c r="D47" s="152"/>
      <c r="E47" s="170"/>
      <c r="F47" s="95"/>
      <c r="G47" s="153" t="str">
        <f t="shared" si="1"/>
        <v/>
      </c>
      <c r="H47" s="10" t="s">
        <v>20</v>
      </c>
      <c r="I47" s="331">
        <v>11</v>
      </c>
      <c r="J47" s="12">
        <f t="shared" si="2"/>
        <v>0</v>
      </c>
      <c r="K47" s="13"/>
    </row>
    <row r="48" spans="1:11" ht="16.399999999999999" customHeight="1" x14ac:dyDescent="0.35">
      <c r="A48" s="103"/>
      <c r="B48" s="12" t="s">
        <v>7</v>
      </c>
      <c r="C48" s="10" t="s">
        <v>229</v>
      </c>
      <c r="D48" s="152"/>
      <c r="E48" s="166">
        <f>E26+E27</f>
        <v>19</v>
      </c>
      <c r="F48" s="95"/>
      <c r="G48" s="153" t="str">
        <f t="shared" si="1"/>
        <v/>
      </c>
      <c r="H48" s="10" t="s">
        <v>20</v>
      </c>
      <c r="I48" s="331">
        <v>50</v>
      </c>
      <c r="J48" s="12">
        <f t="shared" si="2"/>
        <v>950</v>
      </c>
      <c r="K48" s="13"/>
    </row>
    <row r="49" spans="1:11" hidden="1" x14ac:dyDescent="0.35">
      <c r="A49" s="103"/>
      <c r="B49" s="12" t="s">
        <v>7</v>
      </c>
      <c r="C49" s="78" t="s">
        <v>206</v>
      </c>
      <c r="D49" s="224"/>
      <c r="E49" s="170"/>
      <c r="F49" s="142"/>
      <c r="G49" s="153" t="str">
        <f t="shared" si="1"/>
        <v/>
      </c>
      <c r="H49" s="10" t="s">
        <v>20</v>
      </c>
      <c r="I49" s="333">
        <v>5</v>
      </c>
      <c r="J49" s="12">
        <f t="shared" si="2"/>
        <v>0</v>
      </c>
      <c r="K49" s="13"/>
    </row>
    <row r="50" spans="1:11" ht="14.5" customHeight="1" x14ac:dyDescent="0.35">
      <c r="A50" s="103"/>
      <c r="B50" s="104" t="s">
        <v>230</v>
      </c>
      <c r="C50" s="105"/>
      <c r="D50" s="225"/>
      <c r="E50" s="171"/>
      <c r="F50" s="143"/>
      <c r="G50" s="165" t="str">
        <f t="shared" si="1"/>
        <v/>
      </c>
      <c r="H50" s="105"/>
      <c r="I50" s="106" t="s">
        <v>18</v>
      </c>
      <c r="J50" s="107">
        <f>SUM(J52:J77)</f>
        <v>42.3</v>
      </c>
      <c r="K50" s="13"/>
    </row>
    <row r="51" spans="1:11" ht="14.5" customHeight="1" x14ac:dyDescent="0.35">
      <c r="A51" s="111"/>
      <c r="B51" s="126" t="s">
        <v>231</v>
      </c>
      <c r="C51" s="127"/>
      <c r="D51" s="226"/>
      <c r="E51" s="172"/>
      <c r="F51" s="144"/>
      <c r="G51" s="165" t="str">
        <f t="shared" si="1"/>
        <v/>
      </c>
      <c r="H51" s="127"/>
      <c r="I51" s="239"/>
      <c r="J51" s="128"/>
      <c r="K51" s="13"/>
    </row>
    <row r="52" spans="1:11" ht="14.5" hidden="1" customHeight="1" x14ac:dyDescent="0.35">
      <c r="A52" s="103"/>
      <c r="B52" s="12" t="s">
        <v>13</v>
      </c>
      <c r="C52" s="10" t="s">
        <v>78</v>
      </c>
      <c r="D52" s="152"/>
      <c r="E52" s="170"/>
      <c r="F52" s="95"/>
      <c r="G52" s="153" t="str">
        <f t="shared" si="1"/>
        <v/>
      </c>
      <c r="H52" s="10" t="s">
        <v>20</v>
      </c>
      <c r="I52" s="331">
        <v>13</v>
      </c>
      <c r="J52" s="12">
        <f t="shared" ref="J52:J58" si="3">E52*I52</f>
        <v>0</v>
      </c>
      <c r="K52" s="13"/>
    </row>
    <row r="53" spans="1:11" ht="15.75" hidden="1" customHeight="1" x14ac:dyDescent="0.35">
      <c r="A53" s="103"/>
      <c r="B53" s="12" t="s">
        <v>13</v>
      </c>
      <c r="C53" s="10" t="s">
        <v>232</v>
      </c>
      <c r="D53" s="152"/>
      <c r="E53" s="170"/>
      <c r="F53" s="95"/>
      <c r="G53" s="153" t="str">
        <f t="shared" si="1"/>
        <v/>
      </c>
      <c r="H53" s="10" t="s">
        <v>20</v>
      </c>
      <c r="I53" s="331">
        <v>13</v>
      </c>
      <c r="J53" s="12">
        <f t="shared" si="3"/>
        <v>0</v>
      </c>
      <c r="K53" s="134"/>
    </row>
    <row r="54" spans="1:11" hidden="1" x14ac:dyDescent="0.35">
      <c r="A54" s="103"/>
      <c r="B54" s="12" t="s">
        <v>13</v>
      </c>
      <c r="C54" s="10" t="s">
        <v>233</v>
      </c>
      <c r="D54" s="152"/>
      <c r="E54" s="170"/>
      <c r="F54" s="95"/>
      <c r="G54" s="153" t="str">
        <f t="shared" si="1"/>
        <v/>
      </c>
      <c r="H54" s="10" t="s">
        <v>20</v>
      </c>
      <c r="I54" s="331">
        <v>8.9</v>
      </c>
      <c r="J54" s="12">
        <f t="shared" si="3"/>
        <v>0</v>
      </c>
      <c r="K54" s="13"/>
    </row>
    <row r="55" spans="1:11" x14ac:dyDescent="0.35">
      <c r="A55" s="103"/>
      <c r="B55" s="12" t="s">
        <v>13</v>
      </c>
      <c r="C55" s="10" t="s">
        <v>32</v>
      </c>
      <c r="D55" s="152">
        <v>6</v>
      </c>
      <c r="E55" s="170">
        <v>4</v>
      </c>
      <c r="F55" s="95"/>
      <c r="G55" s="153">
        <f t="shared" si="1"/>
        <v>2</v>
      </c>
      <c r="H55" s="10" t="s">
        <v>20</v>
      </c>
      <c r="I55" s="331">
        <v>8.35</v>
      </c>
      <c r="J55" s="12">
        <f t="shared" si="3"/>
        <v>33.4</v>
      </c>
      <c r="K55" s="13"/>
    </row>
    <row r="56" spans="1:11" s="6" customFormat="1" ht="15.65" customHeight="1" x14ac:dyDescent="0.35">
      <c r="A56" s="103"/>
      <c r="B56" s="12" t="s">
        <v>13</v>
      </c>
      <c r="C56" s="10" t="s">
        <v>33</v>
      </c>
      <c r="D56" s="152">
        <v>6</v>
      </c>
      <c r="E56" s="170">
        <v>1</v>
      </c>
      <c r="F56" s="95"/>
      <c r="G56" s="153">
        <f t="shared" si="1"/>
        <v>5</v>
      </c>
      <c r="H56" s="10" t="s">
        <v>20</v>
      </c>
      <c r="I56" s="331">
        <v>8.9</v>
      </c>
      <c r="J56" s="12">
        <f t="shared" si="3"/>
        <v>8.9</v>
      </c>
    </row>
    <row r="57" spans="1:11" s="6" customFormat="1" ht="15.65" customHeight="1" x14ac:dyDescent="0.35">
      <c r="A57" s="103"/>
      <c r="B57" s="12" t="s">
        <v>13</v>
      </c>
      <c r="C57" s="10" t="s">
        <v>59</v>
      </c>
      <c r="D57" s="152">
        <v>6</v>
      </c>
      <c r="E57" s="170"/>
      <c r="F57" s="95"/>
      <c r="G57" s="153" t="str">
        <f t="shared" si="1"/>
        <v/>
      </c>
      <c r="H57" s="10" t="s">
        <v>20</v>
      </c>
      <c r="I57" s="331">
        <v>8.6999999999999993</v>
      </c>
      <c r="J57" s="12">
        <f t="shared" si="3"/>
        <v>0</v>
      </c>
    </row>
    <row r="58" spans="1:11" ht="14.5" customHeight="1" x14ac:dyDescent="0.35">
      <c r="A58" s="103"/>
      <c r="B58" s="12" t="s">
        <v>13</v>
      </c>
      <c r="C58" s="10" t="s">
        <v>234</v>
      </c>
      <c r="D58" s="152"/>
      <c r="E58" s="170"/>
      <c r="F58" s="95"/>
      <c r="G58" s="153" t="str">
        <f t="shared" si="1"/>
        <v/>
      </c>
      <c r="H58" s="10" t="s">
        <v>20</v>
      </c>
      <c r="I58" s="331">
        <v>12.15</v>
      </c>
      <c r="J58" s="12">
        <f t="shared" si="3"/>
        <v>0</v>
      </c>
      <c r="K58" s="13"/>
    </row>
    <row r="59" spans="1:11" ht="14.5" hidden="1" customHeight="1" x14ac:dyDescent="0.35">
      <c r="A59" s="103"/>
      <c r="B59" s="12" t="s">
        <v>13</v>
      </c>
      <c r="C59" s="10" t="s">
        <v>235</v>
      </c>
      <c r="D59" s="152"/>
      <c r="E59" s="170"/>
      <c r="F59" s="95"/>
      <c r="G59" s="153" t="str">
        <f t="shared" si="1"/>
        <v/>
      </c>
      <c r="H59" s="10" t="s">
        <v>20</v>
      </c>
      <c r="I59" s="331">
        <v>11.35</v>
      </c>
      <c r="J59" s="12">
        <f t="shared" ref="J59:J64" si="4">E59*I59</f>
        <v>0</v>
      </c>
      <c r="K59" s="13"/>
    </row>
    <row r="60" spans="1:11" s="6" customFormat="1" ht="15.65" hidden="1" customHeight="1" x14ac:dyDescent="0.35">
      <c r="A60" s="103"/>
      <c r="B60" s="12" t="s">
        <v>13</v>
      </c>
      <c r="C60" s="10" t="s">
        <v>236</v>
      </c>
      <c r="D60" s="152"/>
      <c r="E60" s="170"/>
      <c r="F60" s="95"/>
      <c r="G60" s="153" t="str">
        <f t="shared" si="1"/>
        <v/>
      </c>
      <c r="H60" s="10" t="s">
        <v>20</v>
      </c>
      <c r="I60" s="331">
        <v>14.65</v>
      </c>
      <c r="J60" s="12">
        <f t="shared" si="4"/>
        <v>0</v>
      </c>
    </row>
    <row r="61" spans="1:11" ht="14.5" hidden="1" customHeight="1" x14ac:dyDescent="0.35">
      <c r="A61" s="103"/>
      <c r="B61" s="12" t="s">
        <v>13</v>
      </c>
      <c r="C61" s="10" t="s">
        <v>237</v>
      </c>
      <c r="D61" s="152"/>
      <c r="E61" s="170"/>
      <c r="F61" s="95"/>
      <c r="G61" s="153" t="str">
        <f t="shared" si="1"/>
        <v/>
      </c>
      <c r="H61" s="10" t="s">
        <v>20</v>
      </c>
      <c r="I61" s="331">
        <v>16.25</v>
      </c>
      <c r="J61" s="12">
        <f t="shared" si="4"/>
        <v>0</v>
      </c>
      <c r="K61" s="13"/>
    </row>
    <row r="62" spans="1:11" s="6" customFormat="1" ht="15.5" hidden="1" x14ac:dyDescent="0.35">
      <c r="A62" s="103"/>
      <c r="B62" s="12" t="s">
        <v>13</v>
      </c>
      <c r="C62" s="10" t="s">
        <v>238</v>
      </c>
      <c r="D62" s="152"/>
      <c r="E62" s="170"/>
      <c r="F62" s="95"/>
      <c r="G62" s="153" t="str">
        <f t="shared" si="1"/>
        <v/>
      </c>
      <c r="H62" s="10" t="s">
        <v>20</v>
      </c>
      <c r="I62" s="331">
        <v>17.899999999999999</v>
      </c>
      <c r="J62" s="12">
        <f t="shared" si="4"/>
        <v>0</v>
      </c>
    </row>
    <row r="63" spans="1:11" hidden="1" x14ac:dyDescent="0.35">
      <c r="A63" s="103"/>
      <c r="B63" s="12" t="s">
        <v>13</v>
      </c>
      <c r="C63" s="10" t="s">
        <v>239</v>
      </c>
      <c r="D63" s="152"/>
      <c r="E63" s="170"/>
      <c r="F63" s="95"/>
      <c r="G63" s="153" t="str">
        <f t="shared" si="1"/>
        <v/>
      </c>
      <c r="H63" s="10" t="s">
        <v>20</v>
      </c>
      <c r="I63" s="331">
        <v>15.95</v>
      </c>
      <c r="J63" s="12">
        <f t="shared" si="4"/>
        <v>0</v>
      </c>
      <c r="K63" s="13"/>
    </row>
    <row r="64" spans="1:11" ht="14.5" hidden="1" customHeight="1" x14ac:dyDescent="0.35">
      <c r="A64" s="103"/>
      <c r="B64" s="12" t="s">
        <v>13</v>
      </c>
      <c r="C64" s="10" t="s">
        <v>240</v>
      </c>
      <c r="D64" s="152"/>
      <c r="E64" s="170"/>
      <c r="F64" s="95"/>
      <c r="G64" s="153" t="str">
        <f t="shared" si="1"/>
        <v/>
      </c>
      <c r="H64" s="10" t="s">
        <v>20</v>
      </c>
      <c r="I64" s="331">
        <v>15.45</v>
      </c>
      <c r="J64" s="12">
        <f t="shared" si="4"/>
        <v>0</v>
      </c>
      <c r="K64" s="13"/>
    </row>
    <row r="65" spans="1:11" s="6" customFormat="1" ht="15.65" hidden="1" customHeight="1" x14ac:dyDescent="0.35">
      <c r="A65" s="111"/>
      <c r="B65" s="126" t="s">
        <v>241</v>
      </c>
      <c r="C65" s="127"/>
      <c r="D65" s="226"/>
      <c r="E65" s="172"/>
      <c r="F65" s="144"/>
      <c r="G65" s="153" t="str">
        <f t="shared" si="1"/>
        <v/>
      </c>
      <c r="H65" s="127"/>
      <c r="I65" s="239"/>
      <c r="J65" s="128"/>
    </row>
    <row r="66" spans="1:11" ht="14.5" hidden="1" customHeight="1" x14ac:dyDescent="0.35">
      <c r="A66" s="103"/>
      <c r="B66" s="12" t="s">
        <v>13</v>
      </c>
      <c r="C66" s="10" t="s">
        <v>242</v>
      </c>
      <c r="D66" s="152"/>
      <c r="E66" s="170"/>
      <c r="F66" s="95"/>
      <c r="G66" s="153" t="str">
        <f t="shared" si="1"/>
        <v/>
      </c>
      <c r="H66" s="10" t="s">
        <v>20</v>
      </c>
      <c r="I66" s="331">
        <v>31.05</v>
      </c>
      <c r="J66" s="12">
        <f t="shared" ref="J66:J72" si="5">E66*I66</f>
        <v>0</v>
      </c>
      <c r="K66" s="13"/>
    </row>
    <row r="67" spans="1:11" ht="14.5" hidden="1" customHeight="1" x14ac:dyDescent="0.35">
      <c r="A67" s="103"/>
      <c r="B67" s="12" t="s">
        <v>13</v>
      </c>
      <c r="C67" s="10" t="s">
        <v>243</v>
      </c>
      <c r="D67" s="152"/>
      <c r="E67" s="170"/>
      <c r="F67" s="95"/>
      <c r="G67" s="153" t="str">
        <f t="shared" si="1"/>
        <v/>
      </c>
      <c r="H67" s="10" t="s">
        <v>20</v>
      </c>
      <c r="I67" s="331">
        <v>60.79</v>
      </c>
      <c r="J67" s="12">
        <f t="shared" si="5"/>
        <v>0</v>
      </c>
      <c r="K67" s="13"/>
    </row>
    <row r="68" spans="1:11" hidden="1" x14ac:dyDescent="0.35">
      <c r="A68" s="103"/>
      <c r="B68" s="12" t="s">
        <v>13</v>
      </c>
      <c r="C68" s="10" t="s">
        <v>244</v>
      </c>
      <c r="D68" s="152"/>
      <c r="E68" s="170"/>
      <c r="F68" s="95"/>
      <c r="G68" s="153" t="str">
        <f t="shared" si="1"/>
        <v/>
      </c>
      <c r="H68" s="10" t="s">
        <v>20</v>
      </c>
      <c r="I68" s="331">
        <v>56.55</v>
      </c>
      <c r="J68" s="12">
        <f t="shared" si="5"/>
        <v>0</v>
      </c>
      <c r="K68" s="13"/>
    </row>
    <row r="69" spans="1:11" hidden="1" x14ac:dyDescent="0.35">
      <c r="A69" s="103"/>
      <c r="B69" s="12" t="s">
        <v>13</v>
      </c>
      <c r="C69" s="10" t="s">
        <v>245</v>
      </c>
      <c r="D69" s="152"/>
      <c r="E69" s="170"/>
      <c r="F69" s="95"/>
      <c r="G69" s="153" t="str">
        <f t="shared" si="1"/>
        <v/>
      </c>
      <c r="H69" s="10" t="s">
        <v>20</v>
      </c>
      <c r="I69" s="331">
        <v>107.44</v>
      </c>
      <c r="J69" s="12">
        <f t="shared" si="5"/>
        <v>0</v>
      </c>
      <c r="K69" s="13"/>
    </row>
    <row r="70" spans="1:11" ht="14.5" hidden="1" customHeight="1" x14ac:dyDescent="0.35">
      <c r="A70" s="103"/>
      <c r="B70" s="12" t="s">
        <v>13</v>
      </c>
      <c r="C70" s="10" t="s">
        <v>246</v>
      </c>
      <c r="D70" s="152"/>
      <c r="E70" s="170"/>
      <c r="F70" s="95"/>
      <c r="G70" s="153" t="str">
        <f t="shared" si="1"/>
        <v/>
      </c>
      <c r="H70" s="10" t="s">
        <v>20</v>
      </c>
      <c r="I70" s="331">
        <v>47.4</v>
      </c>
      <c r="J70" s="12">
        <f t="shared" si="5"/>
        <v>0</v>
      </c>
      <c r="K70" s="13"/>
    </row>
    <row r="71" spans="1:11" ht="15.65" hidden="1" customHeight="1" x14ac:dyDescent="0.35">
      <c r="A71" s="103"/>
      <c r="B71" s="12" t="s">
        <v>13</v>
      </c>
      <c r="C71" s="10" t="s">
        <v>247</v>
      </c>
      <c r="D71" s="152"/>
      <c r="E71" s="170"/>
      <c r="F71" s="95"/>
      <c r="G71" s="153" t="str">
        <f t="shared" si="1"/>
        <v/>
      </c>
      <c r="H71" s="10" t="s">
        <v>20</v>
      </c>
      <c r="I71" s="331">
        <v>87.63</v>
      </c>
      <c r="J71" s="12">
        <f t="shared" si="5"/>
        <v>0</v>
      </c>
      <c r="K71" s="13"/>
    </row>
    <row r="72" spans="1:11" ht="15.65" hidden="1" customHeight="1" x14ac:dyDescent="0.35">
      <c r="A72" s="103"/>
      <c r="B72" s="12" t="s">
        <v>13</v>
      </c>
      <c r="C72" s="10" t="s">
        <v>248</v>
      </c>
      <c r="D72" s="152"/>
      <c r="E72" s="170"/>
      <c r="F72" s="95"/>
      <c r="G72" s="153" t="str">
        <f t="shared" si="1"/>
        <v/>
      </c>
      <c r="H72" s="10" t="s">
        <v>20</v>
      </c>
      <c r="I72" s="331">
        <v>52.31</v>
      </c>
      <c r="J72" s="12">
        <f t="shared" si="5"/>
        <v>0</v>
      </c>
      <c r="K72" s="13"/>
    </row>
    <row r="73" spans="1:11" ht="16.399999999999999" hidden="1" customHeight="1" x14ac:dyDescent="0.35">
      <c r="A73" s="111"/>
      <c r="B73" s="126" t="s">
        <v>249</v>
      </c>
      <c r="C73" s="127"/>
      <c r="D73" s="226"/>
      <c r="E73" s="172"/>
      <c r="F73" s="144"/>
      <c r="G73" s="153" t="str">
        <f t="shared" si="1"/>
        <v/>
      </c>
      <c r="H73" s="127"/>
      <c r="I73" s="239"/>
      <c r="J73" s="128"/>
      <c r="K73" s="13"/>
    </row>
    <row r="74" spans="1:11" ht="14.5" hidden="1" customHeight="1" x14ac:dyDescent="0.35">
      <c r="A74" s="103"/>
      <c r="B74" s="12" t="s">
        <v>13</v>
      </c>
      <c r="C74" s="10" t="s">
        <v>250</v>
      </c>
      <c r="D74" s="152"/>
      <c r="E74" s="170"/>
      <c r="F74" s="95"/>
      <c r="G74" s="153" t="str">
        <f t="shared" si="1"/>
        <v/>
      </c>
      <c r="H74" s="10" t="s">
        <v>20</v>
      </c>
      <c r="I74" s="331">
        <v>10.8</v>
      </c>
      <c r="J74" s="12">
        <f>E74*I74</f>
        <v>0</v>
      </c>
      <c r="K74" s="13"/>
    </row>
    <row r="75" spans="1:11" ht="14.5" hidden="1" customHeight="1" x14ac:dyDescent="0.35">
      <c r="A75" s="103"/>
      <c r="B75" s="12" t="s">
        <v>13</v>
      </c>
      <c r="C75" s="10" t="s">
        <v>251</v>
      </c>
      <c r="D75" s="152"/>
      <c r="E75" s="170"/>
      <c r="F75" s="95"/>
      <c r="G75" s="153" t="str">
        <f t="shared" si="1"/>
        <v/>
      </c>
      <c r="H75" s="10" t="s">
        <v>20</v>
      </c>
      <c r="I75" s="331">
        <v>11.2</v>
      </c>
      <c r="J75" s="12">
        <f>E75*I75</f>
        <v>0</v>
      </c>
      <c r="K75" s="13"/>
    </row>
    <row r="76" spans="1:11" s="24" customFormat="1" ht="15.65" customHeight="1" x14ac:dyDescent="0.35">
      <c r="A76" s="103"/>
      <c r="B76" s="12" t="s">
        <v>13</v>
      </c>
      <c r="C76" s="10" t="s">
        <v>252</v>
      </c>
      <c r="D76" s="152"/>
      <c r="E76" s="170"/>
      <c r="F76" s="95"/>
      <c r="G76" s="153" t="str">
        <f t="shared" si="1"/>
        <v/>
      </c>
      <c r="H76" s="10" t="s">
        <v>23</v>
      </c>
      <c r="I76" s="331">
        <v>4.5599999999999996</v>
      </c>
      <c r="J76" s="12">
        <f>E76*I76</f>
        <v>0</v>
      </c>
    </row>
    <row r="77" spans="1:11" s="6" customFormat="1" ht="15.65" customHeight="1" x14ac:dyDescent="0.35">
      <c r="A77" s="103"/>
      <c r="B77" s="12" t="s">
        <v>13</v>
      </c>
      <c r="C77" s="10" t="s">
        <v>253</v>
      </c>
      <c r="D77" s="152"/>
      <c r="E77" s="170"/>
      <c r="F77" s="95"/>
      <c r="G77" s="153" t="str">
        <f t="shared" si="1"/>
        <v/>
      </c>
      <c r="H77" s="10" t="s">
        <v>23</v>
      </c>
      <c r="I77" s="331">
        <v>37.700000000000003</v>
      </c>
      <c r="J77" s="12">
        <f>E77*I77</f>
        <v>0</v>
      </c>
    </row>
    <row r="78" spans="1:11" ht="14.5" hidden="1" customHeight="1" x14ac:dyDescent="0.35">
      <c r="A78" s="108" t="s">
        <v>254</v>
      </c>
      <c r="B78" s="108"/>
      <c r="C78" s="108"/>
      <c r="D78" s="223"/>
      <c r="E78" s="169"/>
      <c r="F78" s="109"/>
      <c r="G78" s="153" t="str">
        <f t="shared" si="1"/>
        <v/>
      </c>
      <c r="H78" s="108"/>
      <c r="I78" s="110" t="s">
        <v>18</v>
      </c>
      <c r="J78" s="115">
        <f>SUM(J80:J121)</f>
        <v>0</v>
      </c>
    </row>
    <row r="79" spans="1:11" ht="14.5" hidden="1" customHeight="1" x14ac:dyDescent="0.35">
      <c r="A79" s="111"/>
      <c r="B79" s="126" t="s">
        <v>255</v>
      </c>
      <c r="C79" s="127"/>
      <c r="D79" s="226"/>
      <c r="E79" s="172"/>
      <c r="F79" s="144"/>
      <c r="G79" s="153" t="str">
        <f t="shared" si="1"/>
        <v/>
      </c>
      <c r="H79" s="127"/>
      <c r="I79" s="239"/>
      <c r="J79" s="128"/>
      <c r="K79" s="13"/>
    </row>
    <row r="80" spans="1:11" ht="14.5" hidden="1" customHeight="1" x14ac:dyDescent="0.35">
      <c r="A80" s="103"/>
      <c r="B80" s="12" t="s">
        <v>3</v>
      </c>
      <c r="C80" s="10" t="s">
        <v>256</v>
      </c>
      <c r="D80" s="152"/>
      <c r="E80" s="170"/>
      <c r="F80" s="95"/>
      <c r="G80" s="153" t="str">
        <f t="shared" si="1"/>
        <v/>
      </c>
      <c r="H80" s="10" t="s">
        <v>20</v>
      </c>
      <c r="I80" s="331">
        <v>32.950000000000003</v>
      </c>
      <c r="J80" s="12">
        <f t="shared" ref="J80:J86" si="6">E80*I80</f>
        <v>0</v>
      </c>
      <c r="K80" s="13"/>
    </row>
    <row r="81" spans="1:13" ht="14.5" hidden="1" customHeight="1" x14ac:dyDescent="0.35">
      <c r="A81" s="103"/>
      <c r="B81" s="12" t="s">
        <v>3</v>
      </c>
      <c r="C81" s="10" t="s">
        <v>257</v>
      </c>
      <c r="D81" s="152"/>
      <c r="E81" s="170"/>
      <c r="F81" s="95"/>
      <c r="G81" s="153" t="str">
        <f t="shared" si="1"/>
        <v/>
      </c>
      <c r="H81" s="10" t="s">
        <v>20</v>
      </c>
      <c r="I81" s="331">
        <v>56.95</v>
      </c>
      <c r="J81" s="12">
        <f t="shared" si="6"/>
        <v>0</v>
      </c>
      <c r="K81" s="13" t="s">
        <v>47</v>
      </c>
    </row>
    <row r="82" spans="1:13" ht="14.5" hidden="1" customHeight="1" x14ac:dyDescent="0.35">
      <c r="A82" s="103"/>
      <c r="B82" s="12" t="s">
        <v>3</v>
      </c>
      <c r="C82" s="10" t="s">
        <v>258</v>
      </c>
      <c r="D82" s="152"/>
      <c r="E82" s="170"/>
      <c r="F82" s="95"/>
      <c r="G82" s="153" t="str">
        <f t="shared" si="1"/>
        <v/>
      </c>
      <c r="H82" s="10" t="s">
        <v>20</v>
      </c>
      <c r="I82" s="331">
        <v>15.95</v>
      </c>
      <c r="J82" s="12">
        <f t="shared" si="6"/>
        <v>0</v>
      </c>
    </row>
    <row r="83" spans="1:13" ht="14.5" hidden="1" customHeight="1" x14ac:dyDescent="0.35">
      <c r="A83" s="103"/>
      <c r="B83" s="12" t="s">
        <v>3</v>
      </c>
      <c r="C83" s="10" t="s">
        <v>259</v>
      </c>
      <c r="D83" s="152"/>
      <c r="E83" s="170"/>
      <c r="F83" s="95"/>
      <c r="G83" s="153" t="str">
        <f t="shared" si="1"/>
        <v/>
      </c>
      <c r="H83" s="10" t="s">
        <v>20</v>
      </c>
      <c r="I83" s="331">
        <v>19.95</v>
      </c>
      <c r="J83" s="12">
        <f t="shared" si="6"/>
        <v>0</v>
      </c>
      <c r="K83" s="28"/>
    </row>
    <row r="84" spans="1:13" s="6" customFormat="1" ht="15.65" hidden="1" customHeight="1" x14ac:dyDescent="0.35">
      <c r="A84" s="103"/>
      <c r="B84" s="12" t="s">
        <v>3</v>
      </c>
      <c r="C84" s="10" t="s">
        <v>260</v>
      </c>
      <c r="D84" s="152"/>
      <c r="E84" s="170"/>
      <c r="F84" s="95"/>
      <c r="G84" s="153" t="str">
        <f t="shared" si="1"/>
        <v/>
      </c>
      <c r="H84" s="10" t="s">
        <v>20</v>
      </c>
      <c r="I84" s="331">
        <v>46.95</v>
      </c>
      <c r="J84" s="12">
        <f t="shared" si="6"/>
        <v>0</v>
      </c>
      <c r="K84" s="30"/>
    </row>
    <row r="85" spans="1:13" ht="14.5" hidden="1" customHeight="1" x14ac:dyDescent="0.35">
      <c r="A85" s="103"/>
      <c r="B85" s="12" t="s">
        <v>3</v>
      </c>
      <c r="C85" s="10" t="s">
        <v>261</v>
      </c>
      <c r="D85" s="152"/>
      <c r="E85" s="170"/>
      <c r="F85" s="95"/>
      <c r="G85" s="153" t="str">
        <f t="shared" si="1"/>
        <v/>
      </c>
      <c r="H85" s="10" t="s">
        <v>20</v>
      </c>
      <c r="I85" s="331">
        <v>34.950000000000003</v>
      </c>
      <c r="J85" s="12">
        <f t="shared" si="6"/>
        <v>0</v>
      </c>
      <c r="K85" s="28"/>
    </row>
    <row r="86" spans="1:13" s="6" customFormat="1" ht="15.65" hidden="1" customHeight="1" x14ac:dyDescent="0.35">
      <c r="A86" s="103"/>
      <c r="B86" s="12" t="s">
        <v>3</v>
      </c>
      <c r="C86" s="10" t="s">
        <v>262</v>
      </c>
      <c r="D86" s="152"/>
      <c r="E86" s="170"/>
      <c r="F86" s="95"/>
      <c r="G86" s="153" t="str">
        <f t="shared" si="1"/>
        <v/>
      </c>
      <c r="H86" s="10" t="s">
        <v>20</v>
      </c>
      <c r="I86" s="331">
        <v>24.95</v>
      </c>
      <c r="J86" s="12">
        <f t="shared" si="6"/>
        <v>0</v>
      </c>
    </row>
    <row r="87" spans="1:13" ht="15.5" hidden="1" x14ac:dyDescent="0.35">
      <c r="A87" s="111"/>
      <c r="B87" s="126" t="s">
        <v>263</v>
      </c>
      <c r="C87" s="127"/>
      <c r="D87" s="226"/>
      <c r="E87" s="172"/>
      <c r="F87" s="144"/>
      <c r="G87" s="153" t="str">
        <f t="shared" si="1"/>
        <v/>
      </c>
      <c r="H87" s="127"/>
      <c r="I87" s="239"/>
      <c r="J87" s="128"/>
      <c r="K87" s="28"/>
      <c r="M87" t="s">
        <v>47</v>
      </c>
    </row>
    <row r="88" spans="1:13" hidden="1" x14ac:dyDescent="0.35">
      <c r="A88" s="103"/>
      <c r="B88" s="12" t="s">
        <v>3</v>
      </c>
      <c r="C88" s="10" t="s">
        <v>264</v>
      </c>
      <c r="D88" s="152"/>
      <c r="E88" s="170"/>
      <c r="F88" s="95"/>
      <c r="G88" s="153" t="str">
        <f t="shared" si="1"/>
        <v/>
      </c>
      <c r="H88" s="10" t="s">
        <v>20</v>
      </c>
      <c r="I88" s="331">
        <v>19.5</v>
      </c>
      <c r="J88" s="12">
        <f t="shared" ref="J88:J94" si="7">E88*I88</f>
        <v>0</v>
      </c>
      <c r="K88" s="28"/>
    </row>
    <row r="89" spans="1:13" hidden="1" x14ac:dyDescent="0.35">
      <c r="A89" s="103"/>
      <c r="B89" s="12" t="s">
        <v>3</v>
      </c>
      <c r="C89" s="10" t="s">
        <v>265</v>
      </c>
      <c r="D89" s="152"/>
      <c r="E89" s="170"/>
      <c r="F89" s="95"/>
      <c r="G89" s="153" t="str">
        <f t="shared" ref="G89:G152" si="8">IF(E89="","",IF(D89-E89&gt;0,D89-E89,""))</f>
        <v/>
      </c>
      <c r="H89" s="10" t="s">
        <v>20</v>
      </c>
      <c r="I89" s="331">
        <v>16.95</v>
      </c>
      <c r="J89" s="12">
        <f t="shared" si="7"/>
        <v>0</v>
      </c>
      <c r="K89" s="28"/>
    </row>
    <row r="90" spans="1:13" hidden="1" x14ac:dyDescent="0.35">
      <c r="A90" s="103"/>
      <c r="B90" s="12" t="s">
        <v>3</v>
      </c>
      <c r="C90" s="10" t="s">
        <v>266</v>
      </c>
      <c r="D90" s="152"/>
      <c r="E90" s="170"/>
      <c r="F90" s="95"/>
      <c r="G90" s="153" t="str">
        <f t="shared" si="8"/>
        <v/>
      </c>
      <c r="H90" s="10" t="s">
        <v>20</v>
      </c>
      <c r="I90" s="331">
        <v>17.95</v>
      </c>
      <c r="J90" s="12">
        <f t="shared" si="7"/>
        <v>0</v>
      </c>
      <c r="K90" s="28"/>
    </row>
    <row r="91" spans="1:13" hidden="1" x14ac:dyDescent="0.35">
      <c r="A91" s="103"/>
      <c r="B91" s="12" t="s">
        <v>3</v>
      </c>
      <c r="C91" s="10" t="s">
        <v>267</v>
      </c>
      <c r="D91" s="152"/>
      <c r="E91" s="170"/>
      <c r="F91" s="95"/>
      <c r="G91" s="153" t="str">
        <f t="shared" si="8"/>
        <v/>
      </c>
      <c r="H91" s="10" t="s">
        <v>20</v>
      </c>
      <c r="I91" s="331">
        <v>15.95</v>
      </c>
      <c r="J91" s="12">
        <f t="shared" si="7"/>
        <v>0</v>
      </c>
      <c r="K91" s="28"/>
    </row>
    <row r="92" spans="1:13" s="6" customFormat="1" ht="15.5" hidden="1" x14ac:dyDescent="0.35">
      <c r="A92" s="103"/>
      <c r="B92" s="12" t="s">
        <v>3</v>
      </c>
      <c r="C92" s="10" t="s">
        <v>268</v>
      </c>
      <c r="D92" s="152"/>
      <c r="E92" s="170"/>
      <c r="F92" s="95"/>
      <c r="G92" s="153" t="str">
        <f t="shared" si="8"/>
        <v/>
      </c>
      <c r="H92" s="10" t="s">
        <v>20</v>
      </c>
      <c r="I92" s="331">
        <v>20.95</v>
      </c>
      <c r="J92" s="12">
        <f t="shared" si="7"/>
        <v>0</v>
      </c>
      <c r="K92" s="30"/>
    </row>
    <row r="93" spans="1:13" hidden="1" x14ac:dyDescent="0.35">
      <c r="A93" s="103"/>
      <c r="B93" s="12" t="s">
        <v>3</v>
      </c>
      <c r="C93" s="10" t="s">
        <v>269</v>
      </c>
      <c r="D93" s="152"/>
      <c r="E93" s="170"/>
      <c r="F93" s="95"/>
      <c r="G93" s="153" t="str">
        <f t="shared" si="8"/>
        <v/>
      </c>
      <c r="H93" s="10" t="s">
        <v>20</v>
      </c>
      <c r="I93" s="331">
        <v>26.95</v>
      </c>
      <c r="J93" s="12">
        <f t="shared" si="7"/>
        <v>0</v>
      </c>
      <c r="K93" s="31"/>
    </row>
    <row r="94" spans="1:13" hidden="1" x14ac:dyDescent="0.35">
      <c r="A94" s="103"/>
      <c r="B94" s="12" t="s">
        <v>3</v>
      </c>
      <c r="C94" s="10" t="s">
        <v>270</v>
      </c>
      <c r="D94" s="152"/>
      <c r="E94" s="170"/>
      <c r="F94" s="95"/>
      <c r="G94" s="153" t="str">
        <f t="shared" si="8"/>
        <v/>
      </c>
      <c r="H94" s="10" t="s">
        <v>20</v>
      </c>
      <c r="I94" s="331">
        <v>26.95</v>
      </c>
      <c r="J94" s="12">
        <f t="shared" si="7"/>
        <v>0</v>
      </c>
      <c r="K94" s="31"/>
    </row>
    <row r="95" spans="1:13" s="6" customFormat="1" ht="15.5" hidden="1" x14ac:dyDescent="0.35">
      <c r="A95" s="111"/>
      <c r="B95" s="126" t="s">
        <v>271</v>
      </c>
      <c r="C95" s="127"/>
      <c r="D95" s="226"/>
      <c r="E95" s="172"/>
      <c r="F95" s="144"/>
      <c r="G95" s="153" t="str">
        <f t="shared" si="8"/>
        <v/>
      </c>
      <c r="H95" s="127"/>
      <c r="I95" s="239"/>
      <c r="J95" s="128"/>
      <c r="K95" s="30"/>
    </row>
    <row r="96" spans="1:13" ht="14.15" hidden="1" customHeight="1" x14ac:dyDescent="0.35">
      <c r="A96" s="103"/>
      <c r="B96" s="12" t="s">
        <v>3</v>
      </c>
      <c r="C96" s="10" t="s">
        <v>272</v>
      </c>
      <c r="D96" s="152"/>
      <c r="E96" s="170"/>
      <c r="F96" s="95"/>
      <c r="G96" s="153" t="str">
        <f t="shared" si="8"/>
        <v/>
      </c>
      <c r="H96" s="10" t="s">
        <v>20</v>
      </c>
      <c r="I96" s="331">
        <v>20.95</v>
      </c>
      <c r="J96" s="12">
        <f>E96*I96</f>
        <v>0</v>
      </c>
      <c r="K96" s="28"/>
    </row>
    <row r="97" spans="1:11" hidden="1" x14ac:dyDescent="0.35">
      <c r="A97" s="103"/>
      <c r="B97" s="12" t="s">
        <v>3</v>
      </c>
      <c r="C97" s="10" t="s">
        <v>273</v>
      </c>
      <c r="D97" s="152"/>
      <c r="E97" s="170"/>
      <c r="F97" s="95"/>
      <c r="G97" s="153" t="str">
        <f t="shared" si="8"/>
        <v/>
      </c>
      <c r="H97" s="10" t="s">
        <v>20</v>
      </c>
      <c r="I97" s="331">
        <v>23.95</v>
      </c>
      <c r="J97" s="12">
        <f>E97*I97</f>
        <v>0</v>
      </c>
      <c r="K97" s="28"/>
    </row>
    <row r="98" spans="1:11" s="6" customFormat="1" ht="15.65" hidden="1" customHeight="1" x14ac:dyDescent="0.35">
      <c r="A98" s="103"/>
      <c r="B98" s="12" t="s">
        <v>3</v>
      </c>
      <c r="C98" s="10" t="s">
        <v>274</v>
      </c>
      <c r="D98" s="152"/>
      <c r="E98" s="170"/>
      <c r="F98" s="95"/>
      <c r="G98" s="153" t="str">
        <f t="shared" si="8"/>
        <v/>
      </c>
      <c r="H98" s="10" t="s">
        <v>20</v>
      </c>
      <c r="I98" s="331">
        <v>22.5</v>
      </c>
      <c r="J98" s="12">
        <f>E98*I98</f>
        <v>0</v>
      </c>
      <c r="K98" s="30"/>
    </row>
    <row r="99" spans="1:11" ht="14.5" hidden="1" customHeight="1" x14ac:dyDescent="0.35">
      <c r="A99" s="103"/>
      <c r="B99" s="12" t="s">
        <v>3</v>
      </c>
      <c r="C99" s="10" t="s">
        <v>275</v>
      </c>
      <c r="D99" s="152"/>
      <c r="E99" s="170"/>
      <c r="F99" s="95"/>
      <c r="G99" s="153" t="str">
        <f t="shared" si="8"/>
        <v/>
      </c>
      <c r="H99" s="10" t="s">
        <v>20</v>
      </c>
      <c r="I99" s="331">
        <v>29.95</v>
      </c>
      <c r="J99" s="12">
        <f>E99*I99</f>
        <v>0</v>
      </c>
      <c r="K99" s="31"/>
    </row>
    <row r="100" spans="1:11" s="6" customFormat="1" ht="15.65" hidden="1" customHeight="1" x14ac:dyDescent="0.35">
      <c r="A100" s="111"/>
      <c r="B100" s="126" t="s">
        <v>276</v>
      </c>
      <c r="C100" s="127"/>
      <c r="D100" s="226"/>
      <c r="E100" s="172"/>
      <c r="F100" s="144"/>
      <c r="G100" s="153" t="str">
        <f t="shared" si="8"/>
        <v/>
      </c>
      <c r="H100" s="127"/>
      <c r="I100" s="239"/>
      <c r="J100" s="128"/>
    </row>
    <row r="101" spans="1:11" hidden="1" x14ac:dyDescent="0.35">
      <c r="A101" s="103"/>
      <c r="B101" s="12" t="s">
        <v>3</v>
      </c>
      <c r="C101" s="10" t="s">
        <v>277</v>
      </c>
      <c r="D101" s="152"/>
      <c r="E101" s="170"/>
      <c r="F101" s="95"/>
      <c r="G101" s="153" t="str">
        <f t="shared" si="8"/>
        <v/>
      </c>
      <c r="H101" s="10" t="s">
        <v>20</v>
      </c>
      <c r="I101" s="331">
        <v>17.95</v>
      </c>
      <c r="J101" s="12">
        <f>E101*I101</f>
        <v>0</v>
      </c>
      <c r="K101" s="28"/>
    </row>
    <row r="102" spans="1:11" s="6" customFormat="1" ht="15.5" hidden="1" x14ac:dyDescent="0.35">
      <c r="A102" s="103"/>
      <c r="B102" s="12" t="s">
        <v>3</v>
      </c>
      <c r="C102" s="10" t="s">
        <v>278</v>
      </c>
      <c r="D102" s="152"/>
      <c r="E102" s="170"/>
      <c r="F102" s="95"/>
      <c r="G102" s="153" t="str">
        <f t="shared" si="8"/>
        <v/>
      </c>
      <c r="H102" s="10" t="s">
        <v>20</v>
      </c>
      <c r="I102" s="331">
        <v>20.95</v>
      </c>
      <c r="J102" s="12">
        <f>E102*I102</f>
        <v>0</v>
      </c>
    </row>
    <row r="103" spans="1:11" hidden="1" x14ac:dyDescent="0.35">
      <c r="A103" s="103"/>
      <c r="B103" s="12" t="s">
        <v>3</v>
      </c>
      <c r="C103" s="10" t="s">
        <v>279</v>
      </c>
      <c r="D103" s="152"/>
      <c r="E103" s="170"/>
      <c r="F103" s="95"/>
      <c r="G103" s="153" t="str">
        <f t="shared" si="8"/>
        <v/>
      </c>
      <c r="H103" s="10" t="s">
        <v>20</v>
      </c>
      <c r="I103" s="331">
        <v>19.95</v>
      </c>
      <c r="J103" s="12">
        <f>E103*I103</f>
        <v>0</v>
      </c>
      <c r="K103" s="13"/>
    </row>
    <row r="104" spans="1:11" hidden="1" x14ac:dyDescent="0.35">
      <c r="A104" s="103"/>
      <c r="B104" s="40" t="s">
        <v>3</v>
      </c>
      <c r="C104" s="41" t="s">
        <v>280</v>
      </c>
      <c r="D104" s="227"/>
      <c r="E104" s="170"/>
      <c r="F104" s="145"/>
      <c r="G104" s="153" t="str">
        <f t="shared" si="8"/>
        <v/>
      </c>
      <c r="H104" s="41" t="s">
        <v>20</v>
      </c>
      <c r="I104" s="334">
        <v>59.95</v>
      </c>
      <c r="J104" s="40">
        <f>E104*I104</f>
        <v>0</v>
      </c>
      <c r="K104" s="13"/>
    </row>
    <row r="105" spans="1:11" ht="15.65" hidden="1" customHeight="1" x14ac:dyDescent="0.35">
      <c r="A105" s="111"/>
      <c r="B105" s="126" t="s">
        <v>281</v>
      </c>
      <c r="C105" s="127"/>
      <c r="D105" s="226"/>
      <c r="E105" s="172"/>
      <c r="F105" s="144"/>
      <c r="G105" s="153" t="str">
        <f t="shared" si="8"/>
        <v/>
      </c>
      <c r="H105" s="127"/>
      <c r="I105" s="239"/>
      <c r="J105" s="128"/>
      <c r="K105" s="13"/>
    </row>
    <row r="106" spans="1:11" ht="14.5" hidden="1" customHeight="1" x14ac:dyDescent="0.35">
      <c r="A106" s="103"/>
      <c r="B106" s="12" t="s">
        <v>3</v>
      </c>
      <c r="C106" s="10" t="s">
        <v>282</v>
      </c>
      <c r="D106" s="152"/>
      <c r="E106" s="170"/>
      <c r="F106" s="95"/>
      <c r="G106" s="153" t="str">
        <f t="shared" si="8"/>
        <v/>
      </c>
      <c r="H106" s="10" t="s">
        <v>20</v>
      </c>
      <c r="I106" s="331">
        <v>54.95</v>
      </c>
      <c r="J106" s="12">
        <f>E106*I106</f>
        <v>0</v>
      </c>
      <c r="K106" s="13"/>
    </row>
    <row r="107" spans="1:11" ht="14.5" hidden="1" customHeight="1" x14ac:dyDescent="0.35">
      <c r="A107" s="103"/>
      <c r="B107" s="12" t="s">
        <v>3</v>
      </c>
      <c r="C107" s="10" t="s">
        <v>283</v>
      </c>
      <c r="D107" s="152"/>
      <c r="E107" s="170"/>
      <c r="F107" s="95"/>
      <c r="G107" s="153" t="str">
        <f t="shared" si="8"/>
        <v/>
      </c>
      <c r="H107" s="10" t="s">
        <v>20</v>
      </c>
      <c r="I107" s="331">
        <v>49.95</v>
      </c>
      <c r="J107" s="12">
        <f>E107*I107</f>
        <v>0</v>
      </c>
      <c r="K107" s="13"/>
    </row>
    <row r="108" spans="1:11" ht="14.5" hidden="1" customHeight="1" x14ac:dyDescent="0.35">
      <c r="A108" s="111"/>
      <c r="B108" s="126" t="s">
        <v>284</v>
      </c>
      <c r="C108" s="127"/>
      <c r="D108" s="226"/>
      <c r="E108" s="172"/>
      <c r="F108" s="144"/>
      <c r="G108" s="153" t="str">
        <f t="shared" si="8"/>
        <v/>
      </c>
      <c r="H108" s="127"/>
      <c r="I108" s="239"/>
      <c r="J108" s="128"/>
      <c r="K108" s="13"/>
    </row>
    <row r="109" spans="1:11" ht="14.5" hidden="1" customHeight="1" x14ac:dyDescent="0.35">
      <c r="A109" s="103"/>
      <c r="B109" s="12" t="s">
        <v>3</v>
      </c>
      <c r="C109" s="10" t="s">
        <v>285</v>
      </c>
      <c r="D109" s="152"/>
      <c r="E109" s="170"/>
      <c r="F109" s="95"/>
      <c r="G109" s="153" t="str">
        <f t="shared" si="8"/>
        <v/>
      </c>
      <c r="H109" s="10" t="s">
        <v>20</v>
      </c>
      <c r="I109" s="331">
        <v>41.5</v>
      </c>
      <c r="J109" s="12">
        <f t="shared" ref="J109:J114" si="9">E109*I109</f>
        <v>0</v>
      </c>
      <c r="K109" s="13"/>
    </row>
    <row r="110" spans="1:11" ht="15.65" hidden="1" customHeight="1" x14ac:dyDescent="0.35">
      <c r="A110" s="103"/>
      <c r="B110" s="12" t="s">
        <v>3</v>
      </c>
      <c r="C110" s="10" t="s">
        <v>286</v>
      </c>
      <c r="D110" s="152"/>
      <c r="E110" s="170"/>
      <c r="F110" s="95"/>
      <c r="G110" s="153" t="str">
        <f t="shared" si="8"/>
        <v/>
      </c>
      <c r="H110" s="10" t="s">
        <v>20</v>
      </c>
      <c r="I110" s="331">
        <v>36.200000000000003</v>
      </c>
      <c r="J110" s="12">
        <f t="shared" si="9"/>
        <v>0</v>
      </c>
      <c r="K110" s="13"/>
    </row>
    <row r="111" spans="1:11" hidden="1" x14ac:dyDescent="0.35">
      <c r="A111" s="103"/>
      <c r="B111" s="12" t="s">
        <v>3</v>
      </c>
      <c r="C111" s="10" t="s">
        <v>287</v>
      </c>
      <c r="D111" s="152"/>
      <c r="E111" s="170"/>
      <c r="F111" s="95"/>
      <c r="G111" s="153" t="str">
        <f t="shared" si="8"/>
        <v/>
      </c>
      <c r="H111" s="10" t="s">
        <v>20</v>
      </c>
      <c r="I111" s="331">
        <v>25.95</v>
      </c>
      <c r="J111" s="12">
        <f t="shared" si="9"/>
        <v>0</v>
      </c>
      <c r="K111" s="13"/>
    </row>
    <row r="112" spans="1:11" hidden="1" x14ac:dyDescent="0.35">
      <c r="A112" s="103"/>
      <c r="B112" s="12" t="s">
        <v>3</v>
      </c>
      <c r="C112" s="10" t="s">
        <v>288</v>
      </c>
      <c r="D112" s="152"/>
      <c r="E112" s="170"/>
      <c r="F112" s="95"/>
      <c r="G112" s="153" t="str">
        <f t="shared" si="8"/>
        <v/>
      </c>
      <c r="H112" s="10" t="s">
        <v>20</v>
      </c>
      <c r="I112" s="331">
        <v>32.799999999999997</v>
      </c>
      <c r="J112" s="12">
        <f t="shared" si="9"/>
        <v>0</v>
      </c>
      <c r="K112" s="13"/>
    </row>
    <row r="113" spans="1:11" s="6" customFormat="1" ht="15.5" hidden="1" x14ac:dyDescent="0.35">
      <c r="A113" s="103"/>
      <c r="B113" s="12" t="s">
        <v>3</v>
      </c>
      <c r="C113" s="10" t="s">
        <v>289</v>
      </c>
      <c r="D113" s="152"/>
      <c r="E113" s="170"/>
      <c r="F113" s="95"/>
      <c r="G113" s="153" t="str">
        <f t="shared" si="8"/>
        <v/>
      </c>
      <c r="H113" s="10" t="s">
        <v>20</v>
      </c>
      <c r="I113" s="331">
        <v>29.2</v>
      </c>
      <c r="J113" s="12">
        <f t="shared" si="9"/>
        <v>0</v>
      </c>
    </row>
    <row r="114" spans="1:11" hidden="1" x14ac:dyDescent="0.35">
      <c r="A114" s="103"/>
      <c r="B114" s="12" t="s">
        <v>3</v>
      </c>
      <c r="C114" s="10" t="s">
        <v>290</v>
      </c>
      <c r="D114" s="152"/>
      <c r="E114" s="170"/>
      <c r="F114" s="95"/>
      <c r="G114" s="153" t="str">
        <f t="shared" si="8"/>
        <v/>
      </c>
      <c r="H114" s="10" t="s">
        <v>20</v>
      </c>
      <c r="I114" s="331">
        <v>22.95</v>
      </c>
      <c r="J114" s="12">
        <f t="shared" si="9"/>
        <v>0</v>
      </c>
      <c r="K114" s="13"/>
    </row>
    <row r="115" spans="1:11" ht="15.5" hidden="1" x14ac:dyDescent="0.35">
      <c r="A115" s="111"/>
      <c r="B115" s="126" t="s">
        <v>291</v>
      </c>
      <c r="C115" s="127"/>
      <c r="D115" s="226"/>
      <c r="E115" s="172"/>
      <c r="F115" s="144"/>
      <c r="G115" s="153" t="str">
        <f t="shared" si="8"/>
        <v/>
      </c>
      <c r="H115" s="127"/>
      <c r="I115" s="239"/>
      <c r="J115" s="128"/>
      <c r="K115" s="13"/>
    </row>
    <row r="116" spans="1:11" ht="14.5" hidden="1" customHeight="1" x14ac:dyDescent="0.35">
      <c r="A116" s="103"/>
      <c r="B116" s="12" t="s">
        <v>3</v>
      </c>
      <c r="C116" s="10" t="s">
        <v>292</v>
      </c>
      <c r="D116" s="152"/>
      <c r="E116" s="170"/>
      <c r="F116" s="95"/>
      <c r="G116" s="153" t="str">
        <f t="shared" si="8"/>
        <v/>
      </c>
      <c r="H116" s="10" t="s">
        <v>20</v>
      </c>
      <c r="I116" s="331">
        <v>17.95</v>
      </c>
      <c r="J116" s="12">
        <f t="shared" ref="J116:J121" si="10">E116*I116</f>
        <v>0</v>
      </c>
      <c r="K116" s="13"/>
    </row>
    <row r="117" spans="1:11" ht="14.5" hidden="1" customHeight="1" x14ac:dyDescent="0.35">
      <c r="A117" s="103"/>
      <c r="B117" s="12" t="s">
        <v>3</v>
      </c>
      <c r="C117" s="10" t="s">
        <v>293</v>
      </c>
      <c r="D117" s="152"/>
      <c r="E117" s="170"/>
      <c r="F117" s="95"/>
      <c r="G117" s="153" t="str">
        <f t="shared" si="8"/>
        <v/>
      </c>
      <c r="H117" s="10" t="s">
        <v>20</v>
      </c>
      <c r="I117" s="331">
        <v>12.95</v>
      </c>
      <c r="J117" s="12">
        <f t="shared" si="10"/>
        <v>0</v>
      </c>
      <c r="K117" s="13"/>
    </row>
    <row r="118" spans="1:11" ht="14.5" hidden="1" customHeight="1" x14ac:dyDescent="0.35">
      <c r="A118" s="103"/>
      <c r="B118" s="12" t="s">
        <v>3</v>
      </c>
      <c r="C118" s="10" t="s">
        <v>294</v>
      </c>
      <c r="D118" s="152"/>
      <c r="E118" s="170"/>
      <c r="F118" s="95"/>
      <c r="G118" s="153" t="str">
        <f t="shared" si="8"/>
        <v/>
      </c>
      <c r="H118" s="10" t="s">
        <v>20</v>
      </c>
      <c r="I118" s="331">
        <v>21.95</v>
      </c>
      <c r="J118" s="12">
        <f t="shared" si="10"/>
        <v>0</v>
      </c>
      <c r="K118" s="13"/>
    </row>
    <row r="119" spans="1:11" ht="14.5" hidden="1" customHeight="1" x14ac:dyDescent="0.35">
      <c r="A119" s="103"/>
      <c r="B119" s="12" t="s">
        <v>3</v>
      </c>
      <c r="C119" s="10" t="s">
        <v>295</v>
      </c>
      <c r="D119" s="152"/>
      <c r="E119" s="170"/>
      <c r="F119" s="95"/>
      <c r="G119" s="153" t="str">
        <f t="shared" si="8"/>
        <v/>
      </c>
      <c r="H119" s="10" t="s">
        <v>20</v>
      </c>
      <c r="I119" s="331"/>
      <c r="J119" s="12">
        <f t="shared" si="10"/>
        <v>0</v>
      </c>
      <c r="K119" s="13"/>
    </row>
    <row r="120" spans="1:11" ht="15.65" hidden="1" customHeight="1" x14ac:dyDescent="0.35">
      <c r="A120" s="103"/>
      <c r="B120" s="12" t="s">
        <v>3</v>
      </c>
      <c r="C120" s="10" t="s">
        <v>296</v>
      </c>
      <c r="D120" s="152"/>
      <c r="E120" s="170"/>
      <c r="F120" s="95"/>
      <c r="G120" s="153" t="str">
        <f t="shared" si="8"/>
        <v/>
      </c>
      <c r="H120" s="10" t="s">
        <v>20</v>
      </c>
      <c r="I120" s="331"/>
      <c r="J120" s="12">
        <f t="shared" si="10"/>
        <v>0</v>
      </c>
      <c r="K120" s="13"/>
    </row>
    <row r="121" spans="1:11" ht="15.65" hidden="1" customHeight="1" x14ac:dyDescent="0.35">
      <c r="A121" s="103"/>
      <c r="B121" s="12" t="s">
        <v>3</v>
      </c>
      <c r="C121" s="10" t="s">
        <v>297</v>
      </c>
      <c r="D121" s="152"/>
      <c r="E121" s="170"/>
      <c r="F121" s="95"/>
      <c r="G121" s="153" t="str">
        <f t="shared" si="8"/>
        <v/>
      </c>
      <c r="H121" s="10" t="s">
        <v>20</v>
      </c>
      <c r="I121" s="331">
        <v>22.95</v>
      </c>
      <c r="J121" s="12">
        <f t="shared" si="10"/>
        <v>0</v>
      </c>
      <c r="K121" s="13"/>
    </row>
    <row r="122" spans="1:11" ht="14.5" hidden="1" customHeight="1" x14ac:dyDescent="0.35">
      <c r="A122" s="112" t="s">
        <v>298</v>
      </c>
      <c r="B122" s="116"/>
      <c r="C122" s="116"/>
      <c r="D122" s="228"/>
      <c r="E122" s="173"/>
      <c r="F122" s="146"/>
      <c r="G122" s="153" t="str">
        <f t="shared" si="8"/>
        <v/>
      </c>
      <c r="H122" s="117"/>
      <c r="I122" s="106" t="s">
        <v>18</v>
      </c>
      <c r="J122" s="115">
        <f>SUM(J123:J175)</f>
        <v>100.59</v>
      </c>
      <c r="K122" s="13"/>
    </row>
    <row r="123" spans="1:11" ht="14.5" hidden="1" customHeight="1" x14ac:dyDescent="0.35">
      <c r="A123" s="103"/>
      <c r="B123" s="20" t="s">
        <v>4</v>
      </c>
      <c r="C123" s="18" t="s">
        <v>62</v>
      </c>
      <c r="D123" s="229"/>
      <c r="E123" s="170"/>
      <c r="F123" s="147"/>
      <c r="G123" s="153" t="str">
        <f t="shared" si="8"/>
        <v/>
      </c>
      <c r="H123" s="18" t="s">
        <v>20</v>
      </c>
      <c r="I123" s="335">
        <v>7.35</v>
      </c>
      <c r="J123" s="20">
        <f>E123*I123</f>
        <v>0</v>
      </c>
      <c r="K123" s="13"/>
    </row>
    <row r="124" spans="1:11" ht="14.5" hidden="1" customHeight="1" x14ac:dyDescent="0.35">
      <c r="A124" s="103"/>
      <c r="B124" s="20" t="s">
        <v>4</v>
      </c>
      <c r="C124" s="18" t="s">
        <v>60</v>
      </c>
      <c r="D124" s="229"/>
      <c r="E124" s="170"/>
      <c r="F124" s="147"/>
      <c r="G124" s="153" t="str">
        <f t="shared" si="8"/>
        <v/>
      </c>
      <c r="H124" s="18" t="s">
        <v>20</v>
      </c>
      <c r="I124" s="335">
        <v>10.65</v>
      </c>
      <c r="J124" s="20">
        <f>E124*I124</f>
        <v>0</v>
      </c>
      <c r="K124" s="13"/>
    </row>
    <row r="125" spans="1:11" ht="15.65" hidden="1" customHeight="1" x14ac:dyDescent="0.35">
      <c r="A125" s="113" t="s">
        <v>40</v>
      </c>
      <c r="B125" s="124"/>
      <c r="C125" s="124"/>
      <c r="D125" s="230"/>
      <c r="E125" s="174"/>
      <c r="F125" s="148"/>
      <c r="G125" s="153" t="str">
        <f t="shared" si="8"/>
        <v/>
      </c>
      <c r="H125" s="124"/>
      <c r="I125" s="241"/>
      <c r="J125" s="125"/>
      <c r="K125" s="13"/>
    </row>
    <row r="126" spans="1:11" ht="15.65" hidden="1" customHeight="1" x14ac:dyDescent="0.35">
      <c r="A126" s="103"/>
      <c r="B126" s="20" t="s">
        <v>4</v>
      </c>
      <c r="C126" s="18" t="s">
        <v>299</v>
      </c>
      <c r="D126" s="229"/>
      <c r="E126" s="170"/>
      <c r="F126" s="147"/>
      <c r="G126" s="153" t="str">
        <f t="shared" si="8"/>
        <v/>
      </c>
      <c r="H126" s="18" t="s">
        <v>20</v>
      </c>
      <c r="I126" s="335">
        <v>1.31</v>
      </c>
      <c r="J126" s="12">
        <f t="shared" ref="J126:J137" si="11">E126*I126</f>
        <v>0</v>
      </c>
      <c r="K126" s="13"/>
    </row>
    <row r="127" spans="1:11" ht="14.5" hidden="1" customHeight="1" x14ac:dyDescent="0.35">
      <c r="A127" s="103"/>
      <c r="B127" s="12" t="s">
        <v>4</v>
      </c>
      <c r="C127" s="10" t="s">
        <v>300</v>
      </c>
      <c r="D127" s="152"/>
      <c r="E127" s="170"/>
      <c r="F127" s="95"/>
      <c r="G127" s="153" t="str">
        <f t="shared" si="8"/>
        <v/>
      </c>
      <c r="H127" s="10" t="s">
        <v>20</v>
      </c>
      <c r="I127" s="331">
        <v>1.31</v>
      </c>
      <c r="J127" s="12">
        <f t="shared" si="11"/>
        <v>0</v>
      </c>
    </row>
    <row r="128" spans="1:11" ht="14.5" hidden="1" customHeight="1" x14ac:dyDescent="0.35">
      <c r="A128" s="103"/>
      <c r="B128" s="20" t="s">
        <v>4</v>
      </c>
      <c r="C128" s="18" t="s">
        <v>301</v>
      </c>
      <c r="D128" s="229"/>
      <c r="E128" s="170"/>
      <c r="F128" s="147"/>
      <c r="G128" s="153" t="str">
        <f t="shared" si="8"/>
        <v/>
      </c>
      <c r="H128" s="18" t="s">
        <v>20</v>
      </c>
      <c r="I128" s="335">
        <v>1.4039999999999999</v>
      </c>
      <c r="J128" s="12">
        <f t="shared" si="11"/>
        <v>0</v>
      </c>
    </row>
    <row r="129" spans="1:11" ht="14.5" hidden="1" customHeight="1" x14ac:dyDescent="0.35">
      <c r="A129" s="103"/>
      <c r="B129" s="12" t="s">
        <v>4</v>
      </c>
      <c r="C129" s="10" t="s">
        <v>302</v>
      </c>
      <c r="D129" s="152"/>
      <c r="E129" s="170"/>
      <c r="F129" s="95"/>
      <c r="G129" s="153" t="str">
        <f t="shared" si="8"/>
        <v/>
      </c>
      <c r="H129" s="10" t="s">
        <v>20</v>
      </c>
      <c r="I129" s="331">
        <v>1.4039999999999999</v>
      </c>
      <c r="J129" s="12">
        <f t="shared" si="11"/>
        <v>0</v>
      </c>
    </row>
    <row r="130" spans="1:11" ht="14.5" hidden="1" customHeight="1" x14ac:dyDescent="0.35">
      <c r="A130" s="103"/>
      <c r="B130" s="12" t="s">
        <v>4</v>
      </c>
      <c r="C130" s="10" t="s">
        <v>303</v>
      </c>
      <c r="D130" s="152"/>
      <c r="E130" s="170"/>
      <c r="F130" s="95"/>
      <c r="G130" s="153" t="str">
        <f t="shared" si="8"/>
        <v/>
      </c>
      <c r="H130" s="10" t="s">
        <v>20</v>
      </c>
      <c r="I130" s="331">
        <v>1.53</v>
      </c>
      <c r="J130" s="12">
        <f t="shared" si="11"/>
        <v>0</v>
      </c>
    </row>
    <row r="131" spans="1:11" ht="14.5" hidden="1" customHeight="1" x14ac:dyDescent="0.35">
      <c r="A131" s="103"/>
      <c r="B131" s="12" t="s">
        <v>4</v>
      </c>
      <c r="C131" s="10" t="s">
        <v>304</v>
      </c>
      <c r="D131" s="152"/>
      <c r="E131" s="170"/>
      <c r="F131" s="95"/>
      <c r="G131" s="153" t="str">
        <f t="shared" si="8"/>
        <v/>
      </c>
      <c r="H131" s="10" t="s">
        <v>20</v>
      </c>
      <c r="I131" s="331">
        <v>1.65</v>
      </c>
      <c r="J131" s="12">
        <f t="shared" si="11"/>
        <v>0</v>
      </c>
    </row>
    <row r="132" spans="1:11" ht="14.5" hidden="1" customHeight="1" x14ac:dyDescent="0.35">
      <c r="A132" s="103"/>
      <c r="B132" s="12" t="s">
        <v>4</v>
      </c>
      <c r="C132" s="10" t="s">
        <v>83</v>
      </c>
      <c r="D132" s="152"/>
      <c r="E132" s="170"/>
      <c r="F132" s="95"/>
      <c r="G132" s="153" t="str">
        <f t="shared" si="8"/>
        <v/>
      </c>
      <c r="H132" s="10" t="s">
        <v>20</v>
      </c>
      <c r="I132" s="331">
        <v>1.04</v>
      </c>
      <c r="J132" s="12">
        <f t="shared" si="11"/>
        <v>0</v>
      </c>
    </row>
    <row r="133" spans="1:11" ht="14.5" hidden="1" customHeight="1" x14ac:dyDescent="0.35">
      <c r="A133" s="103"/>
      <c r="B133" s="12" t="s">
        <v>4</v>
      </c>
      <c r="C133" s="10" t="s">
        <v>305</v>
      </c>
      <c r="D133" s="152"/>
      <c r="E133" s="170"/>
      <c r="F133" s="95"/>
      <c r="G133" s="153" t="str">
        <f t="shared" si="8"/>
        <v/>
      </c>
      <c r="H133" s="10" t="s">
        <v>20</v>
      </c>
      <c r="I133" s="331">
        <v>1.04</v>
      </c>
      <c r="J133" s="12">
        <f t="shared" si="11"/>
        <v>0</v>
      </c>
    </row>
    <row r="134" spans="1:11" ht="14.5" hidden="1" customHeight="1" x14ac:dyDescent="0.35">
      <c r="A134" s="103"/>
      <c r="B134" s="12" t="s">
        <v>4</v>
      </c>
      <c r="C134" s="10" t="s">
        <v>306</v>
      </c>
      <c r="D134" s="152"/>
      <c r="E134" s="170"/>
      <c r="F134" s="95"/>
      <c r="G134" s="153" t="str">
        <f t="shared" si="8"/>
        <v/>
      </c>
      <c r="H134" s="10" t="s">
        <v>20</v>
      </c>
      <c r="I134" s="331">
        <v>1.06</v>
      </c>
      <c r="J134" s="12">
        <f t="shared" si="11"/>
        <v>0</v>
      </c>
    </row>
    <row r="135" spans="1:11" ht="14.5" hidden="1" customHeight="1" x14ac:dyDescent="0.35">
      <c r="A135" s="103"/>
      <c r="B135" s="12" t="s">
        <v>4</v>
      </c>
      <c r="C135" s="10" t="s">
        <v>307</v>
      </c>
      <c r="D135" s="152"/>
      <c r="E135" s="170"/>
      <c r="F135" s="95"/>
      <c r="G135" s="153" t="str">
        <f t="shared" si="8"/>
        <v/>
      </c>
      <c r="H135" s="10" t="s">
        <v>20</v>
      </c>
      <c r="I135" s="331">
        <v>1.06</v>
      </c>
      <c r="J135" s="12">
        <f t="shared" si="11"/>
        <v>0</v>
      </c>
    </row>
    <row r="136" spans="1:11" ht="14.5" hidden="1" customHeight="1" x14ac:dyDescent="0.35">
      <c r="A136" s="103"/>
      <c r="B136" s="12" t="s">
        <v>4</v>
      </c>
      <c r="C136" s="10" t="s">
        <v>308</v>
      </c>
      <c r="D136" s="152"/>
      <c r="E136" s="170"/>
      <c r="F136" s="95"/>
      <c r="G136" s="153" t="str">
        <f t="shared" si="8"/>
        <v/>
      </c>
      <c r="H136" s="10" t="s">
        <v>20</v>
      </c>
      <c r="I136" s="331">
        <v>1.2869999999999999</v>
      </c>
      <c r="J136" s="12">
        <f t="shared" si="11"/>
        <v>0</v>
      </c>
    </row>
    <row r="137" spans="1:11" ht="15.65" hidden="1" customHeight="1" x14ac:dyDescent="0.35">
      <c r="A137" s="103"/>
      <c r="B137" s="12" t="s">
        <v>4</v>
      </c>
      <c r="C137" s="10" t="s">
        <v>309</v>
      </c>
      <c r="D137" s="152"/>
      <c r="E137" s="170"/>
      <c r="F137" s="95"/>
      <c r="G137" s="153" t="str">
        <f t="shared" si="8"/>
        <v/>
      </c>
      <c r="H137" s="10" t="s">
        <v>20</v>
      </c>
      <c r="I137" s="331">
        <v>1.59</v>
      </c>
      <c r="J137" s="12">
        <f t="shared" si="11"/>
        <v>0</v>
      </c>
      <c r="K137" s="13"/>
    </row>
    <row r="138" spans="1:11" ht="15.65" hidden="1" customHeight="1" x14ac:dyDescent="0.35">
      <c r="A138" s="113" t="s">
        <v>310</v>
      </c>
      <c r="B138" s="124"/>
      <c r="C138" s="124"/>
      <c r="D138" s="230"/>
      <c r="E138" s="174"/>
      <c r="F138" s="148"/>
      <c r="G138" s="153" t="str">
        <f t="shared" si="8"/>
        <v/>
      </c>
      <c r="H138" s="124"/>
      <c r="I138" s="241"/>
      <c r="J138" s="125"/>
    </row>
    <row r="139" spans="1:11" ht="14.5" hidden="1" customHeight="1" x14ac:dyDescent="0.35">
      <c r="A139" s="103"/>
      <c r="B139" s="12" t="s">
        <v>4</v>
      </c>
      <c r="C139" s="10" t="s">
        <v>311</v>
      </c>
      <c r="D139" s="152"/>
      <c r="E139" s="170"/>
      <c r="F139" s="95"/>
      <c r="G139" s="153" t="str">
        <f t="shared" si="8"/>
        <v/>
      </c>
      <c r="H139" s="10" t="s">
        <v>20</v>
      </c>
      <c r="I139" s="331">
        <v>1.1000000000000001</v>
      </c>
      <c r="J139" s="12">
        <f t="shared" ref="J139:J149" si="12">E139*I139</f>
        <v>0</v>
      </c>
    </row>
    <row r="140" spans="1:11" ht="14.5" hidden="1" customHeight="1" x14ac:dyDescent="0.35">
      <c r="A140" s="103"/>
      <c r="B140" s="12" t="s">
        <v>4</v>
      </c>
      <c r="C140" s="10" t="s">
        <v>312</v>
      </c>
      <c r="D140" s="152"/>
      <c r="E140" s="170"/>
      <c r="F140" s="95"/>
      <c r="G140" s="153" t="str">
        <f t="shared" si="8"/>
        <v/>
      </c>
      <c r="H140" s="10" t="s">
        <v>20</v>
      </c>
      <c r="I140" s="331">
        <v>1.1000000000000001</v>
      </c>
      <c r="J140" s="12">
        <f t="shared" si="12"/>
        <v>0</v>
      </c>
    </row>
    <row r="141" spans="1:11" ht="14.5" hidden="1" customHeight="1" x14ac:dyDescent="0.35">
      <c r="A141" s="103"/>
      <c r="B141" s="12" t="s">
        <v>4</v>
      </c>
      <c r="C141" s="10" t="s">
        <v>313</v>
      </c>
      <c r="D141" s="152"/>
      <c r="E141" s="170"/>
      <c r="F141" s="95"/>
      <c r="G141" s="153" t="str">
        <f t="shared" si="8"/>
        <v/>
      </c>
      <c r="H141" s="10" t="s">
        <v>20</v>
      </c>
      <c r="I141" s="331">
        <v>1.3</v>
      </c>
      <c r="J141" s="12">
        <f t="shared" si="12"/>
        <v>0</v>
      </c>
    </row>
    <row r="142" spans="1:11" ht="14.5" hidden="1" customHeight="1" x14ac:dyDescent="0.35">
      <c r="A142" s="103"/>
      <c r="B142" s="12" t="s">
        <v>4</v>
      </c>
      <c r="C142" s="10" t="s">
        <v>314</v>
      </c>
      <c r="D142" s="152"/>
      <c r="E142" s="170"/>
      <c r="F142" s="95"/>
      <c r="G142" s="153" t="str">
        <f t="shared" si="8"/>
        <v/>
      </c>
      <c r="H142" s="10" t="s">
        <v>20</v>
      </c>
      <c r="I142" s="331">
        <v>1.36</v>
      </c>
      <c r="J142" s="12">
        <f t="shared" si="12"/>
        <v>0</v>
      </c>
    </row>
    <row r="143" spans="1:11" ht="14.5" hidden="1" customHeight="1" x14ac:dyDescent="0.35">
      <c r="A143" s="103"/>
      <c r="B143" s="12" t="s">
        <v>4</v>
      </c>
      <c r="C143" s="10" t="s">
        <v>315</v>
      </c>
      <c r="D143" s="152"/>
      <c r="E143" s="170"/>
      <c r="F143" s="95"/>
      <c r="G143" s="153" t="str">
        <f t="shared" si="8"/>
        <v/>
      </c>
      <c r="H143" s="10" t="s">
        <v>20</v>
      </c>
      <c r="I143" s="331">
        <v>1.3</v>
      </c>
      <c r="J143" s="12">
        <f t="shared" si="12"/>
        <v>0</v>
      </c>
    </row>
    <row r="144" spans="1:11" ht="15.65" hidden="1" customHeight="1" x14ac:dyDescent="0.35">
      <c r="A144" s="103"/>
      <c r="B144" s="12" t="s">
        <v>4</v>
      </c>
      <c r="C144" s="10" t="s">
        <v>316</v>
      </c>
      <c r="D144" s="152"/>
      <c r="E144" s="170"/>
      <c r="F144" s="95"/>
      <c r="G144" s="153" t="str">
        <f t="shared" si="8"/>
        <v/>
      </c>
      <c r="H144" s="10" t="s">
        <v>20</v>
      </c>
      <c r="I144" s="331">
        <v>1.35</v>
      </c>
      <c r="J144" s="12">
        <f t="shared" si="12"/>
        <v>0</v>
      </c>
      <c r="K144" s="13"/>
    </row>
    <row r="145" spans="1:11" ht="15.65" hidden="1" customHeight="1" x14ac:dyDescent="0.35">
      <c r="A145" s="103"/>
      <c r="B145" s="12" t="s">
        <v>4</v>
      </c>
      <c r="C145" s="10" t="s">
        <v>317</v>
      </c>
      <c r="D145" s="152"/>
      <c r="E145" s="170"/>
      <c r="F145" s="95"/>
      <c r="G145" s="153" t="str">
        <f t="shared" si="8"/>
        <v/>
      </c>
      <c r="H145" s="10" t="s">
        <v>20</v>
      </c>
      <c r="I145" s="331">
        <v>1.28</v>
      </c>
      <c r="J145" s="12">
        <f t="shared" si="12"/>
        <v>0</v>
      </c>
    </row>
    <row r="146" spans="1:11" ht="14.5" hidden="1" customHeight="1" x14ac:dyDescent="0.35">
      <c r="A146" s="103"/>
      <c r="B146" s="12" t="s">
        <v>4</v>
      </c>
      <c r="C146" s="10" t="s">
        <v>318</v>
      </c>
      <c r="D146" s="152"/>
      <c r="E146" s="170"/>
      <c r="F146" s="95"/>
      <c r="G146" s="153" t="str">
        <f t="shared" si="8"/>
        <v/>
      </c>
      <c r="H146" s="10" t="s">
        <v>20</v>
      </c>
      <c r="I146" s="331">
        <v>1.1000000000000001</v>
      </c>
      <c r="J146" s="12">
        <f t="shared" si="12"/>
        <v>0</v>
      </c>
    </row>
    <row r="147" spans="1:11" ht="14.5" hidden="1" customHeight="1" x14ac:dyDescent="0.35">
      <c r="A147" s="103"/>
      <c r="B147" s="12" t="s">
        <v>4</v>
      </c>
      <c r="C147" s="10" t="s">
        <v>319</v>
      </c>
      <c r="D147" s="152"/>
      <c r="E147" s="170"/>
      <c r="F147" s="95"/>
      <c r="G147" s="153" t="str">
        <f t="shared" si="8"/>
        <v/>
      </c>
      <c r="H147" s="10" t="s">
        <v>20</v>
      </c>
      <c r="I147" s="331">
        <v>1.1000000000000001</v>
      </c>
      <c r="J147" s="12">
        <f t="shared" si="12"/>
        <v>0</v>
      </c>
    </row>
    <row r="148" spans="1:11" ht="14.5" hidden="1" customHeight="1" x14ac:dyDescent="0.35">
      <c r="A148" s="103"/>
      <c r="B148" s="12" t="s">
        <v>4</v>
      </c>
      <c r="C148" s="10" t="s">
        <v>320</v>
      </c>
      <c r="D148" s="152"/>
      <c r="E148" s="170"/>
      <c r="F148" s="95"/>
      <c r="G148" s="153" t="str">
        <f t="shared" si="8"/>
        <v/>
      </c>
      <c r="H148" s="10" t="s">
        <v>20</v>
      </c>
      <c r="I148" s="331">
        <v>1.1000000000000001</v>
      </c>
      <c r="J148" s="12">
        <f t="shared" si="12"/>
        <v>0</v>
      </c>
    </row>
    <row r="149" spans="1:11" ht="14.5" hidden="1" customHeight="1" x14ac:dyDescent="0.35">
      <c r="A149" s="103"/>
      <c r="B149" s="12" t="s">
        <v>4</v>
      </c>
      <c r="C149" s="10" t="s">
        <v>321</v>
      </c>
      <c r="D149" s="152"/>
      <c r="E149" s="170"/>
      <c r="F149" s="95"/>
      <c r="G149" s="153" t="str">
        <f t="shared" si="8"/>
        <v/>
      </c>
      <c r="H149" s="10" t="s">
        <v>20</v>
      </c>
      <c r="I149" s="331">
        <v>1.1000000000000001</v>
      </c>
      <c r="J149" s="12">
        <f t="shared" si="12"/>
        <v>0</v>
      </c>
    </row>
    <row r="150" spans="1:11" ht="14.5" customHeight="1" x14ac:dyDescent="0.35">
      <c r="A150" s="113" t="s">
        <v>41</v>
      </c>
      <c r="B150" s="124"/>
      <c r="C150" s="124"/>
      <c r="D150" s="230"/>
      <c r="E150" s="174"/>
      <c r="F150" s="148"/>
      <c r="G150" s="165" t="str">
        <f t="shared" si="8"/>
        <v/>
      </c>
      <c r="H150" s="124"/>
      <c r="I150" s="241"/>
      <c r="J150" s="125"/>
    </row>
    <row r="151" spans="1:11" ht="14.5" customHeight="1" x14ac:dyDescent="0.35">
      <c r="A151" s="103"/>
      <c r="B151" s="12" t="s">
        <v>4</v>
      </c>
      <c r="C151" s="10" t="s">
        <v>24</v>
      </c>
      <c r="D151" s="152">
        <v>20</v>
      </c>
      <c r="E151" s="170">
        <v>6</v>
      </c>
      <c r="F151" s="95"/>
      <c r="G151" s="153">
        <f t="shared" si="8"/>
        <v>14</v>
      </c>
      <c r="H151" s="10" t="s">
        <v>20</v>
      </c>
      <c r="I151" s="331">
        <v>3.04</v>
      </c>
      <c r="J151" s="12">
        <f t="shared" ref="J151:J164" si="13">E151*I151</f>
        <v>18.240000000000002</v>
      </c>
      <c r="K151" s="13"/>
    </row>
    <row r="152" spans="1:11" ht="15.65" customHeight="1" x14ac:dyDescent="0.35">
      <c r="A152" s="103"/>
      <c r="B152" s="12" t="s">
        <v>4</v>
      </c>
      <c r="C152" s="10" t="s">
        <v>80</v>
      </c>
      <c r="D152" s="152">
        <v>40</v>
      </c>
      <c r="E152" s="170">
        <v>9</v>
      </c>
      <c r="F152" s="95"/>
      <c r="G152" s="153">
        <f t="shared" si="8"/>
        <v>31</v>
      </c>
      <c r="H152" s="10" t="s">
        <v>20</v>
      </c>
      <c r="I152" s="331">
        <v>2.31</v>
      </c>
      <c r="J152" s="12">
        <f t="shared" si="13"/>
        <v>20.79</v>
      </c>
    </row>
    <row r="153" spans="1:11" ht="15.65" customHeight="1" x14ac:dyDescent="0.35">
      <c r="A153" s="103"/>
      <c r="B153" s="12" t="s">
        <v>4</v>
      </c>
      <c r="C153" s="10" t="s">
        <v>84</v>
      </c>
      <c r="D153" s="152">
        <v>20</v>
      </c>
      <c r="E153" s="170">
        <v>6</v>
      </c>
      <c r="F153" s="95"/>
      <c r="G153" s="153">
        <f t="shared" ref="G153:G223" si="14">IF(E153="","",IF(D153-E153&gt;0,D153-E153,""))</f>
        <v>14</v>
      </c>
      <c r="H153" s="10" t="s">
        <v>20</v>
      </c>
      <c r="I153" s="331">
        <v>2.31</v>
      </c>
      <c r="J153" s="12">
        <f t="shared" si="13"/>
        <v>13.86</v>
      </c>
    </row>
    <row r="154" spans="1:11" ht="14.5" hidden="1" customHeight="1" x14ac:dyDescent="0.35">
      <c r="A154" s="103"/>
      <c r="B154" s="12" t="s">
        <v>4</v>
      </c>
      <c r="C154" s="10" t="s">
        <v>394</v>
      </c>
      <c r="D154" s="152"/>
      <c r="E154" s="170"/>
      <c r="F154" s="95"/>
      <c r="G154" s="153" t="str">
        <f t="shared" si="14"/>
        <v/>
      </c>
      <c r="H154" s="10" t="s">
        <v>20</v>
      </c>
      <c r="I154" s="331">
        <v>2.54</v>
      </c>
      <c r="J154" s="12">
        <f t="shared" si="13"/>
        <v>0</v>
      </c>
    </row>
    <row r="155" spans="1:11" ht="14.5" hidden="1" customHeight="1" x14ac:dyDescent="0.35">
      <c r="A155" s="103"/>
      <c r="B155" s="12" t="s">
        <v>4</v>
      </c>
      <c r="C155" s="10" t="s">
        <v>394</v>
      </c>
      <c r="D155" s="152"/>
      <c r="E155" s="170"/>
      <c r="F155" s="95"/>
      <c r="G155" s="153" t="str">
        <f t="shared" si="14"/>
        <v/>
      </c>
      <c r="H155" s="10" t="s">
        <v>20</v>
      </c>
      <c r="I155" s="331">
        <v>2.54</v>
      </c>
      <c r="J155" s="12">
        <f t="shared" si="13"/>
        <v>0</v>
      </c>
    </row>
    <row r="156" spans="1:11" ht="14.5" customHeight="1" x14ac:dyDescent="0.35">
      <c r="A156" s="103"/>
      <c r="B156" s="12" t="s">
        <v>4</v>
      </c>
      <c r="C156" s="10" t="s">
        <v>25</v>
      </c>
      <c r="D156" s="152">
        <v>20</v>
      </c>
      <c r="E156" s="170">
        <v>3</v>
      </c>
      <c r="F156" s="95"/>
      <c r="G156" s="153">
        <f t="shared" si="14"/>
        <v>17</v>
      </c>
      <c r="H156" s="10" t="s">
        <v>20</v>
      </c>
      <c r="I156" s="331">
        <v>1.79</v>
      </c>
      <c r="J156" s="12">
        <f t="shared" si="13"/>
        <v>5.37</v>
      </c>
      <c r="K156" s="13"/>
    </row>
    <row r="157" spans="1:11" ht="15.65" hidden="1" customHeight="1" x14ac:dyDescent="0.35">
      <c r="A157" s="103"/>
      <c r="B157" s="12" t="s">
        <v>4</v>
      </c>
      <c r="C157" s="10" t="s">
        <v>322</v>
      </c>
      <c r="D157" s="152"/>
      <c r="E157" s="170"/>
      <c r="F157" s="95"/>
      <c r="G157" s="153" t="str">
        <f t="shared" si="14"/>
        <v/>
      </c>
      <c r="H157" s="10" t="s">
        <v>20</v>
      </c>
      <c r="I157" s="331">
        <v>2.46</v>
      </c>
      <c r="J157" s="12">
        <f t="shared" si="13"/>
        <v>0</v>
      </c>
    </row>
    <row r="158" spans="1:11" ht="15.65" customHeight="1" x14ac:dyDescent="0.35">
      <c r="A158" s="103"/>
      <c r="B158" s="12" t="s">
        <v>4</v>
      </c>
      <c r="C158" s="10" t="s">
        <v>393</v>
      </c>
      <c r="D158" s="152">
        <v>40</v>
      </c>
      <c r="E158" s="170">
        <v>8</v>
      </c>
      <c r="F158" s="95"/>
      <c r="G158" s="153">
        <f t="shared" si="14"/>
        <v>32</v>
      </c>
      <c r="H158" s="10" t="s">
        <v>20</v>
      </c>
      <c r="I158" s="331">
        <v>2.46</v>
      </c>
      <c r="J158" s="12">
        <f t="shared" si="13"/>
        <v>19.68</v>
      </c>
    </row>
    <row r="159" spans="1:11" ht="14.5" hidden="1" customHeight="1" x14ac:dyDescent="0.35">
      <c r="A159" s="103"/>
      <c r="B159" s="12" t="s">
        <v>4</v>
      </c>
      <c r="C159" s="10" t="s">
        <v>43</v>
      </c>
      <c r="D159" s="152"/>
      <c r="E159" s="170"/>
      <c r="F159" s="95"/>
      <c r="G159" s="153" t="str">
        <f t="shared" si="14"/>
        <v/>
      </c>
      <c r="H159" s="10" t="s">
        <v>20</v>
      </c>
      <c r="I159" s="331">
        <v>2.5499999999999998</v>
      </c>
      <c r="J159" s="12">
        <f t="shared" si="13"/>
        <v>0</v>
      </c>
    </row>
    <row r="160" spans="1:11" ht="14.5" customHeight="1" x14ac:dyDescent="0.35">
      <c r="A160" s="103"/>
      <c r="B160" s="12" t="s">
        <v>4</v>
      </c>
      <c r="C160" s="10" t="s">
        <v>81</v>
      </c>
      <c r="D160" s="152">
        <v>40</v>
      </c>
      <c r="E160" s="170">
        <v>8</v>
      </c>
      <c r="F160" s="95"/>
      <c r="G160" s="153">
        <f t="shared" si="14"/>
        <v>32</v>
      </c>
      <c r="H160" s="10" t="s">
        <v>20</v>
      </c>
      <c r="I160" s="331">
        <v>1.51</v>
      </c>
      <c r="J160" s="12">
        <f t="shared" si="13"/>
        <v>12.08</v>
      </c>
      <c r="K160" s="13"/>
    </row>
    <row r="161" spans="1:11" ht="15.65" customHeight="1" x14ac:dyDescent="0.35">
      <c r="A161" s="103"/>
      <c r="B161" s="12" t="s">
        <v>4</v>
      </c>
      <c r="C161" s="10" t="s">
        <v>82</v>
      </c>
      <c r="D161" s="152">
        <v>40</v>
      </c>
      <c r="E161" s="170">
        <v>7</v>
      </c>
      <c r="F161" s="95"/>
      <c r="G161" s="153">
        <f t="shared" si="14"/>
        <v>33</v>
      </c>
      <c r="H161" s="10" t="s">
        <v>20</v>
      </c>
      <c r="I161" s="331">
        <v>1.51</v>
      </c>
      <c r="J161" s="12">
        <f t="shared" si="13"/>
        <v>10.57</v>
      </c>
    </row>
    <row r="162" spans="1:11" ht="15.65" hidden="1" customHeight="1" x14ac:dyDescent="0.35">
      <c r="A162" s="103"/>
      <c r="B162" s="12" t="s">
        <v>4</v>
      </c>
      <c r="C162" s="10" t="s">
        <v>323</v>
      </c>
      <c r="D162" s="152"/>
      <c r="E162" s="170"/>
      <c r="F162" s="95"/>
      <c r="G162" s="153" t="str">
        <f t="shared" si="14"/>
        <v/>
      </c>
      <c r="H162" s="10" t="s">
        <v>20</v>
      </c>
      <c r="I162" s="331">
        <v>1.54</v>
      </c>
      <c r="J162" s="12">
        <f t="shared" si="13"/>
        <v>0</v>
      </c>
    </row>
    <row r="163" spans="1:11" ht="14.5" hidden="1" customHeight="1" x14ac:dyDescent="0.35">
      <c r="A163" s="103"/>
      <c r="B163" s="12" t="s">
        <v>4</v>
      </c>
      <c r="C163" s="10" t="s">
        <v>324</v>
      </c>
      <c r="D163" s="152"/>
      <c r="E163" s="170"/>
      <c r="F163" s="95"/>
      <c r="G163" s="153" t="str">
        <f t="shared" si="14"/>
        <v/>
      </c>
      <c r="H163" s="10" t="s">
        <v>20</v>
      </c>
      <c r="I163" s="331">
        <v>1.6</v>
      </c>
      <c r="J163" s="12">
        <f t="shared" si="13"/>
        <v>0</v>
      </c>
    </row>
    <row r="164" spans="1:11" ht="14.5" hidden="1" customHeight="1" x14ac:dyDescent="0.35">
      <c r="A164" s="103"/>
      <c r="B164" s="12" t="s">
        <v>4</v>
      </c>
      <c r="C164" s="78" t="s">
        <v>325</v>
      </c>
      <c r="D164" s="224"/>
      <c r="E164" s="170"/>
      <c r="F164" s="142"/>
      <c r="G164" s="153" t="str">
        <f t="shared" si="14"/>
        <v/>
      </c>
      <c r="H164" s="10" t="s">
        <v>20</v>
      </c>
      <c r="I164" s="333">
        <v>49.95</v>
      </c>
      <c r="J164" s="12">
        <f t="shared" si="13"/>
        <v>0</v>
      </c>
    </row>
    <row r="165" spans="1:11" ht="14.5" customHeight="1" x14ac:dyDescent="0.35">
      <c r="A165" s="113" t="s">
        <v>44</v>
      </c>
      <c r="B165" s="124"/>
      <c r="C165" s="124"/>
      <c r="D165" s="230"/>
      <c r="E165" s="174"/>
      <c r="F165" s="148"/>
      <c r="G165" s="165" t="str">
        <f t="shared" si="14"/>
        <v/>
      </c>
      <c r="H165" s="124"/>
      <c r="I165" s="241"/>
      <c r="J165" s="125"/>
    </row>
    <row r="166" spans="1:11" ht="14.5" customHeight="1" x14ac:dyDescent="0.35">
      <c r="A166" s="103"/>
      <c r="B166" s="12" t="s">
        <v>4</v>
      </c>
      <c r="C166" s="10" t="s">
        <v>48</v>
      </c>
      <c r="D166" s="152"/>
      <c r="E166" s="170"/>
      <c r="F166" s="95"/>
      <c r="G166" s="153" t="str">
        <f t="shared" si="14"/>
        <v/>
      </c>
      <c r="H166" s="10" t="s">
        <v>20</v>
      </c>
      <c r="I166" s="331">
        <v>1.94</v>
      </c>
      <c r="J166" s="12">
        <f t="shared" ref="J166:J175" si="15">E166*I166</f>
        <v>0</v>
      </c>
    </row>
    <row r="167" spans="1:11" ht="14.5" customHeight="1" x14ac:dyDescent="0.35">
      <c r="A167" s="103"/>
      <c r="B167" s="12" t="s">
        <v>4</v>
      </c>
      <c r="C167" s="10" t="s">
        <v>49</v>
      </c>
      <c r="D167" s="152"/>
      <c r="E167" s="170"/>
      <c r="F167" s="95"/>
      <c r="G167" s="153" t="str">
        <f t="shared" si="14"/>
        <v/>
      </c>
      <c r="H167" s="10" t="s">
        <v>20</v>
      </c>
      <c r="I167" s="331">
        <v>1.94</v>
      </c>
      <c r="J167" s="12">
        <f t="shared" si="15"/>
        <v>0</v>
      </c>
    </row>
    <row r="168" spans="1:11" ht="14.5" customHeight="1" x14ac:dyDescent="0.35">
      <c r="A168" s="103"/>
      <c r="B168" s="12" t="s">
        <v>4</v>
      </c>
      <c r="C168" s="10" t="s">
        <v>50</v>
      </c>
      <c r="D168" s="152"/>
      <c r="E168" s="170"/>
      <c r="F168" s="95"/>
      <c r="G168" s="153" t="str">
        <f t="shared" si="14"/>
        <v/>
      </c>
      <c r="H168" s="10" t="s">
        <v>20</v>
      </c>
      <c r="I168" s="331">
        <v>1.94</v>
      </c>
      <c r="J168" s="12">
        <f t="shared" si="15"/>
        <v>0</v>
      </c>
    </row>
    <row r="169" spans="1:11" ht="14.5" hidden="1" customHeight="1" x14ac:dyDescent="0.35">
      <c r="A169" s="103"/>
      <c r="B169" s="12" t="s">
        <v>4</v>
      </c>
      <c r="C169" s="10" t="s">
        <v>415</v>
      </c>
      <c r="D169" s="152"/>
      <c r="E169" s="170"/>
      <c r="F169" s="95"/>
      <c r="G169" s="153" t="str">
        <f t="shared" si="14"/>
        <v/>
      </c>
      <c r="H169" s="10" t="s">
        <v>20</v>
      </c>
      <c r="I169" s="331">
        <v>1.98</v>
      </c>
      <c r="J169" s="12">
        <f t="shared" si="15"/>
        <v>0</v>
      </c>
    </row>
    <row r="170" spans="1:11" ht="14.5" hidden="1" customHeight="1" x14ac:dyDescent="0.35">
      <c r="A170" s="103"/>
      <c r="B170" s="12" t="s">
        <v>4</v>
      </c>
      <c r="C170" s="10" t="s">
        <v>414</v>
      </c>
      <c r="D170" s="152"/>
      <c r="E170" s="170"/>
      <c r="F170" s="95"/>
      <c r="G170" s="153" t="str">
        <f t="shared" si="14"/>
        <v/>
      </c>
      <c r="H170" s="10" t="s">
        <v>20</v>
      </c>
      <c r="I170" s="331">
        <v>1.98</v>
      </c>
      <c r="J170" s="12">
        <f t="shared" si="15"/>
        <v>0</v>
      </c>
    </row>
    <row r="171" spans="1:11" ht="14.5" hidden="1" customHeight="1" x14ac:dyDescent="0.35">
      <c r="A171" s="103"/>
      <c r="B171" s="12" t="s">
        <v>4</v>
      </c>
      <c r="C171" s="10" t="s">
        <v>328</v>
      </c>
      <c r="D171" s="152"/>
      <c r="E171" s="170"/>
      <c r="F171" s="95"/>
      <c r="G171" s="153" t="str">
        <f t="shared" si="14"/>
        <v/>
      </c>
      <c r="H171" s="10" t="s">
        <v>20</v>
      </c>
      <c r="I171" s="331">
        <v>1.98</v>
      </c>
      <c r="J171" s="12">
        <f t="shared" si="15"/>
        <v>0</v>
      </c>
    </row>
    <row r="172" spans="1:11" ht="14.5" hidden="1" customHeight="1" x14ac:dyDescent="0.35">
      <c r="A172" s="103"/>
      <c r="B172" s="12" t="s">
        <v>4</v>
      </c>
      <c r="C172" s="10" t="s">
        <v>329</v>
      </c>
      <c r="D172" s="152"/>
      <c r="E172" s="170"/>
      <c r="F172" s="95"/>
      <c r="G172" s="153" t="str">
        <f t="shared" si="14"/>
        <v/>
      </c>
      <c r="H172" s="10" t="s">
        <v>20</v>
      </c>
      <c r="I172" s="331">
        <v>1.98</v>
      </c>
      <c r="J172" s="12">
        <f t="shared" si="15"/>
        <v>0</v>
      </c>
    </row>
    <row r="173" spans="1:11" ht="14.5" hidden="1" customHeight="1" x14ac:dyDescent="0.35">
      <c r="A173" s="103"/>
      <c r="B173" s="40" t="s">
        <v>4</v>
      </c>
      <c r="C173" s="41" t="s">
        <v>330</v>
      </c>
      <c r="D173" s="227"/>
      <c r="E173" s="170"/>
      <c r="F173" s="145"/>
      <c r="G173" s="153" t="str">
        <f t="shared" si="14"/>
        <v/>
      </c>
      <c r="H173" s="10" t="s">
        <v>20</v>
      </c>
      <c r="I173" s="331">
        <v>1.98</v>
      </c>
      <c r="J173" s="12">
        <f t="shared" si="15"/>
        <v>0</v>
      </c>
    </row>
    <row r="174" spans="1:11" ht="14.5" hidden="1" customHeight="1" x14ac:dyDescent="0.35">
      <c r="A174" s="103"/>
      <c r="B174" s="40" t="s">
        <v>4</v>
      </c>
      <c r="C174" s="41" t="s">
        <v>331</v>
      </c>
      <c r="D174" s="227"/>
      <c r="E174" s="170"/>
      <c r="F174" s="145"/>
      <c r="G174" s="153" t="str">
        <f t="shared" si="14"/>
        <v/>
      </c>
      <c r="H174" s="10" t="s">
        <v>20</v>
      </c>
      <c r="I174" s="331">
        <v>1.98</v>
      </c>
      <c r="J174" s="12">
        <f t="shared" si="15"/>
        <v>0</v>
      </c>
    </row>
    <row r="175" spans="1:11" ht="14.5" hidden="1" customHeight="1" x14ac:dyDescent="0.35">
      <c r="A175" s="103"/>
      <c r="B175" s="40" t="s">
        <v>4</v>
      </c>
      <c r="C175" s="41" t="s">
        <v>413</v>
      </c>
      <c r="D175" s="227"/>
      <c r="E175" s="170"/>
      <c r="F175" s="145"/>
      <c r="G175" s="153" t="str">
        <f t="shared" si="14"/>
        <v/>
      </c>
      <c r="H175" s="41" t="s">
        <v>20</v>
      </c>
      <c r="I175" s="334">
        <v>1.98</v>
      </c>
      <c r="J175" s="12">
        <f t="shared" si="15"/>
        <v>0</v>
      </c>
    </row>
    <row r="176" spans="1:11" ht="14.5" hidden="1" customHeight="1" x14ac:dyDescent="0.35">
      <c r="A176" s="114" t="s">
        <v>333</v>
      </c>
      <c r="B176" s="120"/>
      <c r="C176" s="120"/>
      <c r="D176" s="228"/>
      <c r="E176" s="175"/>
      <c r="F176" s="149"/>
      <c r="G176" s="153" t="str">
        <f t="shared" si="14"/>
        <v/>
      </c>
      <c r="H176" s="121"/>
      <c r="I176" s="122" t="s">
        <v>18</v>
      </c>
      <c r="J176" s="123">
        <f>SUM(J177:J186)</f>
        <v>0</v>
      </c>
      <c r="K176" s="13"/>
    </row>
    <row r="177" spans="1:14" ht="15.65" hidden="1" customHeight="1" x14ac:dyDescent="0.35">
      <c r="A177" s="103"/>
      <c r="B177" s="12" t="s">
        <v>26</v>
      </c>
      <c r="C177" s="10" t="s">
        <v>334</v>
      </c>
      <c r="D177" s="152"/>
      <c r="E177" s="170"/>
      <c r="F177" s="95"/>
      <c r="G177" s="153" t="str">
        <f t="shared" si="14"/>
        <v/>
      </c>
      <c r="H177" s="10" t="s">
        <v>335</v>
      </c>
      <c r="I177" s="331">
        <v>20</v>
      </c>
      <c r="J177" s="12">
        <f t="shared" ref="J177:J186" si="16">E177*I177</f>
        <v>0</v>
      </c>
    </row>
    <row r="178" spans="1:14" hidden="1" x14ac:dyDescent="0.35">
      <c r="A178" s="103"/>
      <c r="B178" s="20" t="s">
        <v>26</v>
      </c>
      <c r="C178" s="18" t="s">
        <v>53</v>
      </c>
      <c r="D178" s="229"/>
      <c r="E178" s="170"/>
      <c r="F178" s="147"/>
      <c r="G178" s="153" t="str">
        <f t="shared" si="14"/>
        <v/>
      </c>
      <c r="H178" s="18" t="s">
        <v>20</v>
      </c>
      <c r="I178" s="335">
        <v>0.43</v>
      </c>
      <c r="J178" s="20">
        <f t="shared" si="16"/>
        <v>0</v>
      </c>
      <c r="N178" t="s">
        <v>47</v>
      </c>
    </row>
    <row r="179" spans="1:14" hidden="1" x14ac:dyDescent="0.35">
      <c r="A179" s="103"/>
      <c r="B179" s="20" t="s">
        <v>26</v>
      </c>
      <c r="C179" s="18" t="s">
        <v>336</v>
      </c>
      <c r="D179" s="229"/>
      <c r="E179" s="170"/>
      <c r="F179" s="147"/>
      <c r="G179" s="153" t="str">
        <f t="shared" si="14"/>
        <v/>
      </c>
      <c r="H179" s="18" t="s">
        <v>20</v>
      </c>
      <c r="I179" s="335">
        <v>0.43</v>
      </c>
      <c r="J179" s="20">
        <f t="shared" si="16"/>
        <v>0</v>
      </c>
    </row>
    <row r="180" spans="1:14" ht="16.399999999999999" hidden="1" customHeight="1" x14ac:dyDescent="0.35">
      <c r="A180" s="103"/>
      <c r="B180" s="12" t="s">
        <v>26</v>
      </c>
      <c r="C180" s="10" t="s">
        <v>337</v>
      </c>
      <c r="D180" s="152"/>
      <c r="E180" s="170"/>
      <c r="F180" s="95"/>
      <c r="G180" s="153" t="str">
        <f t="shared" si="14"/>
        <v/>
      </c>
      <c r="H180" s="10" t="s">
        <v>20</v>
      </c>
      <c r="I180" s="331">
        <v>0.43</v>
      </c>
      <c r="J180" s="12">
        <f t="shared" si="16"/>
        <v>0</v>
      </c>
    </row>
    <row r="181" spans="1:14" hidden="1" x14ac:dyDescent="0.35">
      <c r="A181" s="103"/>
      <c r="B181" s="12" t="s">
        <v>26</v>
      </c>
      <c r="C181" s="10" t="s">
        <v>51</v>
      </c>
      <c r="D181" s="152"/>
      <c r="E181" s="170"/>
      <c r="F181" s="95"/>
      <c r="G181" s="153" t="str">
        <f t="shared" si="14"/>
        <v/>
      </c>
      <c r="H181" s="10" t="s">
        <v>61</v>
      </c>
      <c r="I181" s="331">
        <v>14</v>
      </c>
      <c r="J181" s="12">
        <f t="shared" si="16"/>
        <v>0</v>
      </c>
    </row>
    <row r="182" spans="1:14" hidden="1" x14ac:dyDescent="0.35">
      <c r="A182" s="103"/>
      <c r="B182" s="12" t="s">
        <v>26</v>
      </c>
      <c r="C182" s="10" t="s">
        <v>338</v>
      </c>
      <c r="D182" s="152"/>
      <c r="E182" s="170"/>
      <c r="F182" s="95"/>
      <c r="G182" s="153" t="str">
        <f t="shared" si="14"/>
        <v/>
      </c>
      <c r="H182" s="10" t="s">
        <v>61</v>
      </c>
      <c r="I182" s="331">
        <v>14.78</v>
      </c>
      <c r="J182" s="12">
        <f t="shared" si="16"/>
        <v>0</v>
      </c>
    </row>
    <row r="183" spans="1:14" hidden="1" x14ac:dyDescent="0.35">
      <c r="A183" s="103"/>
      <c r="B183" s="12" t="s">
        <v>26</v>
      </c>
      <c r="C183" s="10" t="s">
        <v>339</v>
      </c>
      <c r="D183" s="152"/>
      <c r="E183" s="170"/>
      <c r="F183" s="95"/>
      <c r="G183" s="153" t="str">
        <f t="shared" si="14"/>
        <v/>
      </c>
      <c r="H183" s="10" t="s">
        <v>61</v>
      </c>
      <c r="I183" s="331">
        <v>14.78</v>
      </c>
      <c r="J183" s="12">
        <f t="shared" si="16"/>
        <v>0</v>
      </c>
    </row>
    <row r="184" spans="1:14" ht="14.5" hidden="1" customHeight="1" x14ac:dyDescent="0.35">
      <c r="A184" s="103"/>
      <c r="B184" s="12" t="s">
        <v>26</v>
      </c>
      <c r="C184" s="10" t="s">
        <v>340</v>
      </c>
      <c r="D184" s="152"/>
      <c r="E184" s="170"/>
      <c r="F184" s="95"/>
      <c r="G184" s="153" t="str">
        <f t="shared" si="14"/>
        <v/>
      </c>
      <c r="H184" s="10" t="s">
        <v>61</v>
      </c>
      <c r="I184" s="331">
        <v>14.78</v>
      </c>
      <c r="J184" s="12">
        <f t="shared" si="16"/>
        <v>0</v>
      </c>
    </row>
    <row r="185" spans="1:14" hidden="1" x14ac:dyDescent="0.35">
      <c r="A185" s="103"/>
      <c r="B185" s="12" t="s">
        <v>26</v>
      </c>
      <c r="C185" s="10" t="s">
        <v>341</v>
      </c>
      <c r="D185" s="152"/>
      <c r="E185" s="170"/>
      <c r="F185" s="95"/>
      <c r="G185" s="153" t="str">
        <f t="shared" si="14"/>
        <v/>
      </c>
      <c r="H185" s="10" t="s">
        <v>61</v>
      </c>
      <c r="I185" s="331">
        <v>14.78</v>
      </c>
      <c r="J185" s="12">
        <f t="shared" si="16"/>
        <v>0</v>
      </c>
    </row>
    <row r="186" spans="1:14" ht="14.5" hidden="1" customHeight="1" x14ac:dyDescent="0.35">
      <c r="A186" s="103"/>
      <c r="B186" s="12" t="s">
        <v>26</v>
      </c>
      <c r="C186" s="10" t="s">
        <v>342</v>
      </c>
      <c r="D186" s="152"/>
      <c r="E186" s="170"/>
      <c r="F186" s="95"/>
      <c r="G186" s="153" t="str">
        <f t="shared" si="14"/>
        <v/>
      </c>
      <c r="H186" s="10" t="s">
        <v>61</v>
      </c>
      <c r="I186" s="331">
        <v>14.78</v>
      </c>
      <c r="J186" s="10">
        <f t="shared" si="16"/>
        <v>0</v>
      </c>
    </row>
    <row r="187" spans="1:14" ht="15.5" x14ac:dyDescent="0.35">
      <c r="A187" s="108" t="s">
        <v>343</v>
      </c>
      <c r="B187" s="108"/>
      <c r="C187" s="108"/>
      <c r="D187" s="223"/>
      <c r="E187" s="169"/>
      <c r="F187" s="109"/>
      <c r="G187" s="165" t="str">
        <f t="shared" si="14"/>
        <v/>
      </c>
      <c r="H187" s="108"/>
      <c r="I187" s="106" t="s">
        <v>18</v>
      </c>
      <c r="J187" s="107">
        <f>SUM(J188:J192)</f>
        <v>0</v>
      </c>
    </row>
    <row r="188" spans="1:14" ht="14.5" hidden="1" customHeight="1" x14ac:dyDescent="0.35">
      <c r="A188" s="103"/>
      <c r="B188" s="7" t="s">
        <v>6</v>
      </c>
      <c r="C188" s="14" t="s">
        <v>344</v>
      </c>
      <c r="D188" s="152"/>
      <c r="E188" s="170"/>
      <c r="F188" s="95"/>
      <c r="G188" s="153" t="str">
        <f t="shared" si="14"/>
        <v/>
      </c>
      <c r="H188" s="14" t="s">
        <v>20</v>
      </c>
      <c r="I188" s="336">
        <v>0.79</v>
      </c>
      <c r="J188" s="7">
        <f>E188*I188</f>
        <v>0</v>
      </c>
    </row>
    <row r="189" spans="1:14" ht="15.65" customHeight="1" x14ac:dyDescent="0.35">
      <c r="A189" s="103"/>
      <c r="B189" s="7" t="s">
        <v>6</v>
      </c>
      <c r="C189" s="14" t="s">
        <v>345</v>
      </c>
      <c r="D189" s="152">
        <v>10</v>
      </c>
      <c r="E189" s="170"/>
      <c r="F189" s="95"/>
      <c r="G189" s="153" t="str">
        <f t="shared" si="14"/>
        <v/>
      </c>
      <c r="H189" s="14" t="s">
        <v>20</v>
      </c>
      <c r="I189" s="336">
        <v>2.76</v>
      </c>
      <c r="J189" s="7">
        <f>E189*I189</f>
        <v>0</v>
      </c>
    </row>
    <row r="190" spans="1:14" ht="14.5" customHeight="1" x14ac:dyDescent="0.35">
      <c r="A190" s="103"/>
      <c r="B190" s="7" t="s">
        <v>6</v>
      </c>
      <c r="C190" s="14" t="s">
        <v>346</v>
      </c>
      <c r="D190" s="152"/>
      <c r="E190" s="170"/>
      <c r="F190" s="95"/>
      <c r="G190" s="153" t="str">
        <f t="shared" si="14"/>
        <v/>
      </c>
      <c r="H190" s="14" t="s">
        <v>20</v>
      </c>
      <c r="I190" s="336">
        <v>1</v>
      </c>
      <c r="J190" s="7">
        <f>E190*I190</f>
        <v>0</v>
      </c>
    </row>
    <row r="191" spans="1:14" x14ac:dyDescent="0.35">
      <c r="A191" s="103"/>
      <c r="B191" s="7" t="s">
        <v>6</v>
      </c>
      <c r="C191" s="14" t="s">
        <v>34</v>
      </c>
      <c r="D191" s="152">
        <v>10</v>
      </c>
      <c r="E191" s="170"/>
      <c r="F191" s="95"/>
      <c r="G191" s="153" t="str">
        <f t="shared" si="14"/>
        <v/>
      </c>
      <c r="H191" s="14" t="s">
        <v>20</v>
      </c>
      <c r="I191" s="336">
        <v>1.8</v>
      </c>
      <c r="J191" s="7">
        <f>E191*I191</f>
        <v>0</v>
      </c>
    </row>
    <row r="192" spans="1:14" x14ac:dyDescent="0.35">
      <c r="A192" s="103"/>
      <c r="B192" s="7" t="s">
        <v>6</v>
      </c>
      <c r="C192" s="14" t="s">
        <v>35</v>
      </c>
      <c r="D192" s="152">
        <v>10</v>
      </c>
      <c r="E192" s="170"/>
      <c r="F192" s="95"/>
      <c r="G192" s="153" t="str">
        <f t="shared" si="14"/>
        <v/>
      </c>
      <c r="H192" s="14" t="s">
        <v>20</v>
      </c>
      <c r="I192" s="336">
        <v>1.8</v>
      </c>
      <c r="J192" s="7">
        <f>E192*I192</f>
        <v>0</v>
      </c>
    </row>
    <row r="193" spans="1:10" ht="15.5" hidden="1" x14ac:dyDescent="0.35">
      <c r="A193" s="112" t="s">
        <v>347</v>
      </c>
      <c r="B193" s="116"/>
      <c r="C193" s="116"/>
      <c r="D193" s="228"/>
      <c r="E193" s="173"/>
      <c r="F193" s="146"/>
      <c r="G193" s="165" t="str">
        <f t="shared" si="14"/>
        <v/>
      </c>
      <c r="H193" s="117"/>
      <c r="I193" s="118" t="s">
        <v>18</v>
      </c>
      <c r="J193" s="119">
        <f>SUM(J194)</f>
        <v>0</v>
      </c>
    </row>
    <row r="194" spans="1:10" hidden="1" x14ac:dyDescent="0.35">
      <c r="A194" s="103"/>
      <c r="B194" s="12" t="s">
        <v>5</v>
      </c>
      <c r="C194" s="10" t="s">
        <v>55</v>
      </c>
      <c r="D194" s="152"/>
      <c r="E194" s="170"/>
      <c r="F194" s="95"/>
      <c r="G194" s="153" t="str">
        <f t="shared" si="14"/>
        <v/>
      </c>
      <c r="H194" s="10" t="s">
        <v>20</v>
      </c>
      <c r="I194" s="331">
        <v>1.01</v>
      </c>
      <c r="J194" s="12">
        <f>E194*I194</f>
        <v>0</v>
      </c>
    </row>
    <row r="195" spans="1:10" ht="15.5" hidden="1" x14ac:dyDescent="0.35">
      <c r="A195" s="112" t="s">
        <v>348</v>
      </c>
      <c r="B195" s="116"/>
      <c r="C195" s="116"/>
      <c r="D195" s="228"/>
      <c r="E195" s="173"/>
      <c r="F195" s="146"/>
      <c r="G195" s="165" t="str">
        <f t="shared" si="14"/>
        <v/>
      </c>
      <c r="H195" s="117"/>
      <c r="I195" s="118" t="s">
        <v>18</v>
      </c>
      <c r="J195" s="119">
        <f>SUM(J196:J207)</f>
        <v>0</v>
      </c>
    </row>
    <row r="196" spans="1:10" hidden="1" x14ac:dyDescent="0.35">
      <c r="A196" s="103"/>
      <c r="B196" s="20" t="s">
        <v>8</v>
      </c>
      <c r="C196" s="18" t="s">
        <v>349</v>
      </c>
      <c r="D196" s="229"/>
      <c r="E196" s="170"/>
      <c r="F196" s="147"/>
      <c r="G196" s="153" t="str">
        <f t="shared" si="14"/>
        <v/>
      </c>
      <c r="H196" s="18" t="s">
        <v>27</v>
      </c>
      <c r="I196" s="337">
        <v>28.62</v>
      </c>
      <c r="J196" s="12">
        <f t="shared" ref="J196:J207" si="17">E196*I196</f>
        <v>0</v>
      </c>
    </row>
    <row r="197" spans="1:10" hidden="1" x14ac:dyDescent="0.35">
      <c r="A197" s="103"/>
      <c r="B197" s="12" t="s">
        <v>8</v>
      </c>
      <c r="C197" s="10" t="s">
        <v>350</v>
      </c>
      <c r="D197" s="152"/>
      <c r="E197" s="170"/>
      <c r="F197" s="95"/>
      <c r="G197" s="153" t="str">
        <f t="shared" si="14"/>
        <v/>
      </c>
      <c r="H197" s="10" t="s">
        <v>335</v>
      </c>
      <c r="I197" s="338">
        <v>30</v>
      </c>
      <c r="J197" s="12">
        <f t="shared" si="17"/>
        <v>0</v>
      </c>
    </row>
    <row r="198" spans="1:10" hidden="1" x14ac:dyDescent="0.35">
      <c r="A198" s="103"/>
      <c r="B198" s="12" t="s">
        <v>8</v>
      </c>
      <c r="C198" s="10" t="s">
        <v>351</v>
      </c>
      <c r="D198" s="152"/>
      <c r="E198" s="170"/>
      <c r="F198" s="95"/>
      <c r="G198" s="153" t="str">
        <f t="shared" si="14"/>
        <v/>
      </c>
      <c r="H198" s="10" t="s">
        <v>335</v>
      </c>
      <c r="I198" s="331">
        <v>1.1499999999999999</v>
      </c>
      <c r="J198" s="12">
        <f t="shared" si="17"/>
        <v>0</v>
      </c>
    </row>
    <row r="199" spans="1:10" hidden="1" x14ac:dyDescent="0.35">
      <c r="A199" s="103"/>
      <c r="B199" s="12" t="s">
        <v>8</v>
      </c>
      <c r="C199" s="10" t="s">
        <v>352</v>
      </c>
      <c r="D199" s="152"/>
      <c r="E199" s="170"/>
      <c r="F199" s="95"/>
      <c r="G199" s="153" t="str">
        <f t="shared" si="14"/>
        <v/>
      </c>
      <c r="H199" s="10" t="s">
        <v>27</v>
      </c>
      <c r="I199" s="331">
        <v>23.83</v>
      </c>
      <c r="J199" s="12">
        <f t="shared" si="17"/>
        <v>0</v>
      </c>
    </row>
    <row r="200" spans="1:10" hidden="1" x14ac:dyDescent="0.35">
      <c r="A200" s="103"/>
      <c r="B200" s="12" t="s">
        <v>8</v>
      </c>
      <c r="C200" s="10" t="s">
        <v>353</v>
      </c>
      <c r="D200" s="152"/>
      <c r="E200" s="170"/>
      <c r="F200" s="95"/>
      <c r="G200" s="153" t="str">
        <f t="shared" si="14"/>
        <v/>
      </c>
      <c r="H200" s="10" t="s">
        <v>27</v>
      </c>
      <c r="I200" s="331">
        <v>28.89</v>
      </c>
      <c r="J200" s="12">
        <f t="shared" si="17"/>
        <v>0</v>
      </c>
    </row>
    <row r="201" spans="1:10" hidden="1" x14ac:dyDescent="0.35">
      <c r="A201" s="103"/>
      <c r="B201" s="12" t="s">
        <v>8</v>
      </c>
      <c r="C201" s="10" t="s">
        <v>354</v>
      </c>
      <c r="D201" s="152"/>
      <c r="E201" s="170"/>
      <c r="F201" s="95"/>
      <c r="G201" s="153" t="str">
        <f>IF(E201="","",IF(D201-E201&gt;0,D201-E201,""))</f>
        <v/>
      </c>
      <c r="H201" s="10" t="s">
        <v>27</v>
      </c>
      <c r="I201" s="331">
        <v>19.37</v>
      </c>
      <c r="J201" s="12">
        <f>E201*I201</f>
        <v>0</v>
      </c>
    </row>
    <row r="202" spans="1:10" hidden="1" x14ac:dyDescent="0.35">
      <c r="A202" s="103"/>
      <c r="B202" s="12" t="s">
        <v>8</v>
      </c>
      <c r="C202" s="10" t="s">
        <v>429</v>
      </c>
      <c r="D202" s="152"/>
      <c r="E202" s="170"/>
      <c r="F202" s="95"/>
      <c r="G202" s="153"/>
      <c r="H202" s="10" t="s">
        <v>27</v>
      </c>
      <c r="I202" s="331">
        <v>14.07</v>
      </c>
      <c r="J202" s="12"/>
    </row>
    <row r="203" spans="1:10" hidden="1" x14ac:dyDescent="0.35">
      <c r="A203" s="103"/>
      <c r="B203" s="12" t="s">
        <v>8</v>
      </c>
      <c r="C203" s="10" t="s">
        <v>430</v>
      </c>
      <c r="D203" s="152"/>
      <c r="E203" s="170"/>
      <c r="F203" s="95"/>
      <c r="G203" s="153"/>
      <c r="H203" s="10" t="s">
        <v>27</v>
      </c>
      <c r="I203" s="331">
        <v>16.07</v>
      </c>
      <c r="J203" s="12"/>
    </row>
    <row r="204" spans="1:10" hidden="1" x14ac:dyDescent="0.35">
      <c r="A204" s="103"/>
      <c r="B204" s="12" t="s">
        <v>8</v>
      </c>
      <c r="C204" s="10" t="s">
        <v>431</v>
      </c>
      <c r="D204" s="152"/>
      <c r="G204" s="153"/>
      <c r="H204" s="10" t="s">
        <v>27</v>
      </c>
      <c r="I204" s="339">
        <v>14.62</v>
      </c>
      <c r="J204" s="12"/>
    </row>
    <row r="205" spans="1:10" hidden="1" x14ac:dyDescent="0.35">
      <c r="A205" s="103"/>
      <c r="B205" s="12" t="s">
        <v>8</v>
      </c>
      <c r="C205" s="10" t="s">
        <v>355</v>
      </c>
      <c r="D205" s="152"/>
      <c r="E205" s="170"/>
      <c r="F205" s="95"/>
      <c r="G205" s="153" t="str">
        <f t="shared" si="14"/>
        <v/>
      </c>
      <c r="H205" s="10" t="s">
        <v>61</v>
      </c>
      <c r="I205" s="331">
        <v>17.11</v>
      </c>
      <c r="J205" s="12">
        <f t="shared" si="17"/>
        <v>0</v>
      </c>
    </row>
    <row r="206" spans="1:10" hidden="1" x14ac:dyDescent="0.35">
      <c r="A206" s="103"/>
      <c r="B206" s="12" t="s">
        <v>8</v>
      </c>
      <c r="C206" s="10" t="s">
        <v>356</v>
      </c>
      <c r="D206" s="152"/>
      <c r="E206" s="170"/>
      <c r="F206" s="95"/>
      <c r="G206" s="153" t="str">
        <f t="shared" si="14"/>
        <v/>
      </c>
      <c r="H206" s="10" t="s">
        <v>61</v>
      </c>
      <c r="I206" s="331">
        <v>22.13</v>
      </c>
      <c r="J206" s="12">
        <f t="shared" si="17"/>
        <v>0</v>
      </c>
    </row>
    <row r="207" spans="1:10" hidden="1" x14ac:dyDescent="0.35">
      <c r="A207" s="103"/>
      <c r="B207" s="40" t="s">
        <v>8</v>
      </c>
      <c r="C207" s="41" t="s">
        <v>357</v>
      </c>
      <c r="D207" s="227"/>
      <c r="E207" s="170"/>
      <c r="F207" s="145"/>
      <c r="G207" s="153" t="str">
        <f t="shared" si="14"/>
        <v/>
      </c>
      <c r="H207" s="41" t="s">
        <v>61</v>
      </c>
      <c r="I207" s="334">
        <v>18.8</v>
      </c>
      <c r="J207" s="40">
        <f t="shared" si="17"/>
        <v>0</v>
      </c>
    </row>
    <row r="208" spans="1:10" ht="15.5" hidden="1" x14ac:dyDescent="0.35">
      <c r="A208" s="112" t="s">
        <v>358</v>
      </c>
      <c r="B208" s="116"/>
      <c r="C208" s="116"/>
      <c r="D208" s="228"/>
      <c r="E208" s="173"/>
      <c r="F208" s="146"/>
      <c r="G208" s="165" t="str">
        <f t="shared" si="14"/>
        <v/>
      </c>
      <c r="H208" s="117"/>
      <c r="I208" s="118" t="s">
        <v>18</v>
      </c>
      <c r="J208" s="119">
        <f>J209+J210+J211+J212+J213</f>
        <v>0</v>
      </c>
    </row>
    <row r="209" spans="1:10" hidden="1" x14ac:dyDescent="0.35">
      <c r="A209" s="103"/>
      <c r="B209" s="13" t="s">
        <v>11</v>
      </c>
      <c r="C209" s="298" t="s">
        <v>359</v>
      </c>
      <c r="D209" s="299"/>
      <c r="E209" s="300"/>
      <c r="F209" s="301"/>
      <c r="G209" s="302" t="str">
        <f t="shared" si="14"/>
        <v/>
      </c>
      <c r="H209" s="41" t="s">
        <v>52</v>
      </c>
      <c r="I209" s="334">
        <v>11.63</v>
      </c>
      <c r="J209" s="40">
        <f>E209*I209</f>
        <v>0</v>
      </c>
    </row>
    <row r="210" spans="1:10" hidden="1" x14ac:dyDescent="0.35">
      <c r="A210" s="103"/>
      <c r="B210" s="12" t="s">
        <v>11</v>
      </c>
      <c r="C210" s="10" t="s">
        <v>436</v>
      </c>
      <c r="D210" s="152"/>
      <c r="E210" s="170"/>
      <c r="F210" s="95"/>
      <c r="G210" s="153"/>
      <c r="H210" s="10" t="s">
        <v>52</v>
      </c>
      <c r="I210" s="331">
        <v>16.8</v>
      </c>
      <c r="J210" s="40">
        <f t="shared" ref="J210:J213" si="18">E210*I210</f>
        <v>0</v>
      </c>
    </row>
    <row r="211" spans="1:10" hidden="1" x14ac:dyDescent="0.35">
      <c r="A211" s="103"/>
      <c r="B211" s="12" t="s">
        <v>11</v>
      </c>
      <c r="C211" s="10" t="s">
        <v>437</v>
      </c>
      <c r="D211" s="152"/>
      <c r="E211" s="170"/>
      <c r="F211" s="95"/>
      <c r="G211" s="153"/>
      <c r="H211" s="10" t="s">
        <v>440</v>
      </c>
      <c r="I211" s="331">
        <v>9.35</v>
      </c>
      <c r="J211" s="40">
        <f>E211*I211</f>
        <v>0</v>
      </c>
    </row>
    <row r="212" spans="1:10" hidden="1" x14ac:dyDescent="0.35">
      <c r="A212" s="103"/>
      <c r="B212" s="12" t="s">
        <v>11</v>
      </c>
      <c r="C212" s="10" t="s">
        <v>438</v>
      </c>
      <c r="D212" s="152"/>
      <c r="E212" s="170"/>
      <c r="F212" s="95"/>
      <c r="G212" s="153"/>
      <c r="H212" s="10" t="s">
        <v>52</v>
      </c>
      <c r="I212" s="331">
        <v>87</v>
      </c>
      <c r="J212" s="40">
        <f t="shared" si="18"/>
        <v>0</v>
      </c>
    </row>
    <row r="213" spans="1:10" hidden="1" x14ac:dyDescent="0.35">
      <c r="A213" s="103"/>
      <c r="B213" s="12" t="s">
        <v>11</v>
      </c>
      <c r="C213" s="10" t="s">
        <v>439</v>
      </c>
      <c r="D213" s="152"/>
      <c r="E213" s="170"/>
      <c r="F213" s="95"/>
      <c r="G213" s="153"/>
      <c r="H213" s="10" t="s">
        <v>52</v>
      </c>
      <c r="I213" s="331">
        <v>55</v>
      </c>
      <c r="J213" s="40">
        <f t="shared" si="18"/>
        <v>0</v>
      </c>
    </row>
    <row r="214" spans="1:10" ht="15.5" hidden="1" x14ac:dyDescent="0.35">
      <c r="A214" s="108" t="s">
        <v>360</v>
      </c>
      <c r="B214" s="108"/>
      <c r="C214" s="108"/>
      <c r="D214" s="223"/>
      <c r="E214" s="169"/>
      <c r="F214" s="109"/>
      <c r="G214" s="310" t="str">
        <f t="shared" si="14"/>
        <v/>
      </c>
      <c r="H214" s="108"/>
      <c r="I214" s="106" t="s">
        <v>18</v>
      </c>
      <c r="J214" s="107">
        <f>SUM(J215:J216)</f>
        <v>0</v>
      </c>
    </row>
    <row r="215" spans="1:10" hidden="1" x14ac:dyDescent="0.35">
      <c r="A215" s="103"/>
      <c r="B215" s="12" t="s">
        <v>12</v>
      </c>
      <c r="C215" s="10" t="s">
        <v>70</v>
      </c>
      <c r="D215" s="152"/>
      <c r="E215" s="170"/>
      <c r="F215" s="95"/>
      <c r="G215" s="153" t="str">
        <f t="shared" si="14"/>
        <v/>
      </c>
      <c r="H215" s="10" t="s">
        <v>27</v>
      </c>
      <c r="I215" s="331">
        <v>20.7</v>
      </c>
      <c r="J215" s="12">
        <f>+E215*I215</f>
        <v>0</v>
      </c>
    </row>
    <row r="216" spans="1:10" hidden="1" x14ac:dyDescent="0.35">
      <c r="A216" s="103"/>
      <c r="B216" s="12" t="s">
        <v>12</v>
      </c>
      <c r="C216" s="10" t="s">
        <v>71</v>
      </c>
      <c r="D216" s="152"/>
      <c r="E216" s="170"/>
      <c r="F216" s="95"/>
      <c r="G216" s="153" t="str">
        <f t="shared" si="14"/>
        <v/>
      </c>
      <c r="H216" s="10" t="s">
        <v>27</v>
      </c>
      <c r="I216" s="331">
        <v>13.7</v>
      </c>
      <c r="J216" s="12">
        <f>+E216*I216</f>
        <v>0</v>
      </c>
    </row>
    <row r="217" spans="1:10" ht="15.5" hidden="1" x14ac:dyDescent="0.35">
      <c r="A217" s="108" t="s">
        <v>361</v>
      </c>
      <c r="B217" s="108"/>
      <c r="C217" s="108"/>
      <c r="D217" s="223"/>
      <c r="E217" s="169"/>
      <c r="F217" s="109"/>
      <c r="G217" s="153" t="str">
        <f t="shared" si="14"/>
        <v/>
      </c>
      <c r="H217" s="108"/>
      <c r="I217" s="106" t="s">
        <v>18</v>
      </c>
      <c r="J217" s="107">
        <f>SUM(J218:J221)</f>
        <v>0</v>
      </c>
    </row>
    <row r="218" spans="1:10" hidden="1" x14ac:dyDescent="0.35">
      <c r="A218" s="103"/>
      <c r="B218" s="12" t="s">
        <v>10</v>
      </c>
      <c r="C218" s="10" t="s">
        <v>362</v>
      </c>
      <c r="D218" s="152"/>
      <c r="E218" s="170"/>
      <c r="F218" s="95"/>
      <c r="G218" s="153" t="str">
        <f t="shared" si="14"/>
        <v/>
      </c>
      <c r="H218" s="10" t="s">
        <v>20</v>
      </c>
      <c r="I218" s="331">
        <v>11.08</v>
      </c>
      <c r="J218" s="12">
        <f>E218*I218</f>
        <v>0</v>
      </c>
    </row>
    <row r="219" spans="1:10" hidden="1" x14ac:dyDescent="0.35">
      <c r="A219" s="103"/>
      <c r="B219" s="12" t="s">
        <v>10</v>
      </c>
      <c r="C219" s="10" t="s">
        <v>363</v>
      </c>
      <c r="D219" s="152"/>
      <c r="E219" s="170"/>
      <c r="F219" s="95"/>
      <c r="G219" s="153" t="str">
        <f t="shared" si="14"/>
        <v/>
      </c>
      <c r="H219" s="10" t="s">
        <v>27</v>
      </c>
      <c r="I219" s="331">
        <v>16.21</v>
      </c>
      <c r="J219" s="12">
        <f>E219*I219</f>
        <v>0</v>
      </c>
    </row>
    <row r="220" spans="1:10" hidden="1" x14ac:dyDescent="0.35">
      <c r="A220" s="103"/>
      <c r="B220" s="12" t="s">
        <v>10</v>
      </c>
      <c r="C220" s="10" t="s">
        <v>364</v>
      </c>
      <c r="D220" s="152"/>
      <c r="E220" s="170"/>
      <c r="F220" s="95"/>
      <c r="G220" s="153" t="str">
        <f t="shared" si="14"/>
        <v/>
      </c>
      <c r="H220" s="10" t="s">
        <v>27</v>
      </c>
      <c r="I220" s="331">
        <v>19.350000000000001</v>
      </c>
      <c r="J220" s="12">
        <f>E220*I220</f>
        <v>0</v>
      </c>
    </row>
    <row r="221" spans="1:10" hidden="1" x14ac:dyDescent="0.35">
      <c r="A221" s="103"/>
      <c r="B221" s="12" t="s">
        <v>10</v>
      </c>
      <c r="C221" s="10" t="s">
        <v>365</v>
      </c>
      <c r="D221" s="152"/>
      <c r="E221" s="170"/>
      <c r="F221" s="95"/>
      <c r="G221" s="153" t="str">
        <f t="shared" si="14"/>
        <v/>
      </c>
      <c r="H221" s="10" t="s">
        <v>27</v>
      </c>
      <c r="I221" s="331">
        <v>19.809999999999999</v>
      </c>
      <c r="J221" s="12">
        <f>E221*I221</f>
        <v>0</v>
      </c>
    </row>
    <row r="222" spans="1:10" ht="15.5" hidden="1" x14ac:dyDescent="0.35">
      <c r="A222" s="108" t="s">
        <v>366</v>
      </c>
      <c r="B222" s="108"/>
      <c r="C222" s="108"/>
      <c r="D222" s="223"/>
      <c r="E222" s="169"/>
      <c r="F222" s="109"/>
      <c r="G222" s="165" t="str">
        <f t="shared" si="14"/>
        <v/>
      </c>
      <c r="H222" s="108"/>
      <c r="I222" s="106" t="s">
        <v>18</v>
      </c>
      <c r="J222" s="107">
        <f>J223</f>
        <v>0</v>
      </c>
    </row>
    <row r="223" spans="1:10" hidden="1" x14ac:dyDescent="0.35">
      <c r="A223" s="103"/>
      <c r="B223" s="12" t="s">
        <v>28</v>
      </c>
      <c r="C223" s="10" t="s">
        <v>29</v>
      </c>
      <c r="D223" s="152"/>
      <c r="E223" s="170"/>
      <c r="F223" s="150"/>
      <c r="G223" s="153" t="str">
        <f t="shared" si="14"/>
        <v/>
      </c>
      <c r="H223" s="10" t="s">
        <v>54</v>
      </c>
      <c r="I223" s="331">
        <v>104</v>
      </c>
      <c r="J223" s="12">
        <f>I223*E223</f>
        <v>0</v>
      </c>
    </row>
    <row r="224" spans="1:10" ht="15.5" x14ac:dyDescent="0.35">
      <c r="A224" s="108" t="s">
        <v>367</v>
      </c>
      <c r="B224" s="108"/>
      <c r="C224" s="108"/>
      <c r="D224" s="223"/>
      <c r="E224" s="169"/>
      <c r="F224" s="109"/>
      <c r="G224" s="165" t="str">
        <f t="shared" ref="G224:G257" si="19">IF(E224="","",IF(D224-E224&gt;0,D224-E224,""))</f>
        <v/>
      </c>
      <c r="H224" s="108"/>
      <c r="I224" s="106" t="s">
        <v>18</v>
      </c>
      <c r="J224" s="115">
        <f>SUM(J225:J244)</f>
        <v>0</v>
      </c>
    </row>
    <row r="225" spans="1:10" x14ac:dyDescent="0.35">
      <c r="A225" s="103"/>
      <c r="B225" s="12" t="s">
        <v>9</v>
      </c>
      <c r="C225" s="10" t="s">
        <v>423</v>
      </c>
      <c r="D225" s="152"/>
      <c r="E225" s="170"/>
      <c r="F225" s="95"/>
      <c r="G225" s="153" t="str">
        <f t="shared" si="19"/>
        <v/>
      </c>
      <c r="H225" s="10" t="s">
        <v>20</v>
      </c>
      <c r="I225" s="331">
        <v>78</v>
      </c>
      <c r="J225" s="50">
        <f t="shared" ref="J225:J244" si="20">E225*I225</f>
        <v>0</v>
      </c>
    </row>
    <row r="226" spans="1:10" x14ac:dyDescent="0.35">
      <c r="A226" s="103"/>
      <c r="B226" s="12" t="s">
        <v>9</v>
      </c>
      <c r="C226" s="10" t="s">
        <v>424</v>
      </c>
      <c r="D226" s="152"/>
      <c r="E226" s="170"/>
      <c r="F226" s="95"/>
      <c r="G226" s="153" t="str">
        <f t="shared" si="19"/>
        <v/>
      </c>
      <c r="H226" s="10" t="s">
        <v>61</v>
      </c>
      <c r="I226" s="340">
        <v>107.12</v>
      </c>
      <c r="J226" s="50">
        <f t="shared" si="20"/>
        <v>0</v>
      </c>
    </row>
    <row r="227" spans="1:10" x14ac:dyDescent="0.35">
      <c r="A227" s="103"/>
      <c r="B227" s="12" t="s">
        <v>9</v>
      </c>
      <c r="C227" s="10" t="s">
        <v>369</v>
      </c>
      <c r="D227" s="152"/>
      <c r="E227" s="170"/>
      <c r="F227" s="95"/>
      <c r="G227" s="153" t="str">
        <f t="shared" si="19"/>
        <v/>
      </c>
      <c r="H227" s="10" t="s">
        <v>20</v>
      </c>
      <c r="I227" s="331">
        <v>0.04</v>
      </c>
      <c r="J227" s="50">
        <f t="shared" si="20"/>
        <v>0</v>
      </c>
    </row>
    <row r="228" spans="1:10" x14ac:dyDescent="0.35">
      <c r="A228" s="103"/>
      <c r="B228" s="12" t="s">
        <v>9</v>
      </c>
      <c r="C228" s="10" t="s">
        <v>370</v>
      </c>
      <c r="D228" s="152"/>
      <c r="E228" s="170"/>
      <c r="F228" s="95"/>
      <c r="G228" s="153" t="str">
        <f t="shared" si="19"/>
        <v/>
      </c>
      <c r="H228" s="10" t="s">
        <v>20</v>
      </c>
      <c r="I228" s="331">
        <v>7.0999999999999994E-2</v>
      </c>
      <c r="J228" s="50">
        <f t="shared" si="20"/>
        <v>0</v>
      </c>
    </row>
    <row r="229" spans="1:10" hidden="1" x14ac:dyDescent="0.35">
      <c r="A229" s="103"/>
      <c r="B229" s="12" t="s">
        <v>9</v>
      </c>
      <c r="C229" s="10" t="s">
        <v>411</v>
      </c>
      <c r="D229" s="152"/>
      <c r="E229" s="170"/>
      <c r="F229" s="95"/>
      <c r="G229" s="153"/>
      <c r="H229" s="10" t="s">
        <v>20</v>
      </c>
      <c r="I229" s="331">
        <v>1.97</v>
      </c>
      <c r="J229" s="50"/>
    </row>
    <row r="230" spans="1:10" hidden="1" x14ac:dyDescent="0.35">
      <c r="A230" s="103"/>
      <c r="B230" s="12" t="s">
        <v>9</v>
      </c>
      <c r="C230" s="10" t="s">
        <v>371</v>
      </c>
      <c r="D230" s="152"/>
      <c r="E230" s="170"/>
      <c r="F230" s="95"/>
      <c r="G230" s="153" t="str">
        <f t="shared" si="19"/>
        <v/>
      </c>
      <c r="H230" s="10" t="s">
        <v>61</v>
      </c>
      <c r="I230" s="331">
        <v>163.80000000000001</v>
      </c>
      <c r="J230" s="50">
        <f t="shared" si="20"/>
        <v>0</v>
      </c>
    </row>
    <row r="231" spans="1:10" hidden="1" x14ac:dyDescent="0.35">
      <c r="A231" s="103"/>
      <c r="B231" s="12" t="s">
        <v>9</v>
      </c>
      <c r="C231" s="10" t="s">
        <v>410</v>
      </c>
      <c r="D231" s="152"/>
      <c r="E231" s="170"/>
      <c r="F231" s="151"/>
      <c r="G231" s="153" t="str">
        <f t="shared" si="19"/>
        <v/>
      </c>
      <c r="H231" s="10" t="s">
        <v>61</v>
      </c>
      <c r="I231" s="331">
        <v>49.33</v>
      </c>
      <c r="J231" s="50">
        <f t="shared" si="20"/>
        <v>0</v>
      </c>
    </row>
    <row r="232" spans="1:10" hidden="1" x14ac:dyDescent="0.35">
      <c r="A232" s="103"/>
      <c r="B232" s="12" t="s">
        <v>9</v>
      </c>
      <c r="C232" s="10" t="s">
        <v>373</v>
      </c>
      <c r="D232" s="152"/>
      <c r="E232" s="170"/>
      <c r="F232" s="151"/>
      <c r="G232" s="153" t="str">
        <f t="shared" si="19"/>
        <v/>
      </c>
      <c r="H232" s="10" t="s">
        <v>61</v>
      </c>
      <c r="I232" s="331">
        <v>105.6</v>
      </c>
      <c r="J232" s="50">
        <f t="shared" si="20"/>
        <v>0</v>
      </c>
    </row>
    <row r="233" spans="1:10" hidden="1" x14ac:dyDescent="0.35">
      <c r="A233" s="103"/>
      <c r="B233" s="12" t="s">
        <v>9</v>
      </c>
      <c r="C233" s="10" t="s">
        <v>374</v>
      </c>
      <c r="D233" s="152"/>
      <c r="E233" s="170"/>
      <c r="F233" s="151"/>
      <c r="G233" s="153" t="str">
        <f t="shared" si="19"/>
        <v/>
      </c>
      <c r="H233" s="10" t="s">
        <v>61</v>
      </c>
      <c r="I233" s="331">
        <v>114.75</v>
      </c>
      <c r="J233" s="50">
        <f t="shared" si="20"/>
        <v>0</v>
      </c>
    </row>
    <row r="234" spans="1:10" hidden="1" x14ac:dyDescent="0.35">
      <c r="A234" s="103"/>
      <c r="B234" s="12" t="s">
        <v>9</v>
      </c>
      <c r="C234" s="10" t="s">
        <v>375</v>
      </c>
      <c r="D234" s="152"/>
      <c r="E234" s="170"/>
      <c r="F234" s="95"/>
      <c r="G234" s="153" t="str">
        <f t="shared" si="19"/>
        <v/>
      </c>
      <c r="H234" s="10" t="s">
        <v>61</v>
      </c>
      <c r="I234" s="331">
        <v>105.55</v>
      </c>
      <c r="J234" s="50">
        <f t="shared" si="20"/>
        <v>0</v>
      </c>
    </row>
    <row r="235" spans="1:10" hidden="1" x14ac:dyDescent="0.35">
      <c r="A235" s="103"/>
      <c r="B235" s="12" t="s">
        <v>9</v>
      </c>
      <c r="C235" s="10" t="s">
        <v>376</v>
      </c>
      <c r="D235" s="152"/>
      <c r="E235" s="170"/>
      <c r="F235" s="95"/>
      <c r="G235" s="153" t="str">
        <f t="shared" si="19"/>
        <v/>
      </c>
      <c r="H235" s="10" t="s">
        <v>61</v>
      </c>
      <c r="I235" s="331">
        <v>33.25</v>
      </c>
      <c r="J235" s="50">
        <f t="shared" si="20"/>
        <v>0</v>
      </c>
    </row>
    <row r="236" spans="1:10" hidden="1" x14ac:dyDescent="0.35">
      <c r="A236" s="103"/>
      <c r="B236" s="12" t="s">
        <v>9</v>
      </c>
      <c r="C236" s="10" t="s">
        <v>377</v>
      </c>
      <c r="D236" s="152"/>
      <c r="E236" s="170"/>
      <c r="F236" s="95"/>
      <c r="G236" s="153" t="str">
        <f t="shared" si="19"/>
        <v/>
      </c>
      <c r="H236" s="10" t="s">
        <v>20</v>
      </c>
      <c r="I236" s="331">
        <v>0.28999999999999998</v>
      </c>
      <c r="J236" s="50">
        <f t="shared" si="20"/>
        <v>0</v>
      </c>
    </row>
    <row r="237" spans="1:10" hidden="1" x14ac:dyDescent="0.35">
      <c r="A237" s="103"/>
      <c r="B237" s="12" t="s">
        <v>9</v>
      </c>
      <c r="C237" s="10" t="s">
        <v>378</v>
      </c>
      <c r="D237" s="152"/>
      <c r="E237" s="170"/>
      <c r="F237" s="95"/>
      <c r="G237" s="153" t="str">
        <f t="shared" si="19"/>
        <v/>
      </c>
      <c r="H237" s="10" t="s">
        <v>61</v>
      </c>
      <c r="I237" s="336">
        <v>37.85</v>
      </c>
      <c r="J237" s="50">
        <f t="shared" si="20"/>
        <v>0</v>
      </c>
    </row>
    <row r="238" spans="1:10" x14ac:dyDescent="0.35">
      <c r="A238" s="103"/>
      <c r="B238" s="12" t="s">
        <v>9</v>
      </c>
      <c r="C238" s="10" t="s">
        <v>425</v>
      </c>
      <c r="D238" s="152">
        <v>1</v>
      </c>
      <c r="E238" s="170"/>
      <c r="F238" s="95"/>
      <c r="G238" s="153" t="str">
        <f t="shared" si="19"/>
        <v/>
      </c>
      <c r="H238" s="10" t="s">
        <v>61</v>
      </c>
      <c r="I238" s="336">
        <v>111.47</v>
      </c>
      <c r="J238" s="50">
        <f t="shared" si="20"/>
        <v>0</v>
      </c>
    </row>
    <row r="239" spans="1:10" hidden="1" x14ac:dyDescent="0.35">
      <c r="A239" s="103"/>
      <c r="B239" s="12" t="s">
        <v>9</v>
      </c>
      <c r="C239" s="10" t="s">
        <v>379</v>
      </c>
      <c r="D239" s="152"/>
      <c r="E239" s="170"/>
      <c r="F239" s="95"/>
      <c r="G239" s="153" t="str">
        <f t="shared" si="19"/>
        <v/>
      </c>
      <c r="H239" s="10" t="s">
        <v>61</v>
      </c>
      <c r="I239" s="336">
        <v>174.97</v>
      </c>
      <c r="J239" s="50">
        <f t="shared" si="20"/>
        <v>0</v>
      </c>
    </row>
    <row r="240" spans="1:10" hidden="1" x14ac:dyDescent="0.35">
      <c r="A240" s="103"/>
      <c r="B240" s="12" t="s">
        <v>9</v>
      </c>
      <c r="C240" s="10" t="s">
        <v>380</v>
      </c>
      <c r="D240" s="152"/>
      <c r="E240" s="170"/>
      <c r="F240" s="95"/>
      <c r="G240" s="153" t="str">
        <f t="shared" si="19"/>
        <v/>
      </c>
      <c r="H240" s="10" t="s">
        <v>61</v>
      </c>
      <c r="I240" s="336">
        <v>44.93</v>
      </c>
      <c r="J240" s="50">
        <f t="shared" si="20"/>
        <v>0</v>
      </c>
    </row>
    <row r="241" spans="1:10" hidden="1" x14ac:dyDescent="0.35">
      <c r="A241" s="103"/>
      <c r="B241" s="12" t="s">
        <v>9</v>
      </c>
      <c r="C241" s="10" t="s">
        <v>426</v>
      </c>
      <c r="D241" s="152"/>
      <c r="E241" s="170"/>
      <c r="F241" s="95"/>
      <c r="G241" s="153" t="str">
        <f t="shared" si="19"/>
        <v/>
      </c>
      <c r="H241" s="10" t="s">
        <v>20</v>
      </c>
      <c r="I241" s="336">
        <v>29.2</v>
      </c>
      <c r="J241" s="50">
        <f t="shared" si="20"/>
        <v>0</v>
      </c>
    </row>
    <row r="242" spans="1:10" hidden="1" x14ac:dyDescent="0.35">
      <c r="A242" s="103"/>
      <c r="B242" s="12" t="s">
        <v>9</v>
      </c>
      <c r="C242" s="10" t="s">
        <v>427</v>
      </c>
      <c r="D242" s="152"/>
      <c r="E242" s="170"/>
      <c r="F242" s="95"/>
      <c r="G242" s="153" t="str">
        <f t="shared" si="19"/>
        <v/>
      </c>
      <c r="H242" s="10" t="s">
        <v>20</v>
      </c>
      <c r="I242" s="336">
        <v>19.03</v>
      </c>
      <c r="J242" s="50">
        <f t="shared" si="20"/>
        <v>0</v>
      </c>
    </row>
    <row r="243" spans="1:10" hidden="1" x14ac:dyDescent="0.35">
      <c r="A243" s="103"/>
      <c r="B243" s="12" t="s">
        <v>9</v>
      </c>
      <c r="C243" s="10" t="s">
        <v>428</v>
      </c>
      <c r="D243" s="152"/>
      <c r="E243" s="170"/>
      <c r="F243" s="95"/>
      <c r="G243" s="153" t="str">
        <f t="shared" si="19"/>
        <v/>
      </c>
      <c r="H243" s="10" t="s">
        <v>20</v>
      </c>
      <c r="I243" s="336">
        <v>8.4600000000000009</v>
      </c>
      <c r="J243" s="50">
        <f t="shared" si="20"/>
        <v>0</v>
      </c>
    </row>
    <row r="244" spans="1:10" hidden="1" x14ac:dyDescent="0.35">
      <c r="A244" s="103"/>
      <c r="B244" s="12" t="s">
        <v>9</v>
      </c>
      <c r="C244" s="10" t="s">
        <v>381</v>
      </c>
      <c r="D244" s="152"/>
      <c r="E244" s="170"/>
      <c r="F244" s="95"/>
      <c r="G244" s="153" t="str">
        <f t="shared" si="19"/>
        <v/>
      </c>
      <c r="H244" s="10" t="s">
        <v>20</v>
      </c>
      <c r="I244" s="336">
        <v>0.02</v>
      </c>
      <c r="J244" s="50">
        <f t="shared" si="20"/>
        <v>0</v>
      </c>
    </row>
    <row r="245" spans="1:10" ht="15.5" x14ac:dyDescent="0.35">
      <c r="A245" s="108" t="s">
        <v>382</v>
      </c>
      <c r="B245" s="108"/>
      <c r="C245" s="108"/>
      <c r="D245" s="223"/>
      <c r="E245" s="169"/>
      <c r="F245" s="109"/>
      <c r="G245" s="165" t="str">
        <f t="shared" si="19"/>
        <v/>
      </c>
      <c r="H245" s="108"/>
      <c r="I245" s="106" t="s">
        <v>18</v>
      </c>
      <c r="J245" s="107">
        <f>SUM(J246:J256)</f>
        <v>4.55</v>
      </c>
    </row>
    <row r="246" spans="1:10" x14ac:dyDescent="0.35">
      <c r="A246" s="103"/>
      <c r="B246" s="12" t="s">
        <v>31</v>
      </c>
      <c r="C246" s="10" t="s">
        <v>383</v>
      </c>
      <c r="D246" s="152"/>
      <c r="E246" s="170"/>
      <c r="F246" s="95"/>
      <c r="G246" s="153" t="str">
        <f t="shared" si="19"/>
        <v/>
      </c>
      <c r="H246" s="10" t="s">
        <v>20</v>
      </c>
      <c r="I246" s="331">
        <v>5.5</v>
      </c>
      <c r="J246" s="12">
        <f t="shared" ref="J246:J256" si="21">E246*I246</f>
        <v>0</v>
      </c>
    </row>
    <row r="247" spans="1:10" x14ac:dyDescent="0.35">
      <c r="A247" s="103"/>
      <c r="B247" s="12" t="s">
        <v>31</v>
      </c>
      <c r="C247" s="10" t="s">
        <v>39</v>
      </c>
      <c r="D247" s="152">
        <v>1</v>
      </c>
      <c r="E247" s="170">
        <v>1</v>
      </c>
      <c r="F247" s="95"/>
      <c r="G247" s="153" t="str">
        <f t="shared" si="19"/>
        <v/>
      </c>
      <c r="H247" s="10" t="s">
        <v>20</v>
      </c>
      <c r="I247" s="331">
        <v>4.55</v>
      </c>
      <c r="J247" s="12">
        <f t="shared" si="21"/>
        <v>4.55</v>
      </c>
    </row>
    <row r="248" spans="1:10" x14ac:dyDescent="0.35">
      <c r="A248" s="103"/>
      <c r="B248" s="12" t="s">
        <v>31</v>
      </c>
      <c r="C248" s="10" t="s">
        <v>422</v>
      </c>
      <c r="D248" s="152">
        <v>1</v>
      </c>
      <c r="E248" s="170"/>
      <c r="F248" s="95"/>
      <c r="G248" s="153" t="str">
        <f t="shared" si="19"/>
        <v/>
      </c>
      <c r="H248" s="10" t="s">
        <v>20</v>
      </c>
      <c r="I248" s="331">
        <v>3.7</v>
      </c>
      <c r="J248" s="12">
        <f t="shared" si="21"/>
        <v>0</v>
      </c>
    </row>
    <row r="249" spans="1:10" x14ac:dyDescent="0.35">
      <c r="A249" s="103"/>
      <c r="B249" s="12" t="s">
        <v>31</v>
      </c>
      <c r="C249" s="10" t="s">
        <v>67</v>
      </c>
      <c r="D249" s="152"/>
      <c r="E249" s="170"/>
      <c r="F249" s="95"/>
      <c r="G249" s="153" t="str">
        <f t="shared" si="19"/>
        <v/>
      </c>
      <c r="H249" s="10" t="s">
        <v>20</v>
      </c>
      <c r="I249" s="331">
        <v>15.56</v>
      </c>
      <c r="J249" s="12">
        <f t="shared" si="21"/>
        <v>0</v>
      </c>
    </row>
    <row r="250" spans="1:10" hidden="1" x14ac:dyDescent="0.35">
      <c r="A250" s="103"/>
      <c r="B250" s="12" t="s">
        <v>31</v>
      </c>
      <c r="C250" s="10" t="s">
        <v>384</v>
      </c>
      <c r="D250" s="152"/>
      <c r="E250" s="170"/>
      <c r="F250" s="95"/>
      <c r="G250" s="153" t="str">
        <f t="shared" si="19"/>
        <v/>
      </c>
      <c r="H250" s="10" t="s">
        <v>20</v>
      </c>
      <c r="I250" s="331">
        <v>0.8</v>
      </c>
      <c r="J250" s="12">
        <f t="shared" si="21"/>
        <v>0</v>
      </c>
    </row>
    <row r="251" spans="1:10" hidden="1" x14ac:dyDescent="0.35">
      <c r="A251" s="103"/>
      <c r="B251" s="12" t="s">
        <v>31</v>
      </c>
      <c r="C251" s="10" t="s">
        <v>385</v>
      </c>
      <c r="D251" s="152"/>
      <c r="E251" s="170"/>
      <c r="F251" s="95"/>
      <c r="G251" s="153" t="str">
        <f t="shared" si="19"/>
        <v/>
      </c>
      <c r="H251" s="10" t="s">
        <v>20</v>
      </c>
      <c r="I251" s="331">
        <v>1.83</v>
      </c>
      <c r="J251" s="12">
        <f t="shared" si="21"/>
        <v>0</v>
      </c>
    </row>
    <row r="252" spans="1:10" x14ac:dyDescent="0.35">
      <c r="A252" s="103"/>
      <c r="B252" s="12" t="s">
        <v>31</v>
      </c>
      <c r="C252" s="10" t="s">
        <v>386</v>
      </c>
      <c r="D252" s="152">
        <v>1</v>
      </c>
      <c r="E252" s="170"/>
      <c r="F252" s="95"/>
      <c r="G252" s="153" t="str">
        <f t="shared" si="19"/>
        <v/>
      </c>
      <c r="H252" s="10" t="s">
        <v>20</v>
      </c>
      <c r="I252" s="331">
        <v>2.65</v>
      </c>
      <c r="J252" s="12">
        <f t="shared" si="21"/>
        <v>0</v>
      </c>
    </row>
    <row r="253" spans="1:10" x14ac:dyDescent="0.35">
      <c r="A253" s="103"/>
      <c r="B253" s="12" t="s">
        <v>31</v>
      </c>
      <c r="C253" s="10" t="s">
        <v>65</v>
      </c>
      <c r="D253" s="152">
        <v>1</v>
      </c>
      <c r="E253" s="170"/>
      <c r="F253" s="95"/>
      <c r="G253" s="153" t="str">
        <f t="shared" si="19"/>
        <v/>
      </c>
      <c r="H253" s="10" t="s">
        <v>20</v>
      </c>
      <c r="I253" s="331">
        <v>13.43</v>
      </c>
      <c r="J253" s="12">
        <f t="shared" si="21"/>
        <v>0</v>
      </c>
    </row>
    <row r="254" spans="1:10" hidden="1" x14ac:dyDescent="0.35">
      <c r="A254" s="103"/>
      <c r="B254" s="12" t="s">
        <v>31</v>
      </c>
      <c r="C254" s="10" t="s">
        <v>66</v>
      </c>
      <c r="D254" s="152"/>
      <c r="E254" s="170"/>
      <c r="F254" s="95"/>
      <c r="G254" s="153" t="str">
        <f t="shared" si="19"/>
        <v/>
      </c>
      <c r="H254" s="10" t="s">
        <v>20</v>
      </c>
      <c r="I254" s="331">
        <v>75.38</v>
      </c>
      <c r="J254" s="12">
        <f t="shared" si="21"/>
        <v>0</v>
      </c>
    </row>
    <row r="255" spans="1:10" x14ac:dyDescent="0.35">
      <c r="A255" s="103"/>
      <c r="B255" s="12" t="s">
        <v>31</v>
      </c>
      <c r="C255" s="10" t="s">
        <v>412</v>
      </c>
      <c r="D255" s="152"/>
      <c r="E255" s="170"/>
      <c r="F255" s="95"/>
      <c r="G255" s="153" t="str">
        <f t="shared" si="19"/>
        <v/>
      </c>
      <c r="H255" s="10" t="s">
        <v>20</v>
      </c>
      <c r="I255" s="331">
        <v>8.43</v>
      </c>
      <c r="J255" s="12">
        <f t="shared" si="21"/>
        <v>0</v>
      </c>
    </row>
    <row r="256" spans="1:10" x14ac:dyDescent="0.35">
      <c r="A256" s="103"/>
      <c r="B256" s="12" t="s">
        <v>31</v>
      </c>
      <c r="C256" s="10" t="s">
        <v>69</v>
      </c>
      <c r="D256" s="152">
        <v>1</v>
      </c>
      <c r="E256" s="170"/>
      <c r="F256" s="95"/>
      <c r="G256" s="153" t="str">
        <f t="shared" si="19"/>
        <v/>
      </c>
      <c r="H256" s="10" t="s">
        <v>63</v>
      </c>
      <c r="I256" s="331">
        <v>3.5</v>
      </c>
      <c r="J256" s="12">
        <f t="shared" si="21"/>
        <v>0</v>
      </c>
    </row>
    <row r="257" spans="1:10" ht="15.5" hidden="1" x14ac:dyDescent="0.35">
      <c r="A257" s="108" t="s">
        <v>57</v>
      </c>
      <c r="B257" s="108"/>
      <c r="C257" s="108"/>
      <c r="D257" s="108"/>
      <c r="E257" s="162"/>
      <c r="F257" s="108"/>
      <c r="G257" s="165" t="str">
        <f t="shared" si="19"/>
        <v/>
      </c>
      <c r="H257" s="108"/>
      <c r="I257" s="106" t="s">
        <v>18</v>
      </c>
      <c r="J257" s="107">
        <f>SUM(J258:J259)</f>
        <v>0</v>
      </c>
    </row>
    <row r="258" spans="1:10" hidden="1" x14ac:dyDescent="0.35">
      <c r="A258" s="103"/>
      <c r="B258" s="12" t="s">
        <v>56</v>
      </c>
      <c r="C258" s="10" t="s">
        <v>58</v>
      </c>
      <c r="D258" s="94"/>
      <c r="E258" s="170"/>
      <c r="F258" s="94"/>
      <c r="G258" s="94" t="str">
        <f t="shared" ref="G258:G259" si="22">IF(D258-E258&gt;0,D258-E258,"")</f>
        <v/>
      </c>
      <c r="H258" s="10" t="s">
        <v>20</v>
      </c>
      <c r="I258" s="331">
        <v>54.05</v>
      </c>
      <c r="J258" s="12">
        <f>E258*I258</f>
        <v>0</v>
      </c>
    </row>
    <row r="259" spans="1:10" hidden="1" x14ac:dyDescent="0.35">
      <c r="A259" s="103"/>
      <c r="B259" s="12" t="s">
        <v>56</v>
      </c>
      <c r="C259" s="10" t="s">
        <v>388</v>
      </c>
      <c r="D259" s="94"/>
      <c r="E259" s="170"/>
      <c r="F259" s="94"/>
      <c r="G259" s="94" t="str">
        <f t="shared" si="22"/>
        <v/>
      </c>
      <c r="H259" s="10" t="s">
        <v>20</v>
      </c>
      <c r="I259" s="331">
        <v>0</v>
      </c>
      <c r="J259" s="12">
        <f>E259*I259</f>
        <v>0</v>
      </c>
    </row>
  </sheetData>
  <mergeCells count="2">
    <mergeCell ref="B1:C1"/>
    <mergeCell ref="B2:C2"/>
  </mergeCells>
  <pageMargins left="0.7" right="0.7" top="0.75" bottom="0.75" header="0.3" footer="0.3"/>
  <pageSetup paperSize="9" scale="73" fitToHeight="0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B5DA8-4045-504D-99FA-7498F38EB9B1}">
  <sheetPr codeName="Feuil26">
    <tabColor theme="8" tint="0.39997558519241921"/>
    <pageSetUpPr fitToPage="1"/>
  </sheetPr>
  <dimension ref="A1:N259"/>
  <sheetViews>
    <sheetView topLeftCell="A201" zoomScaleNormal="100" workbookViewId="0">
      <selection activeCell="J209" sqref="J209"/>
    </sheetView>
  </sheetViews>
  <sheetFormatPr baseColWidth="10" defaultColWidth="8.453125" defaultRowHeight="14.5" x14ac:dyDescent="0.35"/>
  <cols>
    <col min="1" max="1" width="2.54296875" customWidth="1"/>
    <col min="2" max="2" width="30.1796875" bestFit="1" customWidth="1"/>
    <col min="3" max="3" width="44.54296875" bestFit="1" customWidth="1"/>
    <col min="4" max="4" width="19.7265625" bestFit="1" customWidth="1"/>
    <col min="5" max="5" width="18.81640625" style="34" bestFit="1" customWidth="1"/>
    <col min="6" max="6" width="18.26953125" hidden="1" customWidth="1"/>
    <col min="7" max="7" width="14" bestFit="1" customWidth="1"/>
    <col min="8" max="8" width="6.81640625" bestFit="1" customWidth="1"/>
    <col min="9" max="9" width="8.453125" style="86" bestFit="1" customWidth="1"/>
    <col min="10" max="10" width="7.1796875" customWidth="1"/>
  </cols>
  <sheetData>
    <row r="1" spans="2:7" ht="15" thickBot="1" x14ac:dyDescent="0.4">
      <c r="B1" s="321" t="s">
        <v>198</v>
      </c>
      <c r="C1" s="322"/>
      <c r="F1" s="89"/>
      <c r="G1" s="89"/>
    </row>
    <row r="2" spans="2:7" ht="15" thickBot="1" x14ac:dyDescent="0.4">
      <c r="B2" s="319"/>
      <c r="C2" s="320"/>
      <c r="F2" s="90"/>
      <c r="G2" s="90"/>
    </row>
    <row r="3" spans="2:7" x14ac:dyDescent="0.35">
      <c r="B3" s="75"/>
      <c r="C3" s="75"/>
      <c r="F3" s="75"/>
      <c r="G3" s="75"/>
    </row>
    <row r="4" spans="2:7" ht="15.5" x14ac:dyDescent="0.35">
      <c r="B4" s="70" t="s">
        <v>0</v>
      </c>
      <c r="C4" s="70" t="s">
        <v>1</v>
      </c>
      <c r="F4" s="91"/>
      <c r="G4" s="91"/>
    </row>
    <row r="5" spans="2:7" x14ac:dyDescent="0.35">
      <c r="B5" s="71" t="s">
        <v>2</v>
      </c>
      <c r="C5" s="72">
        <f>J23</f>
        <v>2091.75</v>
      </c>
      <c r="F5" s="92"/>
      <c r="G5" s="92"/>
    </row>
    <row r="6" spans="2:7" x14ac:dyDescent="0.35">
      <c r="B6" s="71" t="s">
        <v>7</v>
      </c>
      <c r="C6" s="72">
        <f>J4</f>
        <v>0</v>
      </c>
      <c r="F6" s="92"/>
      <c r="G6" s="92"/>
    </row>
    <row r="7" spans="2:7" x14ac:dyDescent="0.35">
      <c r="B7" s="71" t="s">
        <v>13</v>
      </c>
      <c r="C7" s="72">
        <f>J50</f>
        <v>178</v>
      </c>
      <c r="F7" s="92"/>
      <c r="G7" s="92"/>
    </row>
    <row r="8" spans="2:7" x14ac:dyDescent="0.35">
      <c r="B8" s="71" t="s">
        <v>3</v>
      </c>
      <c r="C8" s="72">
        <f>J78</f>
        <v>0</v>
      </c>
      <c r="F8" s="92"/>
      <c r="G8" s="92"/>
    </row>
    <row r="9" spans="2:7" x14ac:dyDescent="0.35">
      <c r="B9" s="71" t="s">
        <v>4</v>
      </c>
      <c r="C9" s="72">
        <f>J122</f>
        <v>3589.2299999999996</v>
      </c>
      <c r="F9" s="92"/>
      <c r="G9" s="92"/>
    </row>
    <row r="10" spans="2:7" x14ac:dyDescent="0.35">
      <c r="B10" s="71" t="s">
        <v>199</v>
      </c>
      <c r="C10" s="72">
        <f>J176</f>
        <v>0</v>
      </c>
      <c r="F10" s="92"/>
      <c r="G10" s="92"/>
    </row>
    <row r="11" spans="2:7" x14ac:dyDescent="0.35">
      <c r="B11" s="71" t="s">
        <v>200</v>
      </c>
      <c r="C11" s="72">
        <f>J187</f>
        <v>0</v>
      </c>
      <c r="F11" s="92"/>
      <c r="G11" s="92"/>
    </row>
    <row r="12" spans="2:7" x14ac:dyDescent="0.35">
      <c r="B12" s="71" t="s">
        <v>201</v>
      </c>
      <c r="C12" s="72">
        <f>J193</f>
        <v>0</v>
      </c>
      <c r="F12" s="92"/>
      <c r="G12" s="92"/>
    </row>
    <row r="13" spans="2:7" x14ac:dyDescent="0.35">
      <c r="B13" s="71" t="s">
        <v>202</v>
      </c>
      <c r="C13" s="72">
        <f>J195</f>
        <v>0</v>
      </c>
      <c r="F13" s="92"/>
      <c r="G13" s="92"/>
    </row>
    <row r="14" spans="2:7" x14ac:dyDescent="0.35">
      <c r="B14" s="71" t="s">
        <v>203</v>
      </c>
      <c r="C14" s="72">
        <f>J208</f>
        <v>595.75</v>
      </c>
      <c r="F14" s="92"/>
      <c r="G14" s="92"/>
    </row>
    <row r="15" spans="2:7" x14ac:dyDescent="0.35">
      <c r="B15" s="71" t="s">
        <v>12</v>
      </c>
      <c r="C15" s="72">
        <f>J214</f>
        <v>0</v>
      </c>
      <c r="F15" s="92"/>
      <c r="G15" s="92"/>
    </row>
    <row r="16" spans="2:7" x14ac:dyDescent="0.35">
      <c r="B16" s="71" t="s">
        <v>204</v>
      </c>
      <c r="C16" s="72">
        <f>J222</f>
        <v>0</v>
      </c>
      <c r="F16" s="92"/>
      <c r="G16" s="92"/>
    </row>
    <row r="17" spans="1:11" x14ac:dyDescent="0.35">
      <c r="B17" s="71" t="s">
        <v>9</v>
      </c>
      <c r="C17" s="72">
        <f>J224</f>
        <v>0</v>
      </c>
      <c r="F17" s="92"/>
      <c r="G17" s="92"/>
    </row>
    <row r="18" spans="1:11" x14ac:dyDescent="0.35">
      <c r="B18" s="71" t="s">
        <v>205</v>
      </c>
      <c r="C18" s="72">
        <f>J245</f>
        <v>7</v>
      </c>
      <c r="F18" s="92"/>
      <c r="G18" s="92"/>
    </row>
    <row r="19" spans="1:11" x14ac:dyDescent="0.35">
      <c r="B19" s="71" t="s">
        <v>56</v>
      </c>
      <c r="C19" s="72">
        <f>J257</f>
        <v>0</v>
      </c>
      <c r="F19" s="92"/>
      <c r="G19" s="92"/>
    </row>
    <row r="20" spans="1:11" x14ac:dyDescent="0.35">
      <c r="B20" s="73" t="s">
        <v>14</v>
      </c>
      <c r="C20" s="74">
        <f>C5+C6+C7+C8+C9+C10+C11+C12+C13+C14+C15+C16+C17+C18+C19</f>
        <v>6461.73</v>
      </c>
      <c r="F20" s="93"/>
      <c r="G20" s="93"/>
    </row>
    <row r="21" spans="1:11" ht="18.75" customHeight="1" x14ac:dyDescent="0.45">
      <c r="A21" s="76" t="s">
        <v>207</v>
      </c>
      <c r="B21" s="76"/>
      <c r="C21" s="76"/>
      <c r="D21" s="76"/>
      <c r="E21" s="167"/>
      <c r="F21" s="76"/>
      <c r="G21" s="76"/>
      <c r="H21" s="76"/>
      <c r="I21" s="262"/>
      <c r="J21" s="76"/>
    </row>
    <row r="22" spans="1:11" ht="14.25" customHeight="1" x14ac:dyDescent="0.35">
      <c r="A22" s="129"/>
      <c r="B22" s="129" t="s">
        <v>15</v>
      </c>
      <c r="C22" s="129" t="s">
        <v>16</v>
      </c>
      <c r="D22" s="130" t="s">
        <v>398</v>
      </c>
      <c r="E22" s="168" t="s">
        <v>401</v>
      </c>
      <c r="F22" s="130" t="s">
        <v>399</v>
      </c>
      <c r="G22" s="164" t="s">
        <v>400</v>
      </c>
      <c r="H22" s="132" t="s">
        <v>406</v>
      </c>
      <c r="I22" s="341" t="s">
        <v>45</v>
      </c>
      <c r="J22" s="132" t="s">
        <v>402</v>
      </c>
    </row>
    <row r="23" spans="1:11" s="6" customFormat="1" ht="15.5" x14ac:dyDescent="0.35">
      <c r="A23" s="108" t="s">
        <v>208</v>
      </c>
      <c r="B23" s="108"/>
      <c r="C23" s="108"/>
      <c r="D23" s="108"/>
      <c r="E23" s="169" t="s">
        <v>421</v>
      </c>
      <c r="F23" s="108"/>
      <c r="G23" s="108"/>
      <c r="H23" s="108"/>
      <c r="I23" s="110" t="s">
        <v>18</v>
      </c>
      <c r="J23" s="107">
        <f>SUM(J24:J40)</f>
        <v>2091.75</v>
      </c>
    </row>
    <row r="24" spans="1:11" x14ac:dyDescent="0.35">
      <c r="A24" s="103"/>
      <c r="B24" s="7" t="s">
        <v>2</v>
      </c>
      <c r="C24" s="14" t="s">
        <v>19</v>
      </c>
      <c r="D24" s="152">
        <v>2</v>
      </c>
      <c r="E24" s="170">
        <v>1</v>
      </c>
      <c r="F24" s="95"/>
      <c r="G24" s="153">
        <f>IF(E24="","",IF(D24-E24&gt;0,D24-E24,""))</f>
        <v>1</v>
      </c>
      <c r="H24" s="10" t="s">
        <v>20</v>
      </c>
      <c r="I24" s="331">
        <v>55.95</v>
      </c>
      <c r="J24" s="12">
        <f t="shared" ref="J24:J40" si="0">E24*I24</f>
        <v>55.95</v>
      </c>
      <c r="K24" s="13"/>
    </row>
    <row r="25" spans="1:11" hidden="1" x14ac:dyDescent="0.35">
      <c r="A25" s="103"/>
      <c r="B25" s="7" t="s">
        <v>2</v>
      </c>
      <c r="C25" s="14" t="s">
        <v>209</v>
      </c>
      <c r="D25" s="152"/>
      <c r="E25" s="170"/>
      <c r="F25" s="95"/>
      <c r="G25" s="153" t="str">
        <f t="shared" ref="G25:G88" si="1">IF(E25="","",IF(D25-E25&gt;0,D25-E25,""))</f>
        <v/>
      </c>
      <c r="H25" s="10" t="s">
        <v>20</v>
      </c>
      <c r="I25" s="331">
        <v>173.1</v>
      </c>
      <c r="J25" s="12">
        <f t="shared" si="0"/>
        <v>0</v>
      </c>
      <c r="K25" s="13"/>
    </row>
    <row r="26" spans="1:11" x14ac:dyDescent="0.35">
      <c r="A26" s="103"/>
      <c r="B26" s="12" t="s">
        <v>2</v>
      </c>
      <c r="C26" s="10" t="s">
        <v>21</v>
      </c>
      <c r="D26" s="152">
        <v>20</v>
      </c>
      <c r="E26" s="170">
        <v>27</v>
      </c>
      <c r="F26" s="95"/>
      <c r="G26" s="153" t="str">
        <f t="shared" si="1"/>
        <v/>
      </c>
      <c r="H26" s="10" t="s">
        <v>20</v>
      </c>
      <c r="I26" s="331">
        <v>75.400000000000006</v>
      </c>
      <c r="J26" s="12">
        <f t="shared" si="0"/>
        <v>2035.8000000000002</v>
      </c>
      <c r="K26" s="13"/>
    </row>
    <row r="27" spans="1:11" ht="14.5" customHeight="1" x14ac:dyDescent="0.35">
      <c r="A27" s="103"/>
      <c r="B27" s="12" t="s">
        <v>2</v>
      </c>
      <c r="C27" s="10" t="s">
        <v>210</v>
      </c>
      <c r="D27" s="152">
        <v>20</v>
      </c>
      <c r="E27" s="170"/>
      <c r="F27" s="95"/>
      <c r="G27" s="153" t="str">
        <f t="shared" si="1"/>
        <v/>
      </c>
      <c r="H27" s="10" t="s">
        <v>20</v>
      </c>
      <c r="I27" s="331">
        <v>84.9</v>
      </c>
      <c r="J27" s="12">
        <f t="shared" si="0"/>
        <v>0</v>
      </c>
      <c r="K27" s="13"/>
    </row>
    <row r="28" spans="1:11" ht="14.5" hidden="1" customHeight="1" x14ac:dyDescent="0.35">
      <c r="A28" s="103"/>
      <c r="B28" s="12" t="s">
        <v>2</v>
      </c>
      <c r="C28" s="10" t="s">
        <v>211</v>
      </c>
      <c r="D28" s="152"/>
      <c r="E28" s="170"/>
      <c r="F28" s="95"/>
      <c r="G28" s="153" t="str">
        <f t="shared" si="1"/>
        <v/>
      </c>
      <c r="H28" s="10" t="s">
        <v>20</v>
      </c>
      <c r="I28" s="331">
        <v>2.96</v>
      </c>
      <c r="J28" s="12">
        <f t="shared" si="0"/>
        <v>0</v>
      </c>
      <c r="K28" s="13"/>
    </row>
    <row r="29" spans="1:11" ht="14.5" hidden="1" customHeight="1" x14ac:dyDescent="0.35">
      <c r="A29" s="103"/>
      <c r="B29" s="12" t="s">
        <v>2</v>
      </c>
      <c r="C29" s="10" t="s">
        <v>212</v>
      </c>
      <c r="D29" s="152"/>
      <c r="E29" s="170"/>
      <c r="F29" s="95"/>
      <c r="G29" s="153" t="str">
        <f t="shared" si="1"/>
        <v/>
      </c>
      <c r="H29" s="10" t="s">
        <v>20</v>
      </c>
      <c r="I29" s="331">
        <v>2.96</v>
      </c>
      <c r="J29" s="12">
        <f t="shared" si="0"/>
        <v>0</v>
      </c>
      <c r="K29" s="13"/>
    </row>
    <row r="30" spans="1:11" ht="15.75" hidden="1" customHeight="1" x14ac:dyDescent="0.35">
      <c r="A30" s="103"/>
      <c r="B30" s="12" t="s">
        <v>2</v>
      </c>
      <c r="C30" s="10" t="s">
        <v>213</v>
      </c>
      <c r="D30" s="152"/>
      <c r="E30" s="170"/>
      <c r="F30" s="95"/>
      <c r="G30" s="153" t="str">
        <f t="shared" si="1"/>
        <v/>
      </c>
      <c r="H30" s="10" t="s">
        <v>20</v>
      </c>
      <c r="I30" s="331">
        <v>2.96</v>
      </c>
      <c r="J30" s="12">
        <f t="shared" si="0"/>
        <v>0</v>
      </c>
      <c r="K30" s="13"/>
    </row>
    <row r="31" spans="1:11" hidden="1" x14ac:dyDescent="0.35">
      <c r="A31" s="103"/>
      <c r="B31" s="7" t="s">
        <v>2</v>
      </c>
      <c r="C31" s="14" t="s">
        <v>22</v>
      </c>
      <c r="D31" s="152"/>
      <c r="E31" s="170"/>
      <c r="F31" s="95"/>
      <c r="G31" s="153" t="str">
        <f t="shared" si="1"/>
        <v/>
      </c>
      <c r="H31" s="10" t="s">
        <v>20</v>
      </c>
      <c r="I31" s="331">
        <v>107.2</v>
      </c>
      <c r="J31" s="12">
        <f t="shared" si="0"/>
        <v>0</v>
      </c>
      <c r="K31" s="13"/>
    </row>
    <row r="32" spans="1:11" ht="14.5" hidden="1" customHeight="1" x14ac:dyDescent="0.35">
      <c r="A32" s="103"/>
      <c r="B32" s="7" t="s">
        <v>2</v>
      </c>
      <c r="C32" s="14" t="s">
        <v>214</v>
      </c>
      <c r="D32" s="152"/>
      <c r="E32" s="170"/>
      <c r="F32" s="95"/>
      <c r="G32" s="153" t="str">
        <f t="shared" si="1"/>
        <v/>
      </c>
      <c r="H32" s="10" t="s">
        <v>20</v>
      </c>
      <c r="I32" s="331">
        <v>170.7</v>
      </c>
      <c r="J32" s="12">
        <f t="shared" si="0"/>
        <v>0</v>
      </c>
      <c r="K32" s="13"/>
    </row>
    <row r="33" spans="1:11" ht="14.5" hidden="1" customHeight="1" x14ac:dyDescent="0.35">
      <c r="A33" s="103"/>
      <c r="B33" s="12" t="s">
        <v>2</v>
      </c>
      <c r="C33" s="10" t="s">
        <v>215</v>
      </c>
      <c r="D33" s="152"/>
      <c r="E33" s="170"/>
      <c r="F33" s="95"/>
      <c r="G33" s="153" t="str">
        <f t="shared" si="1"/>
        <v/>
      </c>
      <c r="H33" s="10" t="s">
        <v>216</v>
      </c>
      <c r="I33" s="331">
        <v>3.77</v>
      </c>
      <c r="J33" s="12">
        <f t="shared" si="0"/>
        <v>0</v>
      </c>
      <c r="K33" s="13"/>
    </row>
    <row r="34" spans="1:11" s="6" customFormat="1" ht="15.65" hidden="1" customHeight="1" x14ac:dyDescent="0.35">
      <c r="A34" s="103"/>
      <c r="B34" s="12" t="s">
        <v>2</v>
      </c>
      <c r="C34" s="10" t="s">
        <v>217</v>
      </c>
      <c r="D34" s="152"/>
      <c r="E34" s="170"/>
      <c r="F34" s="95"/>
      <c r="G34" s="153" t="str">
        <f t="shared" si="1"/>
        <v/>
      </c>
      <c r="H34" s="10" t="s">
        <v>20</v>
      </c>
      <c r="I34" s="331">
        <v>2.56</v>
      </c>
      <c r="J34" s="12">
        <f t="shared" si="0"/>
        <v>0</v>
      </c>
    </row>
    <row r="35" spans="1:11" ht="14.5" hidden="1" customHeight="1" x14ac:dyDescent="0.35">
      <c r="A35" s="103"/>
      <c r="B35" s="12" t="s">
        <v>2</v>
      </c>
      <c r="C35" s="10" t="s">
        <v>218</v>
      </c>
      <c r="D35" s="152"/>
      <c r="E35" s="170"/>
      <c r="F35" s="95"/>
      <c r="G35" s="153" t="str">
        <f t="shared" si="1"/>
        <v/>
      </c>
      <c r="H35" s="10" t="s">
        <v>20</v>
      </c>
      <c r="I35" s="331">
        <v>3.08</v>
      </c>
      <c r="J35" s="12">
        <f t="shared" si="0"/>
        <v>0</v>
      </c>
      <c r="K35" s="13"/>
    </row>
    <row r="36" spans="1:11" ht="14.5" hidden="1" customHeight="1" x14ac:dyDescent="0.35">
      <c r="A36" s="103"/>
      <c r="B36" s="12" t="s">
        <v>2</v>
      </c>
      <c r="C36" s="10" t="s">
        <v>219</v>
      </c>
      <c r="D36" s="152"/>
      <c r="E36" s="170"/>
      <c r="F36" s="95"/>
      <c r="G36" s="153" t="str">
        <f t="shared" si="1"/>
        <v/>
      </c>
      <c r="H36" s="10" t="s">
        <v>20</v>
      </c>
      <c r="I36" s="331">
        <v>2.56</v>
      </c>
      <c r="J36" s="12">
        <f t="shared" si="0"/>
        <v>0</v>
      </c>
      <c r="K36" s="13"/>
    </row>
    <row r="37" spans="1:11" hidden="1" x14ac:dyDescent="0.35">
      <c r="A37" s="103"/>
      <c r="B37" s="12" t="s">
        <v>2</v>
      </c>
      <c r="C37" s="10" t="s">
        <v>220</v>
      </c>
      <c r="D37" s="152"/>
      <c r="E37" s="170"/>
      <c r="F37" s="95"/>
      <c r="G37" s="153" t="str">
        <f t="shared" si="1"/>
        <v/>
      </c>
      <c r="H37" s="10" t="s">
        <v>20</v>
      </c>
      <c r="I37" s="331">
        <v>1.41</v>
      </c>
      <c r="J37" s="12">
        <f t="shared" si="0"/>
        <v>0</v>
      </c>
      <c r="K37" s="13"/>
    </row>
    <row r="38" spans="1:11" hidden="1" x14ac:dyDescent="0.35">
      <c r="A38" s="103"/>
      <c r="B38" s="12" t="s">
        <v>2</v>
      </c>
      <c r="C38" s="10" t="s">
        <v>221</v>
      </c>
      <c r="D38" s="152"/>
      <c r="E38" s="170"/>
      <c r="F38" s="95"/>
      <c r="G38" s="153" t="str">
        <f t="shared" si="1"/>
        <v/>
      </c>
      <c r="H38" s="10" t="s">
        <v>20</v>
      </c>
      <c r="I38" s="331">
        <v>1.73</v>
      </c>
      <c r="J38" s="12">
        <f t="shared" si="0"/>
        <v>0</v>
      </c>
      <c r="K38" s="13"/>
    </row>
    <row r="39" spans="1:11" hidden="1" x14ac:dyDescent="0.35">
      <c r="A39" s="103"/>
      <c r="B39" s="12" t="s">
        <v>2</v>
      </c>
      <c r="C39" s="10" t="s">
        <v>222</v>
      </c>
      <c r="D39" s="152"/>
      <c r="E39" s="170"/>
      <c r="F39" s="95"/>
      <c r="G39" s="153" t="str">
        <f t="shared" si="1"/>
        <v/>
      </c>
      <c r="H39" s="10" t="s">
        <v>20</v>
      </c>
      <c r="I39" s="331">
        <v>1.46</v>
      </c>
      <c r="J39" s="12">
        <f t="shared" si="0"/>
        <v>0</v>
      </c>
      <c r="K39" s="13"/>
    </row>
    <row r="40" spans="1:11" ht="14.5" hidden="1" customHeight="1" x14ac:dyDescent="0.35">
      <c r="A40" s="103"/>
      <c r="B40" s="12" t="s">
        <v>2</v>
      </c>
      <c r="C40" s="10" t="s">
        <v>223</v>
      </c>
      <c r="D40" s="222"/>
      <c r="E40" s="170"/>
      <c r="F40" s="141"/>
      <c r="G40" s="153" t="str">
        <f t="shared" si="1"/>
        <v/>
      </c>
      <c r="H40" s="10" t="s">
        <v>20</v>
      </c>
      <c r="I40" s="332">
        <v>3.45</v>
      </c>
      <c r="J40" s="12">
        <f t="shared" si="0"/>
        <v>0</v>
      </c>
      <c r="K40" s="13"/>
    </row>
    <row r="41" spans="1:11" s="6" customFormat="1" ht="15.65" customHeight="1" x14ac:dyDescent="0.35">
      <c r="A41" s="108" t="s">
        <v>119</v>
      </c>
      <c r="B41" s="108"/>
      <c r="C41" s="108"/>
      <c r="D41" s="223"/>
      <c r="E41" s="169"/>
      <c r="F41" s="109"/>
      <c r="G41" s="165" t="str">
        <f t="shared" si="1"/>
        <v/>
      </c>
      <c r="H41" s="108"/>
      <c r="I41" s="106" t="s">
        <v>18</v>
      </c>
      <c r="J41" s="107">
        <f>SUM(J42:J49)</f>
        <v>1450</v>
      </c>
    </row>
    <row r="42" spans="1:11" ht="14.5" customHeight="1" x14ac:dyDescent="0.35">
      <c r="A42" s="103"/>
      <c r="B42" s="12" t="s">
        <v>7</v>
      </c>
      <c r="C42" s="10" t="s">
        <v>224</v>
      </c>
      <c r="D42" s="152"/>
      <c r="E42" s="166">
        <f>E24</f>
        <v>1</v>
      </c>
      <c r="F42" s="95"/>
      <c r="G42" s="153" t="str">
        <f t="shared" si="1"/>
        <v/>
      </c>
      <c r="H42" s="10" t="s">
        <v>20</v>
      </c>
      <c r="I42" s="331">
        <v>100</v>
      </c>
      <c r="J42" s="12">
        <f t="shared" ref="J42:J49" si="2">E42*I42</f>
        <v>100</v>
      </c>
      <c r="K42" s="13"/>
    </row>
    <row r="43" spans="1:11" hidden="1" x14ac:dyDescent="0.35">
      <c r="A43" s="103"/>
      <c r="B43" s="12" t="s">
        <v>7</v>
      </c>
      <c r="C43" s="10" t="s">
        <v>225</v>
      </c>
      <c r="D43" s="152"/>
      <c r="E43" s="170"/>
      <c r="F43" s="95"/>
      <c r="G43" s="153" t="str">
        <f t="shared" si="1"/>
        <v/>
      </c>
      <c r="H43" s="10" t="s">
        <v>20</v>
      </c>
      <c r="I43" s="331">
        <v>12.2</v>
      </c>
      <c r="J43" s="12">
        <f t="shared" si="2"/>
        <v>0</v>
      </c>
      <c r="K43" s="13"/>
    </row>
    <row r="44" spans="1:11" ht="14.5" hidden="1" customHeight="1" x14ac:dyDescent="0.35">
      <c r="A44" s="103"/>
      <c r="B44" s="12" t="s">
        <v>7</v>
      </c>
      <c r="C44" s="10" t="s">
        <v>226</v>
      </c>
      <c r="D44" s="152"/>
      <c r="E44" s="170"/>
      <c r="F44" s="95"/>
      <c r="G44" s="153" t="str">
        <f t="shared" si="1"/>
        <v/>
      </c>
      <c r="H44" s="10" t="s">
        <v>20</v>
      </c>
      <c r="I44" s="331">
        <v>11</v>
      </c>
      <c r="J44" s="12">
        <f t="shared" si="2"/>
        <v>0</v>
      </c>
      <c r="K44" s="88"/>
    </row>
    <row r="45" spans="1:11" hidden="1" x14ac:dyDescent="0.35">
      <c r="A45" s="103"/>
      <c r="B45" s="12" t="s">
        <v>7</v>
      </c>
      <c r="C45" s="10" t="s">
        <v>227</v>
      </c>
      <c r="D45" s="152"/>
      <c r="E45" s="170"/>
      <c r="F45" s="95"/>
      <c r="G45" s="153" t="str">
        <f t="shared" si="1"/>
        <v/>
      </c>
      <c r="H45" s="10" t="s">
        <v>20</v>
      </c>
      <c r="I45" s="331">
        <v>5</v>
      </c>
      <c r="J45" s="12">
        <f t="shared" si="2"/>
        <v>0</v>
      </c>
      <c r="K45" s="13" t="s">
        <v>47</v>
      </c>
    </row>
    <row r="46" spans="1:11" x14ac:dyDescent="0.35">
      <c r="A46" s="103"/>
      <c r="B46" s="12" t="s">
        <v>7</v>
      </c>
      <c r="C46" s="10" t="s">
        <v>46</v>
      </c>
      <c r="D46" s="152"/>
      <c r="E46" s="170"/>
      <c r="F46" s="95"/>
      <c r="G46" s="153" t="str">
        <f t="shared" si="1"/>
        <v/>
      </c>
      <c r="H46" s="10" t="s">
        <v>20</v>
      </c>
      <c r="I46" s="331">
        <v>5</v>
      </c>
      <c r="J46" s="12">
        <f t="shared" si="2"/>
        <v>0</v>
      </c>
      <c r="K46" s="13"/>
    </row>
    <row r="47" spans="1:11" ht="14.5" hidden="1" customHeight="1" x14ac:dyDescent="0.35">
      <c r="A47" s="103"/>
      <c r="B47" s="12" t="s">
        <v>7</v>
      </c>
      <c r="C47" s="10" t="s">
        <v>228</v>
      </c>
      <c r="D47" s="152"/>
      <c r="E47" s="170"/>
      <c r="F47" s="95"/>
      <c r="G47" s="153" t="str">
        <f t="shared" si="1"/>
        <v/>
      </c>
      <c r="H47" s="10" t="s">
        <v>20</v>
      </c>
      <c r="I47" s="331">
        <v>11</v>
      </c>
      <c r="J47" s="12">
        <f t="shared" si="2"/>
        <v>0</v>
      </c>
      <c r="K47" s="13"/>
    </row>
    <row r="48" spans="1:11" ht="16.399999999999999" customHeight="1" x14ac:dyDescent="0.35">
      <c r="A48" s="103"/>
      <c r="B48" s="12" t="s">
        <v>7</v>
      </c>
      <c r="C48" s="10" t="s">
        <v>229</v>
      </c>
      <c r="D48" s="152"/>
      <c r="E48" s="166">
        <f>E27+E26</f>
        <v>27</v>
      </c>
      <c r="F48" s="95"/>
      <c r="G48" s="153" t="str">
        <f t="shared" si="1"/>
        <v/>
      </c>
      <c r="H48" s="10" t="s">
        <v>20</v>
      </c>
      <c r="I48" s="331">
        <v>50</v>
      </c>
      <c r="J48" s="12">
        <f t="shared" si="2"/>
        <v>1350</v>
      </c>
      <c r="K48" s="13"/>
    </row>
    <row r="49" spans="1:11" hidden="1" x14ac:dyDescent="0.35">
      <c r="A49" s="103"/>
      <c r="B49" s="12" t="s">
        <v>7</v>
      </c>
      <c r="C49" s="78" t="s">
        <v>206</v>
      </c>
      <c r="D49" s="224"/>
      <c r="E49" s="170"/>
      <c r="F49" s="142"/>
      <c r="G49" s="153" t="str">
        <f t="shared" si="1"/>
        <v/>
      </c>
      <c r="H49" s="10" t="s">
        <v>20</v>
      </c>
      <c r="I49" s="333">
        <v>5</v>
      </c>
      <c r="J49" s="12">
        <f t="shared" si="2"/>
        <v>0</v>
      </c>
      <c r="K49" s="13"/>
    </row>
    <row r="50" spans="1:11" ht="14.5" customHeight="1" x14ac:dyDescent="0.35">
      <c r="A50" s="103"/>
      <c r="B50" s="104" t="s">
        <v>230</v>
      </c>
      <c r="C50" s="105"/>
      <c r="D50" s="225"/>
      <c r="E50" s="171"/>
      <c r="F50" s="143"/>
      <c r="G50" s="165" t="str">
        <f t="shared" si="1"/>
        <v/>
      </c>
      <c r="H50" s="105"/>
      <c r="I50" s="106" t="s">
        <v>18</v>
      </c>
      <c r="J50" s="107">
        <f>SUM(J52:J77)</f>
        <v>178</v>
      </c>
      <c r="K50" s="13"/>
    </row>
    <row r="51" spans="1:11" ht="14.5" customHeight="1" x14ac:dyDescent="0.35">
      <c r="A51" s="111"/>
      <c r="B51" s="126" t="s">
        <v>231</v>
      </c>
      <c r="C51" s="127"/>
      <c r="D51" s="226"/>
      <c r="E51" s="172"/>
      <c r="F51" s="144"/>
      <c r="G51" s="165" t="str">
        <f t="shared" si="1"/>
        <v/>
      </c>
      <c r="H51" s="127"/>
      <c r="I51" s="239"/>
      <c r="J51" s="128"/>
      <c r="K51" s="13"/>
    </row>
    <row r="52" spans="1:11" ht="14.5" hidden="1" customHeight="1" x14ac:dyDescent="0.35">
      <c r="A52" s="103"/>
      <c r="B52" s="12" t="s">
        <v>13</v>
      </c>
      <c r="C52" s="10" t="s">
        <v>78</v>
      </c>
      <c r="D52" s="152"/>
      <c r="E52" s="170"/>
      <c r="F52" s="95"/>
      <c r="G52" s="153" t="str">
        <f t="shared" si="1"/>
        <v/>
      </c>
      <c r="H52" s="10" t="s">
        <v>20</v>
      </c>
      <c r="I52" s="331">
        <v>13</v>
      </c>
      <c r="J52" s="12">
        <f t="shared" ref="J52:J58" si="3">E52*I52</f>
        <v>0</v>
      </c>
      <c r="K52" s="13"/>
    </row>
    <row r="53" spans="1:11" hidden="1" x14ac:dyDescent="0.35">
      <c r="A53" s="103"/>
      <c r="B53" s="12" t="s">
        <v>13</v>
      </c>
      <c r="C53" s="10" t="s">
        <v>232</v>
      </c>
      <c r="D53" s="152"/>
      <c r="E53" s="170"/>
      <c r="F53" s="95"/>
      <c r="G53" s="153" t="str">
        <f t="shared" si="1"/>
        <v/>
      </c>
      <c r="H53" s="10" t="s">
        <v>20</v>
      </c>
      <c r="I53" s="331">
        <v>13</v>
      </c>
      <c r="J53" s="12">
        <f t="shared" si="3"/>
        <v>0</v>
      </c>
      <c r="K53" s="134"/>
    </row>
    <row r="54" spans="1:11" hidden="1" x14ac:dyDescent="0.35">
      <c r="A54" s="103"/>
      <c r="B54" s="12" t="s">
        <v>13</v>
      </c>
      <c r="C54" s="10" t="s">
        <v>233</v>
      </c>
      <c r="D54" s="152"/>
      <c r="E54" s="170"/>
      <c r="F54" s="95"/>
      <c r="G54" s="153" t="str">
        <f t="shared" si="1"/>
        <v/>
      </c>
      <c r="H54" s="10" t="s">
        <v>20</v>
      </c>
      <c r="I54" s="331">
        <v>8.9</v>
      </c>
      <c r="J54" s="12">
        <f t="shared" si="3"/>
        <v>0</v>
      </c>
      <c r="K54" s="13"/>
    </row>
    <row r="55" spans="1:11" x14ac:dyDescent="0.35">
      <c r="A55" s="103"/>
      <c r="B55" s="12" t="s">
        <v>13</v>
      </c>
      <c r="C55" s="10" t="s">
        <v>32</v>
      </c>
      <c r="D55" s="152">
        <v>6</v>
      </c>
      <c r="E55" s="170"/>
      <c r="F55" s="95"/>
      <c r="G55" s="153" t="str">
        <f t="shared" si="1"/>
        <v/>
      </c>
      <c r="H55" s="10" t="s">
        <v>20</v>
      </c>
      <c r="I55" s="331">
        <v>8.35</v>
      </c>
      <c r="J55" s="12">
        <f t="shared" si="3"/>
        <v>0</v>
      </c>
      <c r="K55" s="13"/>
    </row>
    <row r="56" spans="1:11" s="6" customFormat="1" ht="15.65" customHeight="1" x14ac:dyDescent="0.35">
      <c r="A56" s="103"/>
      <c r="B56" s="12" t="s">
        <v>13</v>
      </c>
      <c r="C56" s="10" t="s">
        <v>33</v>
      </c>
      <c r="D56" s="152">
        <v>6</v>
      </c>
      <c r="E56" s="170">
        <v>20</v>
      </c>
      <c r="F56" s="95"/>
      <c r="G56" s="153" t="str">
        <f t="shared" si="1"/>
        <v/>
      </c>
      <c r="H56" s="10" t="s">
        <v>20</v>
      </c>
      <c r="I56" s="331">
        <v>8.9</v>
      </c>
      <c r="J56" s="12">
        <f t="shared" si="3"/>
        <v>178</v>
      </c>
    </row>
    <row r="57" spans="1:11" s="6" customFormat="1" ht="15.65" customHeight="1" x14ac:dyDescent="0.35">
      <c r="A57" s="103"/>
      <c r="B57" s="12" t="s">
        <v>13</v>
      </c>
      <c r="C57" s="10" t="s">
        <v>59</v>
      </c>
      <c r="D57" s="152">
        <v>6</v>
      </c>
      <c r="E57" s="170"/>
      <c r="F57" s="95"/>
      <c r="G57" s="153" t="str">
        <f t="shared" si="1"/>
        <v/>
      </c>
      <c r="H57" s="10" t="s">
        <v>20</v>
      </c>
      <c r="I57" s="331">
        <v>8.6999999999999993</v>
      </c>
      <c r="J57" s="12">
        <f t="shared" si="3"/>
        <v>0</v>
      </c>
    </row>
    <row r="58" spans="1:11" ht="14.5" hidden="1" customHeight="1" x14ac:dyDescent="0.35">
      <c r="A58" s="103"/>
      <c r="B58" s="12" t="s">
        <v>13</v>
      </c>
      <c r="C58" s="10" t="s">
        <v>234</v>
      </c>
      <c r="D58" s="152"/>
      <c r="E58" s="170"/>
      <c r="F58" s="95"/>
      <c r="G58" s="153" t="str">
        <f t="shared" si="1"/>
        <v/>
      </c>
      <c r="H58" s="10" t="s">
        <v>20</v>
      </c>
      <c r="I58" s="331">
        <v>12.15</v>
      </c>
      <c r="J58" s="12">
        <f t="shared" si="3"/>
        <v>0</v>
      </c>
      <c r="K58" s="13"/>
    </row>
    <row r="59" spans="1:11" ht="14.5" hidden="1" customHeight="1" x14ac:dyDescent="0.35">
      <c r="A59" s="103"/>
      <c r="B59" s="12" t="s">
        <v>13</v>
      </c>
      <c r="C59" s="10" t="s">
        <v>235</v>
      </c>
      <c r="D59" s="152"/>
      <c r="E59" s="170"/>
      <c r="F59" s="95"/>
      <c r="G59" s="153" t="str">
        <f t="shared" si="1"/>
        <v/>
      </c>
      <c r="H59" s="10" t="s">
        <v>20</v>
      </c>
      <c r="I59" s="331">
        <v>11.35</v>
      </c>
      <c r="J59" s="12">
        <f t="shared" ref="J59:J64" si="4">E59*I59</f>
        <v>0</v>
      </c>
      <c r="K59" s="13"/>
    </row>
    <row r="60" spans="1:11" s="6" customFormat="1" ht="15.65" hidden="1" customHeight="1" x14ac:dyDescent="0.35">
      <c r="A60" s="103"/>
      <c r="B60" s="12" t="s">
        <v>13</v>
      </c>
      <c r="C60" s="10" t="s">
        <v>236</v>
      </c>
      <c r="D60" s="152"/>
      <c r="E60" s="170"/>
      <c r="F60" s="95"/>
      <c r="G60" s="153" t="str">
        <f t="shared" si="1"/>
        <v/>
      </c>
      <c r="H60" s="10" t="s">
        <v>20</v>
      </c>
      <c r="I60" s="331">
        <v>14.65</v>
      </c>
      <c r="J60" s="12">
        <f t="shared" si="4"/>
        <v>0</v>
      </c>
    </row>
    <row r="61" spans="1:11" ht="14.5" hidden="1" customHeight="1" x14ac:dyDescent="0.35">
      <c r="A61" s="103"/>
      <c r="B61" s="12" t="s">
        <v>13</v>
      </c>
      <c r="C61" s="10" t="s">
        <v>237</v>
      </c>
      <c r="D61" s="152"/>
      <c r="E61" s="170"/>
      <c r="F61" s="95"/>
      <c r="G61" s="153" t="str">
        <f t="shared" si="1"/>
        <v/>
      </c>
      <c r="H61" s="10" t="s">
        <v>20</v>
      </c>
      <c r="I61" s="331">
        <v>16.25</v>
      </c>
      <c r="J61" s="12">
        <f t="shared" si="4"/>
        <v>0</v>
      </c>
      <c r="K61" s="13"/>
    </row>
    <row r="62" spans="1:11" s="6" customFormat="1" ht="15.5" hidden="1" x14ac:dyDescent="0.35">
      <c r="A62" s="103"/>
      <c r="B62" s="12" t="s">
        <v>13</v>
      </c>
      <c r="C62" s="10" t="s">
        <v>238</v>
      </c>
      <c r="D62" s="152"/>
      <c r="E62" s="170"/>
      <c r="F62" s="95"/>
      <c r="G62" s="153" t="str">
        <f t="shared" si="1"/>
        <v/>
      </c>
      <c r="H62" s="10" t="s">
        <v>20</v>
      </c>
      <c r="I62" s="331">
        <v>17.899999999999999</v>
      </c>
      <c r="J62" s="12">
        <f t="shared" si="4"/>
        <v>0</v>
      </c>
    </row>
    <row r="63" spans="1:11" hidden="1" x14ac:dyDescent="0.35">
      <c r="A63" s="103"/>
      <c r="B63" s="12" t="s">
        <v>13</v>
      </c>
      <c r="C63" s="10" t="s">
        <v>239</v>
      </c>
      <c r="D63" s="152"/>
      <c r="E63" s="170"/>
      <c r="F63" s="95"/>
      <c r="G63" s="153" t="str">
        <f t="shared" si="1"/>
        <v/>
      </c>
      <c r="H63" s="10" t="s">
        <v>20</v>
      </c>
      <c r="I63" s="331">
        <v>15.95</v>
      </c>
      <c r="J63" s="12">
        <f t="shared" si="4"/>
        <v>0</v>
      </c>
      <c r="K63" s="13"/>
    </row>
    <row r="64" spans="1:11" ht="14.5" hidden="1" customHeight="1" x14ac:dyDescent="0.35">
      <c r="A64" s="103"/>
      <c r="B64" s="12" t="s">
        <v>13</v>
      </c>
      <c r="C64" s="10" t="s">
        <v>240</v>
      </c>
      <c r="D64" s="152"/>
      <c r="E64" s="170"/>
      <c r="F64" s="95"/>
      <c r="G64" s="153" t="str">
        <f t="shared" si="1"/>
        <v/>
      </c>
      <c r="H64" s="10" t="s">
        <v>20</v>
      </c>
      <c r="I64" s="331">
        <v>15.45</v>
      </c>
      <c r="J64" s="12">
        <f t="shared" si="4"/>
        <v>0</v>
      </c>
      <c r="K64" s="13"/>
    </row>
    <row r="65" spans="1:11" s="6" customFormat="1" ht="15.65" hidden="1" customHeight="1" x14ac:dyDescent="0.35">
      <c r="A65" s="111"/>
      <c r="B65" s="126" t="s">
        <v>241</v>
      </c>
      <c r="C65" s="127"/>
      <c r="D65" s="226"/>
      <c r="E65" s="172"/>
      <c r="F65" s="144"/>
      <c r="G65" s="153" t="str">
        <f t="shared" si="1"/>
        <v/>
      </c>
      <c r="H65" s="127"/>
      <c r="I65" s="239"/>
      <c r="J65" s="128"/>
    </row>
    <row r="66" spans="1:11" ht="14.5" hidden="1" customHeight="1" x14ac:dyDescent="0.35">
      <c r="A66" s="103"/>
      <c r="B66" s="12" t="s">
        <v>13</v>
      </c>
      <c r="C66" s="10" t="s">
        <v>242</v>
      </c>
      <c r="D66" s="152"/>
      <c r="E66" s="170"/>
      <c r="F66" s="95"/>
      <c r="G66" s="153" t="str">
        <f t="shared" si="1"/>
        <v/>
      </c>
      <c r="H66" s="10" t="s">
        <v>20</v>
      </c>
      <c r="I66" s="331">
        <v>31.05</v>
      </c>
      <c r="J66" s="12">
        <f t="shared" ref="J66:J72" si="5">E66*I66</f>
        <v>0</v>
      </c>
      <c r="K66" s="13"/>
    </row>
    <row r="67" spans="1:11" ht="14.5" hidden="1" customHeight="1" x14ac:dyDescent="0.35">
      <c r="A67" s="103"/>
      <c r="B67" s="12" t="s">
        <v>13</v>
      </c>
      <c r="C67" s="10" t="s">
        <v>243</v>
      </c>
      <c r="D67" s="152"/>
      <c r="E67" s="170"/>
      <c r="F67" s="95"/>
      <c r="G67" s="153" t="str">
        <f t="shared" si="1"/>
        <v/>
      </c>
      <c r="H67" s="10" t="s">
        <v>20</v>
      </c>
      <c r="I67" s="331">
        <v>60.79</v>
      </c>
      <c r="J67" s="12">
        <f t="shared" si="5"/>
        <v>0</v>
      </c>
      <c r="K67" s="13"/>
    </row>
    <row r="68" spans="1:11" hidden="1" x14ac:dyDescent="0.35">
      <c r="A68" s="103"/>
      <c r="B68" s="12" t="s">
        <v>13</v>
      </c>
      <c r="C68" s="10" t="s">
        <v>244</v>
      </c>
      <c r="D68" s="152"/>
      <c r="E68" s="170"/>
      <c r="F68" s="95"/>
      <c r="G68" s="153" t="str">
        <f t="shared" si="1"/>
        <v/>
      </c>
      <c r="H68" s="10" t="s">
        <v>20</v>
      </c>
      <c r="I68" s="331">
        <v>56.55</v>
      </c>
      <c r="J68" s="12">
        <f t="shared" si="5"/>
        <v>0</v>
      </c>
      <c r="K68" s="13"/>
    </row>
    <row r="69" spans="1:11" hidden="1" x14ac:dyDescent="0.35">
      <c r="A69" s="103"/>
      <c r="B69" s="12" t="s">
        <v>13</v>
      </c>
      <c r="C69" s="10" t="s">
        <v>245</v>
      </c>
      <c r="D69" s="152"/>
      <c r="E69" s="170"/>
      <c r="F69" s="95"/>
      <c r="G69" s="153" t="str">
        <f t="shared" si="1"/>
        <v/>
      </c>
      <c r="H69" s="10" t="s">
        <v>20</v>
      </c>
      <c r="I69" s="331">
        <v>107.44</v>
      </c>
      <c r="J69" s="12">
        <f t="shared" si="5"/>
        <v>0</v>
      </c>
      <c r="K69" s="13"/>
    </row>
    <row r="70" spans="1:11" ht="14.5" hidden="1" customHeight="1" x14ac:dyDescent="0.35">
      <c r="A70" s="103"/>
      <c r="B70" s="12" t="s">
        <v>13</v>
      </c>
      <c r="C70" s="10" t="s">
        <v>246</v>
      </c>
      <c r="D70" s="152"/>
      <c r="E70" s="170"/>
      <c r="F70" s="95"/>
      <c r="G70" s="153" t="str">
        <f t="shared" si="1"/>
        <v/>
      </c>
      <c r="H70" s="10" t="s">
        <v>20</v>
      </c>
      <c r="I70" s="331">
        <v>47.4</v>
      </c>
      <c r="J70" s="12">
        <f t="shared" si="5"/>
        <v>0</v>
      </c>
      <c r="K70" s="13"/>
    </row>
    <row r="71" spans="1:11" ht="15.65" hidden="1" customHeight="1" x14ac:dyDescent="0.35">
      <c r="A71" s="103"/>
      <c r="B71" s="12" t="s">
        <v>13</v>
      </c>
      <c r="C71" s="10" t="s">
        <v>247</v>
      </c>
      <c r="D71" s="152"/>
      <c r="E71" s="170"/>
      <c r="F71" s="95"/>
      <c r="G71" s="153" t="str">
        <f t="shared" si="1"/>
        <v/>
      </c>
      <c r="H71" s="10" t="s">
        <v>20</v>
      </c>
      <c r="I71" s="331">
        <v>87.63</v>
      </c>
      <c r="J71" s="12">
        <f t="shared" si="5"/>
        <v>0</v>
      </c>
      <c r="K71" s="13"/>
    </row>
    <row r="72" spans="1:11" hidden="1" x14ac:dyDescent="0.35">
      <c r="A72" s="103"/>
      <c r="B72" s="12" t="s">
        <v>13</v>
      </c>
      <c r="C72" s="10" t="s">
        <v>248</v>
      </c>
      <c r="D72" s="152"/>
      <c r="E72" s="170"/>
      <c r="F72" s="95"/>
      <c r="G72" s="153" t="str">
        <f t="shared" si="1"/>
        <v/>
      </c>
      <c r="H72" s="10" t="s">
        <v>20</v>
      </c>
      <c r="I72" s="331">
        <v>52.31</v>
      </c>
      <c r="J72" s="12">
        <f t="shared" si="5"/>
        <v>0</v>
      </c>
      <c r="K72" s="13"/>
    </row>
    <row r="73" spans="1:11" ht="16.399999999999999" hidden="1" customHeight="1" x14ac:dyDescent="0.35">
      <c r="A73" s="111"/>
      <c r="B73" s="126" t="s">
        <v>249</v>
      </c>
      <c r="C73" s="127"/>
      <c r="D73" s="226"/>
      <c r="E73" s="172"/>
      <c r="F73" s="144"/>
      <c r="G73" s="153" t="str">
        <f t="shared" si="1"/>
        <v/>
      </c>
      <c r="H73" s="127"/>
      <c r="I73" s="239"/>
      <c r="J73" s="128"/>
      <c r="K73" s="13"/>
    </row>
    <row r="74" spans="1:11" ht="14.5" hidden="1" customHeight="1" x14ac:dyDescent="0.35">
      <c r="A74" s="103"/>
      <c r="B74" s="12" t="s">
        <v>13</v>
      </c>
      <c r="C74" s="10" t="s">
        <v>250</v>
      </c>
      <c r="D74" s="152"/>
      <c r="E74" s="170"/>
      <c r="F74" s="95"/>
      <c r="G74" s="153" t="str">
        <f t="shared" si="1"/>
        <v/>
      </c>
      <c r="H74" s="10" t="s">
        <v>20</v>
      </c>
      <c r="I74" s="331">
        <v>10.8</v>
      </c>
      <c r="J74" s="12">
        <f>E74*I74</f>
        <v>0</v>
      </c>
      <c r="K74" s="13"/>
    </row>
    <row r="75" spans="1:11" ht="14.5" hidden="1" customHeight="1" x14ac:dyDescent="0.35">
      <c r="A75" s="103"/>
      <c r="B75" s="12" t="s">
        <v>13</v>
      </c>
      <c r="C75" s="10" t="s">
        <v>251</v>
      </c>
      <c r="D75" s="152"/>
      <c r="E75" s="170"/>
      <c r="F75" s="95"/>
      <c r="G75" s="153" t="str">
        <f t="shared" si="1"/>
        <v/>
      </c>
      <c r="H75" s="10" t="s">
        <v>20</v>
      </c>
      <c r="I75" s="331">
        <v>11.2</v>
      </c>
      <c r="J75" s="12">
        <f>E75*I75</f>
        <v>0</v>
      </c>
      <c r="K75" s="13"/>
    </row>
    <row r="76" spans="1:11" s="24" customFormat="1" ht="15.65" customHeight="1" x14ac:dyDescent="0.35">
      <c r="A76" s="103"/>
      <c r="B76" s="12" t="s">
        <v>13</v>
      </c>
      <c r="C76" s="10" t="s">
        <v>252</v>
      </c>
      <c r="D76" s="152"/>
      <c r="E76" s="170"/>
      <c r="F76" s="95"/>
      <c r="G76" s="153" t="str">
        <f t="shared" si="1"/>
        <v/>
      </c>
      <c r="H76" s="10" t="s">
        <v>23</v>
      </c>
      <c r="I76" s="331">
        <v>4.5599999999999996</v>
      </c>
      <c r="J76" s="12">
        <f>E76*I76</f>
        <v>0</v>
      </c>
    </row>
    <row r="77" spans="1:11" s="6" customFormat="1" ht="15.65" customHeight="1" x14ac:dyDescent="0.35">
      <c r="A77" s="103"/>
      <c r="B77" s="12" t="s">
        <v>13</v>
      </c>
      <c r="C77" s="10" t="s">
        <v>253</v>
      </c>
      <c r="D77" s="152"/>
      <c r="E77" s="170"/>
      <c r="F77" s="95"/>
      <c r="G77" s="153" t="str">
        <f t="shared" si="1"/>
        <v/>
      </c>
      <c r="H77" s="10" t="s">
        <v>23</v>
      </c>
      <c r="I77" s="331">
        <v>37.700000000000003</v>
      </c>
      <c r="J77" s="12">
        <f>E77*I77</f>
        <v>0</v>
      </c>
    </row>
    <row r="78" spans="1:11" ht="14.5" hidden="1" customHeight="1" x14ac:dyDescent="0.35">
      <c r="A78" s="108" t="s">
        <v>254</v>
      </c>
      <c r="B78" s="108"/>
      <c r="C78" s="108"/>
      <c r="D78" s="223"/>
      <c r="E78" s="169"/>
      <c r="F78" s="109"/>
      <c r="G78" s="153" t="str">
        <f t="shared" si="1"/>
        <v/>
      </c>
      <c r="H78" s="108"/>
      <c r="I78" s="110" t="s">
        <v>18</v>
      </c>
      <c r="J78" s="115">
        <f>SUM(J80:J121)</f>
        <v>0</v>
      </c>
    </row>
    <row r="79" spans="1:11" ht="14.5" hidden="1" customHeight="1" x14ac:dyDescent="0.35">
      <c r="A79" s="111"/>
      <c r="B79" s="126" t="s">
        <v>255</v>
      </c>
      <c r="C79" s="127"/>
      <c r="D79" s="226"/>
      <c r="E79" s="172"/>
      <c r="F79" s="144"/>
      <c r="G79" s="153" t="str">
        <f t="shared" si="1"/>
        <v/>
      </c>
      <c r="H79" s="127"/>
      <c r="I79" s="239"/>
      <c r="J79" s="128"/>
      <c r="K79" s="13"/>
    </row>
    <row r="80" spans="1:11" ht="14.5" hidden="1" customHeight="1" x14ac:dyDescent="0.35">
      <c r="A80" s="103"/>
      <c r="B80" s="12" t="s">
        <v>3</v>
      </c>
      <c r="C80" s="10" t="s">
        <v>256</v>
      </c>
      <c r="D80" s="152"/>
      <c r="E80" s="170"/>
      <c r="F80" s="95"/>
      <c r="G80" s="153" t="str">
        <f t="shared" si="1"/>
        <v/>
      </c>
      <c r="H80" s="10" t="s">
        <v>20</v>
      </c>
      <c r="I80" s="331">
        <v>32.950000000000003</v>
      </c>
      <c r="J80" s="12">
        <f t="shared" ref="J80:J86" si="6">E80*I80</f>
        <v>0</v>
      </c>
      <c r="K80" s="13"/>
    </row>
    <row r="81" spans="1:13" ht="14.5" hidden="1" customHeight="1" x14ac:dyDescent="0.35">
      <c r="A81" s="103"/>
      <c r="B81" s="12" t="s">
        <v>3</v>
      </c>
      <c r="C81" s="10" t="s">
        <v>257</v>
      </c>
      <c r="D81" s="152"/>
      <c r="E81" s="170"/>
      <c r="F81" s="95"/>
      <c r="G81" s="153" t="str">
        <f t="shared" si="1"/>
        <v/>
      </c>
      <c r="H81" s="10" t="s">
        <v>20</v>
      </c>
      <c r="I81" s="331">
        <v>56.95</v>
      </c>
      <c r="J81" s="12">
        <f t="shared" si="6"/>
        <v>0</v>
      </c>
      <c r="K81" s="13" t="s">
        <v>47</v>
      </c>
    </row>
    <row r="82" spans="1:13" ht="14.5" hidden="1" customHeight="1" x14ac:dyDescent="0.35">
      <c r="A82" s="103"/>
      <c r="B82" s="12" t="s">
        <v>3</v>
      </c>
      <c r="C82" s="10" t="s">
        <v>258</v>
      </c>
      <c r="D82" s="152"/>
      <c r="E82" s="170"/>
      <c r="F82" s="95"/>
      <c r="G82" s="153" t="str">
        <f t="shared" si="1"/>
        <v/>
      </c>
      <c r="H82" s="10" t="s">
        <v>20</v>
      </c>
      <c r="I82" s="331">
        <v>15.95</v>
      </c>
      <c r="J82" s="12">
        <f t="shared" si="6"/>
        <v>0</v>
      </c>
    </row>
    <row r="83" spans="1:13" ht="14.5" hidden="1" customHeight="1" x14ac:dyDescent="0.35">
      <c r="A83" s="103"/>
      <c r="B83" s="12" t="s">
        <v>3</v>
      </c>
      <c r="C83" s="10" t="s">
        <v>259</v>
      </c>
      <c r="D83" s="152"/>
      <c r="E83" s="170"/>
      <c r="F83" s="95"/>
      <c r="G83" s="153" t="str">
        <f t="shared" si="1"/>
        <v/>
      </c>
      <c r="H83" s="10" t="s">
        <v>20</v>
      </c>
      <c r="I83" s="331">
        <v>19.95</v>
      </c>
      <c r="J83" s="12">
        <f t="shared" si="6"/>
        <v>0</v>
      </c>
      <c r="K83" s="28"/>
    </row>
    <row r="84" spans="1:13" s="6" customFormat="1" ht="15.65" hidden="1" customHeight="1" x14ac:dyDescent="0.35">
      <c r="A84" s="103"/>
      <c r="B84" s="12" t="s">
        <v>3</v>
      </c>
      <c r="C84" s="10" t="s">
        <v>260</v>
      </c>
      <c r="D84" s="152"/>
      <c r="E84" s="170"/>
      <c r="F84" s="95"/>
      <c r="G84" s="153" t="str">
        <f t="shared" si="1"/>
        <v/>
      </c>
      <c r="H84" s="10" t="s">
        <v>20</v>
      </c>
      <c r="I84" s="331">
        <v>46.95</v>
      </c>
      <c r="J84" s="12">
        <f t="shared" si="6"/>
        <v>0</v>
      </c>
      <c r="K84" s="30"/>
    </row>
    <row r="85" spans="1:13" ht="14.5" hidden="1" customHeight="1" x14ac:dyDescent="0.35">
      <c r="A85" s="103"/>
      <c r="B85" s="12" t="s">
        <v>3</v>
      </c>
      <c r="C85" s="10" t="s">
        <v>261</v>
      </c>
      <c r="D85" s="152"/>
      <c r="E85" s="170"/>
      <c r="F85" s="95"/>
      <c r="G85" s="153" t="str">
        <f t="shared" si="1"/>
        <v/>
      </c>
      <c r="H85" s="10" t="s">
        <v>20</v>
      </c>
      <c r="I85" s="331">
        <v>34.950000000000003</v>
      </c>
      <c r="J85" s="12">
        <f t="shared" si="6"/>
        <v>0</v>
      </c>
      <c r="K85" s="28"/>
    </row>
    <row r="86" spans="1:13" s="6" customFormat="1" ht="15.65" hidden="1" customHeight="1" x14ac:dyDescent="0.35">
      <c r="A86" s="103"/>
      <c r="B86" s="12" t="s">
        <v>3</v>
      </c>
      <c r="C86" s="10" t="s">
        <v>262</v>
      </c>
      <c r="D86" s="152"/>
      <c r="E86" s="170"/>
      <c r="F86" s="95"/>
      <c r="G86" s="153" t="str">
        <f t="shared" si="1"/>
        <v/>
      </c>
      <c r="H86" s="10" t="s">
        <v>20</v>
      </c>
      <c r="I86" s="331">
        <v>24.95</v>
      </c>
      <c r="J86" s="12">
        <f t="shared" si="6"/>
        <v>0</v>
      </c>
    </row>
    <row r="87" spans="1:13" ht="15.5" hidden="1" x14ac:dyDescent="0.35">
      <c r="A87" s="111"/>
      <c r="B87" s="126" t="s">
        <v>263</v>
      </c>
      <c r="C87" s="127"/>
      <c r="D87" s="226"/>
      <c r="E87" s="172"/>
      <c r="F87" s="144"/>
      <c r="G87" s="153" t="str">
        <f t="shared" si="1"/>
        <v/>
      </c>
      <c r="H87" s="127"/>
      <c r="I87" s="239"/>
      <c r="J87" s="128"/>
      <c r="K87" s="28"/>
      <c r="M87" t="s">
        <v>47</v>
      </c>
    </row>
    <row r="88" spans="1:13" hidden="1" x14ac:dyDescent="0.35">
      <c r="A88" s="103"/>
      <c r="B88" s="12" t="s">
        <v>3</v>
      </c>
      <c r="C88" s="10" t="s">
        <v>264</v>
      </c>
      <c r="D88" s="152"/>
      <c r="E88" s="170"/>
      <c r="F88" s="95"/>
      <c r="G88" s="153" t="str">
        <f t="shared" si="1"/>
        <v/>
      </c>
      <c r="H88" s="10" t="s">
        <v>20</v>
      </c>
      <c r="I88" s="331">
        <v>19.5</v>
      </c>
      <c r="J88" s="12">
        <f t="shared" ref="J88:J94" si="7">E88*I88</f>
        <v>0</v>
      </c>
      <c r="K88" s="28"/>
    </row>
    <row r="89" spans="1:13" hidden="1" x14ac:dyDescent="0.35">
      <c r="A89" s="103"/>
      <c r="B89" s="12" t="s">
        <v>3</v>
      </c>
      <c r="C89" s="10" t="s">
        <v>265</v>
      </c>
      <c r="D89" s="152"/>
      <c r="E89" s="170"/>
      <c r="F89" s="95"/>
      <c r="G89" s="153" t="str">
        <f t="shared" ref="G89:G152" si="8">IF(E89="","",IF(D89-E89&gt;0,D89-E89,""))</f>
        <v/>
      </c>
      <c r="H89" s="10" t="s">
        <v>20</v>
      </c>
      <c r="I89" s="331">
        <v>16.95</v>
      </c>
      <c r="J89" s="12">
        <f t="shared" si="7"/>
        <v>0</v>
      </c>
      <c r="K89" s="28"/>
    </row>
    <row r="90" spans="1:13" hidden="1" x14ac:dyDescent="0.35">
      <c r="A90" s="103"/>
      <c r="B90" s="12" t="s">
        <v>3</v>
      </c>
      <c r="C90" s="10" t="s">
        <v>266</v>
      </c>
      <c r="D90" s="152"/>
      <c r="E90" s="170"/>
      <c r="F90" s="95"/>
      <c r="G90" s="153" t="str">
        <f t="shared" si="8"/>
        <v/>
      </c>
      <c r="H90" s="10" t="s">
        <v>20</v>
      </c>
      <c r="I90" s="331">
        <v>17.95</v>
      </c>
      <c r="J90" s="12">
        <f t="shared" si="7"/>
        <v>0</v>
      </c>
      <c r="K90" s="28"/>
    </row>
    <row r="91" spans="1:13" hidden="1" x14ac:dyDescent="0.35">
      <c r="A91" s="103"/>
      <c r="B91" s="12" t="s">
        <v>3</v>
      </c>
      <c r="C91" s="10" t="s">
        <v>267</v>
      </c>
      <c r="D91" s="152"/>
      <c r="E91" s="170"/>
      <c r="F91" s="95"/>
      <c r="G91" s="153" t="str">
        <f t="shared" si="8"/>
        <v/>
      </c>
      <c r="H91" s="10" t="s">
        <v>20</v>
      </c>
      <c r="I91" s="331">
        <v>15.95</v>
      </c>
      <c r="J91" s="12">
        <f t="shared" si="7"/>
        <v>0</v>
      </c>
      <c r="K91" s="28"/>
    </row>
    <row r="92" spans="1:13" s="6" customFormat="1" ht="15.5" hidden="1" x14ac:dyDescent="0.35">
      <c r="A92" s="103"/>
      <c r="B92" s="12" t="s">
        <v>3</v>
      </c>
      <c r="C92" s="10" t="s">
        <v>268</v>
      </c>
      <c r="D92" s="152"/>
      <c r="E92" s="170"/>
      <c r="F92" s="95"/>
      <c r="G92" s="153" t="str">
        <f t="shared" si="8"/>
        <v/>
      </c>
      <c r="H92" s="10" t="s">
        <v>20</v>
      </c>
      <c r="I92" s="331">
        <v>20.95</v>
      </c>
      <c r="J92" s="12">
        <f t="shared" si="7"/>
        <v>0</v>
      </c>
      <c r="K92" s="30"/>
    </row>
    <row r="93" spans="1:13" hidden="1" x14ac:dyDescent="0.35">
      <c r="A93" s="103"/>
      <c r="B93" s="12" t="s">
        <v>3</v>
      </c>
      <c r="C93" s="10" t="s">
        <v>269</v>
      </c>
      <c r="D93" s="152"/>
      <c r="E93" s="170"/>
      <c r="F93" s="95"/>
      <c r="G93" s="153" t="str">
        <f t="shared" si="8"/>
        <v/>
      </c>
      <c r="H93" s="10" t="s">
        <v>20</v>
      </c>
      <c r="I93" s="331">
        <v>26.95</v>
      </c>
      <c r="J93" s="12">
        <f t="shared" si="7"/>
        <v>0</v>
      </c>
      <c r="K93" s="31"/>
    </row>
    <row r="94" spans="1:13" hidden="1" x14ac:dyDescent="0.35">
      <c r="A94" s="103"/>
      <c r="B94" s="12" t="s">
        <v>3</v>
      </c>
      <c r="C94" s="10" t="s">
        <v>270</v>
      </c>
      <c r="D94" s="152"/>
      <c r="E94" s="170"/>
      <c r="F94" s="95"/>
      <c r="G94" s="153" t="str">
        <f t="shared" si="8"/>
        <v/>
      </c>
      <c r="H94" s="10" t="s">
        <v>20</v>
      </c>
      <c r="I94" s="331">
        <v>26.95</v>
      </c>
      <c r="J94" s="12">
        <f t="shared" si="7"/>
        <v>0</v>
      </c>
      <c r="K94" s="31"/>
    </row>
    <row r="95" spans="1:13" s="6" customFormat="1" ht="15.5" hidden="1" x14ac:dyDescent="0.35">
      <c r="A95" s="111"/>
      <c r="B95" s="126" t="s">
        <v>271</v>
      </c>
      <c r="C95" s="127"/>
      <c r="D95" s="226"/>
      <c r="E95" s="172"/>
      <c r="F95" s="144"/>
      <c r="G95" s="153" t="str">
        <f t="shared" si="8"/>
        <v/>
      </c>
      <c r="H95" s="127"/>
      <c r="I95" s="239"/>
      <c r="J95" s="128"/>
      <c r="K95" s="30"/>
    </row>
    <row r="96" spans="1:13" ht="14.15" hidden="1" customHeight="1" x14ac:dyDescent="0.35">
      <c r="A96" s="103"/>
      <c r="B96" s="12" t="s">
        <v>3</v>
      </c>
      <c r="C96" s="10" t="s">
        <v>272</v>
      </c>
      <c r="D96" s="152"/>
      <c r="E96" s="170"/>
      <c r="F96" s="95"/>
      <c r="G96" s="153" t="str">
        <f t="shared" si="8"/>
        <v/>
      </c>
      <c r="H96" s="10" t="s">
        <v>20</v>
      </c>
      <c r="I96" s="331">
        <v>20.95</v>
      </c>
      <c r="J96" s="12">
        <f>E96*I96</f>
        <v>0</v>
      </c>
      <c r="K96" s="28"/>
    </row>
    <row r="97" spans="1:11" hidden="1" x14ac:dyDescent="0.35">
      <c r="A97" s="103"/>
      <c r="B97" s="12" t="s">
        <v>3</v>
      </c>
      <c r="C97" s="10" t="s">
        <v>273</v>
      </c>
      <c r="D97" s="152"/>
      <c r="E97" s="170"/>
      <c r="F97" s="95"/>
      <c r="G97" s="153" t="str">
        <f t="shared" si="8"/>
        <v/>
      </c>
      <c r="H97" s="10" t="s">
        <v>20</v>
      </c>
      <c r="I97" s="331">
        <v>23.95</v>
      </c>
      <c r="J97" s="12">
        <f>E97*I97</f>
        <v>0</v>
      </c>
      <c r="K97" s="28"/>
    </row>
    <row r="98" spans="1:11" s="6" customFormat="1" ht="15.65" hidden="1" customHeight="1" x14ac:dyDescent="0.35">
      <c r="A98" s="103"/>
      <c r="B98" s="12" t="s">
        <v>3</v>
      </c>
      <c r="C98" s="10" t="s">
        <v>274</v>
      </c>
      <c r="D98" s="152"/>
      <c r="E98" s="170"/>
      <c r="F98" s="95"/>
      <c r="G98" s="153" t="str">
        <f t="shared" si="8"/>
        <v/>
      </c>
      <c r="H98" s="10" t="s">
        <v>20</v>
      </c>
      <c r="I98" s="331">
        <v>22.5</v>
      </c>
      <c r="J98" s="12">
        <f>E98*I98</f>
        <v>0</v>
      </c>
      <c r="K98" s="30"/>
    </row>
    <row r="99" spans="1:11" ht="14.5" hidden="1" customHeight="1" x14ac:dyDescent="0.35">
      <c r="A99" s="103"/>
      <c r="B99" s="12" t="s">
        <v>3</v>
      </c>
      <c r="C99" s="10" t="s">
        <v>275</v>
      </c>
      <c r="D99" s="152"/>
      <c r="E99" s="170"/>
      <c r="F99" s="95"/>
      <c r="G99" s="153" t="str">
        <f t="shared" si="8"/>
        <v/>
      </c>
      <c r="H99" s="10" t="s">
        <v>20</v>
      </c>
      <c r="I99" s="331">
        <v>29.95</v>
      </c>
      <c r="J99" s="12">
        <f>E99*I99</f>
        <v>0</v>
      </c>
      <c r="K99" s="31"/>
    </row>
    <row r="100" spans="1:11" s="6" customFormat="1" ht="15.65" hidden="1" customHeight="1" x14ac:dyDescent="0.35">
      <c r="A100" s="111"/>
      <c r="B100" s="126" t="s">
        <v>276</v>
      </c>
      <c r="C100" s="127"/>
      <c r="D100" s="226"/>
      <c r="E100" s="172"/>
      <c r="F100" s="144"/>
      <c r="G100" s="153" t="str">
        <f t="shared" si="8"/>
        <v/>
      </c>
      <c r="H100" s="127"/>
      <c r="I100" s="239"/>
      <c r="J100" s="128"/>
    </row>
    <row r="101" spans="1:11" hidden="1" x14ac:dyDescent="0.35">
      <c r="A101" s="103"/>
      <c r="B101" s="12" t="s">
        <v>3</v>
      </c>
      <c r="C101" s="10" t="s">
        <v>277</v>
      </c>
      <c r="D101" s="152"/>
      <c r="E101" s="170"/>
      <c r="F101" s="95"/>
      <c r="G101" s="153" t="str">
        <f t="shared" si="8"/>
        <v/>
      </c>
      <c r="H101" s="10" t="s">
        <v>20</v>
      </c>
      <c r="I101" s="331">
        <v>17.95</v>
      </c>
      <c r="J101" s="12">
        <f>E101*I101</f>
        <v>0</v>
      </c>
      <c r="K101" s="28"/>
    </row>
    <row r="102" spans="1:11" s="6" customFormat="1" ht="15.5" hidden="1" x14ac:dyDescent="0.35">
      <c r="A102" s="103"/>
      <c r="B102" s="12" t="s">
        <v>3</v>
      </c>
      <c r="C102" s="10" t="s">
        <v>278</v>
      </c>
      <c r="D102" s="152"/>
      <c r="E102" s="170"/>
      <c r="F102" s="95"/>
      <c r="G102" s="153" t="str">
        <f t="shared" si="8"/>
        <v/>
      </c>
      <c r="H102" s="10" t="s">
        <v>20</v>
      </c>
      <c r="I102" s="331">
        <v>20.95</v>
      </c>
      <c r="J102" s="12">
        <f>E102*I102</f>
        <v>0</v>
      </c>
    </row>
    <row r="103" spans="1:11" hidden="1" x14ac:dyDescent="0.35">
      <c r="A103" s="103"/>
      <c r="B103" s="12" t="s">
        <v>3</v>
      </c>
      <c r="C103" s="10" t="s">
        <v>279</v>
      </c>
      <c r="D103" s="152"/>
      <c r="E103" s="170"/>
      <c r="F103" s="95"/>
      <c r="G103" s="153" t="str">
        <f t="shared" si="8"/>
        <v/>
      </c>
      <c r="H103" s="10" t="s">
        <v>20</v>
      </c>
      <c r="I103" s="331">
        <v>19.95</v>
      </c>
      <c r="J103" s="12">
        <f>E103*I103</f>
        <v>0</v>
      </c>
      <c r="K103" s="13"/>
    </row>
    <row r="104" spans="1:11" hidden="1" x14ac:dyDescent="0.35">
      <c r="A104" s="103"/>
      <c r="B104" s="40" t="s">
        <v>3</v>
      </c>
      <c r="C104" s="41" t="s">
        <v>280</v>
      </c>
      <c r="D104" s="227"/>
      <c r="E104" s="170"/>
      <c r="F104" s="145"/>
      <c r="G104" s="153" t="str">
        <f t="shared" si="8"/>
        <v/>
      </c>
      <c r="H104" s="41" t="s">
        <v>20</v>
      </c>
      <c r="I104" s="334">
        <v>59.95</v>
      </c>
      <c r="J104" s="40">
        <f>E104*I104</f>
        <v>0</v>
      </c>
      <c r="K104" s="13"/>
    </row>
    <row r="105" spans="1:11" ht="15.5" hidden="1" x14ac:dyDescent="0.35">
      <c r="A105" s="111"/>
      <c r="B105" s="126" t="s">
        <v>281</v>
      </c>
      <c r="C105" s="127"/>
      <c r="D105" s="226"/>
      <c r="E105" s="172"/>
      <c r="F105" s="144"/>
      <c r="G105" s="153" t="str">
        <f t="shared" si="8"/>
        <v/>
      </c>
      <c r="H105" s="127"/>
      <c r="I105" s="239"/>
      <c r="J105" s="128"/>
      <c r="K105" s="13"/>
    </row>
    <row r="106" spans="1:11" hidden="1" x14ac:dyDescent="0.35">
      <c r="A106" s="103"/>
      <c r="B106" s="12" t="s">
        <v>3</v>
      </c>
      <c r="C106" s="10" t="s">
        <v>282</v>
      </c>
      <c r="D106" s="152"/>
      <c r="E106" s="170"/>
      <c r="F106" s="95"/>
      <c r="G106" s="153" t="str">
        <f t="shared" si="8"/>
        <v/>
      </c>
      <c r="H106" s="10" t="s">
        <v>20</v>
      </c>
      <c r="I106" s="331">
        <v>54.95</v>
      </c>
      <c r="J106" s="12">
        <f>E106*I106</f>
        <v>0</v>
      </c>
      <c r="K106" s="13"/>
    </row>
    <row r="107" spans="1:11" ht="14.5" hidden="1" customHeight="1" x14ac:dyDescent="0.35">
      <c r="A107" s="103"/>
      <c r="B107" s="12" t="s">
        <v>3</v>
      </c>
      <c r="C107" s="10" t="s">
        <v>283</v>
      </c>
      <c r="D107" s="152"/>
      <c r="E107" s="170"/>
      <c r="F107" s="95"/>
      <c r="G107" s="153" t="str">
        <f t="shared" si="8"/>
        <v/>
      </c>
      <c r="H107" s="10" t="s">
        <v>20</v>
      </c>
      <c r="I107" s="331">
        <v>49.95</v>
      </c>
      <c r="J107" s="12">
        <f>E107*I107</f>
        <v>0</v>
      </c>
      <c r="K107" s="13"/>
    </row>
    <row r="108" spans="1:11" ht="14.5" hidden="1" customHeight="1" x14ac:dyDescent="0.35">
      <c r="A108" s="111"/>
      <c r="B108" s="126" t="s">
        <v>284</v>
      </c>
      <c r="C108" s="127"/>
      <c r="D108" s="226"/>
      <c r="E108" s="172"/>
      <c r="F108" s="144"/>
      <c r="G108" s="153" t="str">
        <f t="shared" si="8"/>
        <v/>
      </c>
      <c r="H108" s="127"/>
      <c r="I108" s="239"/>
      <c r="J108" s="128"/>
      <c r="K108" s="13"/>
    </row>
    <row r="109" spans="1:11" ht="14.5" hidden="1" customHeight="1" x14ac:dyDescent="0.35">
      <c r="A109" s="103"/>
      <c r="B109" s="12" t="s">
        <v>3</v>
      </c>
      <c r="C109" s="10" t="s">
        <v>285</v>
      </c>
      <c r="D109" s="152"/>
      <c r="E109" s="170"/>
      <c r="F109" s="95"/>
      <c r="G109" s="153" t="str">
        <f t="shared" si="8"/>
        <v/>
      </c>
      <c r="H109" s="10" t="s">
        <v>20</v>
      </c>
      <c r="I109" s="331">
        <v>41.5</v>
      </c>
      <c r="J109" s="12">
        <f t="shared" ref="J109:J114" si="9">E109*I109</f>
        <v>0</v>
      </c>
      <c r="K109" s="13"/>
    </row>
    <row r="110" spans="1:11" ht="15.65" hidden="1" customHeight="1" x14ac:dyDescent="0.35">
      <c r="A110" s="103"/>
      <c r="B110" s="12" t="s">
        <v>3</v>
      </c>
      <c r="C110" s="10" t="s">
        <v>286</v>
      </c>
      <c r="D110" s="152"/>
      <c r="E110" s="170"/>
      <c r="F110" s="95"/>
      <c r="G110" s="153" t="str">
        <f t="shared" si="8"/>
        <v/>
      </c>
      <c r="H110" s="10" t="s">
        <v>20</v>
      </c>
      <c r="I110" s="331">
        <v>36.200000000000003</v>
      </c>
      <c r="J110" s="12">
        <f t="shared" si="9"/>
        <v>0</v>
      </c>
      <c r="K110" s="13"/>
    </row>
    <row r="111" spans="1:11" hidden="1" x14ac:dyDescent="0.35">
      <c r="A111" s="103"/>
      <c r="B111" s="12" t="s">
        <v>3</v>
      </c>
      <c r="C111" s="10" t="s">
        <v>287</v>
      </c>
      <c r="D111" s="152"/>
      <c r="E111" s="170"/>
      <c r="F111" s="95"/>
      <c r="G111" s="153" t="str">
        <f t="shared" si="8"/>
        <v/>
      </c>
      <c r="H111" s="10" t="s">
        <v>20</v>
      </c>
      <c r="I111" s="331">
        <v>25.95</v>
      </c>
      <c r="J111" s="12">
        <f t="shared" si="9"/>
        <v>0</v>
      </c>
      <c r="K111" s="13"/>
    </row>
    <row r="112" spans="1:11" hidden="1" x14ac:dyDescent="0.35">
      <c r="A112" s="103"/>
      <c r="B112" s="12" t="s">
        <v>3</v>
      </c>
      <c r="C112" s="10" t="s">
        <v>288</v>
      </c>
      <c r="D112" s="152"/>
      <c r="E112" s="170"/>
      <c r="F112" s="95"/>
      <c r="G112" s="153" t="str">
        <f t="shared" si="8"/>
        <v/>
      </c>
      <c r="H112" s="10" t="s">
        <v>20</v>
      </c>
      <c r="I112" s="331">
        <v>32.799999999999997</v>
      </c>
      <c r="J112" s="12">
        <f t="shared" si="9"/>
        <v>0</v>
      </c>
      <c r="K112" s="13"/>
    </row>
    <row r="113" spans="1:11" s="6" customFormat="1" ht="15.5" hidden="1" x14ac:dyDescent="0.35">
      <c r="A113" s="103"/>
      <c r="B113" s="12" t="s">
        <v>3</v>
      </c>
      <c r="C113" s="10" t="s">
        <v>289</v>
      </c>
      <c r="D113" s="152"/>
      <c r="E113" s="170"/>
      <c r="F113" s="95"/>
      <c r="G113" s="153" t="str">
        <f t="shared" si="8"/>
        <v/>
      </c>
      <c r="H113" s="10" t="s">
        <v>20</v>
      </c>
      <c r="I113" s="331">
        <v>29.2</v>
      </c>
      <c r="J113" s="12">
        <f t="shared" si="9"/>
        <v>0</v>
      </c>
    </row>
    <row r="114" spans="1:11" hidden="1" x14ac:dyDescent="0.35">
      <c r="A114" s="103"/>
      <c r="B114" s="12" t="s">
        <v>3</v>
      </c>
      <c r="C114" s="10" t="s">
        <v>290</v>
      </c>
      <c r="D114" s="152"/>
      <c r="E114" s="170"/>
      <c r="F114" s="95"/>
      <c r="G114" s="153" t="str">
        <f t="shared" si="8"/>
        <v/>
      </c>
      <c r="H114" s="10" t="s">
        <v>20</v>
      </c>
      <c r="I114" s="331">
        <v>22.95</v>
      </c>
      <c r="J114" s="12">
        <f t="shared" si="9"/>
        <v>0</v>
      </c>
      <c r="K114" s="13"/>
    </row>
    <row r="115" spans="1:11" ht="15.5" hidden="1" x14ac:dyDescent="0.35">
      <c r="A115" s="111"/>
      <c r="B115" s="126" t="s">
        <v>291</v>
      </c>
      <c r="C115" s="127"/>
      <c r="D115" s="226"/>
      <c r="E115" s="172"/>
      <c r="F115" s="144"/>
      <c r="G115" s="153" t="str">
        <f t="shared" si="8"/>
        <v/>
      </c>
      <c r="H115" s="127"/>
      <c r="I115" s="239"/>
      <c r="J115" s="128"/>
      <c r="K115" s="13"/>
    </row>
    <row r="116" spans="1:11" ht="14.5" hidden="1" customHeight="1" x14ac:dyDescent="0.35">
      <c r="A116" s="103"/>
      <c r="B116" s="12" t="s">
        <v>3</v>
      </c>
      <c r="C116" s="10" t="s">
        <v>292</v>
      </c>
      <c r="D116" s="152"/>
      <c r="E116" s="170"/>
      <c r="F116" s="95"/>
      <c r="G116" s="153" t="str">
        <f t="shared" si="8"/>
        <v/>
      </c>
      <c r="H116" s="10" t="s">
        <v>20</v>
      </c>
      <c r="I116" s="331">
        <v>17.95</v>
      </c>
      <c r="J116" s="12">
        <f t="shared" ref="J116:J121" si="10">E116*I116</f>
        <v>0</v>
      </c>
      <c r="K116" s="13"/>
    </row>
    <row r="117" spans="1:11" ht="14.5" hidden="1" customHeight="1" x14ac:dyDescent="0.35">
      <c r="A117" s="103"/>
      <c r="B117" s="12" t="s">
        <v>3</v>
      </c>
      <c r="C117" s="10" t="s">
        <v>293</v>
      </c>
      <c r="D117" s="152"/>
      <c r="E117" s="170"/>
      <c r="F117" s="95"/>
      <c r="G117" s="153" t="str">
        <f t="shared" si="8"/>
        <v/>
      </c>
      <c r="H117" s="10" t="s">
        <v>20</v>
      </c>
      <c r="I117" s="331">
        <v>12.95</v>
      </c>
      <c r="J117" s="12">
        <f t="shared" si="10"/>
        <v>0</v>
      </c>
      <c r="K117" s="13"/>
    </row>
    <row r="118" spans="1:11" ht="14.5" hidden="1" customHeight="1" x14ac:dyDescent="0.35">
      <c r="A118" s="103"/>
      <c r="B118" s="12" t="s">
        <v>3</v>
      </c>
      <c r="C118" s="10" t="s">
        <v>294</v>
      </c>
      <c r="D118" s="152"/>
      <c r="E118" s="170"/>
      <c r="F118" s="95"/>
      <c r="G118" s="153" t="str">
        <f t="shared" si="8"/>
        <v/>
      </c>
      <c r="H118" s="10" t="s">
        <v>20</v>
      </c>
      <c r="I118" s="331">
        <v>21.95</v>
      </c>
      <c r="J118" s="12">
        <f t="shared" si="10"/>
        <v>0</v>
      </c>
      <c r="K118" s="13"/>
    </row>
    <row r="119" spans="1:11" ht="14.5" hidden="1" customHeight="1" x14ac:dyDescent="0.35">
      <c r="A119" s="103"/>
      <c r="B119" s="12" t="s">
        <v>3</v>
      </c>
      <c r="C119" s="10" t="s">
        <v>295</v>
      </c>
      <c r="D119" s="152"/>
      <c r="E119" s="170"/>
      <c r="F119" s="95"/>
      <c r="G119" s="153" t="str">
        <f t="shared" si="8"/>
        <v/>
      </c>
      <c r="H119" s="10" t="s">
        <v>20</v>
      </c>
      <c r="I119" s="331"/>
      <c r="J119" s="12">
        <f t="shared" si="10"/>
        <v>0</v>
      </c>
      <c r="K119" s="13"/>
    </row>
    <row r="120" spans="1:11" ht="15.65" hidden="1" customHeight="1" x14ac:dyDescent="0.35">
      <c r="A120" s="103"/>
      <c r="B120" s="12" t="s">
        <v>3</v>
      </c>
      <c r="C120" s="10" t="s">
        <v>296</v>
      </c>
      <c r="D120" s="152"/>
      <c r="E120" s="170"/>
      <c r="F120" s="95"/>
      <c r="G120" s="153" t="str">
        <f t="shared" si="8"/>
        <v/>
      </c>
      <c r="H120" s="10" t="s">
        <v>20</v>
      </c>
      <c r="I120" s="331"/>
      <c r="J120" s="12">
        <f t="shared" si="10"/>
        <v>0</v>
      </c>
      <c r="K120" s="13"/>
    </row>
    <row r="121" spans="1:11" ht="15.65" hidden="1" customHeight="1" x14ac:dyDescent="0.35">
      <c r="A121" s="103"/>
      <c r="B121" s="12" t="s">
        <v>3</v>
      </c>
      <c r="C121" s="10" t="s">
        <v>297</v>
      </c>
      <c r="D121" s="152"/>
      <c r="E121" s="170"/>
      <c r="F121" s="95"/>
      <c r="G121" s="153" t="str">
        <f t="shared" si="8"/>
        <v/>
      </c>
      <c r="H121" s="10" t="s">
        <v>20</v>
      </c>
      <c r="I121" s="331">
        <v>22.95</v>
      </c>
      <c r="J121" s="12">
        <f t="shared" si="10"/>
        <v>0</v>
      </c>
      <c r="K121" s="13"/>
    </row>
    <row r="122" spans="1:11" ht="14.5" hidden="1" customHeight="1" x14ac:dyDescent="0.35">
      <c r="A122" s="112" t="s">
        <v>298</v>
      </c>
      <c r="B122" s="116"/>
      <c r="C122" s="116"/>
      <c r="D122" s="228"/>
      <c r="E122" s="173"/>
      <c r="F122" s="146"/>
      <c r="G122" s="153" t="str">
        <f t="shared" si="8"/>
        <v/>
      </c>
      <c r="H122" s="117"/>
      <c r="I122" s="106" t="s">
        <v>18</v>
      </c>
      <c r="J122" s="115">
        <f>SUM(J123:J175)</f>
        <v>3589.2299999999996</v>
      </c>
      <c r="K122" s="13"/>
    </row>
    <row r="123" spans="1:11" ht="14.5" hidden="1" customHeight="1" x14ac:dyDescent="0.35">
      <c r="A123" s="103"/>
      <c r="B123" s="20" t="s">
        <v>4</v>
      </c>
      <c r="C123" s="18" t="s">
        <v>62</v>
      </c>
      <c r="D123" s="229"/>
      <c r="E123" s="170"/>
      <c r="F123" s="147"/>
      <c r="G123" s="153" t="str">
        <f t="shared" si="8"/>
        <v/>
      </c>
      <c r="H123" s="18" t="s">
        <v>20</v>
      </c>
      <c r="I123" s="335">
        <v>7.35</v>
      </c>
      <c r="J123" s="20">
        <f>E123*I123</f>
        <v>0</v>
      </c>
      <c r="K123" s="13"/>
    </row>
    <row r="124" spans="1:11" ht="14.5" hidden="1" customHeight="1" x14ac:dyDescent="0.35">
      <c r="A124" s="103"/>
      <c r="B124" s="20" t="s">
        <v>4</v>
      </c>
      <c r="C124" s="18" t="s">
        <v>60</v>
      </c>
      <c r="D124" s="229"/>
      <c r="E124" s="170"/>
      <c r="F124" s="147"/>
      <c r="G124" s="153" t="str">
        <f t="shared" si="8"/>
        <v/>
      </c>
      <c r="H124" s="18" t="s">
        <v>20</v>
      </c>
      <c r="I124" s="335">
        <v>10.65</v>
      </c>
      <c r="J124" s="20">
        <f>E124*I124</f>
        <v>0</v>
      </c>
      <c r="K124" s="13"/>
    </row>
    <row r="125" spans="1:11" ht="15.65" hidden="1" customHeight="1" x14ac:dyDescent="0.35">
      <c r="A125" s="113" t="s">
        <v>40</v>
      </c>
      <c r="B125" s="124"/>
      <c r="C125" s="124"/>
      <c r="D125" s="230"/>
      <c r="E125" s="174"/>
      <c r="F125" s="148"/>
      <c r="G125" s="153" t="str">
        <f t="shared" si="8"/>
        <v/>
      </c>
      <c r="H125" s="124"/>
      <c r="I125" s="241"/>
      <c r="J125" s="125"/>
      <c r="K125" s="13"/>
    </row>
    <row r="126" spans="1:11" hidden="1" x14ac:dyDescent="0.35">
      <c r="A126" s="103"/>
      <c r="B126" s="20" t="s">
        <v>4</v>
      </c>
      <c r="C126" s="18" t="s">
        <v>299</v>
      </c>
      <c r="D126" s="229"/>
      <c r="E126" s="170"/>
      <c r="F126" s="147"/>
      <c r="G126" s="153" t="str">
        <f t="shared" si="8"/>
        <v/>
      </c>
      <c r="H126" s="18" t="s">
        <v>20</v>
      </c>
      <c r="I126" s="335">
        <v>1.31</v>
      </c>
      <c r="J126" s="12">
        <f t="shared" ref="J126:J137" si="11">E126*I126</f>
        <v>0</v>
      </c>
      <c r="K126" s="13"/>
    </row>
    <row r="127" spans="1:11" hidden="1" x14ac:dyDescent="0.35">
      <c r="A127" s="103"/>
      <c r="B127" s="12" t="s">
        <v>4</v>
      </c>
      <c r="C127" s="10" t="s">
        <v>300</v>
      </c>
      <c r="D127" s="152"/>
      <c r="E127" s="170"/>
      <c r="F127" s="95"/>
      <c r="G127" s="153" t="str">
        <f t="shared" si="8"/>
        <v/>
      </c>
      <c r="H127" s="10" t="s">
        <v>20</v>
      </c>
      <c r="I127" s="331">
        <v>1.31</v>
      </c>
      <c r="J127" s="12">
        <f t="shared" si="11"/>
        <v>0</v>
      </c>
    </row>
    <row r="128" spans="1:11" hidden="1" x14ac:dyDescent="0.35">
      <c r="A128" s="103"/>
      <c r="B128" s="20" t="s">
        <v>4</v>
      </c>
      <c r="C128" s="18" t="s">
        <v>301</v>
      </c>
      <c r="D128" s="229"/>
      <c r="E128" s="170"/>
      <c r="F128" s="147"/>
      <c r="G128" s="153" t="str">
        <f t="shared" si="8"/>
        <v/>
      </c>
      <c r="H128" s="18" t="s">
        <v>20</v>
      </c>
      <c r="I128" s="335">
        <v>1.4039999999999999</v>
      </c>
      <c r="J128" s="12">
        <f t="shared" si="11"/>
        <v>0</v>
      </c>
    </row>
    <row r="129" spans="1:11" hidden="1" x14ac:dyDescent="0.35">
      <c r="A129" s="103"/>
      <c r="B129" s="12" t="s">
        <v>4</v>
      </c>
      <c r="C129" s="10" t="s">
        <v>302</v>
      </c>
      <c r="D129" s="152"/>
      <c r="E129" s="170"/>
      <c r="F129" s="95"/>
      <c r="G129" s="153" t="str">
        <f t="shared" si="8"/>
        <v/>
      </c>
      <c r="H129" s="10" t="s">
        <v>20</v>
      </c>
      <c r="I129" s="331">
        <v>1.4039999999999999</v>
      </c>
      <c r="J129" s="12">
        <f t="shared" si="11"/>
        <v>0</v>
      </c>
    </row>
    <row r="130" spans="1:11" hidden="1" x14ac:dyDescent="0.35">
      <c r="A130" s="103"/>
      <c r="B130" s="12" t="s">
        <v>4</v>
      </c>
      <c r="C130" s="10" t="s">
        <v>303</v>
      </c>
      <c r="D130" s="152"/>
      <c r="E130" s="170"/>
      <c r="F130" s="95"/>
      <c r="G130" s="153" t="str">
        <f t="shared" si="8"/>
        <v/>
      </c>
      <c r="H130" s="10" t="s">
        <v>20</v>
      </c>
      <c r="I130" s="331">
        <v>1.53</v>
      </c>
      <c r="J130" s="12">
        <f t="shared" si="11"/>
        <v>0</v>
      </c>
    </row>
    <row r="131" spans="1:11" hidden="1" x14ac:dyDescent="0.35">
      <c r="A131" s="103"/>
      <c r="B131" s="12" t="s">
        <v>4</v>
      </c>
      <c r="C131" s="10" t="s">
        <v>304</v>
      </c>
      <c r="D131" s="152"/>
      <c r="E131" s="170"/>
      <c r="F131" s="95"/>
      <c r="G131" s="153" t="str">
        <f t="shared" si="8"/>
        <v/>
      </c>
      <c r="H131" s="10" t="s">
        <v>20</v>
      </c>
      <c r="I131" s="331">
        <v>1.65</v>
      </c>
      <c r="J131" s="12">
        <f t="shared" si="11"/>
        <v>0</v>
      </c>
    </row>
    <row r="132" spans="1:11" hidden="1" x14ac:dyDescent="0.35">
      <c r="A132" s="103"/>
      <c r="B132" s="12" t="s">
        <v>4</v>
      </c>
      <c r="C132" s="10" t="s">
        <v>83</v>
      </c>
      <c r="D132" s="152"/>
      <c r="E132" s="170"/>
      <c r="F132" s="95"/>
      <c r="G132" s="153" t="str">
        <f t="shared" si="8"/>
        <v/>
      </c>
      <c r="H132" s="10" t="s">
        <v>20</v>
      </c>
      <c r="I132" s="331">
        <v>1.04</v>
      </c>
      <c r="J132" s="12">
        <f t="shared" si="11"/>
        <v>0</v>
      </c>
    </row>
    <row r="133" spans="1:11" hidden="1" x14ac:dyDescent="0.35">
      <c r="A133" s="103"/>
      <c r="B133" s="12" t="s">
        <v>4</v>
      </c>
      <c r="C133" s="10" t="s">
        <v>305</v>
      </c>
      <c r="D133" s="152"/>
      <c r="E133" s="170"/>
      <c r="F133" s="95"/>
      <c r="G133" s="153" t="str">
        <f t="shared" si="8"/>
        <v/>
      </c>
      <c r="H133" s="10" t="s">
        <v>20</v>
      </c>
      <c r="I133" s="331">
        <v>1.04</v>
      </c>
      <c r="J133" s="12">
        <f t="shared" si="11"/>
        <v>0</v>
      </c>
    </row>
    <row r="134" spans="1:11" ht="14.5" hidden="1" customHeight="1" x14ac:dyDescent="0.35">
      <c r="A134" s="103"/>
      <c r="B134" s="12" t="s">
        <v>4</v>
      </c>
      <c r="C134" s="10" t="s">
        <v>306</v>
      </c>
      <c r="D134" s="152"/>
      <c r="E134" s="170"/>
      <c r="F134" s="95"/>
      <c r="G134" s="153" t="str">
        <f t="shared" si="8"/>
        <v/>
      </c>
      <c r="H134" s="10" t="s">
        <v>20</v>
      </c>
      <c r="I134" s="331">
        <v>1.06</v>
      </c>
      <c r="J134" s="12">
        <f t="shared" si="11"/>
        <v>0</v>
      </c>
    </row>
    <row r="135" spans="1:11" ht="14.5" hidden="1" customHeight="1" x14ac:dyDescent="0.35">
      <c r="A135" s="103"/>
      <c r="B135" s="12" t="s">
        <v>4</v>
      </c>
      <c r="C135" s="10" t="s">
        <v>307</v>
      </c>
      <c r="D135" s="152"/>
      <c r="E135" s="170"/>
      <c r="F135" s="95"/>
      <c r="G135" s="153" t="str">
        <f t="shared" si="8"/>
        <v/>
      </c>
      <c r="H135" s="10" t="s">
        <v>20</v>
      </c>
      <c r="I135" s="331">
        <v>1.06</v>
      </c>
      <c r="J135" s="12">
        <f t="shared" si="11"/>
        <v>0</v>
      </c>
    </row>
    <row r="136" spans="1:11" ht="14.5" hidden="1" customHeight="1" x14ac:dyDescent="0.35">
      <c r="A136" s="103"/>
      <c r="B136" s="12" t="s">
        <v>4</v>
      </c>
      <c r="C136" s="10" t="s">
        <v>308</v>
      </c>
      <c r="D136" s="152"/>
      <c r="E136" s="170"/>
      <c r="F136" s="95"/>
      <c r="G136" s="153" t="str">
        <f t="shared" si="8"/>
        <v/>
      </c>
      <c r="H136" s="10" t="s">
        <v>20</v>
      </c>
      <c r="I136" s="331">
        <v>1.2869999999999999</v>
      </c>
      <c r="J136" s="12">
        <f t="shared" si="11"/>
        <v>0</v>
      </c>
    </row>
    <row r="137" spans="1:11" ht="15.65" hidden="1" customHeight="1" x14ac:dyDescent="0.35">
      <c r="A137" s="103"/>
      <c r="B137" s="12" t="s">
        <v>4</v>
      </c>
      <c r="C137" s="10" t="s">
        <v>309</v>
      </c>
      <c r="D137" s="152"/>
      <c r="E137" s="170"/>
      <c r="F137" s="95"/>
      <c r="G137" s="153" t="str">
        <f t="shared" si="8"/>
        <v/>
      </c>
      <c r="H137" s="10" t="s">
        <v>20</v>
      </c>
      <c r="I137" s="331">
        <v>1.59</v>
      </c>
      <c r="J137" s="12">
        <f t="shared" si="11"/>
        <v>0</v>
      </c>
      <c r="K137" s="13"/>
    </row>
    <row r="138" spans="1:11" hidden="1" x14ac:dyDescent="0.35">
      <c r="A138" s="113" t="s">
        <v>310</v>
      </c>
      <c r="B138" s="124"/>
      <c r="C138" s="124"/>
      <c r="D138" s="230"/>
      <c r="E138" s="174"/>
      <c r="F138" s="148"/>
      <c r="G138" s="153" t="str">
        <f t="shared" si="8"/>
        <v/>
      </c>
      <c r="H138" s="124"/>
      <c r="I138" s="241"/>
      <c r="J138" s="125"/>
    </row>
    <row r="139" spans="1:11" hidden="1" x14ac:dyDescent="0.35">
      <c r="A139" s="103"/>
      <c r="B139" s="12" t="s">
        <v>4</v>
      </c>
      <c r="C139" s="10" t="s">
        <v>311</v>
      </c>
      <c r="D139" s="152"/>
      <c r="E139" s="170"/>
      <c r="F139" s="95"/>
      <c r="G139" s="153" t="str">
        <f t="shared" si="8"/>
        <v/>
      </c>
      <c r="H139" s="10" t="s">
        <v>20</v>
      </c>
      <c r="I139" s="331">
        <v>1.1000000000000001</v>
      </c>
      <c r="J139" s="12">
        <f t="shared" ref="J139:J149" si="12">E139*I139</f>
        <v>0</v>
      </c>
    </row>
    <row r="140" spans="1:11" hidden="1" x14ac:dyDescent="0.35">
      <c r="A140" s="103"/>
      <c r="B140" s="12" t="s">
        <v>4</v>
      </c>
      <c r="C140" s="10" t="s">
        <v>312</v>
      </c>
      <c r="D140" s="152"/>
      <c r="E140" s="170"/>
      <c r="F140" s="95"/>
      <c r="G140" s="153" t="str">
        <f t="shared" si="8"/>
        <v/>
      </c>
      <c r="H140" s="10" t="s">
        <v>20</v>
      </c>
      <c r="I140" s="331">
        <v>1.1000000000000001</v>
      </c>
      <c r="J140" s="12">
        <f t="shared" si="12"/>
        <v>0</v>
      </c>
    </row>
    <row r="141" spans="1:11" hidden="1" x14ac:dyDescent="0.35">
      <c r="A141" s="103"/>
      <c r="B141" s="12" t="s">
        <v>4</v>
      </c>
      <c r="C141" s="10" t="s">
        <v>313</v>
      </c>
      <c r="D141" s="152"/>
      <c r="E141" s="170"/>
      <c r="F141" s="95"/>
      <c r="G141" s="153" t="str">
        <f t="shared" si="8"/>
        <v/>
      </c>
      <c r="H141" s="10" t="s">
        <v>20</v>
      </c>
      <c r="I141" s="331">
        <v>1.3</v>
      </c>
      <c r="J141" s="12">
        <f t="shared" si="12"/>
        <v>0</v>
      </c>
    </row>
    <row r="142" spans="1:11" ht="14.5" hidden="1" customHeight="1" x14ac:dyDescent="0.35">
      <c r="A142" s="103"/>
      <c r="B142" s="12" t="s">
        <v>4</v>
      </c>
      <c r="C142" s="10" t="s">
        <v>314</v>
      </c>
      <c r="D142" s="152"/>
      <c r="E142" s="170"/>
      <c r="F142" s="95"/>
      <c r="G142" s="153" t="str">
        <f t="shared" si="8"/>
        <v/>
      </c>
      <c r="H142" s="10" t="s">
        <v>20</v>
      </c>
      <c r="I142" s="331">
        <v>1.36</v>
      </c>
      <c r="J142" s="12">
        <f t="shared" si="12"/>
        <v>0</v>
      </c>
    </row>
    <row r="143" spans="1:11" ht="14.5" hidden="1" customHeight="1" x14ac:dyDescent="0.35">
      <c r="A143" s="103"/>
      <c r="B143" s="12" t="s">
        <v>4</v>
      </c>
      <c r="C143" s="10" t="s">
        <v>315</v>
      </c>
      <c r="D143" s="152"/>
      <c r="E143" s="170"/>
      <c r="F143" s="95"/>
      <c r="G143" s="153" t="str">
        <f t="shared" si="8"/>
        <v/>
      </c>
      <c r="H143" s="10" t="s">
        <v>20</v>
      </c>
      <c r="I143" s="331">
        <v>1.3</v>
      </c>
      <c r="J143" s="12">
        <f t="shared" si="12"/>
        <v>0</v>
      </c>
    </row>
    <row r="144" spans="1:11" ht="15.65" hidden="1" customHeight="1" x14ac:dyDescent="0.35">
      <c r="A144" s="103"/>
      <c r="B144" s="12" t="s">
        <v>4</v>
      </c>
      <c r="C144" s="10" t="s">
        <v>316</v>
      </c>
      <c r="D144" s="152"/>
      <c r="E144" s="170"/>
      <c r="F144" s="95"/>
      <c r="G144" s="153" t="str">
        <f t="shared" si="8"/>
        <v/>
      </c>
      <c r="H144" s="10" t="s">
        <v>20</v>
      </c>
      <c r="I144" s="331">
        <v>1.35</v>
      </c>
      <c r="J144" s="12">
        <f t="shared" si="12"/>
        <v>0</v>
      </c>
      <c r="K144" s="13"/>
    </row>
    <row r="145" spans="1:11" hidden="1" x14ac:dyDescent="0.35">
      <c r="A145" s="103"/>
      <c r="B145" s="12" t="s">
        <v>4</v>
      </c>
      <c r="C145" s="10" t="s">
        <v>317</v>
      </c>
      <c r="D145" s="152"/>
      <c r="E145" s="170"/>
      <c r="F145" s="95"/>
      <c r="G145" s="153" t="str">
        <f t="shared" si="8"/>
        <v/>
      </c>
      <c r="H145" s="10" t="s">
        <v>20</v>
      </c>
      <c r="I145" s="331">
        <v>1.28</v>
      </c>
      <c r="J145" s="12">
        <f t="shared" si="12"/>
        <v>0</v>
      </c>
    </row>
    <row r="146" spans="1:11" hidden="1" x14ac:dyDescent="0.35">
      <c r="A146" s="103"/>
      <c r="B146" s="12" t="s">
        <v>4</v>
      </c>
      <c r="C146" s="10" t="s">
        <v>318</v>
      </c>
      <c r="D146" s="152"/>
      <c r="E146" s="170"/>
      <c r="F146" s="95"/>
      <c r="G146" s="153" t="str">
        <f t="shared" si="8"/>
        <v/>
      </c>
      <c r="H146" s="10" t="s">
        <v>20</v>
      </c>
      <c r="I146" s="331">
        <v>1.1000000000000001</v>
      </c>
      <c r="J146" s="12">
        <f t="shared" si="12"/>
        <v>0</v>
      </c>
    </row>
    <row r="147" spans="1:11" hidden="1" x14ac:dyDescent="0.35">
      <c r="A147" s="103"/>
      <c r="B147" s="12" t="s">
        <v>4</v>
      </c>
      <c r="C147" s="10" t="s">
        <v>319</v>
      </c>
      <c r="D147" s="152"/>
      <c r="E147" s="170"/>
      <c r="F147" s="95"/>
      <c r="G147" s="153" t="str">
        <f t="shared" si="8"/>
        <v/>
      </c>
      <c r="H147" s="10" t="s">
        <v>20</v>
      </c>
      <c r="I147" s="331">
        <v>1.1000000000000001</v>
      </c>
      <c r="J147" s="12">
        <f t="shared" si="12"/>
        <v>0</v>
      </c>
    </row>
    <row r="148" spans="1:11" hidden="1" x14ac:dyDescent="0.35">
      <c r="A148" s="103"/>
      <c r="B148" s="12" t="s">
        <v>4</v>
      </c>
      <c r="C148" s="10" t="s">
        <v>320</v>
      </c>
      <c r="D148" s="152"/>
      <c r="E148" s="170"/>
      <c r="F148" s="95"/>
      <c r="G148" s="153" t="str">
        <f t="shared" si="8"/>
        <v/>
      </c>
      <c r="H148" s="10" t="s">
        <v>20</v>
      </c>
      <c r="I148" s="331">
        <v>1.1000000000000001</v>
      </c>
      <c r="J148" s="12">
        <f t="shared" si="12"/>
        <v>0</v>
      </c>
    </row>
    <row r="149" spans="1:11" hidden="1" x14ac:dyDescent="0.35">
      <c r="A149" s="103"/>
      <c r="B149" s="12" t="s">
        <v>4</v>
      </c>
      <c r="C149" s="10" t="s">
        <v>321</v>
      </c>
      <c r="D149" s="152"/>
      <c r="E149" s="170"/>
      <c r="F149" s="95"/>
      <c r="G149" s="153" t="str">
        <f t="shared" si="8"/>
        <v/>
      </c>
      <c r="H149" s="10" t="s">
        <v>20</v>
      </c>
      <c r="I149" s="331">
        <v>1.1000000000000001</v>
      </c>
      <c r="J149" s="12">
        <f t="shared" si="12"/>
        <v>0</v>
      </c>
    </row>
    <row r="150" spans="1:11" x14ac:dyDescent="0.35">
      <c r="A150" s="113" t="s">
        <v>41</v>
      </c>
      <c r="B150" s="124"/>
      <c r="C150" s="124"/>
      <c r="D150" s="230"/>
      <c r="E150" s="174"/>
      <c r="F150" s="148"/>
      <c r="G150" s="165" t="str">
        <f t="shared" si="8"/>
        <v/>
      </c>
      <c r="H150" s="124"/>
      <c r="I150" s="241"/>
      <c r="J150" s="125"/>
    </row>
    <row r="151" spans="1:11" x14ac:dyDescent="0.35">
      <c r="A151" s="103"/>
      <c r="B151" s="12" t="s">
        <v>4</v>
      </c>
      <c r="C151" s="10" t="s">
        <v>24</v>
      </c>
      <c r="D151" s="152">
        <v>30</v>
      </c>
      <c r="E151" s="170">
        <v>104</v>
      </c>
      <c r="F151" s="95"/>
      <c r="G151" s="153" t="str">
        <f t="shared" si="8"/>
        <v/>
      </c>
      <c r="H151" s="10" t="s">
        <v>20</v>
      </c>
      <c r="I151" s="331">
        <v>3.04</v>
      </c>
      <c r="J151" s="12">
        <f t="shared" ref="J151:J164" si="13">E151*I151</f>
        <v>316.16000000000003</v>
      </c>
      <c r="K151" s="13"/>
    </row>
    <row r="152" spans="1:11" x14ac:dyDescent="0.35">
      <c r="A152" s="103"/>
      <c r="B152" s="12" t="s">
        <v>4</v>
      </c>
      <c r="C152" s="10" t="s">
        <v>80</v>
      </c>
      <c r="D152" s="152">
        <v>60</v>
      </c>
      <c r="E152" s="170">
        <v>171</v>
      </c>
      <c r="F152" s="95"/>
      <c r="G152" s="153" t="str">
        <f t="shared" si="8"/>
        <v/>
      </c>
      <c r="H152" s="10" t="s">
        <v>20</v>
      </c>
      <c r="I152" s="331">
        <v>2.31</v>
      </c>
      <c r="J152" s="12">
        <f t="shared" si="13"/>
        <v>395.01</v>
      </c>
    </row>
    <row r="153" spans="1:11" ht="15.65" customHeight="1" x14ac:dyDescent="0.35">
      <c r="A153" s="103"/>
      <c r="B153" s="12" t="s">
        <v>4</v>
      </c>
      <c r="C153" s="10" t="s">
        <v>84</v>
      </c>
      <c r="D153" s="152">
        <v>30</v>
      </c>
      <c r="E153" s="170">
        <f>12*6</f>
        <v>72</v>
      </c>
      <c r="F153" s="95"/>
      <c r="G153" s="153" t="str">
        <f t="shared" ref="G153:G223" si="14">IF(E153="","",IF(D153-E153&gt;0,D153-E153,""))</f>
        <v/>
      </c>
      <c r="H153" s="10" t="s">
        <v>20</v>
      </c>
      <c r="I153" s="331">
        <v>2.31</v>
      </c>
      <c r="J153" s="12">
        <f t="shared" si="13"/>
        <v>166.32</v>
      </c>
    </row>
    <row r="154" spans="1:11" ht="14.5" hidden="1" customHeight="1" x14ac:dyDescent="0.35">
      <c r="A154" s="103"/>
      <c r="B154" s="12" t="s">
        <v>4</v>
      </c>
      <c r="C154" s="10" t="s">
        <v>394</v>
      </c>
      <c r="D154" s="152"/>
      <c r="E154" s="170"/>
      <c r="F154" s="95"/>
      <c r="G154" s="153" t="str">
        <f t="shared" si="14"/>
        <v/>
      </c>
      <c r="H154" s="10" t="s">
        <v>20</v>
      </c>
      <c r="I154" s="331">
        <v>2.54</v>
      </c>
      <c r="J154" s="12">
        <f t="shared" si="13"/>
        <v>0</v>
      </c>
    </row>
    <row r="155" spans="1:11" ht="14.5" hidden="1" customHeight="1" x14ac:dyDescent="0.35">
      <c r="A155" s="103"/>
      <c r="B155" s="12" t="s">
        <v>4</v>
      </c>
      <c r="C155" s="10" t="s">
        <v>394</v>
      </c>
      <c r="D155" s="152"/>
      <c r="E155" s="170"/>
      <c r="F155" s="95"/>
      <c r="G155" s="153" t="str">
        <f t="shared" si="14"/>
        <v/>
      </c>
      <c r="H155" s="10" t="s">
        <v>20</v>
      </c>
      <c r="I155" s="331">
        <v>2.54</v>
      </c>
      <c r="J155" s="12">
        <f t="shared" si="13"/>
        <v>0</v>
      </c>
    </row>
    <row r="156" spans="1:11" ht="14.5" customHeight="1" x14ac:dyDescent="0.35">
      <c r="A156" s="103"/>
      <c r="B156" s="12" t="s">
        <v>4</v>
      </c>
      <c r="C156" s="10" t="s">
        <v>25</v>
      </c>
      <c r="D156" s="152">
        <v>30</v>
      </c>
      <c r="E156" s="170">
        <f>82*6</f>
        <v>492</v>
      </c>
      <c r="F156" s="95"/>
      <c r="G156" s="153" t="str">
        <f t="shared" si="14"/>
        <v/>
      </c>
      <c r="H156" s="10" t="s">
        <v>20</v>
      </c>
      <c r="I156" s="331">
        <v>1.79</v>
      </c>
      <c r="J156" s="12">
        <f t="shared" si="13"/>
        <v>880.68000000000006</v>
      </c>
      <c r="K156" s="13"/>
    </row>
    <row r="157" spans="1:11" ht="15.65" hidden="1" customHeight="1" x14ac:dyDescent="0.35">
      <c r="A157" s="103"/>
      <c r="B157" s="12" t="s">
        <v>4</v>
      </c>
      <c r="C157" s="10" t="s">
        <v>322</v>
      </c>
      <c r="D157" s="152"/>
      <c r="E157" s="170"/>
      <c r="F157" s="95"/>
      <c r="G157" s="153" t="str">
        <f t="shared" si="14"/>
        <v/>
      </c>
      <c r="H157" s="10" t="s">
        <v>20</v>
      </c>
      <c r="I157" s="331">
        <v>2.46</v>
      </c>
      <c r="J157" s="12">
        <f t="shared" si="13"/>
        <v>0</v>
      </c>
    </row>
    <row r="158" spans="1:11" x14ac:dyDescent="0.35">
      <c r="A158" s="103"/>
      <c r="B158" s="12" t="s">
        <v>4</v>
      </c>
      <c r="C158" s="10" t="s">
        <v>393</v>
      </c>
      <c r="D158" s="152">
        <v>60</v>
      </c>
      <c r="E158" s="170">
        <v>392</v>
      </c>
      <c r="F158" s="95"/>
      <c r="G158" s="153" t="str">
        <f t="shared" si="14"/>
        <v/>
      </c>
      <c r="H158" s="10" t="s">
        <v>20</v>
      </c>
      <c r="I158" s="331">
        <v>2.46</v>
      </c>
      <c r="J158" s="12">
        <f t="shared" si="13"/>
        <v>964.31999999999994</v>
      </c>
    </row>
    <row r="159" spans="1:11" hidden="1" x14ac:dyDescent="0.35">
      <c r="A159" s="103"/>
      <c r="B159" s="12" t="s">
        <v>4</v>
      </c>
      <c r="C159" s="10" t="s">
        <v>43</v>
      </c>
      <c r="D159" s="152"/>
      <c r="E159" s="170"/>
      <c r="F159" s="95"/>
      <c r="G159" s="153" t="str">
        <f t="shared" si="14"/>
        <v/>
      </c>
      <c r="H159" s="10" t="s">
        <v>20</v>
      </c>
      <c r="I159" s="331">
        <v>2.5499999999999998</v>
      </c>
      <c r="J159" s="12">
        <f t="shared" si="13"/>
        <v>0</v>
      </c>
    </row>
    <row r="160" spans="1:11" ht="14.5" customHeight="1" x14ac:dyDescent="0.35">
      <c r="A160" s="103"/>
      <c r="B160" s="12" t="s">
        <v>4</v>
      </c>
      <c r="C160" s="10" t="s">
        <v>81</v>
      </c>
      <c r="D160" s="152">
        <v>60</v>
      </c>
      <c r="E160" s="170">
        <v>164</v>
      </c>
      <c r="F160" s="95"/>
      <c r="G160" s="153" t="str">
        <f t="shared" si="14"/>
        <v/>
      </c>
      <c r="H160" s="10" t="s">
        <v>20</v>
      </c>
      <c r="I160" s="331">
        <v>1.51</v>
      </c>
      <c r="J160" s="12">
        <f t="shared" si="13"/>
        <v>247.64000000000001</v>
      </c>
      <c r="K160" s="13"/>
    </row>
    <row r="161" spans="1:11" ht="15.65" customHeight="1" x14ac:dyDescent="0.35">
      <c r="A161" s="103"/>
      <c r="B161" s="12" t="s">
        <v>4</v>
      </c>
      <c r="C161" s="10" t="s">
        <v>82</v>
      </c>
      <c r="D161" s="152">
        <v>60</v>
      </c>
      <c r="E161" s="170">
        <v>410</v>
      </c>
      <c r="F161" s="95"/>
      <c r="G161" s="153" t="str">
        <f t="shared" si="14"/>
        <v/>
      </c>
      <c r="H161" s="10" t="s">
        <v>20</v>
      </c>
      <c r="I161" s="331">
        <v>1.51</v>
      </c>
      <c r="J161" s="12">
        <f t="shared" si="13"/>
        <v>619.1</v>
      </c>
    </row>
    <row r="162" spans="1:11" hidden="1" x14ac:dyDescent="0.35">
      <c r="A162" s="103"/>
      <c r="B162" s="12" t="s">
        <v>4</v>
      </c>
      <c r="C162" s="10" t="s">
        <v>323</v>
      </c>
      <c r="D162" s="152"/>
      <c r="E162" s="170"/>
      <c r="F162" s="95"/>
      <c r="G162" s="153" t="str">
        <f t="shared" si="14"/>
        <v/>
      </c>
      <c r="H162" s="10" t="s">
        <v>20</v>
      </c>
      <c r="I162" s="331">
        <v>1.54</v>
      </c>
      <c r="J162" s="12">
        <f t="shared" si="13"/>
        <v>0</v>
      </c>
    </row>
    <row r="163" spans="1:11" ht="14.5" hidden="1" customHeight="1" x14ac:dyDescent="0.35">
      <c r="A163" s="103"/>
      <c r="B163" s="12" t="s">
        <v>4</v>
      </c>
      <c r="C163" s="10" t="s">
        <v>324</v>
      </c>
      <c r="D163" s="152"/>
      <c r="E163" s="170"/>
      <c r="F163" s="95"/>
      <c r="G163" s="153" t="str">
        <f t="shared" si="14"/>
        <v/>
      </c>
      <c r="H163" s="10" t="s">
        <v>20</v>
      </c>
      <c r="I163" s="331">
        <v>1.6</v>
      </c>
      <c r="J163" s="12">
        <f t="shared" si="13"/>
        <v>0</v>
      </c>
    </row>
    <row r="164" spans="1:11" ht="14.5" hidden="1" customHeight="1" x14ac:dyDescent="0.35">
      <c r="A164" s="103"/>
      <c r="B164" s="12" t="s">
        <v>4</v>
      </c>
      <c r="C164" s="78" t="s">
        <v>325</v>
      </c>
      <c r="D164" s="224"/>
      <c r="E164" s="170"/>
      <c r="F164" s="142"/>
      <c r="G164" s="153" t="str">
        <f t="shared" si="14"/>
        <v/>
      </c>
      <c r="H164" s="10" t="s">
        <v>20</v>
      </c>
      <c r="I164" s="333">
        <v>49.95</v>
      </c>
      <c r="J164" s="12">
        <f t="shared" si="13"/>
        <v>0</v>
      </c>
    </row>
    <row r="165" spans="1:11" ht="14.5" customHeight="1" x14ac:dyDescent="0.35">
      <c r="A165" s="113" t="s">
        <v>44</v>
      </c>
      <c r="B165" s="124"/>
      <c r="C165" s="124"/>
      <c r="D165" s="230"/>
      <c r="E165" s="174"/>
      <c r="F165" s="148"/>
      <c r="G165" s="165" t="str">
        <f t="shared" si="14"/>
        <v/>
      </c>
      <c r="H165" s="124"/>
      <c r="I165" s="241"/>
      <c r="J165" s="125"/>
    </row>
    <row r="166" spans="1:11" x14ac:dyDescent="0.35">
      <c r="A166" s="103"/>
      <c r="B166" s="12" t="s">
        <v>4</v>
      </c>
      <c r="C166" s="10" t="s">
        <v>48</v>
      </c>
      <c r="D166" s="152">
        <v>10</v>
      </c>
      <c r="E166" s="170"/>
      <c r="F166" s="95"/>
      <c r="G166" s="153" t="str">
        <f t="shared" si="14"/>
        <v/>
      </c>
      <c r="H166" s="10" t="s">
        <v>20</v>
      </c>
      <c r="I166" s="331">
        <v>1.94</v>
      </c>
      <c r="J166" s="12">
        <f t="shared" ref="J166:J175" si="15">E166*I166</f>
        <v>0</v>
      </c>
    </row>
    <row r="167" spans="1:11" x14ac:dyDescent="0.35">
      <c r="A167" s="103"/>
      <c r="B167" s="12" t="s">
        <v>4</v>
      </c>
      <c r="C167" s="10" t="s">
        <v>49</v>
      </c>
      <c r="D167" s="152">
        <v>10</v>
      </c>
      <c r="E167" s="170"/>
      <c r="F167" s="95"/>
      <c r="G167" s="153" t="str">
        <f t="shared" si="14"/>
        <v/>
      </c>
      <c r="H167" s="10" t="s">
        <v>20</v>
      </c>
      <c r="I167" s="331">
        <v>1.94</v>
      </c>
      <c r="J167" s="12">
        <f t="shared" si="15"/>
        <v>0</v>
      </c>
    </row>
    <row r="168" spans="1:11" x14ac:dyDescent="0.35">
      <c r="A168" s="103"/>
      <c r="B168" s="12" t="s">
        <v>4</v>
      </c>
      <c r="C168" s="10" t="s">
        <v>50</v>
      </c>
      <c r="D168" s="152">
        <v>10</v>
      </c>
      <c r="E168" s="170"/>
      <c r="F168" s="95"/>
      <c r="G168" s="153" t="str">
        <f t="shared" si="14"/>
        <v/>
      </c>
      <c r="H168" s="10" t="s">
        <v>20</v>
      </c>
      <c r="I168" s="331">
        <v>1.94</v>
      </c>
      <c r="J168" s="12">
        <f t="shared" si="15"/>
        <v>0</v>
      </c>
    </row>
    <row r="169" spans="1:11" hidden="1" x14ac:dyDescent="0.35">
      <c r="A169" s="103"/>
      <c r="B169" s="12" t="s">
        <v>4</v>
      </c>
      <c r="C169" s="10" t="s">
        <v>415</v>
      </c>
      <c r="D169" s="152"/>
      <c r="E169" s="170"/>
      <c r="F169" s="95"/>
      <c r="G169" s="153" t="str">
        <f t="shared" si="14"/>
        <v/>
      </c>
      <c r="H169" s="10" t="s">
        <v>20</v>
      </c>
      <c r="I169" s="331">
        <v>1.98</v>
      </c>
      <c r="J169" s="12">
        <f t="shared" si="15"/>
        <v>0</v>
      </c>
    </row>
    <row r="170" spans="1:11" ht="14.5" hidden="1" customHeight="1" x14ac:dyDescent="0.35">
      <c r="A170" s="103"/>
      <c r="B170" s="12" t="s">
        <v>4</v>
      </c>
      <c r="C170" s="10" t="s">
        <v>414</v>
      </c>
      <c r="D170" s="152"/>
      <c r="E170" s="170"/>
      <c r="F170" s="95"/>
      <c r="G170" s="153" t="str">
        <f t="shared" si="14"/>
        <v/>
      </c>
      <c r="H170" s="10" t="s">
        <v>20</v>
      </c>
      <c r="I170" s="331">
        <v>1.98</v>
      </c>
      <c r="J170" s="12">
        <f t="shared" si="15"/>
        <v>0</v>
      </c>
    </row>
    <row r="171" spans="1:11" ht="14.5" hidden="1" customHeight="1" x14ac:dyDescent="0.35">
      <c r="A171" s="103"/>
      <c r="B171" s="12" t="s">
        <v>4</v>
      </c>
      <c r="C171" s="10" t="s">
        <v>328</v>
      </c>
      <c r="D171" s="152"/>
      <c r="E171" s="170"/>
      <c r="F171" s="95"/>
      <c r="G171" s="153" t="str">
        <f t="shared" si="14"/>
        <v/>
      </c>
      <c r="H171" s="10" t="s">
        <v>20</v>
      </c>
      <c r="I171" s="331">
        <v>1.98</v>
      </c>
      <c r="J171" s="12">
        <f t="shared" si="15"/>
        <v>0</v>
      </c>
    </row>
    <row r="172" spans="1:11" hidden="1" x14ac:dyDescent="0.35">
      <c r="A172" s="103"/>
      <c r="B172" s="12" t="s">
        <v>4</v>
      </c>
      <c r="C172" s="10" t="s">
        <v>329</v>
      </c>
      <c r="D172" s="152"/>
      <c r="E172" s="170"/>
      <c r="F172" s="95"/>
      <c r="G172" s="153" t="str">
        <f t="shared" si="14"/>
        <v/>
      </c>
      <c r="H172" s="10" t="s">
        <v>20</v>
      </c>
      <c r="I172" s="331">
        <v>1.98</v>
      </c>
      <c r="J172" s="12">
        <f t="shared" si="15"/>
        <v>0</v>
      </c>
    </row>
    <row r="173" spans="1:11" ht="14.5" hidden="1" customHeight="1" x14ac:dyDescent="0.35">
      <c r="A173" s="103"/>
      <c r="B173" s="40" t="s">
        <v>4</v>
      </c>
      <c r="C173" s="41" t="s">
        <v>330</v>
      </c>
      <c r="D173" s="227"/>
      <c r="E173" s="170"/>
      <c r="F173" s="145"/>
      <c r="G173" s="153" t="str">
        <f t="shared" si="14"/>
        <v/>
      </c>
      <c r="H173" s="10" t="s">
        <v>20</v>
      </c>
      <c r="I173" s="331">
        <v>1.98</v>
      </c>
      <c r="J173" s="12">
        <f t="shared" si="15"/>
        <v>0</v>
      </c>
    </row>
    <row r="174" spans="1:11" ht="14.5" hidden="1" customHeight="1" x14ac:dyDescent="0.35">
      <c r="A174" s="103"/>
      <c r="B174" s="40" t="s">
        <v>4</v>
      </c>
      <c r="C174" s="41" t="s">
        <v>331</v>
      </c>
      <c r="D174" s="227"/>
      <c r="E174" s="170"/>
      <c r="F174" s="145"/>
      <c r="G174" s="153" t="str">
        <f t="shared" si="14"/>
        <v/>
      </c>
      <c r="H174" s="10" t="s">
        <v>20</v>
      </c>
      <c r="I174" s="331">
        <v>1.98</v>
      </c>
      <c r="J174" s="12">
        <f t="shared" si="15"/>
        <v>0</v>
      </c>
    </row>
    <row r="175" spans="1:11" ht="14.5" hidden="1" customHeight="1" x14ac:dyDescent="0.35">
      <c r="A175" s="103"/>
      <c r="B175" s="40" t="s">
        <v>4</v>
      </c>
      <c r="C175" s="41" t="s">
        <v>413</v>
      </c>
      <c r="D175" s="227"/>
      <c r="E175" s="170"/>
      <c r="F175" s="145"/>
      <c r="G175" s="153" t="str">
        <f t="shared" si="14"/>
        <v/>
      </c>
      <c r="H175" s="41" t="s">
        <v>20</v>
      </c>
      <c r="I175" s="334">
        <v>1.98</v>
      </c>
      <c r="J175" s="12">
        <f t="shared" si="15"/>
        <v>0</v>
      </c>
    </row>
    <row r="176" spans="1:11" ht="15.5" hidden="1" x14ac:dyDescent="0.35">
      <c r="A176" s="114" t="s">
        <v>333</v>
      </c>
      <c r="B176" s="120"/>
      <c r="C176" s="120"/>
      <c r="D176" s="228"/>
      <c r="E176" s="175"/>
      <c r="F176" s="149"/>
      <c r="G176" s="153" t="str">
        <f t="shared" si="14"/>
        <v/>
      </c>
      <c r="H176" s="121"/>
      <c r="I176" s="122" t="s">
        <v>18</v>
      </c>
      <c r="J176" s="123">
        <f>SUM(J177:J186)</f>
        <v>0</v>
      </c>
      <c r="K176" s="13"/>
    </row>
    <row r="177" spans="1:14" hidden="1" x14ac:dyDescent="0.35">
      <c r="A177" s="103"/>
      <c r="B177" s="12" t="s">
        <v>26</v>
      </c>
      <c r="C177" s="10" t="s">
        <v>334</v>
      </c>
      <c r="D177" s="152"/>
      <c r="E177" s="170"/>
      <c r="F177" s="95"/>
      <c r="G177" s="153" t="str">
        <f t="shared" si="14"/>
        <v/>
      </c>
      <c r="H177" s="10" t="s">
        <v>335</v>
      </c>
      <c r="I177" s="331">
        <v>20</v>
      </c>
      <c r="J177" s="12">
        <f t="shared" ref="J177:J186" si="16">E177*I177</f>
        <v>0</v>
      </c>
    </row>
    <row r="178" spans="1:14" hidden="1" x14ac:dyDescent="0.35">
      <c r="A178" s="103"/>
      <c r="B178" s="20" t="s">
        <v>26</v>
      </c>
      <c r="C178" s="18" t="s">
        <v>53</v>
      </c>
      <c r="D178" s="229"/>
      <c r="E178" s="170"/>
      <c r="F178" s="147"/>
      <c r="G178" s="153" t="str">
        <f t="shared" si="14"/>
        <v/>
      </c>
      <c r="H178" s="18" t="s">
        <v>20</v>
      </c>
      <c r="I178" s="335">
        <v>0.43</v>
      </c>
      <c r="J178" s="20">
        <f t="shared" si="16"/>
        <v>0</v>
      </c>
      <c r="N178" t="s">
        <v>47</v>
      </c>
    </row>
    <row r="179" spans="1:14" hidden="1" x14ac:dyDescent="0.35">
      <c r="A179" s="103"/>
      <c r="B179" s="20" t="s">
        <v>26</v>
      </c>
      <c r="C179" s="18" t="s">
        <v>336</v>
      </c>
      <c r="D179" s="229"/>
      <c r="E179" s="170"/>
      <c r="F179" s="147"/>
      <c r="G179" s="153" t="str">
        <f t="shared" si="14"/>
        <v/>
      </c>
      <c r="H179" s="18" t="s">
        <v>20</v>
      </c>
      <c r="I179" s="335">
        <v>0.43</v>
      </c>
      <c r="J179" s="20">
        <f t="shared" si="16"/>
        <v>0</v>
      </c>
    </row>
    <row r="180" spans="1:14" ht="16.399999999999999" hidden="1" customHeight="1" x14ac:dyDescent="0.35">
      <c r="A180" s="103"/>
      <c r="B180" s="12" t="s">
        <v>26</v>
      </c>
      <c r="C180" s="10" t="s">
        <v>337</v>
      </c>
      <c r="D180" s="152"/>
      <c r="E180" s="170"/>
      <c r="F180" s="95"/>
      <c r="G180" s="153" t="str">
        <f t="shared" si="14"/>
        <v/>
      </c>
      <c r="H180" s="10" t="s">
        <v>20</v>
      </c>
      <c r="I180" s="331">
        <v>0.43</v>
      </c>
      <c r="J180" s="12">
        <f t="shared" si="16"/>
        <v>0</v>
      </c>
    </row>
    <row r="181" spans="1:14" hidden="1" x14ac:dyDescent="0.35">
      <c r="A181" s="103"/>
      <c r="B181" s="12" t="s">
        <v>26</v>
      </c>
      <c r="C181" s="10" t="s">
        <v>51</v>
      </c>
      <c r="D181" s="152"/>
      <c r="E181" s="170"/>
      <c r="F181" s="95"/>
      <c r="G181" s="153" t="str">
        <f t="shared" si="14"/>
        <v/>
      </c>
      <c r="H181" s="10" t="s">
        <v>61</v>
      </c>
      <c r="I181" s="331">
        <v>14</v>
      </c>
      <c r="J181" s="12">
        <f t="shared" si="16"/>
        <v>0</v>
      </c>
    </row>
    <row r="182" spans="1:14" hidden="1" x14ac:dyDescent="0.35">
      <c r="A182" s="103"/>
      <c r="B182" s="12" t="s">
        <v>26</v>
      </c>
      <c r="C182" s="10" t="s">
        <v>338</v>
      </c>
      <c r="D182" s="152"/>
      <c r="E182" s="170"/>
      <c r="F182" s="95"/>
      <c r="G182" s="153" t="str">
        <f t="shared" si="14"/>
        <v/>
      </c>
      <c r="H182" s="10" t="s">
        <v>61</v>
      </c>
      <c r="I182" s="331">
        <v>14.78</v>
      </c>
      <c r="J182" s="12">
        <f t="shared" si="16"/>
        <v>0</v>
      </c>
    </row>
    <row r="183" spans="1:14" hidden="1" x14ac:dyDescent="0.35">
      <c r="A183" s="103"/>
      <c r="B183" s="12" t="s">
        <v>26</v>
      </c>
      <c r="C183" s="10" t="s">
        <v>339</v>
      </c>
      <c r="D183" s="152"/>
      <c r="E183" s="170"/>
      <c r="F183" s="95"/>
      <c r="G183" s="153" t="str">
        <f t="shared" si="14"/>
        <v/>
      </c>
      <c r="H183" s="10" t="s">
        <v>61</v>
      </c>
      <c r="I183" s="331">
        <v>14.78</v>
      </c>
      <c r="J183" s="12">
        <f t="shared" si="16"/>
        <v>0</v>
      </c>
    </row>
    <row r="184" spans="1:14" hidden="1" x14ac:dyDescent="0.35">
      <c r="A184" s="103"/>
      <c r="B184" s="12" t="s">
        <v>26</v>
      </c>
      <c r="C184" s="10" t="s">
        <v>340</v>
      </c>
      <c r="D184" s="152"/>
      <c r="E184" s="170"/>
      <c r="F184" s="95"/>
      <c r="G184" s="153" t="str">
        <f t="shared" si="14"/>
        <v/>
      </c>
      <c r="H184" s="10" t="s">
        <v>61</v>
      </c>
      <c r="I184" s="331">
        <v>14.78</v>
      </c>
      <c r="J184" s="12">
        <f t="shared" si="16"/>
        <v>0</v>
      </c>
    </row>
    <row r="185" spans="1:14" hidden="1" x14ac:dyDescent="0.35">
      <c r="A185" s="103"/>
      <c r="B185" s="12" t="s">
        <v>26</v>
      </c>
      <c r="C185" s="10" t="s">
        <v>341</v>
      </c>
      <c r="D185" s="152"/>
      <c r="E185" s="170"/>
      <c r="F185" s="95"/>
      <c r="G185" s="153" t="str">
        <f t="shared" si="14"/>
        <v/>
      </c>
      <c r="H185" s="10" t="s">
        <v>61</v>
      </c>
      <c r="I185" s="331">
        <v>14.78</v>
      </c>
      <c r="J185" s="12">
        <f t="shared" si="16"/>
        <v>0</v>
      </c>
    </row>
    <row r="186" spans="1:14" hidden="1" x14ac:dyDescent="0.35">
      <c r="A186" s="103"/>
      <c r="B186" s="12" t="s">
        <v>26</v>
      </c>
      <c r="C186" s="10" t="s">
        <v>342</v>
      </c>
      <c r="D186" s="152"/>
      <c r="E186" s="170"/>
      <c r="F186" s="95"/>
      <c r="G186" s="153" t="str">
        <f t="shared" si="14"/>
        <v/>
      </c>
      <c r="H186" s="10" t="s">
        <v>61</v>
      </c>
      <c r="I186" s="331">
        <v>14.78</v>
      </c>
      <c r="J186" s="10">
        <f t="shared" si="16"/>
        <v>0</v>
      </c>
    </row>
    <row r="187" spans="1:14" ht="15.5" x14ac:dyDescent="0.35">
      <c r="A187" s="108" t="s">
        <v>343</v>
      </c>
      <c r="B187" s="108"/>
      <c r="C187" s="108"/>
      <c r="D187" s="223"/>
      <c r="E187" s="169"/>
      <c r="F187" s="109"/>
      <c r="G187" s="165" t="str">
        <f t="shared" si="14"/>
        <v/>
      </c>
      <c r="H187" s="108"/>
      <c r="I187" s="106" t="s">
        <v>18</v>
      </c>
      <c r="J187" s="107">
        <f>SUM(J188:J192)</f>
        <v>0</v>
      </c>
    </row>
    <row r="188" spans="1:14" hidden="1" x14ac:dyDescent="0.35">
      <c r="A188" s="103"/>
      <c r="B188" s="7" t="s">
        <v>6</v>
      </c>
      <c r="C188" s="14" t="s">
        <v>344</v>
      </c>
      <c r="D188" s="152"/>
      <c r="E188" s="170"/>
      <c r="F188" s="95"/>
      <c r="G188" s="153" t="str">
        <f t="shared" si="14"/>
        <v/>
      </c>
      <c r="H188" s="14" t="s">
        <v>20</v>
      </c>
      <c r="I188" s="336">
        <v>0.79</v>
      </c>
      <c r="J188" s="7">
        <f>E188*I188</f>
        <v>0</v>
      </c>
    </row>
    <row r="189" spans="1:14" x14ac:dyDescent="0.35">
      <c r="A189" s="103"/>
      <c r="B189" s="7" t="s">
        <v>6</v>
      </c>
      <c r="C189" s="14" t="s">
        <v>345</v>
      </c>
      <c r="D189" s="152">
        <v>10</v>
      </c>
      <c r="E189" s="170"/>
      <c r="F189" s="95"/>
      <c r="G189" s="153" t="str">
        <f t="shared" si="14"/>
        <v/>
      </c>
      <c r="H189" s="14" t="s">
        <v>20</v>
      </c>
      <c r="I189" s="336">
        <v>2.76</v>
      </c>
      <c r="J189" s="7">
        <f>E189*I189</f>
        <v>0</v>
      </c>
    </row>
    <row r="190" spans="1:14" x14ac:dyDescent="0.35">
      <c r="A190" s="103"/>
      <c r="B190" s="7" t="s">
        <v>6</v>
      </c>
      <c r="C190" s="14" t="s">
        <v>346</v>
      </c>
      <c r="D190" s="152"/>
      <c r="E190" s="170"/>
      <c r="F190" s="95"/>
      <c r="G190" s="153" t="str">
        <f t="shared" si="14"/>
        <v/>
      </c>
      <c r="H190" s="14" t="s">
        <v>20</v>
      </c>
      <c r="I190" s="336">
        <v>1</v>
      </c>
      <c r="J190" s="7">
        <f>E190*I190</f>
        <v>0</v>
      </c>
    </row>
    <row r="191" spans="1:14" x14ac:dyDescent="0.35">
      <c r="A191" s="103"/>
      <c r="B191" s="7" t="s">
        <v>6</v>
      </c>
      <c r="C191" s="14" t="s">
        <v>34</v>
      </c>
      <c r="D191" s="152">
        <v>20</v>
      </c>
      <c r="E191" s="170"/>
      <c r="F191" s="95"/>
      <c r="G191" s="153" t="str">
        <f t="shared" si="14"/>
        <v/>
      </c>
      <c r="H191" s="14" t="s">
        <v>20</v>
      </c>
      <c r="I191" s="336">
        <v>1.8</v>
      </c>
      <c r="J191" s="7">
        <f>E191*I191</f>
        <v>0</v>
      </c>
    </row>
    <row r="192" spans="1:14" x14ac:dyDescent="0.35">
      <c r="A192" s="103"/>
      <c r="B192" s="7" t="s">
        <v>6</v>
      </c>
      <c r="C192" s="14" t="s">
        <v>35</v>
      </c>
      <c r="D192" s="152">
        <v>20</v>
      </c>
      <c r="E192" s="170"/>
      <c r="F192" s="95"/>
      <c r="G192" s="153" t="str">
        <f t="shared" si="14"/>
        <v/>
      </c>
      <c r="H192" s="14" t="s">
        <v>20</v>
      </c>
      <c r="I192" s="336">
        <v>1.8</v>
      </c>
      <c r="J192" s="7">
        <f>E192*I192</f>
        <v>0</v>
      </c>
    </row>
    <row r="193" spans="1:10" ht="15.5" x14ac:dyDescent="0.35">
      <c r="A193" s="112" t="s">
        <v>347</v>
      </c>
      <c r="B193" s="116"/>
      <c r="C193" s="116"/>
      <c r="D193" s="228"/>
      <c r="E193" s="173"/>
      <c r="F193" s="146"/>
      <c r="G193" s="165" t="str">
        <f t="shared" si="14"/>
        <v/>
      </c>
      <c r="H193" s="117"/>
      <c r="I193" s="118" t="s">
        <v>18</v>
      </c>
      <c r="J193" s="119">
        <f>SUM(J194)</f>
        <v>0</v>
      </c>
    </row>
    <row r="194" spans="1:10" x14ac:dyDescent="0.35">
      <c r="A194" s="103"/>
      <c r="B194" s="12" t="s">
        <v>5</v>
      </c>
      <c r="C194" s="10" t="s">
        <v>55</v>
      </c>
      <c r="D194" s="152"/>
      <c r="E194" s="170"/>
      <c r="F194" s="95"/>
      <c r="G194" s="153" t="str">
        <f t="shared" si="14"/>
        <v/>
      </c>
      <c r="H194" s="10" t="s">
        <v>20</v>
      </c>
      <c r="I194" s="331">
        <v>1.01</v>
      </c>
      <c r="J194" s="12">
        <f>E194*I194</f>
        <v>0</v>
      </c>
    </row>
    <row r="195" spans="1:10" ht="15.5" x14ac:dyDescent="0.35">
      <c r="A195" s="112" t="s">
        <v>348</v>
      </c>
      <c r="B195" s="116"/>
      <c r="C195" s="116"/>
      <c r="D195" s="228"/>
      <c r="E195" s="173"/>
      <c r="F195" s="146"/>
      <c r="G195" s="165" t="str">
        <f t="shared" si="14"/>
        <v/>
      </c>
      <c r="H195" s="117"/>
      <c r="I195" s="118" t="s">
        <v>18</v>
      </c>
      <c r="J195" s="119">
        <f>SUM(J196:J207)</f>
        <v>0</v>
      </c>
    </row>
    <row r="196" spans="1:10" x14ac:dyDescent="0.35">
      <c r="A196" s="103"/>
      <c r="B196" s="20" t="s">
        <v>8</v>
      </c>
      <c r="C196" s="18" t="s">
        <v>349</v>
      </c>
      <c r="D196" s="229">
        <v>1</v>
      </c>
      <c r="E196" s="170"/>
      <c r="F196" s="147"/>
      <c r="G196" s="153" t="str">
        <f t="shared" si="14"/>
        <v/>
      </c>
      <c r="H196" s="18" t="s">
        <v>27</v>
      </c>
      <c r="I196" s="337">
        <v>28.62</v>
      </c>
      <c r="J196" s="12">
        <f t="shared" ref="J196:J207" si="17">E196*I196</f>
        <v>0</v>
      </c>
    </row>
    <row r="197" spans="1:10" x14ac:dyDescent="0.35">
      <c r="A197" s="103"/>
      <c r="B197" s="12" t="s">
        <v>8</v>
      </c>
      <c r="C197" s="10" t="s">
        <v>350</v>
      </c>
      <c r="D197" s="152"/>
      <c r="E197" s="170"/>
      <c r="F197" s="95"/>
      <c r="G197" s="153" t="str">
        <f t="shared" si="14"/>
        <v/>
      </c>
      <c r="H197" s="10" t="s">
        <v>335</v>
      </c>
      <c r="I197" s="338">
        <v>30</v>
      </c>
      <c r="J197" s="12">
        <f t="shared" si="17"/>
        <v>0</v>
      </c>
    </row>
    <row r="198" spans="1:10" x14ac:dyDescent="0.35">
      <c r="A198" s="103"/>
      <c r="B198" s="12" t="s">
        <v>8</v>
      </c>
      <c r="C198" s="10" t="s">
        <v>351</v>
      </c>
      <c r="D198" s="152"/>
      <c r="E198" s="170"/>
      <c r="F198" s="95"/>
      <c r="G198" s="153" t="str">
        <f t="shared" si="14"/>
        <v/>
      </c>
      <c r="H198" s="10" t="s">
        <v>335</v>
      </c>
      <c r="I198" s="331">
        <v>1.1499999999999999</v>
      </c>
      <c r="J198" s="12">
        <f t="shared" si="17"/>
        <v>0</v>
      </c>
    </row>
    <row r="199" spans="1:10" x14ac:dyDescent="0.35">
      <c r="A199" s="103"/>
      <c r="B199" s="12" t="s">
        <v>8</v>
      </c>
      <c r="C199" s="10" t="s">
        <v>352</v>
      </c>
      <c r="D199" s="152">
        <v>3</v>
      </c>
      <c r="E199" s="170"/>
      <c r="F199" s="95"/>
      <c r="G199" s="153" t="str">
        <f t="shared" si="14"/>
        <v/>
      </c>
      <c r="H199" s="10" t="s">
        <v>27</v>
      </c>
      <c r="I199" s="331">
        <v>23.83</v>
      </c>
      <c r="J199" s="12">
        <f t="shared" si="17"/>
        <v>0</v>
      </c>
    </row>
    <row r="200" spans="1:10" x14ac:dyDescent="0.35">
      <c r="A200" s="103"/>
      <c r="B200" s="12" t="s">
        <v>8</v>
      </c>
      <c r="C200" s="10" t="s">
        <v>353</v>
      </c>
      <c r="D200" s="152">
        <v>3</v>
      </c>
      <c r="E200" s="170"/>
      <c r="F200" s="95"/>
      <c r="G200" s="153" t="str">
        <f t="shared" si="14"/>
        <v/>
      </c>
      <c r="H200" s="10" t="s">
        <v>27</v>
      </c>
      <c r="I200" s="331">
        <v>28.89</v>
      </c>
      <c r="J200" s="12">
        <f t="shared" si="17"/>
        <v>0</v>
      </c>
    </row>
    <row r="201" spans="1:10" x14ac:dyDescent="0.35">
      <c r="A201" s="103"/>
      <c r="B201" s="12" t="s">
        <v>8</v>
      </c>
      <c r="C201" s="10" t="s">
        <v>354</v>
      </c>
      <c r="D201" s="152">
        <v>3</v>
      </c>
      <c r="E201" s="170"/>
      <c r="F201" s="95"/>
      <c r="G201" s="153" t="str">
        <f>IF(E201="","",IF(D201-E201&gt;0,D201-E201,""))</f>
        <v/>
      </c>
      <c r="H201" s="10" t="s">
        <v>27</v>
      </c>
      <c r="I201" s="331">
        <v>19.37</v>
      </c>
      <c r="J201" s="12">
        <f>E201*I201</f>
        <v>0</v>
      </c>
    </row>
    <row r="202" spans="1:10" x14ac:dyDescent="0.35">
      <c r="A202" s="103"/>
      <c r="B202" s="12" t="s">
        <v>8</v>
      </c>
      <c r="C202" s="10" t="s">
        <v>429</v>
      </c>
      <c r="D202" s="152"/>
      <c r="E202" s="170"/>
      <c r="F202" s="95"/>
      <c r="G202" s="153"/>
      <c r="H202" s="10" t="s">
        <v>27</v>
      </c>
      <c r="I202" s="331">
        <v>14.07</v>
      </c>
      <c r="J202" s="12"/>
    </row>
    <row r="203" spans="1:10" x14ac:dyDescent="0.35">
      <c r="A203" s="103"/>
      <c r="B203" s="12" t="s">
        <v>8</v>
      </c>
      <c r="C203" s="10" t="s">
        <v>430</v>
      </c>
      <c r="D203" s="152"/>
      <c r="E203" s="170"/>
      <c r="F203" s="95"/>
      <c r="G203" s="153"/>
      <c r="H203" s="10" t="s">
        <v>27</v>
      </c>
      <c r="I203" s="331">
        <v>16.07</v>
      </c>
      <c r="J203" s="12"/>
    </row>
    <row r="204" spans="1:10" x14ac:dyDescent="0.35">
      <c r="A204" s="103"/>
      <c r="B204" s="12" t="s">
        <v>8</v>
      </c>
      <c r="C204" s="10" t="s">
        <v>431</v>
      </c>
      <c r="D204" s="152"/>
      <c r="G204" s="153"/>
      <c r="H204" s="10" t="s">
        <v>27</v>
      </c>
      <c r="I204" s="339">
        <v>14.62</v>
      </c>
      <c r="J204" s="12"/>
    </row>
    <row r="205" spans="1:10" hidden="1" x14ac:dyDescent="0.35">
      <c r="A205" s="103"/>
      <c r="B205" s="12" t="s">
        <v>8</v>
      </c>
      <c r="C205" s="10" t="s">
        <v>355</v>
      </c>
      <c r="D205" s="152"/>
      <c r="E205" s="170"/>
      <c r="F205" s="95"/>
      <c r="G205" s="153" t="str">
        <f t="shared" si="14"/>
        <v/>
      </c>
      <c r="H205" s="10" t="s">
        <v>61</v>
      </c>
      <c r="I205" s="331">
        <v>17.11</v>
      </c>
      <c r="J205" s="12">
        <f t="shared" si="17"/>
        <v>0</v>
      </c>
    </row>
    <row r="206" spans="1:10" hidden="1" x14ac:dyDescent="0.35">
      <c r="A206" s="103"/>
      <c r="B206" s="12" t="s">
        <v>8</v>
      </c>
      <c r="C206" s="10" t="s">
        <v>356</v>
      </c>
      <c r="D206" s="152"/>
      <c r="E206" s="170"/>
      <c r="F206" s="95"/>
      <c r="G206" s="153" t="str">
        <f t="shared" si="14"/>
        <v/>
      </c>
      <c r="H206" s="10" t="s">
        <v>61</v>
      </c>
      <c r="I206" s="331">
        <v>22.13</v>
      </c>
      <c r="J206" s="12">
        <f t="shared" si="17"/>
        <v>0</v>
      </c>
    </row>
    <row r="207" spans="1:10" hidden="1" x14ac:dyDescent="0.35">
      <c r="A207" s="103"/>
      <c r="B207" s="40" t="s">
        <v>8</v>
      </c>
      <c r="C207" s="41" t="s">
        <v>357</v>
      </c>
      <c r="D207" s="227"/>
      <c r="E207" s="170"/>
      <c r="F207" s="145"/>
      <c r="G207" s="153" t="str">
        <f t="shared" si="14"/>
        <v/>
      </c>
      <c r="H207" s="41" t="s">
        <v>61</v>
      </c>
      <c r="I207" s="334">
        <v>18.8</v>
      </c>
      <c r="J207" s="40">
        <f t="shared" si="17"/>
        <v>0</v>
      </c>
    </row>
    <row r="208" spans="1:10" ht="15.5" x14ac:dyDescent="0.35">
      <c r="A208" s="112" t="s">
        <v>358</v>
      </c>
      <c r="B208" s="116"/>
      <c r="C208" s="116"/>
      <c r="D208" s="228"/>
      <c r="E208" s="173"/>
      <c r="F208" s="146"/>
      <c r="G208" s="165" t="str">
        <f t="shared" si="14"/>
        <v/>
      </c>
      <c r="H208" s="117"/>
      <c r="I208" s="118" t="s">
        <v>18</v>
      </c>
      <c r="J208" s="119">
        <f>J209+J210+J211+J212+J213</f>
        <v>595.75</v>
      </c>
    </row>
    <row r="209" spans="1:10" x14ac:dyDescent="0.35">
      <c r="A209" s="103"/>
      <c r="B209" s="13" t="s">
        <v>11</v>
      </c>
      <c r="C209" s="298" t="s">
        <v>359</v>
      </c>
      <c r="D209" s="299">
        <v>40</v>
      </c>
      <c r="E209" s="300">
        <v>5</v>
      </c>
      <c r="F209" s="301"/>
      <c r="G209" s="302">
        <f t="shared" si="14"/>
        <v>35</v>
      </c>
      <c r="H209" s="41" t="s">
        <v>52</v>
      </c>
      <c r="I209" s="334">
        <v>11.63</v>
      </c>
      <c r="J209" s="40">
        <f>E209*I209</f>
        <v>58.150000000000006</v>
      </c>
    </row>
    <row r="210" spans="1:10" x14ac:dyDescent="0.35">
      <c r="A210" s="103"/>
      <c r="B210" s="12" t="s">
        <v>11</v>
      </c>
      <c r="C210" s="10" t="s">
        <v>436</v>
      </c>
      <c r="D210" s="152"/>
      <c r="E210" s="170">
        <v>32</v>
      </c>
      <c r="F210" s="95"/>
      <c r="G210" s="153"/>
      <c r="H210" s="10" t="s">
        <v>52</v>
      </c>
      <c r="I210" s="331">
        <v>16.8</v>
      </c>
      <c r="J210" s="40">
        <f t="shared" ref="J210:J213" si="18">E210*I210</f>
        <v>537.6</v>
      </c>
    </row>
    <row r="211" spans="1:10" x14ac:dyDescent="0.35">
      <c r="A211" s="103"/>
      <c r="B211" s="12" t="s">
        <v>11</v>
      </c>
      <c r="C211" s="10" t="s">
        <v>437</v>
      </c>
      <c r="D211" s="152"/>
      <c r="E211" s="170"/>
      <c r="F211" s="95"/>
      <c r="G211" s="153"/>
      <c r="H211" s="10" t="s">
        <v>440</v>
      </c>
      <c r="I211" s="331">
        <v>9.35</v>
      </c>
      <c r="J211" s="40">
        <f>E211*I211</f>
        <v>0</v>
      </c>
    </row>
    <row r="212" spans="1:10" x14ac:dyDescent="0.35">
      <c r="A212" s="103"/>
      <c r="B212" s="12" t="s">
        <v>11</v>
      </c>
      <c r="C212" s="10" t="s">
        <v>438</v>
      </c>
      <c r="D212" s="152"/>
      <c r="E212" s="170"/>
      <c r="F212" s="95"/>
      <c r="G212" s="153"/>
      <c r="H212" s="10" t="s">
        <v>52</v>
      </c>
      <c r="I212" s="331">
        <v>87</v>
      </c>
      <c r="J212" s="40">
        <f t="shared" si="18"/>
        <v>0</v>
      </c>
    </row>
    <row r="213" spans="1:10" x14ac:dyDescent="0.35">
      <c r="A213" s="103"/>
      <c r="B213" s="12" t="s">
        <v>11</v>
      </c>
      <c r="C213" s="10" t="s">
        <v>439</v>
      </c>
      <c r="D213" s="152"/>
      <c r="E213" s="170"/>
      <c r="F213" s="95"/>
      <c r="G213" s="153"/>
      <c r="H213" s="10" t="s">
        <v>52</v>
      </c>
      <c r="I213" s="331">
        <v>55</v>
      </c>
      <c r="J213" s="40">
        <f t="shared" si="18"/>
        <v>0</v>
      </c>
    </row>
    <row r="214" spans="1:10" ht="15.5" x14ac:dyDescent="0.35">
      <c r="A214" s="108" t="s">
        <v>360</v>
      </c>
      <c r="B214" s="108"/>
      <c r="C214" s="108"/>
      <c r="D214" s="223"/>
      <c r="E214" s="169"/>
      <c r="F214" s="109"/>
      <c r="G214" s="310" t="str">
        <f t="shared" si="14"/>
        <v/>
      </c>
      <c r="H214" s="108"/>
      <c r="I214" s="106" t="s">
        <v>18</v>
      </c>
      <c r="J214" s="107">
        <f>SUM(J215:J216)</f>
        <v>0</v>
      </c>
    </row>
    <row r="215" spans="1:10" x14ac:dyDescent="0.35">
      <c r="A215" s="103"/>
      <c r="B215" s="12" t="s">
        <v>12</v>
      </c>
      <c r="C215" s="10" t="s">
        <v>70</v>
      </c>
      <c r="D215" s="152">
        <v>40</v>
      </c>
      <c r="E215" s="170"/>
      <c r="F215" s="95"/>
      <c r="G215" s="153" t="str">
        <f t="shared" si="14"/>
        <v/>
      </c>
      <c r="H215" s="10" t="s">
        <v>27</v>
      </c>
      <c r="I215" s="331">
        <v>20.7</v>
      </c>
      <c r="J215" s="12">
        <f>+E215*I215</f>
        <v>0</v>
      </c>
    </row>
    <row r="216" spans="1:10" x14ac:dyDescent="0.35">
      <c r="A216" s="103"/>
      <c r="B216" s="12" t="s">
        <v>12</v>
      </c>
      <c r="C216" s="10" t="s">
        <v>71</v>
      </c>
      <c r="D216" s="152">
        <v>40</v>
      </c>
      <c r="E216" s="170"/>
      <c r="F216" s="95"/>
      <c r="G216" s="153" t="str">
        <f t="shared" si="14"/>
        <v/>
      </c>
      <c r="H216" s="10" t="s">
        <v>27</v>
      </c>
      <c r="I216" s="331">
        <v>13.7</v>
      </c>
      <c r="J216" s="12">
        <f>+E216*I216</f>
        <v>0</v>
      </c>
    </row>
    <row r="217" spans="1:10" ht="15.5" hidden="1" x14ac:dyDescent="0.35">
      <c r="A217" s="108" t="s">
        <v>361</v>
      </c>
      <c r="B217" s="108"/>
      <c r="C217" s="108"/>
      <c r="D217" s="223"/>
      <c r="E217" s="169"/>
      <c r="F217" s="109"/>
      <c r="G217" s="153" t="str">
        <f t="shared" si="14"/>
        <v/>
      </c>
      <c r="H217" s="108"/>
      <c r="I217" s="106" t="s">
        <v>18</v>
      </c>
      <c r="J217" s="107">
        <f>SUM(J218:J221)</f>
        <v>0</v>
      </c>
    </row>
    <row r="218" spans="1:10" hidden="1" x14ac:dyDescent="0.35">
      <c r="A218" s="103"/>
      <c r="B218" s="12" t="s">
        <v>10</v>
      </c>
      <c r="C218" s="10" t="s">
        <v>362</v>
      </c>
      <c r="D218" s="152"/>
      <c r="E218" s="170"/>
      <c r="F218" s="95"/>
      <c r="G218" s="153" t="str">
        <f t="shared" si="14"/>
        <v/>
      </c>
      <c r="H218" s="10" t="s">
        <v>20</v>
      </c>
      <c r="I218" s="331">
        <v>11.08</v>
      </c>
      <c r="J218" s="12">
        <f>E218*I218</f>
        <v>0</v>
      </c>
    </row>
    <row r="219" spans="1:10" hidden="1" x14ac:dyDescent="0.35">
      <c r="A219" s="103"/>
      <c r="B219" s="12" t="s">
        <v>10</v>
      </c>
      <c r="C219" s="10" t="s">
        <v>363</v>
      </c>
      <c r="D219" s="152"/>
      <c r="E219" s="170"/>
      <c r="F219" s="95"/>
      <c r="G219" s="153" t="str">
        <f t="shared" si="14"/>
        <v/>
      </c>
      <c r="H219" s="10" t="s">
        <v>27</v>
      </c>
      <c r="I219" s="331">
        <v>16.21</v>
      </c>
      <c r="J219" s="12">
        <f>E219*I219</f>
        <v>0</v>
      </c>
    </row>
    <row r="220" spans="1:10" hidden="1" x14ac:dyDescent="0.35">
      <c r="A220" s="103"/>
      <c r="B220" s="12" t="s">
        <v>10</v>
      </c>
      <c r="C220" s="10" t="s">
        <v>364</v>
      </c>
      <c r="D220" s="152"/>
      <c r="E220" s="170"/>
      <c r="F220" s="95"/>
      <c r="G220" s="153" t="str">
        <f t="shared" si="14"/>
        <v/>
      </c>
      <c r="H220" s="10" t="s">
        <v>27</v>
      </c>
      <c r="I220" s="331">
        <v>19.350000000000001</v>
      </c>
      <c r="J220" s="12">
        <f>E220*I220</f>
        <v>0</v>
      </c>
    </row>
    <row r="221" spans="1:10" hidden="1" x14ac:dyDescent="0.35">
      <c r="A221" s="103"/>
      <c r="B221" s="12" t="s">
        <v>10</v>
      </c>
      <c r="C221" s="10" t="s">
        <v>365</v>
      </c>
      <c r="D221" s="152"/>
      <c r="E221" s="170"/>
      <c r="F221" s="95"/>
      <c r="G221" s="153" t="str">
        <f t="shared" si="14"/>
        <v/>
      </c>
      <c r="H221" s="10" t="s">
        <v>27</v>
      </c>
      <c r="I221" s="331">
        <v>19.809999999999999</v>
      </c>
      <c r="J221" s="12">
        <f>E221*I221</f>
        <v>0</v>
      </c>
    </row>
    <row r="222" spans="1:10" ht="15.5" x14ac:dyDescent="0.35">
      <c r="A222" s="108" t="s">
        <v>366</v>
      </c>
      <c r="B222" s="108"/>
      <c r="C222" s="108"/>
      <c r="D222" s="223"/>
      <c r="E222" s="169"/>
      <c r="F222" s="109"/>
      <c r="G222" s="165" t="str">
        <f t="shared" si="14"/>
        <v/>
      </c>
      <c r="H222" s="108"/>
      <c r="I222" s="106" t="s">
        <v>18</v>
      </c>
      <c r="J222" s="107">
        <f>J223</f>
        <v>0</v>
      </c>
    </row>
    <row r="223" spans="1:10" x14ac:dyDescent="0.35">
      <c r="A223" s="103"/>
      <c r="B223" s="12" t="s">
        <v>28</v>
      </c>
      <c r="C223" s="10" t="s">
        <v>29</v>
      </c>
      <c r="D223" s="152">
        <v>1</v>
      </c>
      <c r="E223" s="170"/>
      <c r="F223" s="150"/>
      <c r="G223" s="153" t="str">
        <f t="shared" si="14"/>
        <v/>
      </c>
      <c r="H223" s="10" t="s">
        <v>54</v>
      </c>
      <c r="I223" s="331">
        <v>104</v>
      </c>
      <c r="J223" s="12">
        <f>I223*E223</f>
        <v>0</v>
      </c>
    </row>
    <row r="224" spans="1:10" ht="15.5" x14ac:dyDescent="0.35">
      <c r="A224" s="108" t="s">
        <v>367</v>
      </c>
      <c r="B224" s="108"/>
      <c r="C224" s="108"/>
      <c r="D224" s="223"/>
      <c r="E224" s="169"/>
      <c r="F224" s="109"/>
      <c r="G224" s="165" t="str">
        <f t="shared" ref="G224:G257" si="19">IF(E224="","",IF(D224-E224&gt;0,D224-E224,""))</f>
        <v/>
      </c>
      <c r="H224" s="108"/>
      <c r="I224" s="106" t="s">
        <v>18</v>
      </c>
      <c r="J224" s="115">
        <f>SUM(J225:J244)</f>
        <v>0</v>
      </c>
    </row>
    <row r="225" spans="1:10" x14ac:dyDescent="0.35">
      <c r="A225" s="103"/>
      <c r="B225" s="12" t="s">
        <v>9</v>
      </c>
      <c r="C225" s="10" t="s">
        <v>423</v>
      </c>
      <c r="D225" s="152"/>
      <c r="E225" s="170"/>
      <c r="F225" s="95"/>
      <c r="G225" s="153" t="str">
        <f t="shared" si="19"/>
        <v/>
      </c>
      <c r="H225" s="10" t="s">
        <v>20</v>
      </c>
      <c r="I225" s="331">
        <v>78</v>
      </c>
      <c r="J225" s="50">
        <f t="shared" ref="J225:J244" si="20">E225*I225</f>
        <v>0</v>
      </c>
    </row>
    <row r="226" spans="1:10" x14ac:dyDescent="0.35">
      <c r="A226" s="103"/>
      <c r="B226" s="12" t="s">
        <v>9</v>
      </c>
      <c r="C226" s="10" t="s">
        <v>424</v>
      </c>
      <c r="D226" s="152"/>
      <c r="E226" s="170"/>
      <c r="F226" s="95"/>
      <c r="G226" s="153" t="str">
        <f t="shared" si="19"/>
        <v/>
      </c>
      <c r="H226" s="10" t="s">
        <v>61</v>
      </c>
      <c r="I226" s="340">
        <v>107.12</v>
      </c>
      <c r="J226" s="50">
        <f t="shared" si="20"/>
        <v>0</v>
      </c>
    </row>
    <row r="227" spans="1:10" x14ac:dyDescent="0.35">
      <c r="A227" s="103"/>
      <c r="B227" s="12" t="s">
        <v>9</v>
      </c>
      <c r="C227" s="10" t="s">
        <v>369</v>
      </c>
      <c r="D227" s="152"/>
      <c r="E227" s="170"/>
      <c r="F227" s="95"/>
      <c r="G227" s="153" t="str">
        <f t="shared" si="19"/>
        <v/>
      </c>
      <c r="H227" s="10" t="s">
        <v>20</v>
      </c>
      <c r="I227" s="331">
        <v>0.04</v>
      </c>
      <c r="J227" s="50">
        <f t="shared" si="20"/>
        <v>0</v>
      </c>
    </row>
    <row r="228" spans="1:10" x14ac:dyDescent="0.35">
      <c r="A228" s="103"/>
      <c r="B228" s="12" t="s">
        <v>9</v>
      </c>
      <c r="C228" s="10" t="s">
        <v>370</v>
      </c>
      <c r="D228" s="152"/>
      <c r="E228" s="170"/>
      <c r="F228" s="95"/>
      <c r="G228" s="153" t="str">
        <f t="shared" si="19"/>
        <v/>
      </c>
      <c r="H228" s="10" t="s">
        <v>20</v>
      </c>
      <c r="I228" s="331">
        <v>7.0999999999999994E-2</v>
      </c>
      <c r="J228" s="50">
        <f t="shared" si="20"/>
        <v>0</v>
      </c>
    </row>
    <row r="229" spans="1:10" hidden="1" x14ac:dyDescent="0.35">
      <c r="A229" s="103"/>
      <c r="B229" s="12" t="s">
        <v>9</v>
      </c>
      <c r="C229" s="10" t="s">
        <v>411</v>
      </c>
      <c r="D229" s="152"/>
      <c r="E229" s="170"/>
      <c r="F229" s="95"/>
      <c r="G229" s="153"/>
      <c r="H229" s="10" t="s">
        <v>20</v>
      </c>
      <c r="I229" s="331">
        <v>1.97</v>
      </c>
      <c r="J229" s="50"/>
    </row>
    <row r="230" spans="1:10" hidden="1" x14ac:dyDescent="0.35">
      <c r="A230" s="103"/>
      <c r="B230" s="12" t="s">
        <v>9</v>
      </c>
      <c r="C230" s="10" t="s">
        <v>371</v>
      </c>
      <c r="D230" s="152"/>
      <c r="E230" s="170"/>
      <c r="F230" s="95"/>
      <c r="G230" s="153" t="str">
        <f t="shared" si="19"/>
        <v/>
      </c>
      <c r="H230" s="10" t="s">
        <v>61</v>
      </c>
      <c r="I230" s="331">
        <v>163.80000000000001</v>
      </c>
      <c r="J230" s="50">
        <f t="shared" si="20"/>
        <v>0</v>
      </c>
    </row>
    <row r="231" spans="1:10" hidden="1" x14ac:dyDescent="0.35">
      <c r="A231" s="103"/>
      <c r="B231" s="12" t="s">
        <v>9</v>
      </c>
      <c r="C231" s="10" t="s">
        <v>410</v>
      </c>
      <c r="D231" s="152"/>
      <c r="E231" s="170"/>
      <c r="F231" s="151"/>
      <c r="G231" s="153" t="str">
        <f t="shared" si="19"/>
        <v/>
      </c>
      <c r="H231" s="10" t="s">
        <v>61</v>
      </c>
      <c r="I231" s="331">
        <v>49.33</v>
      </c>
      <c r="J231" s="50">
        <f t="shared" si="20"/>
        <v>0</v>
      </c>
    </row>
    <row r="232" spans="1:10" hidden="1" x14ac:dyDescent="0.35">
      <c r="A232" s="103"/>
      <c r="B232" s="12" t="s">
        <v>9</v>
      </c>
      <c r="C232" s="10" t="s">
        <v>373</v>
      </c>
      <c r="D232" s="152"/>
      <c r="E232" s="170"/>
      <c r="F232" s="151"/>
      <c r="G232" s="153" t="str">
        <f t="shared" si="19"/>
        <v/>
      </c>
      <c r="H232" s="10" t="s">
        <v>61</v>
      </c>
      <c r="I232" s="331">
        <v>105.6</v>
      </c>
      <c r="J232" s="50">
        <f t="shared" si="20"/>
        <v>0</v>
      </c>
    </row>
    <row r="233" spans="1:10" hidden="1" x14ac:dyDescent="0.35">
      <c r="A233" s="103"/>
      <c r="B233" s="12" t="s">
        <v>9</v>
      </c>
      <c r="C233" s="10" t="s">
        <v>374</v>
      </c>
      <c r="D233" s="152"/>
      <c r="E233" s="170"/>
      <c r="F233" s="151"/>
      <c r="G233" s="153" t="str">
        <f t="shared" si="19"/>
        <v/>
      </c>
      <c r="H233" s="10" t="s">
        <v>61</v>
      </c>
      <c r="I233" s="331">
        <v>114.75</v>
      </c>
      <c r="J233" s="50">
        <f t="shared" si="20"/>
        <v>0</v>
      </c>
    </row>
    <row r="234" spans="1:10" hidden="1" x14ac:dyDescent="0.35">
      <c r="A234" s="103"/>
      <c r="B234" s="12" t="s">
        <v>9</v>
      </c>
      <c r="C234" s="10" t="s">
        <v>375</v>
      </c>
      <c r="D234" s="152"/>
      <c r="E234" s="170"/>
      <c r="F234" s="95"/>
      <c r="G234" s="153" t="str">
        <f t="shared" si="19"/>
        <v/>
      </c>
      <c r="H234" s="10" t="s">
        <v>61</v>
      </c>
      <c r="I234" s="331">
        <v>105.55</v>
      </c>
      <c r="J234" s="50">
        <f t="shared" si="20"/>
        <v>0</v>
      </c>
    </row>
    <row r="235" spans="1:10" x14ac:dyDescent="0.35">
      <c r="A235" s="103"/>
      <c r="B235" s="12" t="s">
        <v>9</v>
      </c>
      <c r="C235" s="10" t="s">
        <v>376</v>
      </c>
      <c r="D235" s="152">
        <v>1</v>
      </c>
      <c r="E235" s="170"/>
      <c r="F235" s="95"/>
      <c r="G235" s="153" t="str">
        <f t="shared" si="19"/>
        <v/>
      </c>
      <c r="H235" s="10" t="s">
        <v>61</v>
      </c>
      <c r="I235" s="331">
        <v>33.25</v>
      </c>
      <c r="J235" s="50">
        <f t="shared" si="20"/>
        <v>0</v>
      </c>
    </row>
    <row r="236" spans="1:10" hidden="1" x14ac:dyDescent="0.35">
      <c r="A236" s="103"/>
      <c r="B236" s="12" t="s">
        <v>9</v>
      </c>
      <c r="C236" s="10" t="s">
        <v>377</v>
      </c>
      <c r="D236" s="152"/>
      <c r="E236" s="170"/>
      <c r="F236" s="95"/>
      <c r="G236" s="153" t="str">
        <f t="shared" si="19"/>
        <v/>
      </c>
      <c r="H236" s="10" t="s">
        <v>20</v>
      </c>
      <c r="I236" s="331">
        <v>0.28999999999999998</v>
      </c>
      <c r="J236" s="50">
        <f t="shared" si="20"/>
        <v>0</v>
      </c>
    </row>
    <row r="237" spans="1:10" hidden="1" x14ac:dyDescent="0.35">
      <c r="A237" s="103"/>
      <c r="B237" s="12" t="s">
        <v>9</v>
      </c>
      <c r="C237" s="10" t="s">
        <v>378</v>
      </c>
      <c r="D237" s="152"/>
      <c r="E237" s="170"/>
      <c r="F237" s="95"/>
      <c r="G237" s="153" t="str">
        <f t="shared" si="19"/>
        <v/>
      </c>
      <c r="H237" s="10" t="s">
        <v>61</v>
      </c>
      <c r="I237" s="336">
        <v>37.85</v>
      </c>
      <c r="J237" s="50">
        <f t="shared" si="20"/>
        <v>0</v>
      </c>
    </row>
    <row r="238" spans="1:10" x14ac:dyDescent="0.35">
      <c r="A238" s="103"/>
      <c r="B238" s="12" t="s">
        <v>9</v>
      </c>
      <c r="C238" s="10" t="s">
        <v>425</v>
      </c>
      <c r="D238" s="152">
        <v>1</v>
      </c>
      <c r="E238" s="170"/>
      <c r="F238" s="95"/>
      <c r="G238" s="153" t="str">
        <f t="shared" si="19"/>
        <v/>
      </c>
      <c r="H238" s="10" t="s">
        <v>61</v>
      </c>
      <c r="I238" s="336">
        <v>111.47</v>
      </c>
      <c r="J238" s="50">
        <f t="shared" si="20"/>
        <v>0</v>
      </c>
    </row>
    <row r="239" spans="1:10" hidden="1" x14ac:dyDescent="0.35">
      <c r="A239" s="103"/>
      <c r="B239" s="12" t="s">
        <v>9</v>
      </c>
      <c r="C239" s="10" t="s">
        <v>379</v>
      </c>
      <c r="D239" s="152"/>
      <c r="E239" s="170"/>
      <c r="F239" s="95"/>
      <c r="G239" s="153" t="str">
        <f t="shared" si="19"/>
        <v/>
      </c>
      <c r="H239" s="10" t="s">
        <v>61</v>
      </c>
      <c r="I239" s="336">
        <v>174.97</v>
      </c>
      <c r="J239" s="50">
        <f t="shared" si="20"/>
        <v>0</v>
      </c>
    </row>
    <row r="240" spans="1:10" x14ac:dyDescent="0.35">
      <c r="A240" s="103"/>
      <c r="B240" s="12" t="s">
        <v>9</v>
      </c>
      <c r="C240" s="10" t="s">
        <v>380</v>
      </c>
      <c r="D240" s="152"/>
      <c r="E240" s="170"/>
      <c r="F240" s="95"/>
      <c r="G240" s="153" t="str">
        <f t="shared" si="19"/>
        <v/>
      </c>
      <c r="H240" s="10" t="s">
        <v>61</v>
      </c>
      <c r="I240" s="336">
        <v>44.93</v>
      </c>
      <c r="J240" s="50">
        <f t="shared" si="20"/>
        <v>0</v>
      </c>
    </row>
    <row r="241" spans="1:10" x14ac:dyDescent="0.35">
      <c r="A241" s="103"/>
      <c r="B241" s="12" t="s">
        <v>9</v>
      </c>
      <c r="C241" s="10" t="s">
        <v>426</v>
      </c>
      <c r="D241" s="152">
        <v>2</v>
      </c>
      <c r="E241" s="170"/>
      <c r="F241" s="95"/>
      <c r="G241" s="153" t="str">
        <f t="shared" si="19"/>
        <v/>
      </c>
      <c r="H241" s="10" t="s">
        <v>20</v>
      </c>
      <c r="I241" s="336">
        <v>29.2</v>
      </c>
      <c r="J241" s="50">
        <f t="shared" si="20"/>
        <v>0</v>
      </c>
    </row>
    <row r="242" spans="1:10" x14ac:dyDescent="0.35">
      <c r="A242" s="103"/>
      <c r="B242" s="12" t="s">
        <v>9</v>
      </c>
      <c r="C242" s="10" t="s">
        <v>427</v>
      </c>
      <c r="D242" s="152">
        <v>2</v>
      </c>
      <c r="E242" s="170"/>
      <c r="F242" s="95"/>
      <c r="G242" s="153" t="str">
        <f t="shared" si="19"/>
        <v/>
      </c>
      <c r="H242" s="10" t="s">
        <v>20</v>
      </c>
      <c r="I242" s="336">
        <v>19.03</v>
      </c>
      <c r="J242" s="50">
        <f t="shared" si="20"/>
        <v>0</v>
      </c>
    </row>
    <row r="243" spans="1:10" x14ac:dyDescent="0.35">
      <c r="A243" s="103"/>
      <c r="B243" s="12" t="s">
        <v>9</v>
      </c>
      <c r="C243" s="10" t="s">
        <v>428</v>
      </c>
      <c r="D243" s="152"/>
      <c r="E243" s="170"/>
      <c r="F243" s="95"/>
      <c r="G243" s="153" t="str">
        <f t="shared" si="19"/>
        <v/>
      </c>
      <c r="H243" s="10" t="s">
        <v>20</v>
      </c>
      <c r="I243" s="336">
        <v>8.4600000000000009</v>
      </c>
      <c r="J243" s="50">
        <f t="shared" si="20"/>
        <v>0</v>
      </c>
    </row>
    <row r="244" spans="1:10" hidden="1" x14ac:dyDescent="0.35">
      <c r="A244" s="103"/>
      <c r="B244" s="12" t="s">
        <v>9</v>
      </c>
      <c r="C244" s="10" t="s">
        <v>381</v>
      </c>
      <c r="D244" s="152"/>
      <c r="E244" s="170"/>
      <c r="F244" s="95"/>
      <c r="G244" s="153" t="str">
        <f t="shared" si="19"/>
        <v/>
      </c>
      <c r="H244" s="10" t="s">
        <v>20</v>
      </c>
      <c r="I244" s="336">
        <v>0.02</v>
      </c>
      <c r="J244" s="50">
        <f t="shared" si="20"/>
        <v>0</v>
      </c>
    </row>
    <row r="245" spans="1:10" ht="15.5" x14ac:dyDescent="0.35">
      <c r="A245" s="108" t="s">
        <v>382</v>
      </c>
      <c r="B245" s="108"/>
      <c r="C245" s="108"/>
      <c r="D245" s="223"/>
      <c r="E245" s="169"/>
      <c r="F245" s="109"/>
      <c r="G245" s="165" t="str">
        <f t="shared" si="19"/>
        <v/>
      </c>
      <c r="H245" s="108"/>
      <c r="I245" s="106" t="s">
        <v>18</v>
      </c>
      <c r="J245" s="107">
        <f>SUM(J246:J256)</f>
        <v>7</v>
      </c>
    </row>
    <row r="246" spans="1:10" x14ac:dyDescent="0.35">
      <c r="A246" s="103"/>
      <c r="B246" s="12" t="s">
        <v>31</v>
      </c>
      <c r="C246" s="10" t="s">
        <v>383</v>
      </c>
      <c r="D246" s="152"/>
      <c r="E246" s="170"/>
      <c r="F246" s="95"/>
      <c r="G246" s="153" t="str">
        <f t="shared" si="19"/>
        <v/>
      </c>
      <c r="H246" s="10" t="s">
        <v>20</v>
      </c>
      <c r="I246" s="331">
        <v>5.5</v>
      </c>
      <c r="J246" s="12">
        <f t="shared" ref="J246:J256" si="21">E246*I246</f>
        <v>0</v>
      </c>
    </row>
    <row r="247" spans="1:10" x14ac:dyDescent="0.35">
      <c r="A247" s="103"/>
      <c r="B247" s="12" t="s">
        <v>31</v>
      </c>
      <c r="C247" s="10" t="s">
        <v>39</v>
      </c>
      <c r="D247" s="152">
        <v>2</v>
      </c>
      <c r="E247" s="170"/>
      <c r="F247" s="95"/>
      <c r="G247" s="153" t="str">
        <f t="shared" si="19"/>
        <v/>
      </c>
      <c r="H247" s="10" t="s">
        <v>20</v>
      </c>
      <c r="I247" s="331">
        <v>4.55</v>
      </c>
      <c r="J247" s="12">
        <f t="shared" si="21"/>
        <v>0</v>
      </c>
    </row>
    <row r="248" spans="1:10" x14ac:dyDescent="0.35">
      <c r="A248" s="103"/>
      <c r="B248" s="12" t="s">
        <v>31</v>
      </c>
      <c r="C248" s="10" t="s">
        <v>422</v>
      </c>
      <c r="D248" s="152">
        <v>2</v>
      </c>
      <c r="E248" s="170"/>
      <c r="F248" s="95"/>
      <c r="G248" s="153" t="str">
        <f t="shared" si="19"/>
        <v/>
      </c>
      <c r="H248" s="10" t="s">
        <v>20</v>
      </c>
      <c r="I248" s="331">
        <v>3.7</v>
      </c>
      <c r="J248" s="12">
        <f t="shared" si="21"/>
        <v>0</v>
      </c>
    </row>
    <row r="249" spans="1:10" x14ac:dyDescent="0.35">
      <c r="A249" s="103"/>
      <c r="B249" s="12" t="s">
        <v>31</v>
      </c>
      <c r="C249" s="10" t="s">
        <v>67</v>
      </c>
      <c r="D249" s="152">
        <v>1</v>
      </c>
      <c r="E249" s="170"/>
      <c r="F249" s="95"/>
      <c r="G249" s="153" t="str">
        <f t="shared" si="19"/>
        <v/>
      </c>
      <c r="H249" s="10" t="s">
        <v>20</v>
      </c>
      <c r="I249" s="331">
        <v>15.56</v>
      </c>
      <c r="J249" s="12">
        <f t="shared" si="21"/>
        <v>0</v>
      </c>
    </row>
    <row r="250" spans="1:10" hidden="1" x14ac:dyDescent="0.35">
      <c r="A250" s="103"/>
      <c r="B250" s="12" t="s">
        <v>31</v>
      </c>
      <c r="C250" s="10" t="s">
        <v>384</v>
      </c>
      <c r="D250" s="152"/>
      <c r="E250" s="170"/>
      <c r="F250" s="95"/>
      <c r="G250" s="153" t="str">
        <f t="shared" si="19"/>
        <v/>
      </c>
      <c r="H250" s="10" t="s">
        <v>20</v>
      </c>
      <c r="I250" s="331">
        <v>0.8</v>
      </c>
      <c r="J250" s="12">
        <f t="shared" si="21"/>
        <v>0</v>
      </c>
    </row>
    <row r="251" spans="1:10" hidden="1" x14ac:dyDescent="0.35">
      <c r="A251" s="103"/>
      <c r="B251" s="12" t="s">
        <v>31</v>
      </c>
      <c r="C251" s="10" t="s">
        <v>385</v>
      </c>
      <c r="D251" s="152"/>
      <c r="E251" s="170"/>
      <c r="F251" s="95"/>
      <c r="G251" s="153" t="str">
        <f t="shared" si="19"/>
        <v/>
      </c>
      <c r="H251" s="10" t="s">
        <v>20</v>
      </c>
      <c r="I251" s="331">
        <v>1.83</v>
      </c>
      <c r="J251" s="12">
        <f t="shared" si="21"/>
        <v>0</v>
      </c>
    </row>
    <row r="252" spans="1:10" x14ac:dyDescent="0.35">
      <c r="A252" s="103"/>
      <c r="B252" s="12" t="s">
        <v>31</v>
      </c>
      <c r="C252" s="10" t="s">
        <v>386</v>
      </c>
      <c r="D252" s="152">
        <v>2</v>
      </c>
      <c r="E252" s="170"/>
      <c r="F252" s="95"/>
      <c r="G252" s="153" t="str">
        <f t="shared" si="19"/>
        <v/>
      </c>
      <c r="H252" s="10" t="s">
        <v>20</v>
      </c>
      <c r="I252" s="331">
        <v>2.65</v>
      </c>
      <c r="J252" s="12">
        <f t="shared" si="21"/>
        <v>0</v>
      </c>
    </row>
    <row r="253" spans="1:10" x14ac:dyDescent="0.35">
      <c r="A253" s="103"/>
      <c r="B253" s="12" t="s">
        <v>31</v>
      </c>
      <c r="C253" s="10" t="s">
        <v>65</v>
      </c>
      <c r="D253" s="152">
        <v>1</v>
      </c>
      <c r="E253" s="170"/>
      <c r="F253" s="95"/>
      <c r="G253" s="153" t="str">
        <f t="shared" si="19"/>
        <v/>
      </c>
      <c r="H253" s="10" t="s">
        <v>20</v>
      </c>
      <c r="I253" s="331">
        <v>13.43</v>
      </c>
      <c r="J253" s="12">
        <f t="shared" si="21"/>
        <v>0</v>
      </c>
    </row>
    <row r="254" spans="1:10" hidden="1" x14ac:dyDescent="0.35">
      <c r="A254" s="103"/>
      <c r="B254" s="12" t="s">
        <v>31</v>
      </c>
      <c r="C254" s="10" t="s">
        <v>66</v>
      </c>
      <c r="D254" s="152"/>
      <c r="E254" s="170"/>
      <c r="F254" s="95"/>
      <c r="G254" s="153" t="str">
        <f t="shared" si="19"/>
        <v/>
      </c>
      <c r="H254" s="10" t="s">
        <v>20</v>
      </c>
      <c r="I254" s="331">
        <v>75.38</v>
      </c>
      <c r="J254" s="12">
        <f t="shared" si="21"/>
        <v>0</v>
      </c>
    </row>
    <row r="255" spans="1:10" x14ac:dyDescent="0.35">
      <c r="A255" s="103"/>
      <c r="B255" s="12" t="s">
        <v>31</v>
      </c>
      <c r="C255" s="10" t="s">
        <v>412</v>
      </c>
      <c r="D255" s="152">
        <v>1</v>
      </c>
      <c r="E255" s="170"/>
      <c r="F255" s="95"/>
      <c r="G255" s="153" t="str">
        <f t="shared" si="19"/>
        <v/>
      </c>
      <c r="H255" s="10" t="s">
        <v>20</v>
      </c>
      <c r="I255" s="331">
        <v>8.43</v>
      </c>
      <c r="J255" s="12">
        <f t="shared" si="21"/>
        <v>0</v>
      </c>
    </row>
    <row r="256" spans="1:10" x14ac:dyDescent="0.35">
      <c r="A256" s="103"/>
      <c r="B256" s="12" t="s">
        <v>31</v>
      </c>
      <c r="C256" s="10" t="s">
        <v>69</v>
      </c>
      <c r="D256" s="152">
        <v>1</v>
      </c>
      <c r="E256" s="170">
        <v>2</v>
      </c>
      <c r="F256" s="95"/>
      <c r="G256" s="153" t="str">
        <f t="shared" si="19"/>
        <v/>
      </c>
      <c r="H256" s="10" t="s">
        <v>63</v>
      </c>
      <c r="I256" s="331">
        <v>3.5</v>
      </c>
      <c r="J256" s="12">
        <f t="shared" si="21"/>
        <v>7</v>
      </c>
    </row>
    <row r="257" spans="1:10" ht="15.5" x14ac:dyDescent="0.35">
      <c r="A257" s="108" t="s">
        <v>57</v>
      </c>
      <c r="B257" s="108"/>
      <c r="C257" s="108"/>
      <c r="D257" s="231"/>
      <c r="E257" s="169"/>
      <c r="F257" s="109"/>
      <c r="G257" s="165" t="str">
        <f t="shared" si="19"/>
        <v/>
      </c>
      <c r="H257" s="108"/>
      <c r="I257" s="106" t="s">
        <v>18</v>
      </c>
      <c r="J257" s="107">
        <f>SUM(J258:J259)</f>
        <v>0</v>
      </c>
    </row>
    <row r="258" spans="1:10" hidden="1" x14ac:dyDescent="0.35">
      <c r="A258" s="103"/>
      <c r="B258" s="12" t="s">
        <v>56</v>
      </c>
      <c r="C258" s="10" t="s">
        <v>58</v>
      </c>
      <c r="D258" s="94"/>
      <c r="E258" s="170"/>
      <c r="F258" s="94"/>
      <c r="G258" s="94" t="str">
        <f t="shared" ref="G258:G259" si="22">IF(D258-E258&gt;0,D258-E258,"")</f>
        <v/>
      </c>
      <c r="H258" s="10" t="s">
        <v>20</v>
      </c>
      <c r="I258" s="331">
        <v>54.05</v>
      </c>
      <c r="J258" s="12">
        <f>E258*I258</f>
        <v>0</v>
      </c>
    </row>
    <row r="259" spans="1:10" hidden="1" x14ac:dyDescent="0.35">
      <c r="A259" s="103"/>
      <c r="B259" s="12" t="s">
        <v>56</v>
      </c>
      <c r="C259" s="10" t="s">
        <v>388</v>
      </c>
      <c r="D259" s="94"/>
      <c r="E259" s="170"/>
      <c r="F259" s="94"/>
      <c r="G259" s="94" t="str">
        <f t="shared" si="22"/>
        <v/>
      </c>
      <c r="H259" s="10" t="s">
        <v>20</v>
      </c>
      <c r="I259" s="331">
        <v>0</v>
      </c>
      <c r="J259" s="12">
        <f>E259*I259</f>
        <v>0</v>
      </c>
    </row>
  </sheetData>
  <mergeCells count="2">
    <mergeCell ref="B1:C1"/>
    <mergeCell ref="B2:C2"/>
  </mergeCells>
  <pageMargins left="0.7" right="0.7" top="0.75" bottom="0.75" header="0.3" footer="0.3"/>
  <pageSetup paperSize="9" scale="73" fitToHeight="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5E676-A859-044D-861D-D2BABA2571CE}">
  <sheetPr codeName="Feuil27">
    <tabColor theme="8" tint="0.39997558519241921"/>
    <pageSetUpPr fitToPage="1"/>
  </sheetPr>
  <dimension ref="A1:N259"/>
  <sheetViews>
    <sheetView topLeftCell="A12" zoomScaleNormal="100" workbookViewId="0">
      <selection activeCell="J209" sqref="J209"/>
    </sheetView>
  </sheetViews>
  <sheetFormatPr baseColWidth="10" defaultColWidth="8.453125" defaultRowHeight="14.5" x14ac:dyDescent="0.35"/>
  <cols>
    <col min="1" max="1" width="2.54296875" customWidth="1"/>
    <col min="2" max="2" width="30.1796875" bestFit="1" customWidth="1"/>
    <col min="3" max="3" width="44.54296875" bestFit="1" customWidth="1"/>
    <col min="4" max="4" width="19.7265625" bestFit="1" customWidth="1"/>
    <col min="5" max="5" width="18.81640625" style="34" bestFit="1" customWidth="1"/>
    <col min="6" max="6" width="18.26953125" hidden="1" customWidth="1"/>
    <col min="7" max="7" width="14" bestFit="1" customWidth="1"/>
    <col min="8" max="8" width="6.81640625" bestFit="1" customWidth="1"/>
    <col min="9" max="9" width="8.453125" style="86" bestFit="1" customWidth="1"/>
    <col min="10" max="10" width="7.1796875" customWidth="1"/>
  </cols>
  <sheetData>
    <row r="1" spans="2:7" ht="15" thickBot="1" x14ac:dyDescent="0.4">
      <c r="B1" s="321" t="s">
        <v>198</v>
      </c>
      <c r="C1" s="322"/>
      <c r="F1" s="89"/>
      <c r="G1" s="89"/>
    </row>
    <row r="2" spans="2:7" ht="15" thickBot="1" x14ac:dyDescent="0.4">
      <c r="B2" s="319"/>
      <c r="C2" s="320"/>
      <c r="F2" s="90"/>
      <c r="G2" s="90"/>
    </row>
    <row r="3" spans="2:7" x14ac:dyDescent="0.35">
      <c r="B3" s="75"/>
      <c r="C3" s="75"/>
      <c r="F3" s="75"/>
      <c r="G3" s="75"/>
    </row>
    <row r="4" spans="2:7" ht="15.5" x14ac:dyDescent="0.35">
      <c r="B4" s="70" t="s">
        <v>0</v>
      </c>
      <c r="C4" s="70" t="s">
        <v>1</v>
      </c>
      <c r="F4" s="91"/>
      <c r="G4" s="91"/>
    </row>
    <row r="5" spans="2:7" x14ac:dyDescent="0.35">
      <c r="B5" s="71" t="s">
        <v>2</v>
      </c>
      <c r="C5" s="72">
        <f>J23</f>
        <v>508.35</v>
      </c>
      <c r="F5" s="92"/>
      <c r="G5" s="92"/>
    </row>
    <row r="6" spans="2:7" x14ac:dyDescent="0.35">
      <c r="B6" s="71" t="s">
        <v>7</v>
      </c>
      <c r="C6" s="72">
        <f>J4</f>
        <v>0</v>
      </c>
      <c r="F6" s="92"/>
      <c r="G6" s="92"/>
    </row>
    <row r="7" spans="2:7" x14ac:dyDescent="0.35">
      <c r="B7" s="71" t="s">
        <v>13</v>
      </c>
      <c r="C7" s="72">
        <f>J50</f>
        <v>70.100000000000009</v>
      </c>
      <c r="F7" s="92"/>
      <c r="G7" s="92"/>
    </row>
    <row r="8" spans="2:7" x14ac:dyDescent="0.35">
      <c r="B8" s="71" t="s">
        <v>3</v>
      </c>
      <c r="C8" s="72">
        <f>J78</f>
        <v>0</v>
      </c>
      <c r="F8" s="92"/>
      <c r="G8" s="92"/>
    </row>
    <row r="9" spans="2:7" x14ac:dyDescent="0.35">
      <c r="B9" s="71" t="s">
        <v>4</v>
      </c>
      <c r="C9" s="72">
        <f>J122</f>
        <v>276.52999999999997</v>
      </c>
      <c r="F9" s="92"/>
      <c r="G9" s="92"/>
    </row>
    <row r="10" spans="2:7" x14ac:dyDescent="0.35">
      <c r="B10" s="71" t="s">
        <v>199</v>
      </c>
      <c r="C10" s="72">
        <f>J176</f>
        <v>0</v>
      </c>
      <c r="F10" s="92"/>
      <c r="G10" s="92"/>
    </row>
    <row r="11" spans="2:7" x14ac:dyDescent="0.35">
      <c r="B11" s="71" t="s">
        <v>200</v>
      </c>
      <c r="C11" s="72">
        <f>J187</f>
        <v>0</v>
      </c>
      <c r="F11" s="92"/>
      <c r="G11" s="92"/>
    </row>
    <row r="12" spans="2:7" x14ac:dyDescent="0.35">
      <c r="B12" s="71" t="s">
        <v>201</v>
      </c>
      <c r="C12" s="72">
        <f>J193</f>
        <v>0</v>
      </c>
      <c r="F12" s="92"/>
      <c r="G12" s="92"/>
    </row>
    <row r="13" spans="2:7" x14ac:dyDescent="0.35">
      <c r="B13" s="71" t="s">
        <v>202</v>
      </c>
      <c r="C13" s="72">
        <f>J195</f>
        <v>0</v>
      </c>
      <c r="F13" s="92"/>
      <c r="G13" s="92"/>
    </row>
    <row r="14" spans="2:7" x14ac:dyDescent="0.35">
      <c r="B14" s="71" t="s">
        <v>203</v>
      </c>
      <c r="C14" s="72">
        <f>J208</f>
        <v>0</v>
      </c>
      <c r="F14" s="92"/>
      <c r="G14" s="92"/>
    </row>
    <row r="15" spans="2:7" x14ac:dyDescent="0.35">
      <c r="B15" s="71" t="s">
        <v>12</v>
      </c>
      <c r="C15" s="72">
        <f>J214</f>
        <v>0</v>
      </c>
      <c r="F15" s="92"/>
      <c r="G15" s="92"/>
    </row>
    <row r="16" spans="2:7" x14ac:dyDescent="0.35">
      <c r="B16" s="71" t="s">
        <v>204</v>
      </c>
      <c r="C16" s="72">
        <f>J222</f>
        <v>0</v>
      </c>
      <c r="F16" s="92"/>
      <c r="G16" s="92"/>
    </row>
    <row r="17" spans="1:11" x14ac:dyDescent="0.35">
      <c r="B17" s="71" t="s">
        <v>9</v>
      </c>
      <c r="C17" s="72">
        <f>J224</f>
        <v>0</v>
      </c>
      <c r="F17" s="92"/>
      <c r="G17" s="92"/>
    </row>
    <row r="18" spans="1:11" x14ac:dyDescent="0.35">
      <c r="B18" s="71" t="s">
        <v>205</v>
      </c>
      <c r="C18" s="72">
        <f>J245</f>
        <v>0</v>
      </c>
      <c r="F18" s="92"/>
      <c r="G18" s="92"/>
    </row>
    <row r="19" spans="1:11" x14ac:dyDescent="0.35">
      <c r="B19" s="71" t="s">
        <v>56</v>
      </c>
      <c r="C19" s="72">
        <f>J257</f>
        <v>0</v>
      </c>
      <c r="F19" s="92"/>
      <c r="G19" s="92"/>
    </row>
    <row r="20" spans="1:11" x14ac:dyDescent="0.35">
      <c r="B20" s="73" t="s">
        <v>14</v>
      </c>
      <c r="C20" s="74">
        <f>C5+C6+C7+C8+C9+C10+C11+C12+C13+C14+C15+C16+C17+C18+C19</f>
        <v>854.98</v>
      </c>
      <c r="F20" s="93"/>
      <c r="G20" s="93"/>
    </row>
    <row r="21" spans="1:11" ht="18.75" customHeight="1" x14ac:dyDescent="0.45">
      <c r="A21" s="76" t="s">
        <v>207</v>
      </c>
      <c r="B21" s="76"/>
      <c r="C21" s="76"/>
      <c r="D21" s="76"/>
      <c r="E21" s="167"/>
      <c r="F21" s="76"/>
      <c r="G21" s="76"/>
      <c r="H21" s="76"/>
      <c r="I21" s="262"/>
      <c r="J21" s="76"/>
    </row>
    <row r="22" spans="1:11" ht="14.25" customHeight="1" x14ac:dyDescent="0.35">
      <c r="A22" s="129"/>
      <c r="B22" s="129" t="s">
        <v>15</v>
      </c>
      <c r="C22" s="129" t="s">
        <v>16</v>
      </c>
      <c r="D22" s="130" t="s">
        <v>398</v>
      </c>
      <c r="E22" s="168" t="s">
        <v>401</v>
      </c>
      <c r="F22" s="130" t="s">
        <v>399</v>
      </c>
      <c r="G22" s="164" t="s">
        <v>400</v>
      </c>
      <c r="H22" s="132" t="s">
        <v>406</v>
      </c>
      <c r="I22" s="341" t="s">
        <v>45</v>
      </c>
      <c r="J22" s="132" t="s">
        <v>402</v>
      </c>
    </row>
    <row r="23" spans="1:11" s="6" customFormat="1" ht="15.5" x14ac:dyDescent="0.35">
      <c r="A23" s="108" t="s">
        <v>208</v>
      </c>
      <c r="B23" s="108"/>
      <c r="C23" s="108"/>
      <c r="D23" s="108"/>
      <c r="E23" s="169" t="s">
        <v>421</v>
      </c>
      <c r="F23" s="108"/>
      <c r="G23" s="108"/>
      <c r="H23" s="108"/>
      <c r="I23" s="110" t="s">
        <v>18</v>
      </c>
      <c r="J23" s="107">
        <f>SUM(J24:J40)</f>
        <v>508.35</v>
      </c>
    </row>
    <row r="24" spans="1:11" x14ac:dyDescent="0.35">
      <c r="A24" s="103"/>
      <c r="B24" s="7" t="s">
        <v>2</v>
      </c>
      <c r="C24" s="14" t="s">
        <v>19</v>
      </c>
      <c r="D24" s="152">
        <v>2</v>
      </c>
      <c r="E24" s="170">
        <v>1</v>
      </c>
      <c r="F24" s="95"/>
      <c r="G24" s="153">
        <f>IF(E24="","",IF(D24-E24&gt;0,D24-E24,""))</f>
        <v>1</v>
      </c>
      <c r="H24" s="10" t="s">
        <v>20</v>
      </c>
      <c r="I24" s="331">
        <v>55.95</v>
      </c>
      <c r="J24" s="12">
        <f t="shared" ref="J24:J40" si="0">E24*I24</f>
        <v>55.95</v>
      </c>
      <c r="K24" s="13"/>
    </row>
    <row r="25" spans="1:11" hidden="1" x14ac:dyDescent="0.35">
      <c r="A25" s="103"/>
      <c r="B25" s="7" t="s">
        <v>2</v>
      </c>
      <c r="C25" s="14" t="s">
        <v>209</v>
      </c>
      <c r="D25" s="152"/>
      <c r="E25" s="170"/>
      <c r="F25" s="95"/>
      <c r="G25" s="153" t="str">
        <f t="shared" ref="G25:G88" si="1">IF(E25="","",IF(D25-E25&gt;0,D25-E25,""))</f>
        <v/>
      </c>
      <c r="H25" s="10" t="s">
        <v>20</v>
      </c>
      <c r="I25" s="331">
        <v>173.1</v>
      </c>
      <c r="J25" s="12">
        <f t="shared" si="0"/>
        <v>0</v>
      </c>
      <c r="K25" s="13"/>
    </row>
    <row r="26" spans="1:11" x14ac:dyDescent="0.35">
      <c r="A26" s="103"/>
      <c r="B26" s="12" t="s">
        <v>2</v>
      </c>
      <c r="C26" s="10" t="s">
        <v>21</v>
      </c>
      <c r="D26" s="152">
        <v>15</v>
      </c>
      <c r="E26" s="170">
        <v>6</v>
      </c>
      <c r="F26" s="95"/>
      <c r="G26" s="153">
        <f t="shared" si="1"/>
        <v>9</v>
      </c>
      <c r="H26" s="10" t="s">
        <v>20</v>
      </c>
      <c r="I26" s="331">
        <v>75.400000000000006</v>
      </c>
      <c r="J26" s="12">
        <f t="shared" si="0"/>
        <v>452.40000000000003</v>
      </c>
      <c r="K26" s="13"/>
    </row>
    <row r="27" spans="1:11" ht="14.5" customHeight="1" x14ac:dyDescent="0.35">
      <c r="A27" s="103"/>
      <c r="B27" s="12" t="s">
        <v>2</v>
      </c>
      <c r="C27" s="10" t="s">
        <v>210</v>
      </c>
      <c r="D27" s="152">
        <v>15</v>
      </c>
      <c r="E27" s="170"/>
      <c r="F27" s="95"/>
      <c r="G27" s="153" t="str">
        <f t="shared" si="1"/>
        <v/>
      </c>
      <c r="H27" s="10" t="s">
        <v>20</v>
      </c>
      <c r="I27" s="331">
        <v>84.9</v>
      </c>
      <c r="J27" s="12">
        <f t="shared" si="0"/>
        <v>0</v>
      </c>
      <c r="K27" s="13"/>
    </row>
    <row r="28" spans="1:11" ht="14.5" hidden="1" customHeight="1" x14ac:dyDescent="0.35">
      <c r="A28" s="103"/>
      <c r="B28" s="12" t="s">
        <v>2</v>
      </c>
      <c r="C28" s="10" t="s">
        <v>211</v>
      </c>
      <c r="D28" s="152"/>
      <c r="E28" s="170"/>
      <c r="F28" s="95"/>
      <c r="G28" s="153" t="str">
        <f t="shared" si="1"/>
        <v/>
      </c>
      <c r="H28" s="10" t="s">
        <v>20</v>
      </c>
      <c r="I28" s="331">
        <v>2.96</v>
      </c>
      <c r="J28" s="12">
        <f t="shared" si="0"/>
        <v>0</v>
      </c>
      <c r="K28" s="13"/>
    </row>
    <row r="29" spans="1:11" ht="14.5" hidden="1" customHeight="1" x14ac:dyDescent="0.35">
      <c r="A29" s="103"/>
      <c r="B29" s="12" t="s">
        <v>2</v>
      </c>
      <c r="C29" s="10" t="s">
        <v>212</v>
      </c>
      <c r="D29" s="152"/>
      <c r="E29" s="170"/>
      <c r="F29" s="95"/>
      <c r="G29" s="153" t="str">
        <f t="shared" si="1"/>
        <v/>
      </c>
      <c r="H29" s="10" t="s">
        <v>20</v>
      </c>
      <c r="I29" s="331">
        <v>2.96</v>
      </c>
      <c r="J29" s="12">
        <f t="shared" si="0"/>
        <v>0</v>
      </c>
      <c r="K29" s="13"/>
    </row>
    <row r="30" spans="1:11" hidden="1" x14ac:dyDescent="0.35">
      <c r="A30" s="103"/>
      <c r="B30" s="12" t="s">
        <v>2</v>
      </c>
      <c r="C30" s="10" t="s">
        <v>213</v>
      </c>
      <c r="D30" s="152"/>
      <c r="E30" s="170"/>
      <c r="F30" s="95"/>
      <c r="G30" s="153" t="str">
        <f t="shared" si="1"/>
        <v/>
      </c>
      <c r="H30" s="10" t="s">
        <v>20</v>
      </c>
      <c r="I30" s="331">
        <v>2.96</v>
      </c>
      <c r="J30" s="12">
        <f t="shared" si="0"/>
        <v>0</v>
      </c>
      <c r="K30" s="13"/>
    </row>
    <row r="31" spans="1:11" hidden="1" x14ac:dyDescent="0.35">
      <c r="A31" s="103"/>
      <c r="B31" s="7" t="s">
        <v>2</v>
      </c>
      <c r="C31" s="14" t="s">
        <v>22</v>
      </c>
      <c r="D31" s="152"/>
      <c r="E31" s="170"/>
      <c r="F31" s="95"/>
      <c r="G31" s="153" t="str">
        <f t="shared" si="1"/>
        <v/>
      </c>
      <c r="H31" s="10" t="s">
        <v>20</v>
      </c>
      <c r="I31" s="331">
        <v>107.2</v>
      </c>
      <c r="J31" s="12">
        <f t="shared" si="0"/>
        <v>0</v>
      </c>
      <c r="K31" s="13"/>
    </row>
    <row r="32" spans="1:11" ht="14.5" hidden="1" customHeight="1" x14ac:dyDescent="0.35">
      <c r="A32" s="103"/>
      <c r="B32" s="7" t="s">
        <v>2</v>
      </c>
      <c r="C32" s="14" t="s">
        <v>214</v>
      </c>
      <c r="D32" s="152"/>
      <c r="E32" s="170"/>
      <c r="F32" s="95"/>
      <c r="G32" s="153" t="str">
        <f t="shared" si="1"/>
        <v/>
      </c>
      <c r="H32" s="10" t="s">
        <v>20</v>
      </c>
      <c r="I32" s="331">
        <v>170.7</v>
      </c>
      <c r="J32" s="12">
        <f t="shared" si="0"/>
        <v>0</v>
      </c>
      <c r="K32" s="13"/>
    </row>
    <row r="33" spans="1:11" ht="14.5" hidden="1" customHeight="1" x14ac:dyDescent="0.35">
      <c r="A33" s="103"/>
      <c r="B33" s="12" t="s">
        <v>2</v>
      </c>
      <c r="C33" s="10" t="s">
        <v>215</v>
      </c>
      <c r="D33" s="152"/>
      <c r="E33" s="170"/>
      <c r="F33" s="95"/>
      <c r="G33" s="153" t="str">
        <f t="shared" si="1"/>
        <v/>
      </c>
      <c r="H33" s="10" t="s">
        <v>216</v>
      </c>
      <c r="I33" s="331">
        <v>3.77</v>
      </c>
      <c r="J33" s="12">
        <f t="shared" si="0"/>
        <v>0</v>
      </c>
      <c r="K33" s="13"/>
    </row>
    <row r="34" spans="1:11" s="6" customFormat="1" ht="15.65" hidden="1" customHeight="1" x14ac:dyDescent="0.35">
      <c r="A34" s="103"/>
      <c r="B34" s="12" t="s">
        <v>2</v>
      </c>
      <c r="C34" s="10" t="s">
        <v>217</v>
      </c>
      <c r="D34" s="152"/>
      <c r="E34" s="170"/>
      <c r="F34" s="95"/>
      <c r="G34" s="153" t="str">
        <f t="shared" si="1"/>
        <v/>
      </c>
      <c r="H34" s="10" t="s">
        <v>20</v>
      </c>
      <c r="I34" s="331">
        <v>2.56</v>
      </c>
      <c r="J34" s="12">
        <f t="shared" si="0"/>
        <v>0</v>
      </c>
    </row>
    <row r="35" spans="1:11" ht="14.5" hidden="1" customHeight="1" x14ac:dyDescent="0.35">
      <c r="A35" s="103"/>
      <c r="B35" s="12" t="s">
        <v>2</v>
      </c>
      <c r="C35" s="10" t="s">
        <v>218</v>
      </c>
      <c r="D35" s="152"/>
      <c r="E35" s="170"/>
      <c r="F35" s="95"/>
      <c r="G35" s="153" t="str">
        <f t="shared" si="1"/>
        <v/>
      </c>
      <c r="H35" s="10" t="s">
        <v>20</v>
      </c>
      <c r="I35" s="331">
        <v>3.08</v>
      </c>
      <c r="J35" s="12">
        <f t="shared" si="0"/>
        <v>0</v>
      </c>
      <c r="K35" s="13"/>
    </row>
    <row r="36" spans="1:11" ht="14.5" hidden="1" customHeight="1" x14ac:dyDescent="0.35">
      <c r="A36" s="103"/>
      <c r="B36" s="12" t="s">
        <v>2</v>
      </c>
      <c r="C36" s="10" t="s">
        <v>219</v>
      </c>
      <c r="D36" s="152"/>
      <c r="E36" s="170"/>
      <c r="F36" s="95"/>
      <c r="G36" s="153" t="str">
        <f t="shared" si="1"/>
        <v/>
      </c>
      <c r="H36" s="10" t="s">
        <v>20</v>
      </c>
      <c r="I36" s="331">
        <v>2.56</v>
      </c>
      <c r="J36" s="12">
        <f t="shared" si="0"/>
        <v>0</v>
      </c>
      <c r="K36" s="13"/>
    </row>
    <row r="37" spans="1:11" hidden="1" x14ac:dyDescent="0.35">
      <c r="A37" s="103"/>
      <c r="B37" s="12" t="s">
        <v>2</v>
      </c>
      <c r="C37" s="10" t="s">
        <v>220</v>
      </c>
      <c r="D37" s="152"/>
      <c r="E37" s="170"/>
      <c r="F37" s="95"/>
      <c r="G37" s="153" t="str">
        <f t="shared" si="1"/>
        <v/>
      </c>
      <c r="H37" s="10" t="s">
        <v>20</v>
      </c>
      <c r="I37" s="331">
        <v>1.41</v>
      </c>
      <c r="J37" s="12">
        <f t="shared" si="0"/>
        <v>0</v>
      </c>
      <c r="K37" s="13"/>
    </row>
    <row r="38" spans="1:11" hidden="1" x14ac:dyDescent="0.35">
      <c r="A38" s="103"/>
      <c r="B38" s="12" t="s">
        <v>2</v>
      </c>
      <c r="C38" s="10" t="s">
        <v>221</v>
      </c>
      <c r="D38" s="152"/>
      <c r="E38" s="170"/>
      <c r="F38" s="95"/>
      <c r="G38" s="153" t="str">
        <f t="shared" si="1"/>
        <v/>
      </c>
      <c r="H38" s="10" t="s">
        <v>20</v>
      </c>
      <c r="I38" s="331">
        <v>1.73</v>
      </c>
      <c r="J38" s="12">
        <f t="shared" si="0"/>
        <v>0</v>
      </c>
      <c r="K38" s="13"/>
    </row>
    <row r="39" spans="1:11" hidden="1" x14ac:dyDescent="0.35">
      <c r="A39" s="103"/>
      <c r="B39" s="12" t="s">
        <v>2</v>
      </c>
      <c r="C39" s="10" t="s">
        <v>222</v>
      </c>
      <c r="D39" s="152"/>
      <c r="E39" s="170"/>
      <c r="F39" s="95"/>
      <c r="G39" s="153" t="str">
        <f t="shared" si="1"/>
        <v/>
      </c>
      <c r="H39" s="10" t="s">
        <v>20</v>
      </c>
      <c r="I39" s="331">
        <v>1.46</v>
      </c>
      <c r="J39" s="12">
        <f t="shared" si="0"/>
        <v>0</v>
      </c>
      <c r="K39" s="13"/>
    </row>
    <row r="40" spans="1:11" ht="14.5" hidden="1" customHeight="1" x14ac:dyDescent="0.35">
      <c r="A40" s="103"/>
      <c r="B40" s="12" t="s">
        <v>2</v>
      </c>
      <c r="C40" s="10" t="s">
        <v>223</v>
      </c>
      <c r="D40" s="222"/>
      <c r="E40" s="170"/>
      <c r="F40" s="141"/>
      <c r="G40" s="153" t="str">
        <f t="shared" si="1"/>
        <v/>
      </c>
      <c r="H40" s="10" t="s">
        <v>20</v>
      </c>
      <c r="I40" s="332">
        <v>3.45</v>
      </c>
      <c r="J40" s="12">
        <f t="shared" si="0"/>
        <v>0</v>
      </c>
      <c r="K40" s="13"/>
    </row>
    <row r="41" spans="1:11" s="6" customFormat="1" ht="15.65" customHeight="1" x14ac:dyDescent="0.35">
      <c r="A41" s="108" t="s">
        <v>119</v>
      </c>
      <c r="B41" s="108"/>
      <c r="C41" s="108"/>
      <c r="D41" s="223"/>
      <c r="E41" s="169"/>
      <c r="F41" s="109"/>
      <c r="G41" s="165" t="str">
        <f t="shared" si="1"/>
        <v/>
      </c>
      <c r="H41" s="108"/>
      <c r="I41" s="106" t="s">
        <v>18</v>
      </c>
      <c r="J41" s="107">
        <f>SUM(J42:J49)</f>
        <v>450</v>
      </c>
    </row>
    <row r="42" spans="1:11" ht="14.5" customHeight="1" x14ac:dyDescent="0.35">
      <c r="A42" s="103"/>
      <c r="B42" s="12" t="s">
        <v>7</v>
      </c>
      <c r="C42" s="10" t="s">
        <v>224</v>
      </c>
      <c r="D42" s="152"/>
      <c r="E42" s="166">
        <f>E24</f>
        <v>1</v>
      </c>
      <c r="F42" s="95"/>
      <c r="G42" s="153" t="str">
        <f t="shared" si="1"/>
        <v/>
      </c>
      <c r="H42" s="10" t="s">
        <v>20</v>
      </c>
      <c r="I42" s="331">
        <v>100</v>
      </c>
      <c r="J42" s="12">
        <f t="shared" ref="J42:J49" si="2">E42*I42</f>
        <v>100</v>
      </c>
      <c r="K42" s="13"/>
    </row>
    <row r="43" spans="1:11" hidden="1" x14ac:dyDescent="0.35">
      <c r="A43" s="103"/>
      <c r="B43" s="12" t="s">
        <v>7</v>
      </c>
      <c r="C43" s="10" t="s">
        <v>225</v>
      </c>
      <c r="D43" s="152"/>
      <c r="E43" s="170"/>
      <c r="F43" s="95"/>
      <c r="G43" s="153" t="str">
        <f t="shared" si="1"/>
        <v/>
      </c>
      <c r="H43" s="10" t="s">
        <v>20</v>
      </c>
      <c r="I43" s="331">
        <v>12.2</v>
      </c>
      <c r="J43" s="12">
        <f t="shared" si="2"/>
        <v>0</v>
      </c>
      <c r="K43" s="13"/>
    </row>
    <row r="44" spans="1:11" ht="14.5" hidden="1" customHeight="1" x14ac:dyDescent="0.35">
      <c r="A44" s="103"/>
      <c r="B44" s="12" t="s">
        <v>7</v>
      </c>
      <c r="C44" s="10" t="s">
        <v>226</v>
      </c>
      <c r="D44" s="152"/>
      <c r="E44" s="170"/>
      <c r="F44" s="95"/>
      <c r="G44" s="153" t="str">
        <f t="shared" si="1"/>
        <v/>
      </c>
      <c r="H44" s="10" t="s">
        <v>20</v>
      </c>
      <c r="I44" s="331">
        <v>11</v>
      </c>
      <c r="J44" s="12">
        <f t="shared" si="2"/>
        <v>0</v>
      </c>
      <c r="K44" s="88"/>
    </row>
    <row r="45" spans="1:11" hidden="1" x14ac:dyDescent="0.35">
      <c r="A45" s="103"/>
      <c r="B45" s="12" t="s">
        <v>7</v>
      </c>
      <c r="C45" s="10" t="s">
        <v>227</v>
      </c>
      <c r="D45" s="152"/>
      <c r="E45" s="170"/>
      <c r="F45" s="95"/>
      <c r="G45" s="153" t="str">
        <f t="shared" si="1"/>
        <v/>
      </c>
      <c r="H45" s="10" t="s">
        <v>20</v>
      </c>
      <c r="I45" s="331">
        <v>5</v>
      </c>
      <c r="J45" s="12">
        <f t="shared" si="2"/>
        <v>0</v>
      </c>
      <c r="K45" s="13" t="s">
        <v>47</v>
      </c>
    </row>
    <row r="46" spans="1:11" x14ac:dyDescent="0.35">
      <c r="A46" s="103"/>
      <c r="B46" s="12" t="s">
        <v>7</v>
      </c>
      <c r="C46" s="10" t="s">
        <v>46</v>
      </c>
      <c r="D46" s="152"/>
      <c r="E46" s="170">
        <v>10</v>
      </c>
      <c r="F46" s="95"/>
      <c r="G46" s="153" t="str">
        <f>IF(E46="","",IF(D46-E46&gt;0,D46-E46,""))</f>
        <v/>
      </c>
      <c r="H46" s="10" t="s">
        <v>20</v>
      </c>
      <c r="I46" s="331">
        <v>5</v>
      </c>
      <c r="J46" s="12">
        <f t="shared" si="2"/>
        <v>50</v>
      </c>
      <c r="K46" s="13"/>
    </row>
    <row r="47" spans="1:11" ht="14.5" hidden="1" customHeight="1" x14ac:dyDescent="0.35">
      <c r="A47" s="103"/>
      <c r="B47" s="12" t="s">
        <v>7</v>
      </c>
      <c r="C47" s="10" t="s">
        <v>228</v>
      </c>
      <c r="D47" s="152"/>
      <c r="E47" s="170"/>
      <c r="F47" s="95"/>
      <c r="G47" s="153" t="str">
        <f t="shared" si="1"/>
        <v/>
      </c>
      <c r="H47" s="10" t="s">
        <v>20</v>
      </c>
      <c r="I47" s="331">
        <v>11</v>
      </c>
      <c r="J47" s="12">
        <f t="shared" si="2"/>
        <v>0</v>
      </c>
      <c r="K47" s="13"/>
    </row>
    <row r="48" spans="1:11" ht="16.399999999999999" customHeight="1" x14ac:dyDescent="0.35">
      <c r="A48" s="103"/>
      <c r="B48" s="12" t="s">
        <v>7</v>
      </c>
      <c r="C48" s="10" t="s">
        <v>229</v>
      </c>
      <c r="D48" s="152"/>
      <c r="E48" s="166">
        <f>E26+E27</f>
        <v>6</v>
      </c>
      <c r="F48" s="95"/>
      <c r="G48" s="153" t="str">
        <f t="shared" si="1"/>
        <v/>
      </c>
      <c r="H48" s="10" t="s">
        <v>20</v>
      </c>
      <c r="I48" s="331">
        <v>50</v>
      </c>
      <c r="J48" s="12">
        <f t="shared" si="2"/>
        <v>300</v>
      </c>
      <c r="K48" s="13"/>
    </row>
    <row r="49" spans="1:11" hidden="1" x14ac:dyDescent="0.35">
      <c r="A49" s="103"/>
      <c r="B49" s="12" t="s">
        <v>7</v>
      </c>
      <c r="C49" s="78" t="s">
        <v>206</v>
      </c>
      <c r="D49" s="224"/>
      <c r="E49" s="170"/>
      <c r="F49" s="142"/>
      <c r="G49" s="153" t="str">
        <f t="shared" si="1"/>
        <v/>
      </c>
      <c r="H49" s="10" t="s">
        <v>20</v>
      </c>
      <c r="I49" s="333">
        <v>5</v>
      </c>
      <c r="J49" s="12">
        <f t="shared" si="2"/>
        <v>0</v>
      </c>
      <c r="K49" s="13"/>
    </row>
    <row r="50" spans="1:11" ht="14.5" customHeight="1" x14ac:dyDescent="0.35">
      <c r="A50" s="103"/>
      <c r="B50" s="104" t="s">
        <v>230</v>
      </c>
      <c r="C50" s="105"/>
      <c r="D50" s="225"/>
      <c r="E50" s="171"/>
      <c r="F50" s="143"/>
      <c r="G50" s="165" t="str">
        <f t="shared" si="1"/>
        <v/>
      </c>
      <c r="H50" s="105"/>
      <c r="I50" s="106" t="s">
        <v>18</v>
      </c>
      <c r="J50" s="107">
        <f>SUM(J52:J77)</f>
        <v>70.100000000000009</v>
      </c>
      <c r="K50" s="13"/>
    </row>
    <row r="51" spans="1:11" ht="14.5" customHeight="1" x14ac:dyDescent="0.35">
      <c r="A51" s="111"/>
      <c r="B51" s="126" t="s">
        <v>231</v>
      </c>
      <c r="C51" s="127"/>
      <c r="D51" s="226"/>
      <c r="E51" s="172"/>
      <c r="F51" s="144"/>
      <c r="G51" s="165" t="str">
        <f t="shared" si="1"/>
        <v/>
      </c>
      <c r="H51" s="127"/>
      <c r="I51" s="239"/>
      <c r="J51" s="128"/>
      <c r="K51" s="13"/>
    </row>
    <row r="52" spans="1:11" ht="14.5" hidden="1" customHeight="1" x14ac:dyDescent="0.35">
      <c r="A52" s="103"/>
      <c r="B52" s="12" t="s">
        <v>13</v>
      </c>
      <c r="C52" s="10" t="s">
        <v>78</v>
      </c>
      <c r="D52" s="152"/>
      <c r="E52" s="170"/>
      <c r="F52" s="95"/>
      <c r="G52" s="153" t="str">
        <f t="shared" si="1"/>
        <v/>
      </c>
      <c r="H52" s="10" t="s">
        <v>20</v>
      </c>
      <c r="I52" s="331">
        <v>13</v>
      </c>
      <c r="J52" s="12">
        <f t="shared" ref="J52:J58" si="3">E52*I52</f>
        <v>0</v>
      </c>
      <c r="K52" s="13"/>
    </row>
    <row r="53" spans="1:11" ht="15.75" hidden="1" customHeight="1" x14ac:dyDescent="0.35">
      <c r="A53" s="103"/>
      <c r="B53" s="12" t="s">
        <v>13</v>
      </c>
      <c r="C53" s="10" t="s">
        <v>232</v>
      </c>
      <c r="D53" s="152"/>
      <c r="E53" s="170"/>
      <c r="F53" s="95"/>
      <c r="G53" s="153" t="str">
        <f t="shared" si="1"/>
        <v/>
      </c>
      <c r="H53" s="10" t="s">
        <v>20</v>
      </c>
      <c r="I53" s="331">
        <v>13</v>
      </c>
      <c r="J53" s="12">
        <f t="shared" si="3"/>
        <v>0</v>
      </c>
      <c r="K53" s="134"/>
    </row>
    <row r="54" spans="1:11" hidden="1" x14ac:dyDescent="0.35">
      <c r="A54" s="103"/>
      <c r="B54" s="12" t="s">
        <v>13</v>
      </c>
      <c r="C54" s="10" t="s">
        <v>233</v>
      </c>
      <c r="D54" s="152"/>
      <c r="E54" s="170"/>
      <c r="F54" s="95"/>
      <c r="G54" s="153" t="str">
        <f t="shared" si="1"/>
        <v/>
      </c>
      <c r="H54" s="10" t="s">
        <v>20</v>
      </c>
      <c r="I54" s="331">
        <v>8.9</v>
      </c>
      <c r="J54" s="12">
        <f t="shared" si="3"/>
        <v>0</v>
      </c>
      <c r="K54" s="13"/>
    </row>
    <row r="55" spans="1:11" x14ac:dyDescent="0.35">
      <c r="A55" s="103"/>
      <c r="B55" s="12" t="s">
        <v>13</v>
      </c>
      <c r="C55" s="10" t="s">
        <v>32</v>
      </c>
      <c r="D55" s="152">
        <v>6</v>
      </c>
      <c r="E55" s="170">
        <v>2</v>
      </c>
      <c r="F55" s="95"/>
      <c r="G55" s="153">
        <f t="shared" si="1"/>
        <v>4</v>
      </c>
      <c r="H55" s="10" t="s">
        <v>20</v>
      </c>
      <c r="I55" s="331">
        <v>8.35</v>
      </c>
      <c r="J55" s="12">
        <f t="shared" si="3"/>
        <v>16.7</v>
      </c>
      <c r="K55" s="13"/>
    </row>
    <row r="56" spans="1:11" s="6" customFormat="1" ht="15.65" customHeight="1" x14ac:dyDescent="0.35">
      <c r="A56" s="103"/>
      <c r="B56" s="12" t="s">
        <v>13</v>
      </c>
      <c r="C56" s="10" t="s">
        <v>33</v>
      </c>
      <c r="D56" s="152">
        <v>6</v>
      </c>
      <c r="E56" s="170">
        <v>6</v>
      </c>
      <c r="F56" s="95"/>
      <c r="G56" s="153" t="str">
        <f t="shared" si="1"/>
        <v/>
      </c>
      <c r="H56" s="10" t="s">
        <v>20</v>
      </c>
      <c r="I56" s="331">
        <v>8.9</v>
      </c>
      <c r="J56" s="12">
        <f t="shared" si="3"/>
        <v>53.400000000000006</v>
      </c>
    </row>
    <row r="57" spans="1:11" s="6" customFormat="1" ht="15.65" customHeight="1" x14ac:dyDescent="0.35">
      <c r="A57" s="103"/>
      <c r="B57" s="12" t="s">
        <v>13</v>
      </c>
      <c r="C57" s="10" t="s">
        <v>59</v>
      </c>
      <c r="D57" s="152">
        <v>6</v>
      </c>
      <c r="E57" s="170"/>
      <c r="F57" s="95"/>
      <c r="G57" s="153" t="str">
        <f t="shared" si="1"/>
        <v/>
      </c>
      <c r="H57" s="10" t="s">
        <v>20</v>
      </c>
      <c r="I57" s="331">
        <v>8.6999999999999993</v>
      </c>
      <c r="J57" s="12">
        <f t="shared" si="3"/>
        <v>0</v>
      </c>
    </row>
    <row r="58" spans="1:11" ht="14.5" customHeight="1" x14ac:dyDescent="0.35">
      <c r="A58" s="103"/>
      <c r="B58" s="12" t="s">
        <v>13</v>
      </c>
      <c r="C58" s="10" t="s">
        <v>234</v>
      </c>
      <c r="D58" s="152"/>
      <c r="E58" s="170"/>
      <c r="F58" s="95"/>
      <c r="G58" s="153" t="str">
        <f t="shared" si="1"/>
        <v/>
      </c>
      <c r="H58" s="10" t="s">
        <v>20</v>
      </c>
      <c r="I58" s="331">
        <v>12.15</v>
      </c>
      <c r="J58" s="12">
        <f t="shared" si="3"/>
        <v>0</v>
      </c>
      <c r="K58" s="13"/>
    </row>
    <row r="59" spans="1:11" ht="14.5" hidden="1" customHeight="1" x14ac:dyDescent="0.35">
      <c r="A59" s="103"/>
      <c r="B59" s="12" t="s">
        <v>13</v>
      </c>
      <c r="C59" s="10" t="s">
        <v>235</v>
      </c>
      <c r="D59" s="152"/>
      <c r="E59" s="170"/>
      <c r="F59" s="95"/>
      <c r="G59" s="153" t="str">
        <f t="shared" si="1"/>
        <v/>
      </c>
      <c r="H59" s="10" t="s">
        <v>20</v>
      </c>
      <c r="I59" s="331">
        <v>11.35</v>
      </c>
      <c r="J59" s="12">
        <f t="shared" ref="J59:J64" si="4">E59*I59</f>
        <v>0</v>
      </c>
      <c r="K59" s="13"/>
    </row>
    <row r="60" spans="1:11" s="6" customFormat="1" ht="15.65" hidden="1" customHeight="1" x14ac:dyDescent="0.35">
      <c r="A60" s="103"/>
      <c r="B60" s="12" t="s">
        <v>13</v>
      </c>
      <c r="C60" s="10" t="s">
        <v>236</v>
      </c>
      <c r="D60" s="152"/>
      <c r="E60" s="170"/>
      <c r="F60" s="95"/>
      <c r="G60" s="153" t="str">
        <f t="shared" si="1"/>
        <v/>
      </c>
      <c r="H60" s="10" t="s">
        <v>20</v>
      </c>
      <c r="I60" s="331">
        <v>14.65</v>
      </c>
      <c r="J60" s="12">
        <f t="shared" si="4"/>
        <v>0</v>
      </c>
    </row>
    <row r="61" spans="1:11" ht="14.5" hidden="1" customHeight="1" x14ac:dyDescent="0.35">
      <c r="A61" s="103"/>
      <c r="B61" s="12" t="s">
        <v>13</v>
      </c>
      <c r="C61" s="10" t="s">
        <v>237</v>
      </c>
      <c r="D61" s="152"/>
      <c r="E61" s="170"/>
      <c r="F61" s="95"/>
      <c r="G61" s="153" t="str">
        <f t="shared" si="1"/>
        <v/>
      </c>
      <c r="H61" s="10" t="s">
        <v>20</v>
      </c>
      <c r="I61" s="331">
        <v>16.25</v>
      </c>
      <c r="J61" s="12">
        <f t="shared" si="4"/>
        <v>0</v>
      </c>
      <c r="K61" s="13"/>
    </row>
    <row r="62" spans="1:11" s="6" customFormat="1" ht="15.5" hidden="1" x14ac:dyDescent="0.35">
      <c r="A62" s="103"/>
      <c r="B62" s="12" t="s">
        <v>13</v>
      </c>
      <c r="C62" s="10" t="s">
        <v>238</v>
      </c>
      <c r="D62" s="152"/>
      <c r="E62" s="170"/>
      <c r="F62" s="95"/>
      <c r="G62" s="153" t="str">
        <f t="shared" si="1"/>
        <v/>
      </c>
      <c r="H62" s="10" t="s">
        <v>20</v>
      </c>
      <c r="I62" s="331">
        <v>17.899999999999999</v>
      </c>
      <c r="J62" s="12">
        <f t="shared" si="4"/>
        <v>0</v>
      </c>
    </row>
    <row r="63" spans="1:11" hidden="1" x14ac:dyDescent="0.35">
      <c r="A63" s="103"/>
      <c r="B63" s="12" t="s">
        <v>13</v>
      </c>
      <c r="C63" s="10" t="s">
        <v>239</v>
      </c>
      <c r="D63" s="152"/>
      <c r="E63" s="170"/>
      <c r="F63" s="95"/>
      <c r="G63" s="153" t="str">
        <f t="shared" si="1"/>
        <v/>
      </c>
      <c r="H63" s="10" t="s">
        <v>20</v>
      </c>
      <c r="I63" s="331">
        <v>15.95</v>
      </c>
      <c r="J63" s="12">
        <f t="shared" si="4"/>
        <v>0</v>
      </c>
      <c r="K63" s="13"/>
    </row>
    <row r="64" spans="1:11" ht="14.5" hidden="1" customHeight="1" x14ac:dyDescent="0.35">
      <c r="A64" s="103"/>
      <c r="B64" s="12" t="s">
        <v>13</v>
      </c>
      <c r="C64" s="10" t="s">
        <v>240</v>
      </c>
      <c r="D64" s="152"/>
      <c r="E64" s="170"/>
      <c r="F64" s="95"/>
      <c r="G64" s="153" t="str">
        <f t="shared" si="1"/>
        <v/>
      </c>
      <c r="H64" s="10" t="s">
        <v>20</v>
      </c>
      <c r="I64" s="331">
        <v>15.45</v>
      </c>
      <c r="J64" s="12">
        <f t="shared" si="4"/>
        <v>0</v>
      </c>
      <c r="K64" s="13"/>
    </row>
    <row r="65" spans="1:11" s="6" customFormat="1" ht="15.65" hidden="1" customHeight="1" x14ac:dyDescent="0.35">
      <c r="A65" s="111"/>
      <c r="B65" s="126" t="s">
        <v>241</v>
      </c>
      <c r="C65" s="127"/>
      <c r="D65" s="226"/>
      <c r="E65" s="172"/>
      <c r="F65" s="144"/>
      <c r="G65" s="153" t="str">
        <f t="shared" si="1"/>
        <v/>
      </c>
      <c r="H65" s="127"/>
      <c r="I65" s="239"/>
      <c r="J65" s="128"/>
    </row>
    <row r="66" spans="1:11" ht="14.5" hidden="1" customHeight="1" x14ac:dyDescent="0.35">
      <c r="A66" s="103"/>
      <c r="B66" s="12" t="s">
        <v>13</v>
      </c>
      <c r="C66" s="10" t="s">
        <v>242</v>
      </c>
      <c r="D66" s="152"/>
      <c r="E66" s="170"/>
      <c r="F66" s="95"/>
      <c r="G66" s="153" t="str">
        <f t="shared" si="1"/>
        <v/>
      </c>
      <c r="H66" s="10" t="s">
        <v>20</v>
      </c>
      <c r="I66" s="331">
        <v>31.05</v>
      </c>
      <c r="J66" s="12">
        <f t="shared" ref="J66:J72" si="5">E66*I66</f>
        <v>0</v>
      </c>
      <c r="K66" s="13"/>
    </row>
    <row r="67" spans="1:11" ht="14.5" hidden="1" customHeight="1" x14ac:dyDescent="0.35">
      <c r="A67" s="103"/>
      <c r="B67" s="12" t="s">
        <v>13</v>
      </c>
      <c r="C67" s="10" t="s">
        <v>243</v>
      </c>
      <c r="D67" s="152"/>
      <c r="E67" s="170"/>
      <c r="F67" s="95"/>
      <c r="G67" s="153" t="str">
        <f t="shared" si="1"/>
        <v/>
      </c>
      <c r="H67" s="10" t="s">
        <v>20</v>
      </c>
      <c r="I67" s="331">
        <v>60.79</v>
      </c>
      <c r="J67" s="12">
        <f t="shared" si="5"/>
        <v>0</v>
      </c>
      <c r="K67" s="13"/>
    </row>
    <row r="68" spans="1:11" hidden="1" x14ac:dyDescent="0.35">
      <c r="A68" s="103"/>
      <c r="B68" s="12" t="s">
        <v>13</v>
      </c>
      <c r="C68" s="10" t="s">
        <v>244</v>
      </c>
      <c r="D68" s="152"/>
      <c r="E68" s="170"/>
      <c r="F68" s="95"/>
      <c r="G68" s="153" t="str">
        <f t="shared" si="1"/>
        <v/>
      </c>
      <c r="H68" s="10" t="s">
        <v>20</v>
      </c>
      <c r="I68" s="331">
        <v>56.55</v>
      </c>
      <c r="J68" s="12">
        <f t="shared" si="5"/>
        <v>0</v>
      </c>
      <c r="K68" s="13"/>
    </row>
    <row r="69" spans="1:11" hidden="1" x14ac:dyDescent="0.35">
      <c r="A69" s="103"/>
      <c r="B69" s="12" t="s">
        <v>13</v>
      </c>
      <c r="C69" s="10" t="s">
        <v>245</v>
      </c>
      <c r="D69" s="152"/>
      <c r="E69" s="170"/>
      <c r="F69" s="95"/>
      <c r="G69" s="153" t="str">
        <f t="shared" si="1"/>
        <v/>
      </c>
      <c r="H69" s="10" t="s">
        <v>20</v>
      </c>
      <c r="I69" s="331">
        <v>107.44</v>
      </c>
      <c r="J69" s="12">
        <f t="shared" si="5"/>
        <v>0</v>
      </c>
      <c r="K69" s="13"/>
    </row>
    <row r="70" spans="1:11" ht="14.5" hidden="1" customHeight="1" x14ac:dyDescent="0.35">
      <c r="A70" s="103"/>
      <c r="B70" s="12" t="s">
        <v>13</v>
      </c>
      <c r="C70" s="10" t="s">
        <v>246</v>
      </c>
      <c r="D70" s="152"/>
      <c r="E70" s="170"/>
      <c r="F70" s="95"/>
      <c r="G70" s="153" t="str">
        <f t="shared" si="1"/>
        <v/>
      </c>
      <c r="H70" s="10" t="s">
        <v>20</v>
      </c>
      <c r="I70" s="331">
        <v>47.4</v>
      </c>
      <c r="J70" s="12">
        <f t="shared" si="5"/>
        <v>0</v>
      </c>
      <c r="K70" s="13"/>
    </row>
    <row r="71" spans="1:11" ht="15.65" hidden="1" customHeight="1" x14ac:dyDescent="0.35">
      <c r="A71" s="103"/>
      <c r="B71" s="12" t="s">
        <v>13</v>
      </c>
      <c r="C71" s="10" t="s">
        <v>247</v>
      </c>
      <c r="D71" s="152"/>
      <c r="E71" s="170"/>
      <c r="F71" s="95"/>
      <c r="G71" s="153" t="str">
        <f t="shared" si="1"/>
        <v/>
      </c>
      <c r="H71" s="10" t="s">
        <v>20</v>
      </c>
      <c r="I71" s="331">
        <v>87.63</v>
      </c>
      <c r="J71" s="12">
        <f t="shared" si="5"/>
        <v>0</v>
      </c>
      <c r="K71" s="13"/>
    </row>
    <row r="72" spans="1:11" ht="15.65" hidden="1" customHeight="1" x14ac:dyDescent="0.35">
      <c r="A72" s="103"/>
      <c r="B72" s="12" t="s">
        <v>13</v>
      </c>
      <c r="C72" s="10" t="s">
        <v>248</v>
      </c>
      <c r="D72" s="152"/>
      <c r="E72" s="170"/>
      <c r="F72" s="95"/>
      <c r="G72" s="153" t="str">
        <f t="shared" si="1"/>
        <v/>
      </c>
      <c r="H72" s="10" t="s">
        <v>20</v>
      </c>
      <c r="I72" s="331">
        <v>52.31</v>
      </c>
      <c r="J72" s="12">
        <f t="shared" si="5"/>
        <v>0</v>
      </c>
      <c r="K72" s="13"/>
    </row>
    <row r="73" spans="1:11" ht="16.399999999999999" hidden="1" customHeight="1" x14ac:dyDescent="0.35">
      <c r="A73" s="111"/>
      <c r="B73" s="126" t="s">
        <v>249</v>
      </c>
      <c r="C73" s="127"/>
      <c r="D73" s="226"/>
      <c r="E73" s="172"/>
      <c r="F73" s="144"/>
      <c r="G73" s="153" t="str">
        <f t="shared" si="1"/>
        <v/>
      </c>
      <c r="H73" s="127"/>
      <c r="I73" s="239"/>
      <c r="J73" s="128"/>
      <c r="K73" s="13"/>
    </row>
    <row r="74" spans="1:11" ht="14.5" hidden="1" customHeight="1" x14ac:dyDescent="0.35">
      <c r="A74" s="103"/>
      <c r="B74" s="12" t="s">
        <v>13</v>
      </c>
      <c r="C74" s="10" t="s">
        <v>250</v>
      </c>
      <c r="D74" s="152"/>
      <c r="E74" s="170"/>
      <c r="F74" s="95"/>
      <c r="G74" s="153" t="str">
        <f t="shared" si="1"/>
        <v/>
      </c>
      <c r="H74" s="10" t="s">
        <v>20</v>
      </c>
      <c r="I74" s="331">
        <v>10.8</v>
      </c>
      <c r="J74" s="12">
        <f>E74*I74</f>
        <v>0</v>
      </c>
      <c r="K74" s="13"/>
    </row>
    <row r="75" spans="1:11" ht="14.5" hidden="1" customHeight="1" x14ac:dyDescent="0.35">
      <c r="A75" s="103"/>
      <c r="B75" s="12" t="s">
        <v>13</v>
      </c>
      <c r="C75" s="10" t="s">
        <v>251</v>
      </c>
      <c r="D75" s="152"/>
      <c r="E75" s="170"/>
      <c r="F75" s="95"/>
      <c r="G75" s="153" t="str">
        <f t="shared" si="1"/>
        <v/>
      </c>
      <c r="H75" s="10" t="s">
        <v>20</v>
      </c>
      <c r="I75" s="331">
        <v>11.2</v>
      </c>
      <c r="J75" s="12">
        <f>E75*I75</f>
        <v>0</v>
      </c>
      <c r="K75" s="13"/>
    </row>
    <row r="76" spans="1:11" s="24" customFormat="1" ht="15.65" customHeight="1" x14ac:dyDescent="0.35">
      <c r="A76" s="103"/>
      <c r="B76" s="12" t="s">
        <v>13</v>
      </c>
      <c r="C76" s="10" t="s">
        <v>252</v>
      </c>
      <c r="D76" s="152"/>
      <c r="E76" s="170"/>
      <c r="F76" s="95"/>
      <c r="G76" s="153" t="str">
        <f t="shared" si="1"/>
        <v/>
      </c>
      <c r="H76" s="10" t="s">
        <v>23</v>
      </c>
      <c r="I76" s="331">
        <v>4.5599999999999996</v>
      </c>
      <c r="J76" s="12">
        <f>E76*I76</f>
        <v>0</v>
      </c>
    </row>
    <row r="77" spans="1:11" s="6" customFormat="1" ht="15.65" customHeight="1" x14ac:dyDescent="0.35">
      <c r="A77" s="103"/>
      <c r="B77" s="12" t="s">
        <v>13</v>
      </c>
      <c r="C77" s="10" t="s">
        <v>253</v>
      </c>
      <c r="D77" s="152"/>
      <c r="E77" s="170"/>
      <c r="F77" s="95"/>
      <c r="G77" s="153" t="str">
        <f t="shared" si="1"/>
        <v/>
      </c>
      <c r="H77" s="10" t="s">
        <v>23</v>
      </c>
      <c r="I77" s="331">
        <v>37.700000000000003</v>
      </c>
      <c r="J77" s="12">
        <f>E77*I77</f>
        <v>0</v>
      </c>
    </row>
    <row r="78" spans="1:11" ht="14.5" hidden="1" customHeight="1" x14ac:dyDescent="0.35">
      <c r="A78" s="108" t="s">
        <v>254</v>
      </c>
      <c r="B78" s="108"/>
      <c r="C78" s="108"/>
      <c r="D78" s="223"/>
      <c r="E78" s="169"/>
      <c r="F78" s="109"/>
      <c r="G78" s="153" t="str">
        <f t="shared" si="1"/>
        <v/>
      </c>
      <c r="H78" s="108"/>
      <c r="I78" s="110" t="s">
        <v>18</v>
      </c>
      <c r="J78" s="115">
        <f>SUM(J80:J121)</f>
        <v>0</v>
      </c>
    </row>
    <row r="79" spans="1:11" ht="14.5" hidden="1" customHeight="1" x14ac:dyDescent="0.35">
      <c r="A79" s="111"/>
      <c r="B79" s="126" t="s">
        <v>255</v>
      </c>
      <c r="C79" s="127"/>
      <c r="D79" s="226"/>
      <c r="E79" s="172"/>
      <c r="F79" s="144"/>
      <c r="G79" s="153" t="str">
        <f t="shared" si="1"/>
        <v/>
      </c>
      <c r="H79" s="127"/>
      <c r="I79" s="239"/>
      <c r="J79" s="128"/>
      <c r="K79" s="13"/>
    </row>
    <row r="80" spans="1:11" ht="14.5" hidden="1" customHeight="1" x14ac:dyDescent="0.35">
      <c r="A80" s="103"/>
      <c r="B80" s="12" t="s">
        <v>3</v>
      </c>
      <c r="C80" s="10" t="s">
        <v>256</v>
      </c>
      <c r="D80" s="152"/>
      <c r="E80" s="170"/>
      <c r="F80" s="95"/>
      <c r="G80" s="153" t="str">
        <f t="shared" si="1"/>
        <v/>
      </c>
      <c r="H80" s="10" t="s">
        <v>20</v>
      </c>
      <c r="I80" s="331">
        <v>32.950000000000003</v>
      </c>
      <c r="J80" s="12">
        <f t="shared" ref="J80:J86" si="6">E80*I80</f>
        <v>0</v>
      </c>
      <c r="K80" s="13"/>
    </row>
    <row r="81" spans="1:13" ht="14.5" hidden="1" customHeight="1" x14ac:dyDescent="0.35">
      <c r="A81" s="103"/>
      <c r="B81" s="12" t="s">
        <v>3</v>
      </c>
      <c r="C81" s="10" t="s">
        <v>257</v>
      </c>
      <c r="D81" s="152"/>
      <c r="E81" s="170"/>
      <c r="F81" s="95"/>
      <c r="G81" s="153" t="str">
        <f t="shared" si="1"/>
        <v/>
      </c>
      <c r="H81" s="10" t="s">
        <v>20</v>
      </c>
      <c r="I81" s="331">
        <v>56.95</v>
      </c>
      <c r="J81" s="12">
        <f t="shared" si="6"/>
        <v>0</v>
      </c>
      <c r="K81" s="13" t="s">
        <v>47</v>
      </c>
    </row>
    <row r="82" spans="1:13" ht="14.5" hidden="1" customHeight="1" x14ac:dyDescent="0.35">
      <c r="A82" s="103"/>
      <c r="B82" s="12" t="s">
        <v>3</v>
      </c>
      <c r="C82" s="10" t="s">
        <v>258</v>
      </c>
      <c r="D82" s="152"/>
      <c r="E82" s="170"/>
      <c r="F82" s="95"/>
      <c r="G82" s="153" t="str">
        <f t="shared" si="1"/>
        <v/>
      </c>
      <c r="H82" s="10" t="s">
        <v>20</v>
      </c>
      <c r="I82" s="331">
        <v>15.95</v>
      </c>
      <c r="J82" s="12">
        <f t="shared" si="6"/>
        <v>0</v>
      </c>
    </row>
    <row r="83" spans="1:13" ht="14.5" hidden="1" customHeight="1" x14ac:dyDescent="0.35">
      <c r="A83" s="103"/>
      <c r="B83" s="12" t="s">
        <v>3</v>
      </c>
      <c r="C83" s="10" t="s">
        <v>259</v>
      </c>
      <c r="D83" s="152"/>
      <c r="E83" s="170"/>
      <c r="F83" s="95"/>
      <c r="G83" s="153" t="str">
        <f t="shared" si="1"/>
        <v/>
      </c>
      <c r="H83" s="10" t="s">
        <v>20</v>
      </c>
      <c r="I83" s="331">
        <v>19.95</v>
      </c>
      <c r="J83" s="12">
        <f t="shared" si="6"/>
        <v>0</v>
      </c>
      <c r="K83" s="28"/>
    </row>
    <row r="84" spans="1:13" s="6" customFormat="1" ht="15.65" hidden="1" customHeight="1" x14ac:dyDescent="0.35">
      <c r="A84" s="103"/>
      <c r="B84" s="12" t="s">
        <v>3</v>
      </c>
      <c r="C84" s="10" t="s">
        <v>260</v>
      </c>
      <c r="D84" s="152"/>
      <c r="E84" s="170"/>
      <c r="F84" s="95"/>
      <c r="G84" s="153" t="str">
        <f t="shared" si="1"/>
        <v/>
      </c>
      <c r="H84" s="10" t="s">
        <v>20</v>
      </c>
      <c r="I84" s="331">
        <v>46.95</v>
      </c>
      <c r="J84" s="12">
        <f t="shared" si="6"/>
        <v>0</v>
      </c>
      <c r="K84" s="30"/>
    </row>
    <row r="85" spans="1:13" ht="14.5" hidden="1" customHeight="1" x14ac:dyDescent="0.35">
      <c r="A85" s="103"/>
      <c r="B85" s="12" t="s">
        <v>3</v>
      </c>
      <c r="C85" s="10" t="s">
        <v>261</v>
      </c>
      <c r="D85" s="152"/>
      <c r="E85" s="170"/>
      <c r="F85" s="95"/>
      <c r="G85" s="153" t="str">
        <f t="shared" si="1"/>
        <v/>
      </c>
      <c r="H85" s="10" t="s">
        <v>20</v>
      </c>
      <c r="I85" s="331">
        <v>34.950000000000003</v>
      </c>
      <c r="J85" s="12">
        <f t="shared" si="6"/>
        <v>0</v>
      </c>
      <c r="K85" s="28"/>
    </row>
    <row r="86" spans="1:13" s="6" customFormat="1" ht="15.65" hidden="1" customHeight="1" x14ac:dyDescent="0.35">
      <c r="A86" s="103"/>
      <c r="B86" s="12" t="s">
        <v>3</v>
      </c>
      <c r="C86" s="10" t="s">
        <v>262</v>
      </c>
      <c r="D86" s="152"/>
      <c r="E86" s="170"/>
      <c r="F86" s="95"/>
      <c r="G86" s="153" t="str">
        <f t="shared" si="1"/>
        <v/>
      </c>
      <c r="H86" s="10" t="s">
        <v>20</v>
      </c>
      <c r="I86" s="331">
        <v>24.95</v>
      </c>
      <c r="J86" s="12">
        <f t="shared" si="6"/>
        <v>0</v>
      </c>
    </row>
    <row r="87" spans="1:13" ht="15.5" hidden="1" x14ac:dyDescent="0.35">
      <c r="A87" s="111"/>
      <c r="B87" s="126" t="s">
        <v>263</v>
      </c>
      <c r="C87" s="127"/>
      <c r="D87" s="226"/>
      <c r="E87" s="172"/>
      <c r="F87" s="144"/>
      <c r="G87" s="153" t="str">
        <f t="shared" si="1"/>
        <v/>
      </c>
      <c r="H87" s="127"/>
      <c r="I87" s="239"/>
      <c r="J87" s="128"/>
      <c r="K87" s="28"/>
      <c r="M87" t="s">
        <v>47</v>
      </c>
    </row>
    <row r="88" spans="1:13" hidden="1" x14ac:dyDescent="0.35">
      <c r="A88" s="103"/>
      <c r="B88" s="12" t="s">
        <v>3</v>
      </c>
      <c r="C88" s="10" t="s">
        <v>264</v>
      </c>
      <c r="D88" s="152"/>
      <c r="E88" s="170"/>
      <c r="F88" s="95"/>
      <c r="G88" s="153" t="str">
        <f t="shared" si="1"/>
        <v/>
      </c>
      <c r="H88" s="10" t="s">
        <v>20</v>
      </c>
      <c r="I88" s="331">
        <v>19.5</v>
      </c>
      <c r="J88" s="12">
        <f t="shared" ref="J88:J94" si="7">E88*I88</f>
        <v>0</v>
      </c>
      <c r="K88" s="28"/>
    </row>
    <row r="89" spans="1:13" hidden="1" x14ac:dyDescent="0.35">
      <c r="A89" s="103"/>
      <c r="B89" s="12" t="s">
        <v>3</v>
      </c>
      <c r="C89" s="10" t="s">
        <v>265</v>
      </c>
      <c r="D89" s="152"/>
      <c r="E89" s="170"/>
      <c r="F89" s="95"/>
      <c r="G89" s="153" t="str">
        <f t="shared" ref="G89:G152" si="8">IF(E89="","",IF(D89-E89&gt;0,D89-E89,""))</f>
        <v/>
      </c>
      <c r="H89" s="10" t="s">
        <v>20</v>
      </c>
      <c r="I89" s="331">
        <v>16.95</v>
      </c>
      <c r="J89" s="12">
        <f t="shared" si="7"/>
        <v>0</v>
      </c>
      <c r="K89" s="28"/>
    </row>
    <row r="90" spans="1:13" hidden="1" x14ac:dyDescent="0.35">
      <c r="A90" s="103"/>
      <c r="B90" s="12" t="s">
        <v>3</v>
      </c>
      <c r="C90" s="10" t="s">
        <v>266</v>
      </c>
      <c r="D90" s="152"/>
      <c r="E90" s="170"/>
      <c r="F90" s="95"/>
      <c r="G90" s="153" t="str">
        <f t="shared" si="8"/>
        <v/>
      </c>
      <c r="H90" s="10" t="s">
        <v>20</v>
      </c>
      <c r="I90" s="331">
        <v>17.95</v>
      </c>
      <c r="J90" s="12">
        <f t="shared" si="7"/>
        <v>0</v>
      </c>
      <c r="K90" s="28"/>
    </row>
    <row r="91" spans="1:13" hidden="1" x14ac:dyDescent="0.35">
      <c r="A91" s="103"/>
      <c r="B91" s="12" t="s">
        <v>3</v>
      </c>
      <c r="C91" s="10" t="s">
        <v>267</v>
      </c>
      <c r="D91" s="152"/>
      <c r="E91" s="170"/>
      <c r="F91" s="95"/>
      <c r="G91" s="153" t="str">
        <f t="shared" si="8"/>
        <v/>
      </c>
      <c r="H91" s="10" t="s">
        <v>20</v>
      </c>
      <c r="I91" s="331">
        <v>15.95</v>
      </c>
      <c r="J91" s="12">
        <f t="shared" si="7"/>
        <v>0</v>
      </c>
      <c r="K91" s="28"/>
    </row>
    <row r="92" spans="1:13" s="6" customFormat="1" ht="15.5" hidden="1" x14ac:dyDescent="0.35">
      <c r="A92" s="103"/>
      <c r="B92" s="12" t="s">
        <v>3</v>
      </c>
      <c r="C92" s="10" t="s">
        <v>268</v>
      </c>
      <c r="D92" s="152"/>
      <c r="E92" s="170"/>
      <c r="F92" s="95"/>
      <c r="G92" s="153" t="str">
        <f t="shared" si="8"/>
        <v/>
      </c>
      <c r="H92" s="10" t="s">
        <v>20</v>
      </c>
      <c r="I92" s="331">
        <v>20.95</v>
      </c>
      <c r="J92" s="12">
        <f t="shared" si="7"/>
        <v>0</v>
      </c>
      <c r="K92" s="30"/>
    </row>
    <row r="93" spans="1:13" hidden="1" x14ac:dyDescent="0.35">
      <c r="A93" s="103"/>
      <c r="B93" s="12" t="s">
        <v>3</v>
      </c>
      <c r="C93" s="10" t="s">
        <v>269</v>
      </c>
      <c r="D93" s="152"/>
      <c r="E93" s="170"/>
      <c r="F93" s="95"/>
      <c r="G93" s="153" t="str">
        <f t="shared" si="8"/>
        <v/>
      </c>
      <c r="H93" s="10" t="s">
        <v>20</v>
      </c>
      <c r="I93" s="331">
        <v>26.95</v>
      </c>
      <c r="J93" s="12">
        <f t="shared" si="7"/>
        <v>0</v>
      </c>
      <c r="K93" s="31"/>
    </row>
    <row r="94" spans="1:13" hidden="1" x14ac:dyDescent="0.35">
      <c r="A94" s="103"/>
      <c r="B94" s="12" t="s">
        <v>3</v>
      </c>
      <c r="C94" s="10" t="s">
        <v>270</v>
      </c>
      <c r="D94" s="152"/>
      <c r="E94" s="170"/>
      <c r="F94" s="95"/>
      <c r="G94" s="153" t="str">
        <f t="shared" si="8"/>
        <v/>
      </c>
      <c r="H94" s="10" t="s">
        <v>20</v>
      </c>
      <c r="I94" s="331">
        <v>26.95</v>
      </c>
      <c r="J94" s="12">
        <f t="shared" si="7"/>
        <v>0</v>
      </c>
      <c r="K94" s="31"/>
    </row>
    <row r="95" spans="1:13" s="6" customFormat="1" ht="15.5" hidden="1" x14ac:dyDescent="0.35">
      <c r="A95" s="111"/>
      <c r="B95" s="126" t="s">
        <v>271</v>
      </c>
      <c r="C95" s="127"/>
      <c r="D95" s="226"/>
      <c r="E95" s="172"/>
      <c r="F95" s="144"/>
      <c r="G95" s="153" t="str">
        <f t="shared" si="8"/>
        <v/>
      </c>
      <c r="H95" s="127"/>
      <c r="I95" s="239"/>
      <c r="J95" s="128"/>
      <c r="K95" s="30"/>
    </row>
    <row r="96" spans="1:13" ht="14.15" hidden="1" customHeight="1" x14ac:dyDescent="0.35">
      <c r="A96" s="103"/>
      <c r="B96" s="12" t="s">
        <v>3</v>
      </c>
      <c r="C96" s="10" t="s">
        <v>272</v>
      </c>
      <c r="D96" s="152"/>
      <c r="E96" s="170"/>
      <c r="F96" s="95"/>
      <c r="G96" s="153" t="str">
        <f t="shared" si="8"/>
        <v/>
      </c>
      <c r="H96" s="10" t="s">
        <v>20</v>
      </c>
      <c r="I96" s="331">
        <v>20.95</v>
      </c>
      <c r="J96" s="12">
        <f>E96*I96</f>
        <v>0</v>
      </c>
      <c r="K96" s="28"/>
    </row>
    <row r="97" spans="1:11" hidden="1" x14ac:dyDescent="0.35">
      <c r="A97" s="103"/>
      <c r="B97" s="12" t="s">
        <v>3</v>
      </c>
      <c r="C97" s="10" t="s">
        <v>273</v>
      </c>
      <c r="D97" s="152"/>
      <c r="E97" s="170"/>
      <c r="F97" s="95"/>
      <c r="G97" s="153" t="str">
        <f t="shared" si="8"/>
        <v/>
      </c>
      <c r="H97" s="10" t="s">
        <v>20</v>
      </c>
      <c r="I97" s="331">
        <v>23.95</v>
      </c>
      <c r="J97" s="12">
        <f>E97*I97</f>
        <v>0</v>
      </c>
      <c r="K97" s="28"/>
    </row>
    <row r="98" spans="1:11" s="6" customFormat="1" ht="15.65" hidden="1" customHeight="1" x14ac:dyDescent="0.35">
      <c r="A98" s="103"/>
      <c r="B98" s="12" t="s">
        <v>3</v>
      </c>
      <c r="C98" s="10" t="s">
        <v>274</v>
      </c>
      <c r="D98" s="152"/>
      <c r="E98" s="170"/>
      <c r="F98" s="95"/>
      <c r="G98" s="153" t="str">
        <f t="shared" si="8"/>
        <v/>
      </c>
      <c r="H98" s="10" t="s">
        <v>20</v>
      </c>
      <c r="I98" s="331">
        <v>22.5</v>
      </c>
      <c r="J98" s="12">
        <f>E98*I98</f>
        <v>0</v>
      </c>
      <c r="K98" s="30"/>
    </row>
    <row r="99" spans="1:11" ht="14.5" hidden="1" customHeight="1" x14ac:dyDescent="0.35">
      <c r="A99" s="103"/>
      <c r="B99" s="12" t="s">
        <v>3</v>
      </c>
      <c r="C99" s="10" t="s">
        <v>275</v>
      </c>
      <c r="D99" s="152"/>
      <c r="E99" s="170"/>
      <c r="F99" s="95"/>
      <c r="G99" s="153" t="str">
        <f t="shared" si="8"/>
        <v/>
      </c>
      <c r="H99" s="10" t="s">
        <v>20</v>
      </c>
      <c r="I99" s="331">
        <v>29.95</v>
      </c>
      <c r="J99" s="12">
        <f>E99*I99</f>
        <v>0</v>
      </c>
      <c r="K99" s="31"/>
    </row>
    <row r="100" spans="1:11" s="6" customFormat="1" ht="15.65" hidden="1" customHeight="1" x14ac:dyDescent="0.35">
      <c r="A100" s="111"/>
      <c r="B100" s="126" t="s">
        <v>276</v>
      </c>
      <c r="C100" s="127"/>
      <c r="D100" s="226"/>
      <c r="E100" s="172"/>
      <c r="F100" s="144"/>
      <c r="G100" s="153" t="str">
        <f t="shared" si="8"/>
        <v/>
      </c>
      <c r="H100" s="127"/>
      <c r="I100" s="239"/>
      <c r="J100" s="128"/>
    </row>
    <row r="101" spans="1:11" hidden="1" x14ac:dyDescent="0.35">
      <c r="A101" s="103"/>
      <c r="B101" s="12" t="s">
        <v>3</v>
      </c>
      <c r="C101" s="10" t="s">
        <v>277</v>
      </c>
      <c r="D101" s="152"/>
      <c r="E101" s="170"/>
      <c r="F101" s="95"/>
      <c r="G101" s="153" t="str">
        <f t="shared" si="8"/>
        <v/>
      </c>
      <c r="H101" s="10" t="s">
        <v>20</v>
      </c>
      <c r="I101" s="331">
        <v>17.95</v>
      </c>
      <c r="J101" s="12">
        <f>E101*I101</f>
        <v>0</v>
      </c>
      <c r="K101" s="28"/>
    </row>
    <row r="102" spans="1:11" s="6" customFormat="1" ht="15.5" hidden="1" x14ac:dyDescent="0.35">
      <c r="A102" s="103"/>
      <c r="B102" s="12" t="s">
        <v>3</v>
      </c>
      <c r="C102" s="10" t="s">
        <v>278</v>
      </c>
      <c r="D102" s="152"/>
      <c r="E102" s="170"/>
      <c r="F102" s="95"/>
      <c r="G102" s="153" t="str">
        <f t="shared" si="8"/>
        <v/>
      </c>
      <c r="H102" s="10" t="s">
        <v>20</v>
      </c>
      <c r="I102" s="331">
        <v>20.95</v>
      </c>
      <c r="J102" s="12">
        <f>E102*I102</f>
        <v>0</v>
      </c>
    </row>
    <row r="103" spans="1:11" hidden="1" x14ac:dyDescent="0.35">
      <c r="A103" s="103"/>
      <c r="B103" s="12" t="s">
        <v>3</v>
      </c>
      <c r="C103" s="10" t="s">
        <v>279</v>
      </c>
      <c r="D103" s="152"/>
      <c r="E103" s="170"/>
      <c r="F103" s="95"/>
      <c r="G103" s="153" t="str">
        <f t="shared" si="8"/>
        <v/>
      </c>
      <c r="H103" s="10" t="s">
        <v>20</v>
      </c>
      <c r="I103" s="331">
        <v>19.95</v>
      </c>
      <c r="J103" s="12">
        <f>E103*I103</f>
        <v>0</v>
      </c>
      <c r="K103" s="13"/>
    </row>
    <row r="104" spans="1:11" hidden="1" x14ac:dyDescent="0.35">
      <c r="A104" s="103"/>
      <c r="B104" s="40" t="s">
        <v>3</v>
      </c>
      <c r="C104" s="41" t="s">
        <v>280</v>
      </c>
      <c r="D104" s="227"/>
      <c r="E104" s="170"/>
      <c r="F104" s="145"/>
      <c r="G104" s="153" t="str">
        <f t="shared" si="8"/>
        <v/>
      </c>
      <c r="H104" s="41" t="s">
        <v>20</v>
      </c>
      <c r="I104" s="334">
        <v>59.95</v>
      </c>
      <c r="J104" s="40">
        <f>E104*I104</f>
        <v>0</v>
      </c>
      <c r="K104" s="13"/>
    </row>
    <row r="105" spans="1:11" ht="15.65" hidden="1" customHeight="1" x14ac:dyDescent="0.35">
      <c r="A105" s="111"/>
      <c r="B105" s="126" t="s">
        <v>281</v>
      </c>
      <c r="C105" s="127"/>
      <c r="D105" s="226"/>
      <c r="E105" s="172"/>
      <c r="F105" s="144"/>
      <c r="G105" s="153" t="str">
        <f t="shared" si="8"/>
        <v/>
      </c>
      <c r="H105" s="127"/>
      <c r="I105" s="239"/>
      <c r="J105" s="128"/>
      <c r="K105" s="13"/>
    </row>
    <row r="106" spans="1:11" ht="14.5" hidden="1" customHeight="1" x14ac:dyDescent="0.35">
      <c r="A106" s="103"/>
      <c r="B106" s="12" t="s">
        <v>3</v>
      </c>
      <c r="C106" s="10" t="s">
        <v>282</v>
      </c>
      <c r="D106" s="152"/>
      <c r="E106" s="170"/>
      <c r="F106" s="95"/>
      <c r="G106" s="153" t="str">
        <f t="shared" si="8"/>
        <v/>
      </c>
      <c r="H106" s="10" t="s">
        <v>20</v>
      </c>
      <c r="I106" s="331">
        <v>54.95</v>
      </c>
      <c r="J106" s="12">
        <f>E106*I106</f>
        <v>0</v>
      </c>
      <c r="K106" s="13"/>
    </row>
    <row r="107" spans="1:11" ht="14.5" hidden="1" customHeight="1" x14ac:dyDescent="0.35">
      <c r="A107" s="103"/>
      <c r="B107" s="12" t="s">
        <v>3</v>
      </c>
      <c r="C107" s="10" t="s">
        <v>283</v>
      </c>
      <c r="D107" s="152"/>
      <c r="E107" s="170"/>
      <c r="F107" s="95"/>
      <c r="G107" s="153" t="str">
        <f t="shared" si="8"/>
        <v/>
      </c>
      <c r="H107" s="10" t="s">
        <v>20</v>
      </c>
      <c r="I107" s="331">
        <v>49.95</v>
      </c>
      <c r="J107" s="12">
        <f>E107*I107</f>
        <v>0</v>
      </c>
      <c r="K107" s="13"/>
    </row>
    <row r="108" spans="1:11" ht="14.5" hidden="1" customHeight="1" x14ac:dyDescent="0.35">
      <c r="A108" s="111"/>
      <c r="B108" s="126" t="s">
        <v>284</v>
      </c>
      <c r="C108" s="127"/>
      <c r="D108" s="226"/>
      <c r="E108" s="172"/>
      <c r="F108" s="144"/>
      <c r="G108" s="153" t="str">
        <f t="shared" si="8"/>
        <v/>
      </c>
      <c r="H108" s="127"/>
      <c r="I108" s="239"/>
      <c r="J108" s="128"/>
      <c r="K108" s="13"/>
    </row>
    <row r="109" spans="1:11" ht="14.5" hidden="1" customHeight="1" x14ac:dyDescent="0.35">
      <c r="A109" s="103"/>
      <c r="B109" s="12" t="s">
        <v>3</v>
      </c>
      <c r="C109" s="10" t="s">
        <v>285</v>
      </c>
      <c r="D109" s="152"/>
      <c r="E109" s="170"/>
      <c r="F109" s="95"/>
      <c r="G109" s="153" t="str">
        <f t="shared" si="8"/>
        <v/>
      </c>
      <c r="H109" s="10" t="s">
        <v>20</v>
      </c>
      <c r="I109" s="331">
        <v>41.5</v>
      </c>
      <c r="J109" s="12">
        <f t="shared" ref="J109:J114" si="9">E109*I109</f>
        <v>0</v>
      </c>
      <c r="K109" s="13"/>
    </row>
    <row r="110" spans="1:11" ht="15.65" hidden="1" customHeight="1" x14ac:dyDescent="0.35">
      <c r="A110" s="103"/>
      <c r="B110" s="12" t="s">
        <v>3</v>
      </c>
      <c r="C110" s="10" t="s">
        <v>286</v>
      </c>
      <c r="D110" s="152"/>
      <c r="E110" s="170"/>
      <c r="F110" s="95"/>
      <c r="G110" s="153" t="str">
        <f t="shared" si="8"/>
        <v/>
      </c>
      <c r="H110" s="10" t="s">
        <v>20</v>
      </c>
      <c r="I110" s="331">
        <v>36.200000000000003</v>
      </c>
      <c r="J110" s="12">
        <f t="shared" si="9"/>
        <v>0</v>
      </c>
      <c r="K110" s="13"/>
    </row>
    <row r="111" spans="1:11" hidden="1" x14ac:dyDescent="0.35">
      <c r="A111" s="103"/>
      <c r="B111" s="12" t="s">
        <v>3</v>
      </c>
      <c r="C111" s="10" t="s">
        <v>287</v>
      </c>
      <c r="D111" s="152"/>
      <c r="E111" s="170"/>
      <c r="F111" s="95"/>
      <c r="G111" s="153" t="str">
        <f t="shared" si="8"/>
        <v/>
      </c>
      <c r="H111" s="10" t="s">
        <v>20</v>
      </c>
      <c r="I111" s="331">
        <v>25.95</v>
      </c>
      <c r="J111" s="12">
        <f t="shared" si="9"/>
        <v>0</v>
      </c>
      <c r="K111" s="13"/>
    </row>
    <row r="112" spans="1:11" hidden="1" x14ac:dyDescent="0.35">
      <c r="A112" s="103"/>
      <c r="B112" s="12" t="s">
        <v>3</v>
      </c>
      <c r="C112" s="10" t="s">
        <v>288</v>
      </c>
      <c r="D112" s="152"/>
      <c r="E112" s="170"/>
      <c r="F112" s="95"/>
      <c r="G112" s="153" t="str">
        <f t="shared" si="8"/>
        <v/>
      </c>
      <c r="H112" s="10" t="s">
        <v>20</v>
      </c>
      <c r="I112" s="331">
        <v>32.799999999999997</v>
      </c>
      <c r="J112" s="12">
        <f t="shared" si="9"/>
        <v>0</v>
      </c>
      <c r="K112" s="13"/>
    </row>
    <row r="113" spans="1:11" s="6" customFormat="1" ht="15.5" hidden="1" x14ac:dyDescent="0.35">
      <c r="A113" s="103"/>
      <c r="B113" s="12" t="s">
        <v>3</v>
      </c>
      <c r="C113" s="10" t="s">
        <v>289</v>
      </c>
      <c r="D113" s="152"/>
      <c r="E113" s="170"/>
      <c r="F113" s="95"/>
      <c r="G113" s="153" t="str">
        <f t="shared" si="8"/>
        <v/>
      </c>
      <c r="H113" s="10" t="s">
        <v>20</v>
      </c>
      <c r="I113" s="331">
        <v>29.2</v>
      </c>
      <c r="J113" s="12">
        <f t="shared" si="9"/>
        <v>0</v>
      </c>
    </row>
    <row r="114" spans="1:11" hidden="1" x14ac:dyDescent="0.35">
      <c r="A114" s="103"/>
      <c r="B114" s="12" t="s">
        <v>3</v>
      </c>
      <c r="C114" s="10" t="s">
        <v>290</v>
      </c>
      <c r="D114" s="152"/>
      <c r="E114" s="170"/>
      <c r="F114" s="95"/>
      <c r="G114" s="153" t="str">
        <f t="shared" si="8"/>
        <v/>
      </c>
      <c r="H114" s="10" t="s">
        <v>20</v>
      </c>
      <c r="I114" s="331">
        <v>22.95</v>
      </c>
      <c r="J114" s="12">
        <f t="shared" si="9"/>
        <v>0</v>
      </c>
      <c r="K114" s="13"/>
    </row>
    <row r="115" spans="1:11" ht="15.5" hidden="1" x14ac:dyDescent="0.35">
      <c r="A115" s="111"/>
      <c r="B115" s="126" t="s">
        <v>291</v>
      </c>
      <c r="C115" s="127"/>
      <c r="D115" s="226"/>
      <c r="E115" s="172"/>
      <c r="F115" s="144"/>
      <c r="G115" s="153" t="str">
        <f t="shared" si="8"/>
        <v/>
      </c>
      <c r="H115" s="127"/>
      <c r="I115" s="239"/>
      <c r="J115" s="128"/>
      <c r="K115" s="13"/>
    </row>
    <row r="116" spans="1:11" ht="14.5" hidden="1" customHeight="1" x14ac:dyDescent="0.35">
      <c r="A116" s="103"/>
      <c r="B116" s="12" t="s">
        <v>3</v>
      </c>
      <c r="C116" s="10" t="s">
        <v>292</v>
      </c>
      <c r="D116" s="152"/>
      <c r="E116" s="170"/>
      <c r="F116" s="95"/>
      <c r="G116" s="153" t="str">
        <f t="shared" si="8"/>
        <v/>
      </c>
      <c r="H116" s="10" t="s">
        <v>20</v>
      </c>
      <c r="I116" s="331">
        <v>17.95</v>
      </c>
      <c r="J116" s="12">
        <f t="shared" ref="J116:J121" si="10">E116*I116</f>
        <v>0</v>
      </c>
      <c r="K116" s="13"/>
    </row>
    <row r="117" spans="1:11" ht="14.5" hidden="1" customHeight="1" x14ac:dyDescent="0.35">
      <c r="A117" s="103"/>
      <c r="B117" s="12" t="s">
        <v>3</v>
      </c>
      <c r="C117" s="10" t="s">
        <v>293</v>
      </c>
      <c r="D117" s="152"/>
      <c r="E117" s="170"/>
      <c r="F117" s="95"/>
      <c r="G117" s="153" t="str">
        <f t="shared" si="8"/>
        <v/>
      </c>
      <c r="H117" s="10" t="s">
        <v>20</v>
      </c>
      <c r="I117" s="331">
        <v>12.95</v>
      </c>
      <c r="J117" s="12">
        <f t="shared" si="10"/>
        <v>0</v>
      </c>
      <c r="K117" s="13"/>
    </row>
    <row r="118" spans="1:11" ht="14.5" hidden="1" customHeight="1" x14ac:dyDescent="0.35">
      <c r="A118" s="103"/>
      <c r="B118" s="12" t="s">
        <v>3</v>
      </c>
      <c r="C118" s="10" t="s">
        <v>294</v>
      </c>
      <c r="D118" s="152"/>
      <c r="E118" s="170"/>
      <c r="F118" s="95"/>
      <c r="G118" s="153" t="str">
        <f t="shared" si="8"/>
        <v/>
      </c>
      <c r="H118" s="10" t="s">
        <v>20</v>
      </c>
      <c r="I118" s="331">
        <v>21.95</v>
      </c>
      <c r="J118" s="12">
        <f t="shared" si="10"/>
        <v>0</v>
      </c>
      <c r="K118" s="13"/>
    </row>
    <row r="119" spans="1:11" ht="14.5" hidden="1" customHeight="1" x14ac:dyDescent="0.35">
      <c r="A119" s="103"/>
      <c r="B119" s="12" t="s">
        <v>3</v>
      </c>
      <c r="C119" s="10" t="s">
        <v>295</v>
      </c>
      <c r="D119" s="152"/>
      <c r="E119" s="170"/>
      <c r="F119" s="95"/>
      <c r="G119" s="153" t="str">
        <f t="shared" si="8"/>
        <v/>
      </c>
      <c r="H119" s="10" t="s">
        <v>20</v>
      </c>
      <c r="I119" s="331"/>
      <c r="J119" s="12">
        <f t="shared" si="10"/>
        <v>0</v>
      </c>
      <c r="K119" s="13"/>
    </row>
    <row r="120" spans="1:11" ht="15.65" hidden="1" customHeight="1" x14ac:dyDescent="0.35">
      <c r="A120" s="103"/>
      <c r="B120" s="12" t="s">
        <v>3</v>
      </c>
      <c r="C120" s="10" t="s">
        <v>296</v>
      </c>
      <c r="D120" s="152"/>
      <c r="E120" s="170"/>
      <c r="F120" s="95"/>
      <c r="G120" s="153" t="str">
        <f t="shared" si="8"/>
        <v/>
      </c>
      <c r="H120" s="10" t="s">
        <v>20</v>
      </c>
      <c r="I120" s="331"/>
      <c r="J120" s="12">
        <f t="shared" si="10"/>
        <v>0</v>
      </c>
      <c r="K120" s="13"/>
    </row>
    <row r="121" spans="1:11" ht="15.65" hidden="1" customHeight="1" x14ac:dyDescent="0.35">
      <c r="A121" s="103"/>
      <c r="B121" s="12" t="s">
        <v>3</v>
      </c>
      <c r="C121" s="10" t="s">
        <v>297</v>
      </c>
      <c r="D121" s="152"/>
      <c r="E121" s="170"/>
      <c r="F121" s="95"/>
      <c r="G121" s="153" t="str">
        <f t="shared" si="8"/>
        <v/>
      </c>
      <c r="H121" s="10" t="s">
        <v>20</v>
      </c>
      <c r="I121" s="331">
        <v>22.95</v>
      </c>
      <c r="J121" s="12">
        <f t="shared" si="10"/>
        <v>0</v>
      </c>
      <c r="K121" s="13"/>
    </row>
    <row r="122" spans="1:11" ht="14.5" hidden="1" customHeight="1" x14ac:dyDescent="0.35">
      <c r="A122" s="112" t="s">
        <v>298</v>
      </c>
      <c r="B122" s="116"/>
      <c r="C122" s="116"/>
      <c r="D122" s="228"/>
      <c r="E122" s="173"/>
      <c r="F122" s="146"/>
      <c r="G122" s="153" t="str">
        <f t="shared" si="8"/>
        <v/>
      </c>
      <c r="H122" s="117"/>
      <c r="I122" s="106" t="s">
        <v>18</v>
      </c>
      <c r="J122" s="115">
        <f>SUM(J123:J175)</f>
        <v>276.52999999999997</v>
      </c>
      <c r="K122" s="13"/>
    </row>
    <row r="123" spans="1:11" ht="14.5" hidden="1" customHeight="1" x14ac:dyDescent="0.35">
      <c r="A123" s="103"/>
      <c r="B123" s="20" t="s">
        <v>4</v>
      </c>
      <c r="C123" s="18" t="s">
        <v>62</v>
      </c>
      <c r="D123" s="229"/>
      <c r="E123" s="170"/>
      <c r="F123" s="147"/>
      <c r="G123" s="153" t="str">
        <f t="shared" si="8"/>
        <v/>
      </c>
      <c r="H123" s="18" t="s">
        <v>20</v>
      </c>
      <c r="I123" s="335">
        <v>7.35</v>
      </c>
      <c r="J123" s="20">
        <f>E123*I123</f>
        <v>0</v>
      </c>
      <c r="K123" s="13"/>
    </row>
    <row r="124" spans="1:11" ht="14.5" hidden="1" customHeight="1" x14ac:dyDescent="0.35">
      <c r="A124" s="103"/>
      <c r="B124" s="20" t="s">
        <v>4</v>
      </c>
      <c r="C124" s="18" t="s">
        <v>60</v>
      </c>
      <c r="D124" s="229"/>
      <c r="E124" s="170"/>
      <c r="F124" s="147"/>
      <c r="G124" s="153" t="str">
        <f t="shared" si="8"/>
        <v/>
      </c>
      <c r="H124" s="18" t="s">
        <v>20</v>
      </c>
      <c r="I124" s="335">
        <v>10.65</v>
      </c>
      <c r="J124" s="20">
        <f>E124*I124</f>
        <v>0</v>
      </c>
      <c r="K124" s="13"/>
    </row>
    <row r="125" spans="1:11" ht="15.65" hidden="1" customHeight="1" x14ac:dyDescent="0.35">
      <c r="A125" s="113" t="s">
        <v>40</v>
      </c>
      <c r="B125" s="124"/>
      <c r="C125" s="124"/>
      <c r="D125" s="230"/>
      <c r="E125" s="174"/>
      <c r="F125" s="148"/>
      <c r="G125" s="153" t="str">
        <f t="shared" si="8"/>
        <v/>
      </c>
      <c r="H125" s="124"/>
      <c r="I125" s="241"/>
      <c r="J125" s="125"/>
      <c r="K125" s="13"/>
    </row>
    <row r="126" spans="1:11" ht="15.65" hidden="1" customHeight="1" x14ac:dyDescent="0.35">
      <c r="A126" s="103"/>
      <c r="B126" s="20" t="s">
        <v>4</v>
      </c>
      <c r="C126" s="18" t="s">
        <v>299</v>
      </c>
      <c r="D126" s="229"/>
      <c r="E126" s="170"/>
      <c r="F126" s="147"/>
      <c r="G126" s="153" t="str">
        <f t="shared" si="8"/>
        <v/>
      </c>
      <c r="H126" s="18" t="s">
        <v>20</v>
      </c>
      <c r="I126" s="335">
        <v>1.31</v>
      </c>
      <c r="J126" s="12">
        <f t="shared" ref="J126:J137" si="11">E126*I126</f>
        <v>0</v>
      </c>
      <c r="K126" s="13"/>
    </row>
    <row r="127" spans="1:11" ht="14.5" hidden="1" customHeight="1" x14ac:dyDescent="0.35">
      <c r="A127" s="103"/>
      <c r="B127" s="12" t="s">
        <v>4</v>
      </c>
      <c r="C127" s="10" t="s">
        <v>300</v>
      </c>
      <c r="D127" s="152"/>
      <c r="E127" s="170"/>
      <c r="F127" s="95"/>
      <c r="G127" s="153" t="str">
        <f t="shared" si="8"/>
        <v/>
      </c>
      <c r="H127" s="10" t="s">
        <v>20</v>
      </c>
      <c r="I127" s="331">
        <v>1.31</v>
      </c>
      <c r="J127" s="12">
        <f t="shared" si="11"/>
        <v>0</v>
      </c>
    </row>
    <row r="128" spans="1:11" ht="14.5" hidden="1" customHeight="1" x14ac:dyDescent="0.35">
      <c r="A128" s="103"/>
      <c r="B128" s="20" t="s">
        <v>4</v>
      </c>
      <c r="C128" s="18" t="s">
        <v>301</v>
      </c>
      <c r="D128" s="229"/>
      <c r="E128" s="170"/>
      <c r="F128" s="147"/>
      <c r="G128" s="153" t="str">
        <f t="shared" si="8"/>
        <v/>
      </c>
      <c r="H128" s="18" t="s">
        <v>20</v>
      </c>
      <c r="I128" s="335">
        <v>1.4039999999999999</v>
      </c>
      <c r="J128" s="12">
        <f t="shared" si="11"/>
        <v>0</v>
      </c>
    </row>
    <row r="129" spans="1:11" ht="14.5" hidden="1" customHeight="1" x14ac:dyDescent="0.35">
      <c r="A129" s="103"/>
      <c r="B129" s="12" t="s">
        <v>4</v>
      </c>
      <c r="C129" s="10" t="s">
        <v>302</v>
      </c>
      <c r="D129" s="152"/>
      <c r="E129" s="170"/>
      <c r="F129" s="95"/>
      <c r="G129" s="153" t="str">
        <f t="shared" si="8"/>
        <v/>
      </c>
      <c r="H129" s="10" t="s">
        <v>20</v>
      </c>
      <c r="I129" s="331">
        <v>1.4039999999999999</v>
      </c>
      <c r="J129" s="12">
        <f t="shared" si="11"/>
        <v>0</v>
      </c>
    </row>
    <row r="130" spans="1:11" ht="14.5" hidden="1" customHeight="1" x14ac:dyDescent="0.35">
      <c r="A130" s="103"/>
      <c r="B130" s="12" t="s">
        <v>4</v>
      </c>
      <c r="C130" s="10" t="s">
        <v>303</v>
      </c>
      <c r="D130" s="152"/>
      <c r="E130" s="170"/>
      <c r="F130" s="95"/>
      <c r="G130" s="153" t="str">
        <f t="shared" si="8"/>
        <v/>
      </c>
      <c r="H130" s="10" t="s">
        <v>20</v>
      </c>
      <c r="I130" s="331">
        <v>1.53</v>
      </c>
      <c r="J130" s="12">
        <f t="shared" si="11"/>
        <v>0</v>
      </c>
    </row>
    <row r="131" spans="1:11" ht="14.5" hidden="1" customHeight="1" x14ac:dyDescent="0.35">
      <c r="A131" s="103"/>
      <c r="B131" s="12" t="s">
        <v>4</v>
      </c>
      <c r="C131" s="10" t="s">
        <v>304</v>
      </c>
      <c r="D131" s="152"/>
      <c r="E131" s="170"/>
      <c r="F131" s="95"/>
      <c r="G131" s="153" t="str">
        <f t="shared" si="8"/>
        <v/>
      </c>
      <c r="H131" s="10" t="s">
        <v>20</v>
      </c>
      <c r="I131" s="331">
        <v>1.65</v>
      </c>
      <c r="J131" s="12">
        <f t="shared" si="11"/>
        <v>0</v>
      </c>
    </row>
    <row r="132" spans="1:11" ht="14.5" hidden="1" customHeight="1" x14ac:dyDescent="0.35">
      <c r="A132" s="103"/>
      <c r="B132" s="12" t="s">
        <v>4</v>
      </c>
      <c r="C132" s="10" t="s">
        <v>83</v>
      </c>
      <c r="D132" s="152"/>
      <c r="E132" s="170"/>
      <c r="F132" s="95"/>
      <c r="G132" s="153" t="str">
        <f t="shared" si="8"/>
        <v/>
      </c>
      <c r="H132" s="10" t="s">
        <v>20</v>
      </c>
      <c r="I132" s="331">
        <v>1.04</v>
      </c>
      <c r="J132" s="12">
        <f t="shared" si="11"/>
        <v>0</v>
      </c>
    </row>
    <row r="133" spans="1:11" ht="14.5" hidden="1" customHeight="1" x14ac:dyDescent="0.35">
      <c r="A133" s="103"/>
      <c r="B133" s="12" t="s">
        <v>4</v>
      </c>
      <c r="C133" s="10" t="s">
        <v>305</v>
      </c>
      <c r="D133" s="152"/>
      <c r="E133" s="170"/>
      <c r="F133" s="95"/>
      <c r="G133" s="153" t="str">
        <f t="shared" si="8"/>
        <v/>
      </c>
      <c r="H133" s="10" t="s">
        <v>20</v>
      </c>
      <c r="I133" s="331">
        <v>1.04</v>
      </c>
      <c r="J133" s="12">
        <f t="shared" si="11"/>
        <v>0</v>
      </c>
    </row>
    <row r="134" spans="1:11" ht="14.5" hidden="1" customHeight="1" x14ac:dyDescent="0.35">
      <c r="A134" s="103"/>
      <c r="B134" s="12" t="s">
        <v>4</v>
      </c>
      <c r="C134" s="10" t="s">
        <v>306</v>
      </c>
      <c r="D134" s="152"/>
      <c r="E134" s="170"/>
      <c r="F134" s="95"/>
      <c r="G134" s="153" t="str">
        <f t="shared" si="8"/>
        <v/>
      </c>
      <c r="H134" s="10" t="s">
        <v>20</v>
      </c>
      <c r="I134" s="331">
        <v>1.06</v>
      </c>
      <c r="J134" s="12">
        <f t="shared" si="11"/>
        <v>0</v>
      </c>
    </row>
    <row r="135" spans="1:11" ht="14.5" hidden="1" customHeight="1" x14ac:dyDescent="0.35">
      <c r="A135" s="103"/>
      <c r="B135" s="12" t="s">
        <v>4</v>
      </c>
      <c r="C135" s="10" t="s">
        <v>307</v>
      </c>
      <c r="D135" s="152"/>
      <c r="E135" s="170"/>
      <c r="F135" s="95"/>
      <c r="G135" s="153" t="str">
        <f t="shared" si="8"/>
        <v/>
      </c>
      <c r="H135" s="10" t="s">
        <v>20</v>
      </c>
      <c r="I135" s="331">
        <v>1.06</v>
      </c>
      <c r="J135" s="12">
        <f t="shared" si="11"/>
        <v>0</v>
      </c>
    </row>
    <row r="136" spans="1:11" ht="14.5" hidden="1" customHeight="1" x14ac:dyDescent="0.35">
      <c r="A136" s="103"/>
      <c r="B136" s="12" t="s">
        <v>4</v>
      </c>
      <c r="C136" s="10" t="s">
        <v>308</v>
      </c>
      <c r="D136" s="152"/>
      <c r="E136" s="170"/>
      <c r="F136" s="95"/>
      <c r="G136" s="153" t="str">
        <f t="shared" si="8"/>
        <v/>
      </c>
      <c r="H136" s="10" t="s">
        <v>20</v>
      </c>
      <c r="I136" s="331">
        <v>1.2869999999999999</v>
      </c>
      <c r="J136" s="12">
        <f t="shared" si="11"/>
        <v>0</v>
      </c>
    </row>
    <row r="137" spans="1:11" ht="15.65" hidden="1" customHeight="1" x14ac:dyDescent="0.35">
      <c r="A137" s="103"/>
      <c r="B137" s="12" t="s">
        <v>4</v>
      </c>
      <c r="C137" s="10" t="s">
        <v>309</v>
      </c>
      <c r="D137" s="152"/>
      <c r="E137" s="170"/>
      <c r="F137" s="95"/>
      <c r="G137" s="153" t="str">
        <f t="shared" si="8"/>
        <v/>
      </c>
      <c r="H137" s="10" t="s">
        <v>20</v>
      </c>
      <c r="I137" s="331">
        <v>1.59</v>
      </c>
      <c r="J137" s="12">
        <f t="shared" si="11"/>
        <v>0</v>
      </c>
      <c r="K137" s="13"/>
    </row>
    <row r="138" spans="1:11" ht="15.65" hidden="1" customHeight="1" x14ac:dyDescent="0.35">
      <c r="A138" s="113" t="s">
        <v>310</v>
      </c>
      <c r="B138" s="124"/>
      <c r="C138" s="124"/>
      <c r="D138" s="230"/>
      <c r="E138" s="174"/>
      <c r="F138" s="148"/>
      <c r="G138" s="153" t="str">
        <f t="shared" si="8"/>
        <v/>
      </c>
      <c r="H138" s="124"/>
      <c r="I138" s="241"/>
      <c r="J138" s="125"/>
    </row>
    <row r="139" spans="1:11" ht="14.5" hidden="1" customHeight="1" x14ac:dyDescent="0.35">
      <c r="A139" s="103"/>
      <c r="B139" s="12" t="s">
        <v>4</v>
      </c>
      <c r="C139" s="10" t="s">
        <v>311</v>
      </c>
      <c r="D139" s="152"/>
      <c r="E139" s="170"/>
      <c r="F139" s="95"/>
      <c r="G139" s="153" t="str">
        <f t="shared" si="8"/>
        <v/>
      </c>
      <c r="H139" s="10" t="s">
        <v>20</v>
      </c>
      <c r="I139" s="331">
        <v>1.1000000000000001</v>
      </c>
      <c r="J139" s="12">
        <f t="shared" ref="J139:J149" si="12">E139*I139</f>
        <v>0</v>
      </c>
    </row>
    <row r="140" spans="1:11" ht="14.5" hidden="1" customHeight="1" x14ac:dyDescent="0.35">
      <c r="A140" s="103"/>
      <c r="B140" s="12" t="s">
        <v>4</v>
      </c>
      <c r="C140" s="10" t="s">
        <v>312</v>
      </c>
      <c r="D140" s="152"/>
      <c r="E140" s="170"/>
      <c r="F140" s="95"/>
      <c r="G140" s="153" t="str">
        <f t="shared" si="8"/>
        <v/>
      </c>
      <c r="H140" s="10" t="s">
        <v>20</v>
      </c>
      <c r="I140" s="331">
        <v>1.1000000000000001</v>
      </c>
      <c r="J140" s="12">
        <f t="shared" si="12"/>
        <v>0</v>
      </c>
    </row>
    <row r="141" spans="1:11" ht="14.5" hidden="1" customHeight="1" x14ac:dyDescent="0.35">
      <c r="A141" s="103"/>
      <c r="B141" s="12" t="s">
        <v>4</v>
      </c>
      <c r="C141" s="10" t="s">
        <v>313</v>
      </c>
      <c r="D141" s="152"/>
      <c r="E141" s="170"/>
      <c r="F141" s="95"/>
      <c r="G141" s="153" t="str">
        <f t="shared" si="8"/>
        <v/>
      </c>
      <c r="H141" s="10" t="s">
        <v>20</v>
      </c>
      <c r="I141" s="331">
        <v>1.3</v>
      </c>
      <c r="J141" s="12">
        <f t="shared" si="12"/>
        <v>0</v>
      </c>
    </row>
    <row r="142" spans="1:11" ht="14.5" hidden="1" customHeight="1" x14ac:dyDescent="0.35">
      <c r="A142" s="103"/>
      <c r="B142" s="12" t="s">
        <v>4</v>
      </c>
      <c r="C142" s="10" t="s">
        <v>314</v>
      </c>
      <c r="D142" s="152"/>
      <c r="E142" s="170"/>
      <c r="F142" s="95"/>
      <c r="G142" s="153" t="str">
        <f t="shared" si="8"/>
        <v/>
      </c>
      <c r="H142" s="10" t="s">
        <v>20</v>
      </c>
      <c r="I142" s="331">
        <v>1.36</v>
      </c>
      <c r="J142" s="12">
        <f t="shared" si="12"/>
        <v>0</v>
      </c>
    </row>
    <row r="143" spans="1:11" ht="14.5" hidden="1" customHeight="1" x14ac:dyDescent="0.35">
      <c r="A143" s="103"/>
      <c r="B143" s="12" t="s">
        <v>4</v>
      </c>
      <c r="C143" s="10" t="s">
        <v>315</v>
      </c>
      <c r="D143" s="152"/>
      <c r="E143" s="170"/>
      <c r="F143" s="95"/>
      <c r="G143" s="153" t="str">
        <f t="shared" si="8"/>
        <v/>
      </c>
      <c r="H143" s="10" t="s">
        <v>20</v>
      </c>
      <c r="I143" s="331">
        <v>1.3</v>
      </c>
      <c r="J143" s="12">
        <f t="shared" si="12"/>
        <v>0</v>
      </c>
    </row>
    <row r="144" spans="1:11" ht="15.65" hidden="1" customHeight="1" x14ac:dyDescent="0.35">
      <c r="A144" s="103"/>
      <c r="B144" s="12" t="s">
        <v>4</v>
      </c>
      <c r="C144" s="10" t="s">
        <v>316</v>
      </c>
      <c r="D144" s="152"/>
      <c r="E144" s="170"/>
      <c r="F144" s="95"/>
      <c r="G144" s="153" t="str">
        <f t="shared" si="8"/>
        <v/>
      </c>
      <c r="H144" s="10" t="s">
        <v>20</v>
      </c>
      <c r="I144" s="331">
        <v>1.35</v>
      </c>
      <c r="J144" s="12">
        <f t="shared" si="12"/>
        <v>0</v>
      </c>
      <c r="K144" s="13"/>
    </row>
    <row r="145" spans="1:11" ht="15.65" hidden="1" customHeight="1" x14ac:dyDescent="0.35">
      <c r="A145" s="103"/>
      <c r="B145" s="12" t="s">
        <v>4</v>
      </c>
      <c r="C145" s="10" t="s">
        <v>317</v>
      </c>
      <c r="D145" s="152"/>
      <c r="E145" s="170"/>
      <c r="F145" s="95"/>
      <c r="G145" s="153" t="str">
        <f t="shared" si="8"/>
        <v/>
      </c>
      <c r="H145" s="10" t="s">
        <v>20</v>
      </c>
      <c r="I145" s="331">
        <v>1.28</v>
      </c>
      <c r="J145" s="12">
        <f t="shared" si="12"/>
        <v>0</v>
      </c>
    </row>
    <row r="146" spans="1:11" ht="14.5" hidden="1" customHeight="1" x14ac:dyDescent="0.35">
      <c r="A146" s="103"/>
      <c r="B146" s="12" t="s">
        <v>4</v>
      </c>
      <c r="C146" s="10" t="s">
        <v>318</v>
      </c>
      <c r="D146" s="152"/>
      <c r="E146" s="170"/>
      <c r="F146" s="95"/>
      <c r="G146" s="153" t="str">
        <f t="shared" si="8"/>
        <v/>
      </c>
      <c r="H146" s="10" t="s">
        <v>20</v>
      </c>
      <c r="I146" s="331">
        <v>1.1000000000000001</v>
      </c>
      <c r="J146" s="12">
        <f t="shared" si="12"/>
        <v>0</v>
      </c>
    </row>
    <row r="147" spans="1:11" ht="14.5" hidden="1" customHeight="1" x14ac:dyDescent="0.35">
      <c r="A147" s="103"/>
      <c r="B147" s="12" t="s">
        <v>4</v>
      </c>
      <c r="C147" s="10" t="s">
        <v>319</v>
      </c>
      <c r="D147" s="152"/>
      <c r="E147" s="170"/>
      <c r="F147" s="95"/>
      <c r="G147" s="153" t="str">
        <f t="shared" si="8"/>
        <v/>
      </c>
      <c r="H147" s="10" t="s">
        <v>20</v>
      </c>
      <c r="I147" s="331">
        <v>1.1000000000000001</v>
      </c>
      <c r="J147" s="12">
        <f t="shared" si="12"/>
        <v>0</v>
      </c>
    </row>
    <row r="148" spans="1:11" ht="14.5" hidden="1" customHeight="1" x14ac:dyDescent="0.35">
      <c r="A148" s="103"/>
      <c r="B148" s="12" t="s">
        <v>4</v>
      </c>
      <c r="C148" s="10" t="s">
        <v>320</v>
      </c>
      <c r="D148" s="152"/>
      <c r="E148" s="170"/>
      <c r="F148" s="95"/>
      <c r="G148" s="153" t="str">
        <f t="shared" si="8"/>
        <v/>
      </c>
      <c r="H148" s="10" t="s">
        <v>20</v>
      </c>
      <c r="I148" s="331">
        <v>1.1000000000000001</v>
      </c>
      <c r="J148" s="12">
        <f t="shared" si="12"/>
        <v>0</v>
      </c>
    </row>
    <row r="149" spans="1:11" ht="14.5" hidden="1" customHeight="1" x14ac:dyDescent="0.35">
      <c r="A149" s="103"/>
      <c r="B149" s="12" t="s">
        <v>4</v>
      </c>
      <c r="C149" s="10" t="s">
        <v>321</v>
      </c>
      <c r="D149" s="152"/>
      <c r="E149" s="170"/>
      <c r="F149" s="95"/>
      <c r="G149" s="153" t="str">
        <f t="shared" si="8"/>
        <v/>
      </c>
      <c r="H149" s="10" t="s">
        <v>20</v>
      </c>
      <c r="I149" s="331">
        <v>1.1000000000000001</v>
      </c>
      <c r="J149" s="12">
        <f t="shared" si="12"/>
        <v>0</v>
      </c>
    </row>
    <row r="150" spans="1:11" ht="14.5" customHeight="1" x14ac:dyDescent="0.35">
      <c r="A150" s="113" t="s">
        <v>41</v>
      </c>
      <c r="B150" s="124"/>
      <c r="C150" s="124"/>
      <c r="D150" s="230"/>
      <c r="E150" s="174"/>
      <c r="F150" s="148"/>
      <c r="G150" s="165" t="str">
        <f t="shared" si="8"/>
        <v/>
      </c>
      <c r="H150" s="124"/>
      <c r="I150" s="241"/>
      <c r="J150" s="125"/>
    </row>
    <row r="151" spans="1:11" ht="14.5" customHeight="1" x14ac:dyDescent="0.35">
      <c r="A151" s="103"/>
      <c r="B151" s="12" t="s">
        <v>4</v>
      </c>
      <c r="C151" s="10" t="s">
        <v>24</v>
      </c>
      <c r="D151" s="152">
        <v>20</v>
      </c>
      <c r="E151" s="170">
        <v>2</v>
      </c>
      <c r="F151" s="95"/>
      <c r="G151" s="153">
        <f t="shared" si="8"/>
        <v>18</v>
      </c>
      <c r="H151" s="10" t="s">
        <v>20</v>
      </c>
      <c r="I151" s="331">
        <v>3.04</v>
      </c>
      <c r="J151" s="12">
        <f t="shared" ref="J151:J164" si="13">E151*I151</f>
        <v>6.08</v>
      </c>
      <c r="K151" s="13"/>
    </row>
    <row r="152" spans="1:11" ht="15.65" customHeight="1" x14ac:dyDescent="0.35">
      <c r="A152" s="103"/>
      <c r="B152" s="12" t="s">
        <v>4</v>
      </c>
      <c r="C152" s="10" t="s">
        <v>80</v>
      </c>
      <c r="D152" s="152">
        <v>40</v>
      </c>
      <c r="E152" s="170">
        <v>50</v>
      </c>
      <c r="F152" s="95"/>
      <c r="G152" s="153" t="str">
        <f t="shared" si="8"/>
        <v/>
      </c>
      <c r="H152" s="10" t="s">
        <v>20</v>
      </c>
      <c r="I152" s="331">
        <v>2.31</v>
      </c>
      <c r="J152" s="12">
        <f t="shared" si="13"/>
        <v>115.5</v>
      </c>
    </row>
    <row r="153" spans="1:11" ht="15.65" customHeight="1" x14ac:dyDescent="0.35">
      <c r="A153" s="103"/>
      <c r="B153" s="12" t="s">
        <v>4</v>
      </c>
      <c r="C153" s="10" t="s">
        <v>84</v>
      </c>
      <c r="D153" s="152">
        <v>20</v>
      </c>
      <c r="E153" s="170">
        <v>10</v>
      </c>
      <c r="F153" s="95"/>
      <c r="G153" s="153">
        <f t="shared" ref="G153:G223" si="14">IF(E153="","",IF(D153-E153&gt;0,D153-E153,""))</f>
        <v>10</v>
      </c>
      <c r="H153" s="10" t="s">
        <v>20</v>
      </c>
      <c r="I153" s="331">
        <v>2.31</v>
      </c>
      <c r="J153" s="12">
        <f t="shared" si="13"/>
        <v>23.1</v>
      </c>
    </row>
    <row r="154" spans="1:11" ht="14.5" hidden="1" customHeight="1" x14ac:dyDescent="0.35">
      <c r="A154" s="103"/>
      <c r="B154" s="12" t="s">
        <v>4</v>
      </c>
      <c r="C154" s="10" t="s">
        <v>394</v>
      </c>
      <c r="D154" s="152"/>
      <c r="E154" s="170"/>
      <c r="F154" s="95"/>
      <c r="G154" s="153" t="str">
        <f t="shared" si="14"/>
        <v/>
      </c>
      <c r="H154" s="10" t="s">
        <v>20</v>
      </c>
      <c r="I154" s="331">
        <v>2.54</v>
      </c>
      <c r="J154" s="12">
        <f t="shared" si="13"/>
        <v>0</v>
      </c>
    </row>
    <row r="155" spans="1:11" ht="14.5" hidden="1" customHeight="1" x14ac:dyDescent="0.35">
      <c r="A155" s="103"/>
      <c r="B155" s="12" t="s">
        <v>4</v>
      </c>
      <c r="C155" s="10" t="s">
        <v>394</v>
      </c>
      <c r="D155" s="152"/>
      <c r="E155" s="170"/>
      <c r="F155" s="95"/>
      <c r="G155" s="153" t="str">
        <f t="shared" si="14"/>
        <v/>
      </c>
      <c r="H155" s="10" t="s">
        <v>20</v>
      </c>
      <c r="I155" s="331">
        <v>2.54</v>
      </c>
      <c r="J155" s="12">
        <f t="shared" si="13"/>
        <v>0</v>
      </c>
    </row>
    <row r="156" spans="1:11" ht="14.5" customHeight="1" x14ac:dyDescent="0.35">
      <c r="A156" s="103"/>
      <c r="B156" s="12" t="s">
        <v>4</v>
      </c>
      <c r="C156" s="10" t="s">
        <v>25</v>
      </c>
      <c r="D156" s="152">
        <v>20</v>
      </c>
      <c r="E156" s="170">
        <v>5</v>
      </c>
      <c r="F156" s="95"/>
      <c r="G156" s="153">
        <f t="shared" si="14"/>
        <v>15</v>
      </c>
      <c r="H156" s="10" t="s">
        <v>20</v>
      </c>
      <c r="I156" s="331">
        <v>1.79</v>
      </c>
      <c r="J156" s="12">
        <f t="shared" si="13"/>
        <v>8.9499999999999993</v>
      </c>
      <c r="K156" s="13"/>
    </row>
    <row r="157" spans="1:11" ht="15.65" hidden="1" customHeight="1" x14ac:dyDescent="0.35">
      <c r="A157" s="103"/>
      <c r="B157" s="12" t="s">
        <v>4</v>
      </c>
      <c r="C157" s="10" t="s">
        <v>322</v>
      </c>
      <c r="D157" s="152"/>
      <c r="E157" s="170"/>
      <c r="F157" s="95"/>
      <c r="G157" s="153" t="str">
        <f t="shared" si="14"/>
        <v/>
      </c>
      <c r="H157" s="10" t="s">
        <v>20</v>
      </c>
      <c r="I157" s="331">
        <v>2.46</v>
      </c>
      <c r="J157" s="12">
        <f t="shared" si="13"/>
        <v>0</v>
      </c>
    </row>
    <row r="158" spans="1:11" ht="15.65" customHeight="1" x14ac:dyDescent="0.35">
      <c r="A158" s="103"/>
      <c r="B158" s="12" t="s">
        <v>4</v>
      </c>
      <c r="C158" s="10" t="s">
        <v>393</v>
      </c>
      <c r="D158" s="152">
        <v>40</v>
      </c>
      <c r="E158" s="170">
        <v>34</v>
      </c>
      <c r="F158" s="95"/>
      <c r="G158" s="153">
        <f t="shared" si="14"/>
        <v>6</v>
      </c>
      <c r="H158" s="10" t="s">
        <v>20</v>
      </c>
      <c r="I158" s="331">
        <v>2.46</v>
      </c>
      <c r="J158" s="12">
        <f t="shared" si="13"/>
        <v>83.64</v>
      </c>
    </row>
    <row r="159" spans="1:11" ht="14.5" hidden="1" customHeight="1" x14ac:dyDescent="0.35">
      <c r="A159" s="103"/>
      <c r="B159" s="12" t="s">
        <v>4</v>
      </c>
      <c r="C159" s="10" t="s">
        <v>43</v>
      </c>
      <c r="D159" s="152"/>
      <c r="E159" s="170"/>
      <c r="F159" s="95"/>
      <c r="G159" s="153" t="str">
        <f t="shared" si="14"/>
        <v/>
      </c>
      <c r="H159" s="10" t="s">
        <v>20</v>
      </c>
      <c r="I159" s="331">
        <v>2.5499999999999998</v>
      </c>
      <c r="J159" s="12">
        <f t="shared" si="13"/>
        <v>0</v>
      </c>
    </row>
    <row r="160" spans="1:11" ht="14.5" customHeight="1" x14ac:dyDescent="0.35">
      <c r="A160" s="103"/>
      <c r="B160" s="12" t="s">
        <v>4</v>
      </c>
      <c r="C160" s="10" t="s">
        <v>81</v>
      </c>
      <c r="D160" s="152">
        <v>40</v>
      </c>
      <c r="E160" s="170">
        <v>4</v>
      </c>
      <c r="F160" s="95"/>
      <c r="G160" s="153">
        <f t="shared" si="14"/>
        <v>36</v>
      </c>
      <c r="H160" s="10" t="s">
        <v>20</v>
      </c>
      <c r="I160" s="331">
        <v>1.51</v>
      </c>
      <c r="J160" s="12">
        <f t="shared" si="13"/>
        <v>6.04</v>
      </c>
      <c r="K160" s="13"/>
    </row>
    <row r="161" spans="1:11" ht="15.65" customHeight="1" x14ac:dyDescent="0.35">
      <c r="A161" s="103"/>
      <c r="B161" s="12" t="s">
        <v>4</v>
      </c>
      <c r="C161" s="10" t="s">
        <v>82</v>
      </c>
      <c r="D161" s="152">
        <v>40</v>
      </c>
      <c r="E161" s="170">
        <v>22</v>
      </c>
      <c r="F161" s="95"/>
      <c r="G161" s="153">
        <f t="shared" si="14"/>
        <v>18</v>
      </c>
      <c r="H161" s="10" t="s">
        <v>20</v>
      </c>
      <c r="I161" s="331">
        <v>1.51</v>
      </c>
      <c r="J161" s="12">
        <f t="shared" si="13"/>
        <v>33.22</v>
      </c>
    </row>
    <row r="162" spans="1:11" ht="15.65" hidden="1" customHeight="1" x14ac:dyDescent="0.35">
      <c r="A162" s="103"/>
      <c r="B162" s="12" t="s">
        <v>4</v>
      </c>
      <c r="C162" s="10" t="s">
        <v>323</v>
      </c>
      <c r="D162" s="152"/>
      <c r="E162" s="170"/>
      <c r="F162" s="95"/>
      <c r="G162" s="153" t="str">
        <f t="shared" si="14"/>
        <v/>
      </c>
      <c r="H162" s="10" t="s">
        <v>20</v>
      </c>
      <c r="I162" s="331">
        <v>1.54</v>
      </c>
      <c r="J162" s="12">
        <f t="shared" si="13"/>
        <v>0</v>
      </c>
    </row>
    <row r="163" spans="1:11" ht="14.5" hidden="1" customHeight="1" x14ac:dyDescent="0.35">
      <c r="A163" s="103"/>
      <c r="B163" s="12" t="s">
        <v>4</v>
      </c>
      <c r="C163" s="10" t="s">
        <v>324</v>
      </c>
      <c r="D163" s="152"/>
      <c r="E163" s="170"/>
      <c r="F163" s="95"/>
      <c r="G163" s="153" t="str">
        <f t="shared" si="14"/>
        <v/>
      </c>
      <c r="H163" s="10" t="s">
        <v>20</v>
      </c>
      <c r="I163" s="331">
        <v>1.6</v>
      </c>
      <c r="J163" s="12">
        <f t="shared" si="13"/>
        <v>0</v>
      </c>
    </row>
    <row r="164" spans="1:11" ht="14.5" hidden="1" customHeight="1" x14ac:dyDescent="0.35">
      <c r="A164" s="103"/>
      <c r="B164" s="12" t="s">
        <v>4</v>
      </c>
      <c r="C164" s="78" t="s">
        <v>325</v>
      </c>
      <c r="D164" s="224"/>
      <c r="E164" s="170"/>
      <c r="F164" s="142"/>
      <c r="G164" s="153" t="str">
        <f t="shared" si="14"/>
        <v/>
      </c>
      <c r="H164" s="10" t="s">
        <v>20</v>
      </c>
      <c r="I164" s="333">
        <v>49.95</v>
      </c>
      <c r="J164" s="12">
        <f t="shared" si="13"/>
        <v>0</v>
      </c>
    </row>
    <row r="165" spans="1:11" ht="14.5" customHeight="1" x14ac:dyDescent="0.35">
      <c r="A165" s="113" t="s">
        <v>44</v>
      </c>
      <c r="B165" s="124"/>
      <c r="C165" s="124"/>
      <c r="D165" s="230"/>
      <c r="E165" s="174"/>
      <c r="F165" s="148"/>
      <c r="G165" s="165" t="str">
        <f t="shared" si="14"/>
        <v/>
      </c>
      <c r="H165" s="124"/>
      <c r="I165" s="241"/>
      <c r="J165" s="125"/>
    </row>
    <row r="166" spans="1:11" ht="14.5" customHeight="1" x14ac:dyDescent="0.35">
      <c r="A166" s="103"/>
      <c r="B166" s="12" t="s">
        <v>4</v>
      </c>
      <c r="C166" s="10" t="s">
        <v>48</v>
      </c>
      <c r="D166" s="152"/>
      <c r="E166" s="170"/>
      <c r="F166" s="95"/>
      <c r="G166" s="153" t="str">
        <f t="shared" si="14"/>
        <v/>
      </c>
      <c r="H166" s="10" t="s">
        <v>20</v>
      </c>
      <c r="I166" s="331">
        <v>1.94</v>
      </c>
      <c r="J166" s="12">
        <f t="shared" ref="J166:J175" si="15">E166*I166</f>
        <v>0</v>
      </c>
    </row>
    <row r="167" spans="1:11" ht="14.5" customHeight="1" x14ac:dyDescent="0.35">
      <c r="A167" s="103"/>
      <c r="B167" s="12" t="s">
        <v>4</v>
      </c>
      <c r="C167" s="10" t="s">
        <v>49</v>
      </c>
      <c r="D167" s="152"/>
      <c r="E167" s="170"/>
      <c r="F167" s="95"/>
      <c r="G167" s="153" t="str">
        <f t="shared" si="14"/>
        <v/>
      </c>
      <c r="H167" s="10" t="s">
        <v>20</v>
      </c>
      <c r="I167" s="331">
        <v>1.94</v>
      </c>
      <c r="J167" s="12">
        <f t="shared" si="15"/>
        <v>0</v>
      </c>
    </row>
    <row r="168" spans="1:11" ht="14.5" customHeight="1" x14ac:dyDescent="0.35">
      <c r="A168" s="103"/>
      <c r="B168" s="12" t="s">
        <v>4</v>
      </c>
      <c r="C168" s="10" t="s">
        <v>50</v>
      </c>
      <c r="D168" s="152"/>
      <c r="E168" s="170"/>
      <c r="F168" s="95"/>
      <c r="G168" s="153" t="str">
        <f t="shared" si="14"/>
        <v/>
      </c>
      <c r="H168" s="10" t="s">
        <v>20</v>
      </c>
      <c r="I168" s="331">
        <v>1.94</v>
      </c>
      <c r="J168" s="12">
        <f t="shared" si="15"/>
        <v>0</v>
      </c>
    </row>
    <row r="169" spans="1:11" ht="14.5" hidden="1" customHeight="1" x14ac:dyDescent="0.35">
      <c r="A169" s="103"/>
      <c r="B169" s="12" t="s">
        <v>4</v>
      </c>
      <c r="C169" s="10" t="s">
        <v>415</v>
      </c>
      <c r="D169" s="152"/>
      <c r="E169" s="170"/>
      <c r="F169" s="95"/>
      <c r="G169" s="153" t="str">
        <f t="shared" si="14"/>
        <v/>
      </c>
      <c r="H169" s="10" t="s">
        <v>20</v>
      </c>
      <c r="I169" s="331">
        <v>1.98</v>
      </c>
      <c r="J169" s="12">
        <f t="shared" si="15"/>
        <v>0</v>
      </c>
    </row>
    <row r="170" spans="1:11" ht="14.5" hidden="1" customHeight="1" x14ac:dyDescent="0.35">
      <c r="A170" s="103"/>
      <c r="B170" s="12" t="s">
        <v>4</v>
      </c>
      <c r="C170" s="10" t="s">
        <v>414</v>
      </c>
      <c r="D170" s="152"/>
      <c r="E170" s="170"/>
      <c r="F170" s="95"/>
      <c r="G170" s="153" t="str">
        <f t="shared" si="14"/>
        <v/>
      </c>
      <c r="H170" s="10" t="s">
        <v>20</v>
      </c>
      <c r="I170" s="331">
        <v>1.98</v>
      </c>
      <c r="J170" s="12">
        <f t="shared" si="15"/>
        <v>0</v>
      </c>
    </row>
    <row r="171" spans="1:11" ht="14.5" hidden="1" customHeight="1" x14ac:dyDescent="0.35">
      <c r="A171" s="103"/>
      <c r="B171" s="12" t="s">
        <v>4</v>
      </c>
      <c r="C171" s="10" t="s">
        <v>328</v>
      </c>
      <c r="D171" s="152"/>
      <c r="E171" s="170"/>
      <c r="F171" s="95"/>
      <c r="G171" s="153" t="str">
        <f t="shared" si="14"/>
        <v/>
      </c>
      <c r="H171" s="10" t="s">
        <v>20</v>
      </c>
      <c r="I171" s="331">
        <v>1.98</v>
      </c>
      <c r="J171" s="12">
        <f t="shared" si="15"/>
        <v>0</v>
      </c>
    </row>
    <row r="172" spans="1:11" ht="14.5" hidden="1" customHeight="1" x14ac:dyDescent="0.35">
      <c r="A172" s="103"/>
      <c r="B172" s="12" t="s">
        <v>4</v>
      </c>
      <c r="C172" s="10" t="s">
        <v>329</v>
      </c>
      <c r="D172" s="152"/>
      <c r="E172" s="170"/>
      <c r="F172" s="95"/>
      <c r="G172" s="153" t="str">
        <f t="shared" si="14"/>
        <v/>
      </c>
      <c r="H172" s="10" t="s">
        <v>20</v>
      </c>
      <c r="I172" s="331">
        <v>1.98</v>
      </c>
      <c r="J172" s="12">
        <f t="shared" si="15"/>
        <v>0</v>
      </c>
    </row>
    <row r="173" spans="1:11" ht="14.5" hidden="1" customHeight="1" x14ac:dyDescent="0.35">
      <c r="A173" s="103"/>
      <c r="B173" s="40" t="s">
        <v>4</v>
      </c>
      <c r="C173" s="41" t="s">
        <v>330</v>
      </c>
      <c r="D173" s="227"/>
      <c r="E173" s="170"/>
      <c r="F173" s="145"/>
      <c r="G173" s="153" t="str">
        <f t="shared" si="14"/>
        <v/>
      </c>
      <c r="H173" s="10" t="s">
        <v>20</v>
      </c>
      <c r="I173" s="331">
        <v>1.98</v>
      </c>
      <c r="J173" s="12">
        <f t="shared" si="15"/>
        <v>0</v>
      </c>
    </row>
    <row r="174" spans="1:11" ht="14.5" hidden="1" customHeight="1" x14ac:dyDescent="0.35">
      <c r="A174" s="103"/>
      <c r="B174" s="40" t="s">
        <v>4</v>
      </c>
      <c r="C174" s="41" t="s">
        <v>331</v>
      </c>
      <c r="D174" s="227"/>
      <c r="E174" s="170"/>
      <c r="F174" s="145"/>
      <c r="G174" s="153" t="str">
        <f t="shared" si="14"/>
        <v/>
      </c>
      <c r="H174" s="10" t="s">
        <v>20</v>
      </c>
      <c r="I174" s="331">
        <v>1.98</v>
      </c>
      <c r="J174" s="12">
        <f t="shared" si="15"/>
        <v>0</v>
      </c>
    </row>
    <row r="175" spans="1:11" ht="14.5" hidden="1" customHeight="1" x14ac:dyDescent="0.35">
      <c r="A175" s="103"/>
      <c r="B175" s="40" t="s">
        <v>4</v>
      </c>
      <c r="C175" s="41" t="s">
        <v>413</v>
      </c>
      <c r="D175" s="227"/>
      <c r="E175" s="170"/>
      <c r="F175" s="145"/>
      <c r="G175" s="153" t="str">
        <f t="shared" si="14"/>
        <v/>
      </c>
      <c r="H175" s="41" t="s">
        <v>20</v>
      </c>
      <c r="I175" s="334">
        <v>1.98</v>
      </c>
      <c r="J175" s="12">
        <f t="shared" si="15"/>
        <v>0</v>
      </c>
    </row>
    <row r="176" spans="1:11" ht="14.5" hidden="1" customHeight="1" x14ac:dyDescent="0.35">
      <c r="A176" s="114" t="s">
        <v>333</v>
      </c>
      <c r="B176" s="120"/>
      <c r="C176" s="120"/>
      <c r="D176" s="228"/>
      <c r="E176" s="175"/>
      <c r="F176" s="149"/>
      <c r="G176" s="153" t="str">
        <f t="shared" si="14"/>
        <v/>
      </c>
      <c r="H176" s="121"/>
      <c r="I176" s="122" t="s">
        <v>18</v>
      </c>
      <c r="J176" s="123">
        <f>SUM(J177:J186)</f>
        <v>0</v>
      </c>
      <c r="K176" s="13"/>
    </row>
    <row r="177" spans="1:14" ht="15.65" hidden="1" customHeight="1" x14ac:dyDescent="0.35">
      <c r="A177" s="103"/>
      <c r="B177" s="12" t="s">
        <v>26</v>
      </c>
      <c r="C177" s="10" t="s">
        <v>334</v>
      </c>
      <c r="D177" s="152"/>
      <c r="E177" s="170"/>
      <c r="F177" s="95"/>
      <c r="G177" s="153" t="str">
        <f t="shared" si="14"/>
        <v/>
      </c>
      <c r="H177" s="10" t="s">
        <v>335</v>
      </c>
      <c r="I177" s="331">
        <v>20</v>
      </c>
      <c r="J177" s="12">
        <f t="shared" ref="J177:J186" si="16">E177*I177</f>
        <v>0</v>
      </c>
    </row>
    <row r="178" spans="1:14" hidden="1" x14ac:dyDescent="0.35">
      <c r="A178" s="103"/>
      <c r="B178" s="20" t="s">
        <v>26</v>
      </c>
      <c r="C178" s="18" t="s">
        <v>53</v>
      </c>
      <c r="D178" s="229"/>
      <c r="E178" s="170"/>
      <c r="F178" s="147"/>
      <c r="G178" s="153" t="str">
        <f t="shared" si="14"/>
        <v/>
      </c>
      <c r="H178" s="18" t="s">
        <v>20</v>
      </c>
      <c r="I178" s="335">
        <v>0.43</v>
      </c>
      <c r="J178" s="20">
        <f t="shared" si="16"/>
        <v>0</v>
      </c>
      <c r="N178" t="s">
        <v>47</v>
      </c>
    </row>
    <row r="179" spans="1:14" hidden="1" x14ac:dyDescent="0.35">
      <c r="A179" s="103"/>
      <c r="B179" s="20" t="s">
        <v>26</v>
      </c>
      <c r="C179" s="18" t="s">
        <v>336</v>
      </c>
      <c r="D179" s="229"/>
      <c r="E179" s="170"/>
      <c r="F179" s="147"/>
      <c r="G179" s="153" t="str">
        <f t="shared" si="14"/>
        <v/>
      </c>
      <c r="H179" s="18" t="s">
        <v>20</v>
      </c>
      <c r="I179" s="335">
        <v>0.43</v>
      </c>
      <c r="J179" s="20">
        <f t="shared" si="16"/>
        <v>0</v>
      </c>
    </row>
    <row r="180" spans="1:14" ht="16.399999999999999" hidden="1" customHeight="1" x14ac:dyDescent="0.35">
      <c r="A180" s="103"/>
      <c r="B180" s="12" t="s">
        <v>26</v>
      </c>
      <c r="C180" s="10" t="s">
        <v>337</v>
      </c>
      <c r="D180" s="152"/>
      <c r="E180" s="170"/>
      <c r="F180" s="95"/>
      <c r="G180" s="153" t="str">
        <f t="shared" si="14"/>
        <v/>
      </c>
      <c r="H180" s="10" t="s">
        <v>20</v>
      </c>
      <c r="I180" s="331">
        <v>0.43</v>
      </c>
      <c r="J180" s="12">
        <f t="shared" si="16"/>
        <v>0</v>
      </c>
    </row>
    <row r="181" spans="1:14" hidden="1" x14ac:dyDescent="0.35">
      <c r="A181" s="103"/>
      <c r="B181" s="12" t="s">
        <v>26</v>
      </c>
      <c r="C181" s="10" t="s">
        <v>51</v>
      </c>
      <c r="D181" s="152"/>
      <c r="E181" s="170"/>
      <c r="F181" s="95"/>
      <c r="G181" s="153" t="str">
        <f t="shared" si="14"/>
        <v/>
      </c>
      <c r="H181" s="10" t="s">
        <v>61</v>
      </c>
      <c r="I181" s="331">
        <v>14</v>
      </c>
      <c r="J181" s="12">
        <f t="shared" si="16"/>
        <v>0</v>
      </c>
    </row>
    <row r="182" spans="1:14" hidden="1" x14ac:dyDescent="0.35">
      <c r="A182" s="103"/>
      <c r="B182" s="12" t="s">
        <v>26</v>
      </c>
      <c r="C182" s="10" t="s">
        <v>338</v>
      </c>
      <c r="D182" s="152"/>
      <c r="E182" s="170"/>
      <c r="F182" s="95"/>
      <c r="G182" s="153" t="str">
        <f t="shared" si="14"/>
        <v/>
      </c>
      <c r="H182" s="10" t="s">
        <v>61</v>
      </c>
      <c r="I182" s="331">
        <v>14.78</v>
      </c>
      <c r="J182" s="12">
        <f t="shared" si="16"/>
        <v>0</v>
      </c>
    </row>
    <row r="183" spans="1:14" hidden="1" x14ac:dyDescent="0.35">
      <c r="A183" s="103"/>
      <c r="B183" s="12" t="s">
        <v>26</v>
      </c>
      <c r="C183" s="10" t="s">
        <v>339</v>
      </c>
      <c r="D183" s="152"/>
      <c r="E183" s="170"/>
      <c r="F183" s="95"/>
      <c r="G183" s="153" t="str">
        <f t="shared" si="14"/>
        <v/>
      </c>
      <c r="H183" s="10" t="s">
        <v>61</v>
      </c>
      <c r="I183" s="331">
        <v>14.78</v>
      </c>
      <c r="J183" s="12">
        <f t="shared" si="16"/>
        <v>0</v>
      </c>
    </row>
    <row r="184" spans="1:14" ht="14.5" hidden="1" customHeight="1" x14ac:dyDescent="0.35">
      <c r="A184" s="103"/>
      <c r="B184" s="12" t="s">
        <v>26</v>
      </c>
      <c r="C184" s="10" t="s">
        <v>340</v>
      </c>
      <c r="D184" s="152"/>
      <c r="E184" s="170"/>
      <c r="F184" s="95"/>
      <c r="G184" s="153" t="str">
        <f t="shared" si="14"/>
        <v/>
      </c>
      <c r="H184" s="10" t="s">
        <v>61</v>
      </c>
      <c r="I184" s="331">
        <v>14.78</v>
      </c>
      <c r="J184" s="12">
        <f t="shared" si="16"/>
        <v>0</v>
      </c>
    </row>
    <row r="185" spans="1:14" hidden="1" x14ac:dyDescent="0.35">
      <c r="A185" s="103"/>
      <c r="B185" s="12" t="s">
        <v>26</v>
      </c>
      <c r="C185" s="10" t="s">
        <v>341</v>
      </c>
      <c r="D185" s="152"/>
      <c r="E185" s="170"/>
      <c r="F185" s="95"/>
      <c r="G185" s="153" t="str">
        <f t="shared" si="14"/>
        <v/>
      </c>
      <c r="H185" s="10" t="s">
        <v>61</v>
      </c>
      <c r="I185" s="331">
        <v>14.78</v>
      </c>
      <c r="J185" s="12">
        <f t="shared" si="16"/>
        <v>0</v>
      </c>
    </row>
    <row r="186" spans="1:14" ht="14.5" hidden="1" customHeight="1" x14ac:dyDescent="0.35">
      <c r="A186" s="103"/>
      <c r="B186" s="12" t="s">
        <v>26</v>
      </c>
      <c r="C186" s="10" t="s">
        <v>342</v>
      </c>
      <c r="D186" s="152"/>
      <c r="E186" s="170"/>
      <c r="F186" s="95"/>
      <c r="G186" s="153" t="str">
        <f t="shared" si="14"/>
        <v/>
      </c>
      <c r="H186" s="10" t="s">
        <v>61</v>
      </c>
      <c r="I186" s="331">
        <v>14.78</v>
      </c>
      <c r="J186" s="10">
        <f t="shared" si="16"/>
        <v>0</v>
      </c>
    </row>
    <row r="187" spans="1:14" ht="15.5" x14ac:dyDescent="0.35">
      <c r="A187" s="108" t="s">
        <v>343</v>
      </c>
      <c r="B187" s="108"/>
      <c r="C187" s="108"/>
      <c r="D187" s="223"/>
      <c r="E187" s="169"/>
      <c r="F187" s="109"/>
      <c r="G187" s="165" t="str">
        <f t="shared" si="14"/>
        <v/>
      </c>
      <c r="H187" s="108"/>
      <c r="I187" s="106" t="s">
        <v>18</v>
      </c>
      <c r="J187" s="107">
        <f>SUM(J188:J192)</f>
        <v>0</v>
      </c>
    </row>
    <row r="188" spans="1:14" ht="14.5" hidden="1" customHeight="1" x14ac:dyDescent="0.35">
      <c r="A188" s="103"/>
      <c r="B188" s="7" t="s">
        <v>6</v>
      </c>
      <c r="C188" s="14" t="s">
        <v>344</v>
      </c>
      <c r="D188" s="152"/>
      <c r="E188" s="170"/>
      <c r="F188" s="95"/>
      <c r="G188" s="153" t="str">
        <f t="shared" si="14"/>
        <v/>
      </c>
      <c r="H188" s="14" t="s">
        <v>20</v>
      </c>
      <c r="I188" s="336">
        <v>0.79</v>
      </c>
      <c r="J188" s="7">
        <f>E188*I188</f>
        <v>0</v>
      </c>
    </row>
    <row r="189" spans="1:14" ht="15.65" customHeight="1" x14ac:dyDescent="0.35">
      <c r="A189" s="103"/>
      <c r="B189" s="7" t="s">
        <v>6</v>
      </c>
      <c r="C189" s="14" t="s">
        <v>345</v>
      </c>
      <c r="D189" s="152">
        <v>10</v>
      </c>
      <c r="E189" s="170"/>
      <c r="F189" s="95"/>
      <c r="G189" s="153" t="str">
        <f t="shared" si="14"/>
        <v/>
      </c>
      <c r="H189" s="14" t="s">
        <v>20</v>
      </c>
      <c r="I189" s="336">
        <v>2.76</v>
      </c>
      <c r="J189" s="7">
        <f>E189*I189</f>
        <v>0</v>
      </c>
    </row>
    <row r="190" spans="1:14" ht="14.5" customHeight="1" x14ac:dyDescent="0.35">
      <c r="A190" s="103"/>
      <c r="B190" s="7" t="s">
        <v>6</v>
      </c>
      <c r="C190" s="14" t="s">
        <v>346</v>
      </c>
      <c r="D190" s="152"/>
      <c r="E190" s="170"/>
      <c r="F190" s="95"/>
      <c r="G190" s="153" t="str">
        <f t="shared" si="14"/>
        <v/>
      </c>
      <c r="H190" s="14" t="s">
        <v>20</v>
      </c>
      <c r="I190" s="336">
        <v>1</v>
      </c>
      <c r="J190" s="7">
        <f>E190*I190</f>
        <v>0</v>
      </c>
    </row>
    <row r="191" spans="1:14" x14ac:dyDescent="0.35">
      <c r="A191" s="103"/>
      <c r="B191" s="7" t="s">
        <v>6</v>
      </c>
      <c r="C191" s="14" t="s">
        <v>34</v>
      </c>
      <c r="D191" s="152">
        <v>10</v>
      </c>
      <c r="E191" s="170"/>
      <c r="F191" s="95"/>
      <c r="G191" s="153" t="str">
        <f t="shared" si="14"/>
        <v/>
      </c>
      <c r="H191" s="14" t="s">
        <v>20</v>
      </c>
      <c r="I191" s="336">
        <v>1.8</v>
      </c>
      <c r="J191" s="7">
        <f>E191*I191</f>
        <v>0</v>
      </c>
    </row>
    <row r="192" spans="1:14" x14ac:dyDescent="0.35">
      <c r="A192" s="103"/>
      <c r="B192" s="7" t="s">
        <v>6</v>
      </c>
      <c r="C192" s="14" t="s">
        <v>35</v>
      </c>
      <c r="D192" s="152">
        <v>10</v>
      </c>
      <c r="E192" s="170"/>
      <c r="F192" s="95"/>
      <c r="G192" s="153" t="str">
        <f t="shared" si="14"/>
        <v/>
      </c>
      <c r="H192" s="14" t="s">
        <v>20</v>
      </c>
      <c r="I192" s="336">
        <v>1.8</v>
      </c>
      <c r="J192" s="7">
        <f>E192*I192</f>
        <v>0</v>
      </c>
    </row>
    <row r="193" spans="1:10" ht="15.5" hidden="1" x14ac:dyDescent="0.35">
      <c r="A193" s="112" t="s">
        <v>347</v>
      </c>
      <c r="B193" s="116"/>
      <c r="C193" s="116"/>
      <c r="D193" s="228"/>
      <c r="E193" s="173"/>
      <c r="F193" s="146"/>
      <c r="G193" s="165" t="str">
        <f t="shared" si="14"/>
        <v/>
      </c>
      <c r="H193" s="117"/>
      <c r="I193" s="118" t="s">
        <v>18</v>
      </c>
      <c r="J193" s="119">
        <f>SUM(J194)</f>
        <v>0</v>
      </c>
    </row>
    <row r="194" spans="1:10" hidden="1" x14ac:dyDescent="0.35">
      <c r="A194" s="103"/>
      <c r="B194" s="12" t="s">
        <v>5</v>
      </c>
      <c r="C194" s="10" t="s">
        <v>55</v>
      </c>
      <c r="D194" s="152"/>
      <c r="E194" s="170"/>
      <c r="F194" s="95"/>
      <c r="G194" s="153" t="str">
        <f t="shared" si="14"/>
        <v/>
      </c>
      <c r="H194" s="10" t="s">
        <v>20</v>
      </c>
      <c r="I194" s="331">
        <v>1.01</v>
      </c>
      <c r="J194" s="12">
        <f>E194*I194</f>
        <v>0</v>
      </c>
    </row>
    <row r="195" spans="1:10" ht="15.5" hidden="1" x14ac:dyDescent="0.35">
      <c r="A195" s="112" t="s">
        <v>348</v>
      </c>
      <c r="B195" s="116"/>
      <c r="C195" s="116"/>
      <c r="D195" s="228"/>
      <c r="E195" s="173"/>
      <c r="F195" s="146"/>
      <c r="G195" s="165" t="str">
        <f t="shared" si="14"/>
        <v/>
      </c>
      <c r="H195" s="117"/>
      <c r="I195" s="118" t="s">
        <v>18</v>
      </c>
      <c r="J195" s="119">
        <f>SUM(J196:J207)</f>
        <v>0</v>
      </c>
    </row>
    <row r="196" spans="1:10" hidden="1" x14ac:dyDescent="0.35">
      <c r="A196" s="103"/>
      <c r="B196" s="20" t="s">
        <v>8</v>
      </c>
      <c r="C196" s="18" t="s">
        <v>349</v>
      </c>
      <c r="D196" s="229"/>
      <c r="E196" s="170"/>
      <c r="F196" s="147"/>
      <c r="G196" s="153" t="str">
        <f t="shared" si="14"/>
        <v/>
      </c>
      <c r="H196" s="18" t="s">
        <v>27</v>
      </c>
      <c r="I196" s="337">
        <v>28.62</v>
      </c>
      <c r="J196" s="12">
        <f t="shared" ref="J196:J207" si="17">E196*I196</f>
        <v>0</v>
      </c>
    </row>
    <row r="197" spans="1:10" hidden="1" x14ac:dyDescent="0.35">
      <c r="A197" s="103"/>
      <c r="B197" s="12" t="s">
        <v>8</v>
      </c>
      <c r="C197" s="10" t="s">
        <v>350</v>
      </c>
      <c r="D197" s="152"/>
      <c r="E197" s="170"/>
      <c r="F197" s="95"/>
      <c r="G197" s="153" t="str">
        <f t="shared" si="14"/>
        <v/>
      </c>
      <c r="H197" s="10" t="s">
        <v>335</v>
      </c>
      <c r="I197" s="338">
        <v>30</v>
      </c>
      <c r="J197" s="12">
        <f t="shared" si="17"/>
        <v>0</v>
      </c>
    </row>
    <row r="198" spans="1:10" hidden="1" x14ac:dyDescent="0.35">
      <c r="A198" s="103"/>
      <c r="B198" s="12" t="s">
        <v>8</v>
      </c>
      <c r="C198" s="10" t="s">
        <v>351</v>
      </c>
      <c r="D198" s="152"/>
      <c r="E198" s="170"/>
      <c r="F198" s="95"/>
      <c r="G198" s="153" t="str">
        <f t="shared" si="14"/>
        <v/>
      </c>
      <c r="H198" s="10" t="s">
        <v>335</v>
      </c>
      <c r="I198" s="331">
        <v>1.1499999999999999</v>
      </c>
      <c r="J198" s="12">
        <f t="shared" si="17"/>
        <v>0</v>
      </c>
    </row>
    <row r="199" spans="1:10" hidden="1" x14ac:dyDescent="0.35">
      <c r="A199" s="103"/>
      <c r="B199" s="12" t="s">
        <v>8</v>
      </c>
      <c r="C199" s="10" t="s">
        <v>352</v>
      </c>
      <c r="D199" s="152"/>
      <c r="E199" s="170"/>
      <c r="F199" s="95"/>
      <c r="G199" s="153" t="str">
        <f t="shared" si="14"/>
        <v/>
      </c>
      <c r="H199" s="10" t="s">
        <v>27</v>
      </c>
      <c r="I199" s="331">
        <v>23.83</v>
      </c>
      <c r="J199" s="12">
        <f t="shared" si="17"/>
        <v>0</v>
      </c>
    </row>
    <row r="200" spans="1:10" hidden="1" x14ac:dyDescent="0.35">
      <c r="A200" s="103"/>
      <c r="B200" s="12" t="s">
        <v>8</v>
      </c>
      <c r="C200" s="10" t="s">
        <v>353</v>
      </c>
      <c r="D200" s="152"/>
      <c r="E200" s="170"/>
      <c r="F200" s="95"/>
      <c r="G200" s="153" t="str">
        <f t="shared" si="14"/>
        <v/>
      </c>
      <c r="H200" s="10" t="s">
        <v>27</v>
      </c>
      <c r="I200" s="331">
        <v>28.89</v>
      </c>
      <c r="J200" s="12">
        <f t="shared" si="17"/>
        <v>0</v>
      </c>
    </row>
    <row r="201" spans="1:10" hidden="1" x14ac:dyDescent="0.35">
      <c r="A201" s="103"/>
      <c r="B201" s="12" t="s">
        <v>8</v>
      </c>
      <c r="C201" s="10" t="s">
        <v>354</v>
      </c>
      <c r="D201" s="152"/>
      <c r="E201" s="170"/>
      <c r="F201" s="95"/>
      <c r="G201" s="153" t="str">
        <f>IF(E201="","",IF(D201-E201&gt;0,D201-E201,""))</f>
        <v/>
      </c>
      <c r="H201" s="10" t="s">
        <v>27</v>
      </c>
      <c r="I201" s="331">
        <v>19.37</v>
      </c>
      <c r="J201" s="12">
        <f>E201*I201</f>
        <v>0</v>
      </c>
    </row>
    <row r="202" spans="1:10" hidden="1" x14ac:dyDescent="0.35">
      <c r="A202" s="103"/>
      <c r="B202" s="12" t="s">
        <v>8</v>
      </c>
      <c r="C202" s="10" t="s">
        <v>429</v>
      </c>
      <c r="D202" s="152"/>
      <c r="E202" s="170"/>
      <c r="F202" s="95"/>
      <c r="G202" s="153"/>
      <c r="H202" s="10" t="s">
        <v>27</v>
      </c>
      <c r="I202" s="331">
        <v>14.07</v>
      </c>
      <c r="J202" s="12"/>
    </row>
    <row r="203" spans="1:10" hidden="1" x14ac:dyDescent="0.35">
      <c r="A203" s="103"/>
      <c r="B203" s="12" t="s">
        <v>8</v>
      </c>
      <c r="C203" s="10" t="s">
        <v>430</v>
      </c>
      <c r="D203" s="152"/>
      <c r="E203" s="170"/>
      <c r="F203" s="95"/>
      <c r="G203" s="153"/>
      <c r="H203" s="10" t="s">
        <v>27</v>
      </c>
      <c r="I203" s="331">
        <v>16.07</v>
      </c>
      <c r="J203" s="12"/>
    </row>
    <row r="204" spans="1:10" hidden="1" x14ac:dyDescent="0.35">
      <c r="A204" s="103"/>
      <c r="B204" s="12" t="s">
        <v>8</v>
      </c>
      <c r="C204" s="10" t="s">
        <v>431</v>
      </c>
      <c r="D204" s="152"/>
      <c r="G204" s="153"/>
      <c r="H204" s="10" t="s">
        <v>27</v>
      </c>
      <c r="I204" s="339">
        <v>14.62</v>
      </c>
      <c r="J204" s="12"/>
    </row>
    <row r="205" spans="1:10" hidden="1" x14ac:dyDescent="0.35">
      <c r="A205" s="103"/>
      <c r="B205" s="12" t="s">
        <v>8</v>
      </c>
      <c r="C205" s="10" t="s">
        <v>355</v>
      </c>
      <c r="D205" s="152"/>
      <c r="E205" s="170"/>
      <c r="F205" s="95"/>
      <c r="G205" s="153" t="str">
        <f t="shared" si="14"/>
        <v/>
      </c>
      <c r="H205" s="10" t="s">
        <v>61</v>
      </c>
      <c r="I205" s="331">
        <v>17.11</v>
      </c>
      <c r="J205" s="12">
        <f t="shared" si="17"/>
        <v>0</v>
      </c>
    </row>
    <row r="206" spans="1:10" hidden="1" x14ac:dyDescent="0.35">
      <c r="A206" s="103"/>
      <c r="B206" s="12" t="s">
        <v>8</v>
      </c>
      <c r="C206" s="10" t="s">
        <v>356</v>
      </c>
      <c r="D206" s="152"/>
      <c r="E206" s="170"/>
      <c r="F206" s="95"/>
      <c r="G206" s="153" t="str">
        <f t="shared" si="14"/>
        <v/>
      </c>
      <c r="H206" s="10" t="s">
        <v>61</v>
      </c>
      <c r="I206" s="331">
        <v>22.13</v>
      </c>
      <c r="J206" s="12">
        <f t="shared" si="17"/>
        <v>0</v>
      </c>
    </row>
    <row r="207" spans="1:10" hidden="1" x14ac:dyDescent="0.35">
      <c r="A207" s="103"/>
      <c r="B207" s="40" t="s">
        <v>8</v>
      </c>
      <c r="C207" s="41" t="s">
        <v>357</v>
      </c>
      <c r="D207" s="227"/>
      <c r="E207" s="170"/>
      <c r="F207" s="145"/>
      <c r="G207" s="153" t="str">
        <f t="shared" si="14"/>
        <v/>
      </c>
      <c r="H207" s="41" t="s">
        <v>61</v>
      </c>
      <c r="I207" s="334">
        <v>18.8</v>
      </c>
      <c r="J207" s="40">
        <f t="shared" si="17"/>
        <v>0</v>
      </c>
    </row>
    <row r="208" spans="1:10" ht="15.5" hidden="1" x14ac:dyDescent="0.35">
      <c r="A208" s="112" t="s">
        <v>358</v>
      </c>
      <c r="B208" s="116"/>
      <c r="C208" s="116"/>
      <c r="D208" s="228"/>
      <c r="E208" s="173"/>
      <c r="F208" s="146"/>
      <c r="G208" s="165" t="str">
        <f t="shared" si="14"/>
        <v/>
      </c>
      <c r="H208" s="117"/>
      <c r="I208" s="118" t="s">
        <v>18</v>
      </c>
      <c r="J208" s="119">
        <f>J209+J210+J211+J212+J213</f>
        <v>0</v>
      </c>
    </row>
    <row r="209" spans="1:10" hidden="1" x14ac:dyDescent="0.35">
      <c r="A209" s="103"/>
      <c r="B209" s="13" t="s">
        <v>11</v>
      </c>
      <c r="C209" s="298" t="s">
        <v>359</v>
      </c>
      <c r="D209" s="299"/>
      <c r="E209" s="300"/>
      <c r="F209" s="301"/>
      <c r="G209" s="302" t="str">
        <f t="shared" si="14"/>
        <v/>
      </c>
      <c r="H209" s="41" t="s">
        <v>52</v>
      </c>
      <c r="I209" s="334">
        <v>11.63</v>
      </c>
      <c r="J209" s="40">
        <f>E209*I209</f>
        <v>0</v>
      </c>
    </row>
    <row r="210" spans="1:10" hidden="1" x14ac:dyDescent="0.35">
      <c r="A210" s="103"/>
      <c r="B210" s="12" t="s">
        <v>11</v>
      </c>
      <c r="C210" s="10" t="s">
        <v>436</v>
      </c>
      <c r="D210" s="152"/>
      <c r="E210" s="170"/>
      <c r="F210" s="95"/>
      <c r="G210" s="153"/>
      <c r="H210" s="10" t="s">
        <v>52</v>
      </c>
      <c r="I210" s="331">
        <v>16.8</v>
      </c>
      <c r="J210" s="40">
        <f t="shared" ref="J210:J213" si="18">E210*I210</f>
        <v>0</v>
      </c>
    </row>
    <row r="211" spans="1:10" hidden="1" x14ac:dyDescent="0.35">
      <c r="A211" s="103"/>
      <c r="B211" s="12" t="s">
        <v>11</v>
      </c>
      <c r="C211" s="10" t="s">
        <v>437</v>
      </c>
      <c r="D211" s="152"/>
      <c r="E211" s="170"/>
      <c r="F211" s="95"/>
      <c r="G211" s="153"/>
      <c r="H211" s="10" t="s">
        <v>440</v>
      </c>
      <c r="I211" s="331">
        <v>9.35</v>
      </c>
      <c r="J211" s="40">
        <f>E211*I211</f>
        <v>0</v>
      </c>
    </row>
    <row r="212" spans="1:10" hidden="1" x14ac:dyDescent="0.35">
      <c r="A212" s="103"/>
      <c r="B212" s="12" t="s">
        <v>11</v>
      </c>
      <c r="C212" s="10" t="s">
        <v>438</v>
      </c>
      <c r="D212" s="152"/>
      <c r="E212" s="170"/>
      <c r="F212" s="95"/>
      <c r="G212" s="153"/>
      <c r="H212" s="10" t="s">
        <v>52</v>
      </c>
      <c r="I212" s="331">
        <v>87</v>
      </c>
      <c r="J212" s="40">
        <f t="shared" si="18"/>
        <v>0</v>
      </c>
    </row>
    <row r="213" spans="1:10" hidden="1" x14ac:dyDescent="0.35">
      <c r="A213" s="103"/>
      <c r="B213" s="12" t="s">
        <v>11</v>
      </c>
      <c r="C213" s="10" t="s">
        <v>439</v>
      </c>
      <c r="D213" s="152"/>
      <c r="E213" s="170"/>
      <c r="F213" s="95"/>
      <c r="G213" s="153"/>
      <c r="H213" s="10" t="s">
        <v>52</v>
      </c>
      <c r="I213" s="331">
        <v>55</v>
      </c>
      <c r="J213" s="40">
        <f t="shared" si="18"/>
        <v>0</v>
      </c>
    </row>
    <row r="214" spans="1:10" ht="15.5" hidden="1" x14ac:dyDescent="0.35">
      <c r="A214" s="108" t="s">
        <v>360</v>
      </c>
      <c r="B214" s="108"/>
      <c r="C214" s="108"/>
      <c r="D214" s="223"/>
      <c r="E214" s="169"/>
      <c r="F214" s="109"/>
      <c r="G214" s="310" t="str">
        <f t="shared" si="14"/>
        <v/>
      </c>
      <c r="H214" s="108"/>
      <c r="I214" s="106" t="s">
        <v>18</v>
      </c>
      <c r="J214" s="107">
        <f>SUM(J215:J216)</f>
        <v>0</v>
      </c>
    </row>
    <row r="215" spans="1:10" hidden="1" x14ac:dyDescent="0.35">
      <c r="A215" s="103"/>
      <c r="B215" s="12" t="s">
        <v>12</v>
      </c>
      <c r="C215" s="10" t="s">
        <v>70</v>
      </c>
      <c r="D215" s="152"/>
      <c r="E215" s="170"/>
      <c r="F215" s="95"/>
      <c r="G215" s="153" t="str">
        <f t="shared" si="14"/>
        <v/>
      </c>
      <c r="H215" s="10" t="s">
        <v>27</v>
      </c>
      <c r="I215" s="331">
        <v>20.7</v>
      </c>
      <c r="J215" s="12">
        <f>+E215*I215</f>
        <v>0</v>
      </c>
    </row>
    <row r="216" spans="1:10" hidden="1" x14ac:dyDescent="0.35">
      <c r="A216" s="103"/>
      <c r="B216" s="12" t="s">
        <v>12</v>
      </c>
      <c r="C216" s="10" t="s">
        <v>71</v>
      </c>
      <c r="D216" s="152"/>
      <c r="E216" s="170"/>
      <c r="F216" s="95"/>
      <c r="G216" s="153" t="str">
        <f t="shared" si="14"/>
        <v/>
      </c>
      <c r="H216" s="10" t="s">
        <v>27</v>
      </c>
      <c r="I216" s="331">
        <v>13.7</v>
      </c>
      <c r="J216" s="12">
        <f>+E216*I216</f>
        <v>0</v>
      </c>
    </row>
    <row r="217" spans="1:10" ht="15.5" hidden="1" x14ac:dyDescent="0.35">
      <c r="A217" s="108" t="s">
        <v>361</v>
      </c>
      <c r="B217" s="108"/>
      <c r="C217" s="108"/>
      <c r="D217" s="223"/>
      <c r="E217" s="169"/>
      <c r="F217" s="109"/>
      <c r="G217" s="153" t="str">
        <f t="shared" si="14"/>
        <v/>
      </c>
      <c r="H217" s="108"/>
      <c r="I217" s="106" t="s">
        <v>18</v>
      </c>
      <c r="J217" s="107">
        <f>SUM(J218:J221)</f>
        <v>0</v>
      </c>
    </row>
    <row r="218" spans="1:10" hidden="1" x14ac:dyDescent="0.35">
      <c r="A218" s="103"/>
      <c r="B218" s="12" t="s">
        <v>10</v>
      </c>
      <c r="C218" s="10" t="s">
        <v>362</v>
      </c>
      <c r="D218" s="152"/>
      <c r="E218" s="170"/>
      <c r="F218" s="95"/>
      <c r="G218" s="153" t="str">
        <f t="shared" si="14"/>
        <v/>
      </c>
      <c r="H218" s="10" t="s">
        <v>20</v>
      </c>
      <c r="I218" s="331">
        <v>11.08</v>
      </c>
      <c r="J218" s="12">
        <f>E218*I218</f>
        <v>0</v>
      </c>
    </row>
    <row r="219" spans="1:10" hidden="1" x14ac:dyDescent="0.35">
      <c r="A219" s="103"/>
      <c r="B219" s="12" t="s">
        <v>10</v>
      </c>
      <c r="C219" s="10" t="s">
        <v>363</v>
      </c>
      <c r="D219" s="152"/>
      <c r="E219" s="170"/>
      <c r="F219" s="95"/>
      <c r="G219" s="153" t="str">
        <f t="shared" si="14"/>
        <v/>
      </c>
      <c r="H219" s="10" t="s">
        <v>27</v>
      </c>
      <c r="I219" s="331">
        <v>16.21</v>
      </c>
      <c r="J219" s="12">
        <f>E219*I219</f>
        <v>0</v>
      </c>
    </row>
    <row r="220" spans="1:10" hidden="1" x14ac:dyDescent="0.35">
      <c r="A220" s="103"/>
      <c r="B220" s="12" t="s">
        <v>10</v>
      </c>
      <c r="C220" s="10" t="s">
        <v>364</v>
      </c>
      <c r="D220" s="152"/>
      <c r="E220" s="170"/>
      <c r="F220" s="95"/>
      <c r="G220" s="153" t="str">
        <f t="shared" si="14"/>
        <v/>
      </c>
      <c r="H220" s="10" t="s">
        <v>27</v>
      </c>
      <c r="I220" s="331">
        <v>19.350000000000001</v>
      </c>
      <c r="J220" s="12">
        <f>E220*I220</f>
        <v>0</v>
      </c>
    </row>
    <row r="221" spans="1:10" hidden="1" x14ac:dyDescent="0.35">
      <c r="A221" s="103"/>
      <c r="B221" s="12" t="s">
        <v>10</v>
      </c>
      <c r="C221" s="10" t="s">
        <v>365</v>
      </c>
      <c r="D221" s="152"/>
      <c r="E221" s="170"/>
      <c r="F221" s="95"/>
      <c r="G221" s="153" t="str">
        <f t="shared" si="14"/>
        <v/>
      </c>
      <c r="H221" s="10" t="s">
        <v>27</v>
      </c>
      <c r="I221" s="331">
        <v>19.809999999999999</v>
      </c>
      <c r="J221" s="12">
        <f>E221*I221</f>
        <v>0</v>
      </c>
    </row>
    <row r="222" spans="1:10" ht="15.5" hidden="1" x14ac:dyDescent="0.35">
      <c r="A222" s="108" t="s">
        <v>366</v>
      </c>
      <c r="B222" s="108"/>
      <c r="C222" s="108"/>
      <c r="D222" s="223"/>
      <c r="E222" s="169"/>
      <c r="F222" s="109"/>
      <c r="G222" s="165" t="str">
        <f t="shared" si="14"/>
        <v/>
      </c>
      <c r="H222" s="108"/>
      <c r="I222" s="106" t="s">
        <v>18</v>
      </c>
      <c r="J222" s="107">
        <f>J223</f>
        <v>0</v>
      </c>
    </row>
    <row r="223" spans="1:10" hidden="1" x14ac:dyDescent="0.35">
      <c r="A223" s="103"/>
      <c r="B223" s="12" t="s">
        <v>28</v>
      </c>
      <c r="C223" s="10" t="s">
        <v>29</v>
      </c>
      <c r="D223" s="152"/>
      <c r="E223" s="170"/>
      <c r="F223" s="150"/>
      <c r="G223" s="153" t="str">
        <f t="shared" si="14"/>
        <v/>
      </c>
      <c r="H223" s="10" t="s">
        <v>54</v>
      </c>
      <c r="I223" s="331">
        <v>104</v>
      </c>
      <c r="J223" s="12">
        <f>I223*E223</f>
        <v>0</v>
      </c>
    </row>
    <row r="224" spans="1:10" ht="15.5" x14ac:dyDescent="0.35">
      <c r="A224" s="108" t="s">
        <v>367</v>
      </c>
      <c r="B224" s="108"/>
      <c r="C224" s="108"/>
      <c r="D224" s="223"/>
      <c r="E224" s="169"/>
      <c r="F224" s="109"/>
      <c r="G224" s="165" t="str">
        <f t="shared" ref="G224:G257" si="19">IF(E224="","",IF(D224-E224&gt;0,D224-E224,""))</f>
        <v/>
      </c>
      <c r="H224" s="108"/>
      <c r="I224" s="106" t="s">
        <v>18</v>
      </c>
      <c r="J224" s="115">
        <f>SUM(J225:J244)</f>
        <v>0</v>
      </c>
    </row>
    <row r="225" spans="1:10" x14ac:dyDescent="0.35">
      <c r="A225" s="103"/>
      <c r="B225" s="12" t="s">
        <v>9</v>
      </c>
      <c r="C225" s="10" t="s">
        <v>423</v>
      </c>
      <c r="D225" s="152"/>
      <c r="E225" s="170"/>
      <c r="F225" s="95"/>
      <c r="G225" s="153" t="str">
        <f t="shared" si="19"/>
        <v/>
      </c>
      <c r="H225" s="10" t="s">
        <v>20</v>
      </c>
      <c r="I225" s="331">
        <v>78</v>
      </c>
      <c r="J225" s="50">
        <f t="shared" ref="J225:J244" si="20">E225*I225</f>
        <v>0</v>
      </c>
    </row>
    <row r="226" spans="1:10" x14ac:dyDescent="0.35">
      <c r="A226" s="103"/>
      <c r="B226" s="12" t="s">
        <v>9</v>
      </c>
      <c r="C226" s="10" t="s">
        <v>424</v>
      </c>
      <c r="D226" s="152"/>
      <c r="E226" s="170"/>
      <c r="F226" s="95"/>
      <c r="G226" s="153" t="str">
        <f t="shared" si="19"/>
        <v/>
      </c>
      <c r="H226" s="10" t="s">
        <v>61</v>
      </c>
      <c r="I226" s="340">
        <v>107.12</v>
      </c>
      <c r="J226" s="50">
        <f t="shared" si="20"/>
        <v>0</v>
      </c>
    </row>
    <row r="227" spans="1:10" x14ac:dyDescent="0.35">
      <c r="A227" s="103"/>
      <c r="B227" s="12" t="s">
        <v>9</v>
      </c>
      <c r="C227" s="10" t="s">
        <v>369</v>
      </c>
      <c r="D227" s="152"/>
      <c r="E227" s="170"/>
      <c r="F227" s="95"/>
      <c r="G227" s="153" t="str">
        <f t="shared" si="19"/>
        <v/>
      </c>
      <c r="H227" s="10" t="s">
        <v>20</v>
      </c>
      <c r="I227" s="331">
        <v>0.04</v>
      </c>
      <c r="J227" s="50">
        <f t="shared" si="20"/>
        <v>0</v>
      </c>
    </row>
    <row r="228" spans="1:10" x14ac:dyDescent="0.35">
      <c r="A228" s="103"/>
      <c r="B228" s="12" t="s">
        <v>9</v>
      </c>
      <c r="C228" s="10" t="s">
        <v>370</v>
      </c>
      <c r="D228" s="152"/>
      <c r="E228" s="170"/>
      <c r="F228" s="95"/>
      <c r="G228" s="153" t="str">
        <f t="shared" si="19"/>
        <v/>
      </c>
      <c r="H228" s="10" t="s">
        <v>20</v>
      </c>
      <c r="I228" s="331">
        <v>7.0999999999999994E-2</v>
      </c>
      <c r="J228" s="50">
        <f t="shared" si="20"/>
        <v>0</v>
      </c>
    </row>
    <row r="229" spans="1:10" hidden="1" x14ac:dyDescent="0.35">
      <c r="A229" s="103"/>
      <c r="B229" s="12" t="s">
        <v>9</v>
      </c>
      <c r="C229" s="10" t="s">
        <v>411</v>
      </c>
      <c r="D229" s="152"/>
      <c r="E229" s="170"/>
      <c r="F229" s="95"/>
      <c r="G229" s="153"/>
      <c r="H229" s="10" t="s">
        <v>20</v>
      </c>
      <c r="I229" s="331">
        <v>1.97</v>
      </c>
      <c r="J229" s="50"/>
    </row>
    <row r="230" spans="1:10" hidden="1" x14ac:dyDescent="0.35">
      <c r="A230" s="103"/>
      <c r="B230" s="12" t="s">
        <v>9</v>
      </c>
      <c r="C230" s="10" t="s">
        <v>371</v>
      </c>
      <c r="D230" s="152"/>
      <c r="E230" s="170"/>
      <c r="F230" s="95"/>
      <c r="G230" s="153" t="str">
        <f t="shared" si="19"/>
        <v/>
      </c>
      <c r="H230" s="10" t="s">
        <v>61</v>
      </c>
      <c r="I230" s="331">
        <v>163.80000000000001</v>
      </c>
      <c r="J230" s="50">
        <f t="shared" si="20"/>
        <v>0</v>
      </c>
    </row>
    <row r="231" spans="1:10" hidden="1" x14ac:dyDescent="0.35">
      <c r="A231" s="103"/>
      <c r="B231" s="12" t="s">
        <v>9</v>
      </c>
      <c r="C231" s="10" t="s">
        <v>410</v>
      </c>
      <c r="D231" s="152"/>
      <c r="E231" s="170"/>
      <c r="F231" s="151"/>
      <c r="G231" s="153" t="str">
        <f t="shared" si="19"/>
        <v/>
      </c>
      <c r="H231" s="10" t="s">
        <v>61</v>
      </c>
      <c r="I231" s="331">
        <v>49.33</v>
      </c>
      <c r="J231" s="50">
        <f t="shared" si="20"/>
        <v>0</v>
      </c>
    </row>
    <row r="232" spans="1:10" hidden="1" x14ac:dyDescent="0.35">
      <c r="A232" s="103"/>
      <c r="B232" s="12" t="s">
        <v>9</v>
      </c>
      <c r="C232" s="10" t="s">
        <v>373</v>
      </c>
      <c r="D232" s="152"/>
      <c r="E232" s="170"/>
      <c r="F232" s="151"/>
      <c r="G232" s="153" t="str">
        <f t="shared" si="19"/>
        <v/>
      </c>
      <c r="H232" s="10" t="s">
        <v>61</v>
      </c>
      <c r="I232" s="331">
        <v>105.6</v>
      </c>
      <c r="J232" s="50">
        <f t="shared" si="20"/>
        <v>0</v>
      </c>
    </row>
    <row r="233" spans="1:10" hidden="1" x14ac:dyDescent="0.35">
      <c r="A233" s="103"/>
      <c r="B233" s="12" t="s">
        <v>9</v>
      </c>
      <c r="C233" s="10" t="s">
        <v>374</v>
      </c>
      <c r="D233" s="152"/>
      <c r="E233" s="170"/>
      <c r="F233" s="151"/>
      <c r="G233" s="153" t="str">
        <f t="shared" si="19"/>
        <v/>
      </c>
      <c r="H233" s="10" t="s">
        <v>61</v>
      </c>
      <c r="I233" s="331">
        <v>114.75</v>
      </c>
      <c r="J233" s="50">
        <f t="shared" si="20"/>
        <v>0</v>
      </c>
    </row>
    <row r="234" spans="1:10" hidden="1" x14ac:dyDescent="0.35">
      <c r="A234" s="103"/>
      <c r="B234" s="12" t="s">
        <v>9</v>
      </c>
      <c r="C234" s="10" t="s">
        <v>375</v>
      </c>
      <c r="D234" s="152"/>
      <c r="E234" s="170"/>
      <c r="F234" s="95"/>
      <c r="G234" s="153" t="str">
        <f t="shared" si="19"/>
        <v/>
      </c>
      <c r="H234" s="10" t="s">
        <v>61</v>
      </c>
      <c r="I234" s="331">
        <v>105.55</v>
      </c>
      <c r="J234" s="50">
        <f t="shared" si="20"/>
        <v>0</v>
      </c>
    </row>
    <row r="235" spans="1:10" hidden="1" x14ac:dyDescent="0.35">
      <c r="A235" s="103"/>
      <c r="B235" s="12" t="s">
        <v>9</v>
      </c>
      <c r="C235" s="10" t="s">
        <v>376</v>
      </c>
      <c r="D235" s="152"/>
      <c r="E235" s="170"/>
      <c r="F235" s="95"/>
      <c r="G235" s="153" t="str">
        <f t="shared" si="19"/>
        <v/>
      </c>
      <c r="H235" s="10" t="s">
        <v>61</v>
      </c>
      <c r="I235" s="331">
        <v>33.25</v>
      </c>
      <c r="J235" s="50">
        <f t="shared" si="20"/>
        <v>0</v>
      </c>
    </row>
    <row r="236" spans="1:10" hidden="1" x14ac:dyDescent="0.35">
      <c r="A236" s="103"/>
      <c r="B236" s="12" t="s">
        <v>9</v>
      </c>
      <c r="C236" s="10" t="s">
        <v>377</v>
      </c>
      <c r="D236" s="152"/>
      <c r="E236" s="170"/>
      <c r="F236" s="95"/>
      <c r="G236" s="153" t="str">
        <f t="shared" si="19"/>
        <v/>
      </c>
      <c r="H236" s="10" t="s">
        <v>20</v>
      </c>
      <c r="I236" s="331">
        <v>0.28999999999999998</v>
      </c>
      <c r="J236" s="50">
        <f t="shared" si="20"/>
        <v>0</v>
      </c>
    </row>
    <row r="237" spans="1:10" hidden="1" x14ac:dyDescent="0.35">
      <c r="A237" s="103"/>
      <c r="B237" s="12" t="s">
        <v>9</v>
      </c>
      <c r="C237" s="10" t="s">
        <v>378</v>
      </c>
      <c r="D237" s="152"/>
      <c r="E237" s="170"/>
      <c r="F237" s="95"/>
      <c r="G237" s="153" t="str">
        <f t="shared" si="19"/>
        <v/>
      </c>
      <c r="H237" s="10" t="s">
        <v>61</v>
      </c>
      <c r="I237" s="336">
        <v>37.85</v>
      </c>
      <c r="J237" s="50">
        <f t="shared" si="20"/>
        <v>0</v>
      </c>
    </row>
    <row r="238" spans="1:10" x14ac:dyDescent="0.35">
      <c r="A238" s="103"/>
      <c r="B238" s="12" t="s">
        <v>9</v>
      </c>
      <c r="C238" s="10" t="s">
        <v>425</v>
      </c>
      <c r="D238" s="152">
        <v>1</v>
      </c>
      <c r="E238" s="170"/>
      <c r="F238" s="95"/>
      <c r="G238" s="153" t="str">
        <f t="shared" si="19"/>
        <v/>
      </c>
      <c r="H238" s="10" t="s">
        <v>61</v>
      </c>
      <c r="I238" s="336">
        <v>111.47</v>
      </c>
      <c r="J238" s="50">
        <f t="shared" si="20"/>
        <v>0</v>
      </c>
    </row>
    <row r="239" spans="1:10" hidden="1" x14ac:dyDescent="0.35">
      <c r="A239" s="103"/>
      <c r="B239" s="12" t="s">
        <v>9</v>
      </c>
      <c r="C239" s="10" t="s">
        <v>379</v>
      </c>
      <c r="D239" s="152"/>
      <c r="E239" s="170"/>
      <c r="F239" s="95"/>
      <c r="G239" s="153" t="str">
        <f t="shared" si="19"/>
        <v/>
      </c>
      <c r="H239" s="10" t="s">
        <v>61</v>
      </c>
      <c r="I239" s="336">
        <v>174.97</v>
      </c>
      <c r="J239" s="50">
        <f t="shared" si="20"/>
        <v>0</v>
      </c>
    </row>
    <row r="240" spans="1:10" hidden="1" x14ac:dyDescent="0.35">
      <c r="A240" s="103"/>
      <c r="B240" s="12" t="s">
        <v>9</v>
      </c>
      <c r="C240" s="10" t="s">
        <v>380</v>
      </c>
      <c r="D240" s="152"/>
      <c r="E240" s="170"/>
      <c r="F240" s="95"/>
      <c r="G240" s="153" t="str">
        <f t="shared" si="19"/>
        <v/>
      </c>
      <c r="H240" s="10" t="s">
        <v>61</v>
      </c>
      <c r="I240" s="336">
        <v>44.93</v>
      </c>
      <c r="J240" s="50">
        <f t="shared" si="20"/>
        <v>0</v>
      </c>
    </row>
    <row r="241" spans="1:10" hidden="1" x14ac:dyDescent="0.35">
      <c r="A241" s="103"/>
      <c r="B241" s="12" t="s">
        <v>9</v>
      </c>
      <c r="C241" s="10" t="s">
        <v>426</v>
      </c>
      <c r="D241" s="152"/>
      <c r="E241" s="170"/>
      <c r="F241" s="95"/>
      <c r="G241" s="153" t="str">
        <f t="shared" si="19"/>
        <v/>
      </c>
      <c r="H241" s="10" t="s">
        <v>20</v>
      </c>
      <c r="I241" s="336">
        <v>29.2</v>
      </c>
      <c r="J241" s="50">
        <f t="shared" si="20"/>
        <v>0</v>
      </c>
    </row>
    <row r="242" spans="1:10" hidden="1" x14ac:dyDescent="0.35">
      <c r="A242" s="103"/>
      <c r="B242" s="12" t="s">
        <v>9</v>
      </c>
      <c r="C242" s="10" t="s">
        <v>427</v>
      </c>
      <c r="D242" s="152"/>
      <c r="E242" s="170"/>
      <c r="F242" s="95"/>
      <c r="G242" s="153" t="str">
        <f t="shared" si="19"/>
        <v/>
      </c>
      <c r="H242" s="10" t="s">
        <v>20</v>
      </c>
      <c r="I242" s="336">
        <v>19.03</v>
      </c>
      <c r="J242" s="50">
        <f t="shared" si="20"/>
        <v>0</v>
      </c>
    </row>
    <row r="243" spans="1:10" hidden="1" x14ac:dyDescent="0.35">
      <c r="A243" s="103"/>
      <c r="B243" s="12" t="s">
        <v>9</v>
      </c>
      <c r="C243" s="10" t="s">
        <v>428</v>
      </c>
      <c r="D243" s="152"/>
      <c r="E243" s="170"/>
      <c r="F243" s="95"/>
      <c r="G243" s="153" t="str">
        <f t="shared" si="19"/>
        <v/>
      </c>
      <c r="H243" s="10" t="s">
        <v>20</v>
      </c>
      <c r="I243" s="336">
        <v>8.4600000000000009</v>
      </c>
      <c r="J243" s="50">
        <f t="shared" si="20"/>
        <v>0</v>
      </c>
    </row>
    <row r="244" spans="1:10" hidden="1" x14ac:dyDescent="0.35">
      <c r="A244" s="103"/>
      <c r="B244" s="12" t="s">
        <v>9</v>
      </c>
      <c r="C244" s="10" t="s">
        <v>381</v>
      </c>
      <c r="D244" s="152"/>
      <c r="E244" s="170"/>
      <c r="F244" s="95"/>
      <c r="G244" s="153" t="str">
        <f t="shared" si="19"/>
        <v/>
      </c>
      <c r="H244" s="10" t="s">
        <v>20</v>
      </c>
      <c r="I244" s="336">
        <v>0.02</v>
      </c>
      <c r="J244" s="50">
        <f t="shared" si="20"/>
        <v>0</v>
      </c>
    </row>
    <row r="245" spans="1:10" ht="15.5" x14ac:dyDescent="0.35">
      <c r="A245" s="108" t="s">
        <v>382</v>
      </c>
      <c r="B245" s="108"/>
      <c r="C245" s="108"/>
      <c r="D245" s="223"/>
      <c r="E245" s="169"/>
      <c r="F245" s="109"/>
      <c r="G245" s="165" t="str">
        <f t="shared" si="19"/>
        <v/>
      </c>
      <c r="H245" s="108"/>
      <c r="I245" s="106" t="s">
        <v>18</v>
      </c>
      <c r="J245" s="107">
        <f>SUM(J246:J256)</f>
        <v>0</v>
      </c>
    </row>
    <row r="246" spans="1:10" x14ac:dyDescent="0.35">
      <c r="A246" s="103"/>
      <c r="B246" s="12" t="s">
        <v>31</v>
      </c>
      <c r="C246" s="10" t="s">
        <v>383</v>
      </c>
      <c r="D246" s="152"/>
      <c r="E246" s="170"/>
      <c r="F246" s="95"/>
      <c r="G246" s="153" t="str">
        <f t="shared" si="19"/>
        <v/>
      </c>
      <c r="H246" s="10" t="s">
        <v>20</v>
      </c>
      <c r="I246" s="331">
        <v>5.5</v>
      </c>
      <c r="J246" s="12">
        <f t="shared" ref="J246:J256" si="21">E246*I246</f>
        <v>0</v>
      </c>
    </row>
    <row r="247" spans="1:10" x14ac:dyDescent="0.35">
      <c r="A247" s="103"/>
      <c r="B247" s="12" t="s">
        <v>31</v>
      </c>
      <c r="C247" s="10" t="s">
        <v>39</v>
      </c>
      <c r="D247" s="152">
        <v>1</v>
      </c>
      <c r="E247" s="170"/>
      <c r="F247" s="95"/>
      <c r="G247" s="153" t="str">
        <f t="shared" si="19"/>
        <v/>
      </c>
      <c r="H247" s="10" t="s">
        <v>20</v>
      </c>
      <c r="I247" s="331">
        <v>4.55</v>
      </c>
      <c r="J247" s="12">
        <f t="shared" si="21"/>
        <v>0</v>
      </c>
    </row>
    <row r="248" spans="1:10" x14ac:dyDescent="0.35">
      <c r="A248" s="103"/>
      <c r="B248" s="12" t="s">
        <v>31</v>
      </c>
      <c r="C248" s="10" t="s">
        <v>422</v>
      </c>
      <c r="D248" s="152">
        <v>1</v>
      </c>
      <c r="E248" s="170"/>
      <c r="F248" s="95"/>
      <c r="G248" s="153" t="str">
        <f t="shared" si="19"/>
        <v/>
      </c>
      <c r="H248" s="10" t="s">
        <v>20</v>
      </c>
      <c r="I248" s="331">
        <v>3.7</v>
      </c>
      <c r="J248" s="12">
        <f t="shared" si="21"/>
        <v>0</v>
      </c>
    </row>
    <row r="249" spans="1:10" x14ac:dyDescent="0.35">
      <c r="A249" s="103"/>
      <c r="B249" s="12" t="s">
        <v>31</v>
      </c>
      <c r="C249" s="10" t="s">
        <v>67</v>
      </c>
      <c r="D249" s="152"/>
      <c r="E249" s="170"/>
      <c r="F249" s="95"/>
      <c r="G249" s="153" t="str">
        <f t="shared" si="19"/>
        <v/>
      </c>
      <c r="H249" s="10" t="s">
        <v>20</v>
      </c>
      <c r="I249" s="331">
        <v>15.56</v>
      </c>
      <c r="J249" s="12">
        <f t="shared" si="21"/>
        <v>0</v>
      </c>
    </row>
    <row r="250" spans="1:10" hidden="1" x14ac:dyDescent="0.35">
      <c r="A250" s="103"/>
      <c r="B250" s="12" t="s">
        <v>31</v>
      </c>
      <c r="C250" s="10" t="s">
        <v>384</v>
      </c>
      <c r="D250" s="152"/>
      <c r="E250" s="170"/>
      <c r="F250" s="95"/>
      <c r="G250" s="153" t="str">
        <f t="shared" si="19"/>
        <v/>
      </c>
      <c r="H250" s="10" t="s">
        <v>20</v>
      </c>
      <c r="I250" s="331">
        <v>0.8</v>
      </c>
      <c r="J250" s="12">
        <f t="shared" si="21"/>
        <v>0</v>
      </c>
    </row>
    <row r="251" spans="1:10" hidden="1" x14ac:dyDescent="0.35">
      <c r="A251" s="103"/>
      <c r="B251" s="12" t="s">
        <v>31</v>
      </c>
      <c r="C251" s="10" t="s">
        <v>385</v>
      </c>
      <c r="D251" s="152"/>
      <c r="E251" s="170"/>
      <c r="F251" s="95"/>
      <c r="G251" s="153" t="str">
        <f t="shared" si="19"/>
        <v/>
      </c>
      <c r="H251" s="10" t="s">
        <v>20</v>
      </c>
      <c r="I251" s="331">
        <v>1.83</v>
      </c>
      <c r="J251" s="12">
        <f t="shared" si="21"/>
        <v>0</v>
      </c>
    </row>
    <row r="252" spans="1:10" x14ac:dyDescent="0.35">
      <c r="A252" s="103"/>
      <c r="B252" s="12" t="s">
        <v>31</v>
      </c>
      <c r="C252" s="10" t="s">
        <v>386</v>
      </c>
      <c r="D252" s="152">
        <v>1</v>
      </c>
      <c r="E252" s="170"/>
      <c r="F252" s="95"/>
      <c r="G252" s="153" t="str">
        <f t="shared" si="19"/>
        <v/>
      </c>
      <c r="H252" s="10" t="s">
        <v>20</v>
      </c>
      <c r="I252" s="331">
        <v>2.65</v>
      </c>
      <c r="J252" s="12">
        <f t="shared" si="21"/>
        <v>0</v>
      </c>
    </row>
    <row r="253" spans="1:10" x14ac:dyDescent="0.35">
      <c r="A253" s="103"/>
      <c r="B253" s="12" t="s">
        <v>31</v>
      </c>
      <c r="C253" s="10" t="s">
        <v>65</v>
      </c>
      <c r="D253" s="152">
        <v>1</v>
      </c>
      <c r="E253" s="170"/>
      <c r="F253" s="95"/>
      <c r="G253" s="153" t="str">
        <f t="shared" si="19"/>
        <v/>
      </c>
      <c r="H253" s="10" t="s">
        <v>20</v>
      </c>
      <c r="I253" s="331">
        <v>13.43</v>
      </c>
      <c r="J253" s="12">
        <f t="shared" si="21"/>
        <v>0</v>
      </c>
    </row>
    <row r="254" spans="1:10" hidden="1" x14ac:dyDescent="0.35">
      <c r="A254" s="103"/>
      <c r="B254" s="12" t="s">
        <v>31</v>
      </c>
      <c r="C254" s="10" t="s">
        <v>66</v>
      </c>
      <c r="D254" s="152"/>
      <c r="E254" s="170"/>
      <c r="F254" s="95"/>
      <c r="G254" s="153" t="str">
        <f t="shared" si="19"/>
        <v/>
      </c>
      <c r="H254" s="10" t="s">
        <v>20</v>
      </c>
      <c r="I254" s="331">
        <v>75.38</v>
      </c>
      <c r="J254" s="12">
        <f t="shared" si="21"/>
        <v>0</v>
      </c>
    </row>
    <row r="255" spans="1:10" x14ac:dyDescent="0.35">
      <c r="A255" s="103"/>
      <c r="B255" s="12" t="s">
        <v>31</v>
      </c>
      <c r="C255" s="10" t="s">
        <v>412</v>
      </c>
      <c r="D255" s="152"/>
      <c r="E255" s="170"/>
      <c r="F255" s="95"/>
      <c r="G255" s="153" t="str">
        <f t="shared" si="19"/>
        <v/>
      </c>
      <c r="H255" s="10" t="s">
        <v>20</v>
      </c>
      <c r="I255" s="331">
        <v>8.43</v>
      </c>
      <c r="J255" s="12">
        <f t="shared" si="21"/>
        <v>0</v>
      </c>
    </row>
    <row r="256" spans="1:10" x14ac:dyDescent="0.35">
      <c r="A256" s="103"/>
      <c r="B256" s="12" t="s">
        <v>31</v>
      </c>
      <c r="C256" s="10" t="s">
        <v>69</v>
      </c>
      <c r="D256" s="152">
        <v>1</v>
      </c>
      <c r="E256" s="170"/>
      <c r="F256" s="95"/>
      <c r="G256" s="153" t="str">
        <f t="shared" si="19"/>
        <v/>
      </c>
      <c r="H256" s="10" t="s">
        <v>63</v>
      </c>
      <c r="I256" s="331">
        <v>3.5</v>
      </c>
      <c r="J256" s="12">
        <f t="shared" si="21"/>
        <v>0</v>
      </c>
    </row>
    <row r="257" spans="1:10" ht="15.5" hidden="1" x14ac:dyDescent="0.35">
      <c r="A257" s="108" t="s">
        <v>57</v>
      </c>
      <c r="B257" s="108"/>
      <c r="C257" s="108"/>
      <c r="D257" s="108"/>
      <c r="E257" s="162"/>
      <c r="F257" s="108"/>
      <c r="G257" s="165" t="str">
        <f t="shared" si="19"/>
        <v/>
      </c>
      <c r="H257" s="108"/>
      <c r="I257" s="106" t="s">
        <v>18</v>
      </c>
      <c r="J257" s="107">
        <f>SUM(J258:J259)</f>
        <v>0</v>
      </c>
    </row>
    <row r="258" spans="1:10" hidden="1" x14ac:dyDescent="0.35">
      <c r="A258" s="103"/>
      <c r="B258" s="12" t="s">
        <v>56</v>
      </c>
      <c r="C258" s="10" t="s">
        <v>58</v>
      </c>
      <c r="D258" s="94"/>
      <c r="E258" s="170"/>
      <c r="F258" s="94"/>
      <c r="G258" s="94" t="str">
        <f t="shared" ref="G258:G259" si="22">IF(D258-E258&gt;0,D258-E258,"")</f>
        <v/>
      </c>
      <c r="H258" s="10" t="s">
        <v>20</v>
      </c>
      <c r="I258" s="331">
        <v>54.05</v>
      </c>
      <c r="J258" s="12">
        <f>E258*I258</f>
        <v>0</v>
      </c>
    </row>
    <row r="259" spans="1:10" hidden="1" x14ac:dyDescent="0.35">
      <c r="A259" s="103"/>
      <c r="B259" s="12" t="s">
        <v>56</v>
      </c>
      <c r="C259" s="10" t="s">
        <v>388</v>
      </c>
      <c r="D259" s="94"/>
      <c r="E259" s="170"/>
      <c r="F259" s="94"/>
      <c r="G259" s="94" t="str">
        <f t="shared" si="22"/>
        <v/>
      </c>
      <c r="H259" s="10" t="s">
        <v>20</v>
      </c>
      <c r="I259" s="331">
        <v>0</v>
      </c>
      <c r="J259" s="12">
        <f>E259*I259</f>
        <v>0</v>
      </c>
    </row>
  </sheetData>
  <mergeCells count="2">
    <mergeCell ref="B1:C1"/>
    <mergeCell ref="B2:C2"/>
  </mergeCells>
  <pageMargins left="0.7" right="0.7" top="0.75" bottom="0.75" header="0.3" footer="0.3"/>
  <pageSetup paperSize="9" scale="73" fitToHeight="0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EAFA2-FBA7-4357-9BAE-964209972BE4}">
  <sheetPr codeName="Feuil28">
    <tabColor theme="9" tint="-0.249977111117893"/>
  </sheetPr>
  <dimension ref="A1:P206"/>
  <sheetViews>
    <sheetView zoomScale="70" zoomScaleNormal="70" workbookViewId="0">
      <selection activeCell="E29" sqref="E29"/>
    </sheetView>
  </sheetViews>
  <sheetFormatPr baseColWidth="10" defaultColWidth="10.7265625" defaultRowHeight="14.5" x14ac:dyDescent="0.35"/>
  <cols>
    <col min="1" max="1" width="2.54296875" customWidth="1"/>
    <col min="2" max="2" width="30.1796875" bestFit="1" customWidth="1"/>
    <col min="3" max="3" width="50" bestFit="1" customWidth="1"/>
    <col min="4" max="4" width="0" hidden="1" customWidth="1"/>
    <col min="5" max="5" width="9.54296875" customWidth="1"/>
    <col min="6" max="6" width="9.1796875" hidden="1" customWidth="1"/>
    <col min="7" max="7" width="10.26953125" hidden="1" customWidth="1"/>
    <col min="8" max="8" width="17" hidden="1" customWidth="1"/>
    <col min="9" max="10" width="18.1796875" bestFit="1" customWidth="1"/>
  </cols>
  <sheetData>
    <row r="1" spans="1:10" ht="18.5" x14ac:dyDescent="0.45">
      <c r="B1" s="327"/>
      <c r="C1" s="327"/>
      <c r="D1" s="327"/>
      <c r="E1" s="327"/>
      <c r="F1" s="327"/>
      <c r="G1" s="327"/>
      <c r="H1" s="52"/>
    </row>
    <row r="2" spans="1:10" x14ac:dyDescent="0.35">
      <c r="A2" s="53"/>
      <c r="B2" s="1" t="s">
        <v>15</v>
      </c>
      <c r="C2" s="1" t="s">
        <v>16</v>
      </c>
      <c r="D2" s="2" t="s">
        <v>72</v>
      </c>
      <c r="E2" s="3" t="s">
        <v>64</v>
      </c>
      <c r="F2" s="1" t="s">
        <v>17</v>
      </c>
      <c r="G2" s="3" t="s">
        <v>45</v>
      </c>
      <c r="H2" s="1" t="s">
        <v>1</v>
      </c>
      <c r="I2" s="62" t="s">
        <v>176</v>
      </c>
      <c r="J2" s="62" t="s">
        <v>177</v>
      </c>
    </row>
    <row r="3" spans="1:10" ht="15.5" hidden="1" x14ac:dyDescent="0.35">
      <c r="A3" s="54"/>
      <c r="B3" s="4" t="s">
        <v>140</v>
      </c>
      <c r="C3" s="4"/>
      <c r="D3" s="4"/>
      <c r="E3" s="4"/>
      <c r="F3" s="4"/>
      <c r="G3" s="4"/>
      <c r="H3" s="4"/>
      <c r="I3" s="4"/>
    </row>
    <row r="4" spans="1:10" ht="14.5" hidden="1" customHeight="1" x14ac:dyDescent="0.35">
      <c r="A4" s="53"/>
      <c r="B4" s="7" t="s">
        <v>2</v>
      </c>
      <c r="C4" s="14" t="s">
        <v>19</v>
      </c>
      <c r="D4" s="8"/>
      <c r="E4" s="9" t="e">
        <f>'Réserve Nord'!E24+'Nord Mobile 1'!E24+#REF!+'Nord 2'!G24+'Nord Mobile 2'!G24+Esplanade!G24+'Est mobile 1'!G23+'Est 1'!G24+'Est mobile 2'!G24+'Est Mobile 3'!G24+'Est 2'!G24+'Est mobile 4'!G24+'Réserve Sud'!G24+'Sud 1'!G24+#REF!+Visiteurs!G24+'Principale 1 '!G24+'Principale mobile 1'!G24+'Principale mobile 2'!G24+'Principale 2'!G24+'Principale mobile 3'!G24+'Principale mobile 4'!G24</f>
        <v>#REF!</v>
      </c>
      <c r="F4" s="10" t="s">
        <v>20</v>
      </c>
      <c r="G4" s="11">
        <v>55.95</v>
      </c>
      <c r="H4" s="12" t="e">
        <f t="shared" ref="H4:H11" si="0">E4*G4</f>
        <v>#REF!</v>
      </c>
    </row>
    <row r="5" spans="1:10" hidden="1" x14ac:dyDescent="0.35">
      <c r="A5" s="53"/>
      <c r="B5" s="12" t="s">
        <v>2</v>
      </c>
      <c r="C5" s="10" t="s">
        <v>116</v>
      </c>
      <c r="D5" s="8"/>
      <c r="E5" s="9" t="e">
        <f>'Réserve Nord'!E25+'Nord Mobile 1'!E25+#REF!+'Nord 2'!G25+'Nord Mobile 2'!G25+Esplanade!G25+'Est mobile 1'!G24+'Est 1'!G25+'Est mobile 2'!G25+'Est Mobile 3'!G25+'Est 2'!G25+'Est mobile 4'!G25+'Réserve Sud'!G25+'Sud 1'!G25+#REF!+Visiteurs!G25+'Principale 1 '!G25+'Principale mobile 1'!G25+'Principale mobile 2'!G25+'Principale 2'!G25+'Principale mobile 3'!G25+'Principale mobile 4'!G25</f>
        <v>#REF!</v>
      </c>
      <c r="F5" s="10" t="s">
        <v>20</v>
      </c>
      <c r="G5" s="11">
        <v>0</v>
      </c>
      <c r="H5" s="12" t="e">
        <f t="shared" si="0"/>
        <v>#REF!</v>
      </c>
    </row>
    <row r="6" spans="1:10" ht="14.5" customHeight="1" x14ac:dyDescent="0.35">
      <c r="A6" s="53"/>
      <c r="B6" s="12" t="s">
        <v>2</v>
      </c>
      <c r="C6" s="10" t="s">
        <v>21</v>
      </c>
      <c r="D6" s="8"/>
      <c r="E6" s="9" t="e">
        <f>'Réserve Nord'!E26+'Nord Mobile 1'!E26+#REF!+'Nord 2'!G26+'Nord Mobile 2'!G26+Esplanade!G26+'Est mobile 1'!G25+'Est 1'!G26+'Est mobile 2'!G26+'Est Mobile 3'!G26+'Est 2'!G26+'Est mobile 4'!G26+'Réserve Sud'!G26+'Sud 1'!G26+#REF!+Visiteurs!G26+'Principale 1 '!G26+'Principale mobile 1'!G26+'Principale mobile 2'!G26+'Principale 2'!G26+'Principale mobile 3'!G26+'Principale mobile 4'!G26</f>
        <v>#REF!</v>
      </c>
      <c r="F6" s="10" t="s">
        <v>20</v>
      </c>
      <c r="G6" s="11">
        <v>75.400000000000006</v>
      </c>
      <c r="H6" s="12" t="e">
        <f t="shared" si="0"/>
        <v>#REF!</v>
      </c>
      <c r="I6" s="57">
        <f>P194+P196</f>
        <v>173.42000000000002</v>
      </c>
      <c r="J6" s="57" t="e">
        <f>E6-I6</f>
        <v>#REF!</v>
      </c>
    </row>
    <row r="7" spans="1:10" ht="14.5" hidden="1" customHeight="1" x14ac:dyDescent="0.35">
      <c r="A7" s="53"/>
      <c r="B7" s="7" t="s">
        <v>2</v>
      </c>
      <c r="C7" s="14" t="s">
        <v>76</v>
      </c>
      <c r="D7" s="8"/>
      <c r="E7" s="9" t="e">
        <f>'Réserve Nord'!E27+'Nord Mobile 1'!E27+#REF!+'Nord 2'!G27+'Nord Mobile 2'!G27+Esplanade!G27+'Est mobile 1'!G26+'Est 1'!G27+'Est mobile 2'!G27+'Est Mobile 3'!G27+'Est 2'!G27+'Est mobile 4'!G27+'Réserve Sud'!G27+'Sud 1'!G27+#REF!+Visiteurs!G27+'Principale 1 '!G27+'Principale mobile 1'!G27+'Principale mobile 2'!G27+'Principale 2'!G27+'Principale mobile 3'!G27+'Principale mobile 4'!G27</f>
        <v>#REF!</v>
      </c>
      <c r="F7" s="10" t="s">
        <v>20</v>
      </c>
      <c r="G7" s="11">
        <v>113.1</v>
      </c>
      <c r="H7" s="12" t="e">
        <f t="shared" si="0"/>
        <v>#REF!</v>
      </c>
      <c r="J7" s="57" t="e">
        <f t="shared" ref="J7:J70" si="1">E7-I7</f>
        <v>#REF!</v>
      </c>
    </row>
    <row r="8" spans="1:10" x14ac:dyDescent="0.35">
      <c r="A8" s="53"/>
      <c r="B8" s="7" t="s">
        <v>2</v>
      </c>
      <c r="C8" s="14" t="s">
        <v>22</v>
      </c>
      <c r="D8" s="8"/>
      <c r="E8" s="9" t="e">
        <f>'Réserve Nord'!E28+'Nord Mobile 1'!E28+#REF!+'Nord 2'!G28+'Nord Mobile 2'!G28+Esplanade!G28+'Est mobile 1'!G27+'Est 1'!G28+'Est mobile 2'!G28+'Est Mobile 3'!G28+'Est 2'!G28+'Est mobile 4'!G28+'Réserve Sud'!G28+'Sud 1'!G28+#REF!+Visiteurs!G28+'Principale 1 '!G28+'Principale mobile 1'!G28+'Principale mobile 2'!G28+'Principale 2'!G28+'Principale mobile 3'!G28+'Principale mobile 4'!G28</f>
        <v>#REF!</v>
      </c>
      <c r="F8" s="10" t="s">
        <v>20</v>
      </c>
      <c r="G8" s="11">
        <v>107.2</v>
      </c>
      <c r="H8" s="12" t="e">
        <f t="shared" si="0"/>
        <v>#REF!</v>
      </c>
      <c r="J8" s="57" t="e">
        <f t="shared" si="1"/>
        <v>#REF!</v>
      </c>
    </row>
    <row r="9" spans="1:10" x14ac:dyDescent="0.35">
      <c r="A9" s="53"/>
      <c r="B9" s="7" t="s">
        <v>2</v>
      </c>
      <c r="C9" s="14" t="s">
        <v>77</v>
      </c>
      <c r="D9" s="8"/>
      <c r="E9" s="9" t="e">
        <f>'Réserve Nord'!E29+'Nord Mobile 1'!E29+#REF!+'Nord 2'!G29+'Nord Mobile 2'!G29+Esplanade!G29+'Est mobile 1'!G28+'Est 1'!G29+'Est mobile 2'!G29+'Est Mobile 3'!G29+'Est 2'!G29+'Est mobile 4'!G29+'Réserve Sud'!G29+'Sud 1'!G29+#REF!+Visiteurs!G29+'Principale 1 '!G29+'Principale mobile 1'!G29+'Principale mobile 2'!G29+'Principale 2'!G29+'Principale mobile 3'!G29+'Principale mobile 4'!G29</f>
        <v>#REF!</v>
      </c>
      <c r="F9" s="10" t="s">
        <v>20</v>
      </c>
      <c r="G9" s="11">
        <v>162.30000000000001</v>
      </c>
      <c r="H9" s="12" t="e">
        <f t="shared" si="0"/>
        <v>#REF!</v>
      </c>
      <c r="J9" s="57" t="e">
        <f t="shared" si="1"/>
        <v>#REF!</v>
      </c>
    </row>
    <row r="10" spans="1:10" x14ac:dyDescent="0.35">
      <c r="A10" s="53"/>
      <c r="B10" s="7" t="s">
        <v>2</v>
      </c>
      <c r="C10" s="14" t="s">
        <v>152</v>
      </c>
      <c r="D10" s="8"/>
      <c r="E10" s="9" t="e">
        <f>'Réserve Nord'!E30+'Nord Mobile 1'!E30+#REF!+'Nord 2'!G30+'Nord Mobile 2'!G30+Esplanade!G30+'Est mobile 1'!G29+'Est 1'!G30+'Est mobile 2'!G30+'Est Mobile 3'!G30+'Est 2'!G30+'Est mobile 4'!G30+'Réserve Sud'!G30+'Sud 1'!G30+#REF!+Visiteurs!G30+'Principale 1 '!G30+'Principale mobile 1'!G30+'Principale mobile 2'!G30+'Principale 2'!G30+'Principale mobile 3'!G30+'Principale mobile 4'!G30</f>
        <v>#REF!</v>
      </c>
      <c r="F10" s="10" t="s">
        <v>20</v>
      </c>
      <c r="G10" s="11">
        <v>86.5</v>
      </c>
      <c r="H10" s="12" t="e">
        <f t="shared" si="0"/>
        <v>#REF!</v>
      </c>
      <c r="I10" s="63">
        <f>P197</f>
        <v>41.260000000000005</v>
      </c>
      <c r="J10" s="57" t="e">
        <f t="shared" si="1"/>
        <v>#REF!</v>
      </c>
    </row>
    <row r="11" spans="1:10" hidden="1" x14ac:dyDescent="0.35">
      <c r="A11" s="53"/>
      <c r="B11" s="7" t="s">
        <v>2</v>
      </c>
      <c r="C11" s="14" t="s">
        <v>95</v>
      </c>
      <c r="D11" s="14"/>
      <c r="E11" s="9" t="e">
        <f>'Réserve Nord'!E31+'Nord Mobile 1'!E31+#REF!+'Nord 2'!G31+'Nord Mobile 2'!G31+Esplanade!G31+'Est mobile 1'!G30+'Est 1'!G31+'Est mobile 2'!G31+'Est Mobile 3'!G31+'Est 2'!G31+'Est mobile 4'!G31+'Réserve Sud'!G31+'Sud 1'!G31+#REF!+Visiteurs!G31+'Principale 1 '!G31+'Principale mobile 1'!G31+'Principale mobile 2'!G31+'Principale 2'!G31+'Principale mobile 3'!G31+'Principale mobile 4'!G31</f>
        <v>#REF!</v>
      </c>
      <c r="F11" s="14" t="s">
        <v>20</v>
      </c>
      <c r="G11" s="35">
        <v>0</v>
      </c>
      <c r="H11" s="12" t="e">
        <f t="shared" si="0"/>
        <v>#REF!</v>
      </c>
      <c r="J11" s="57" t="e">
        <f t="shared" si="1"/>
        <v>#REF!</v>
      </c>
    </row>
    <row r="12" spans="1:10" hidden="1" x14ac:dyDescent="0.35">
      <c r="A12" s="53"/>
      <c r="B12" s="12" t="s">
        <v>2</v>
      </c>
      <c r="C12" s="10"/>
      <c r="D12" s="10"/>
      <c r="E12" s="9" t="e">
        <f>'Réserve Nord'!E32+'Nord Mobile 1'!E32+#REF!+'Nord 2'!G32+'Nord Mobile 2'!G32+Esplanade!G32+'Est mobile 1'!G31+'Est 1'!G32+'Est mobile 2'!G32+'Est Mobile 3'!G32+'Est 2'!G32+'Est mobile 4'!G32+'Réserve Sud'!G32+'Sud 1'!G32+#REF!+Visiteurs!G32+'Principale 1 '!G32+'Principale mobile 1'!G32+'Principale mobile 2'!G32+'Principale 2'!G32+'Principale mobile 3'!G32+'Principale mobile 4'!G32</f>
        <v>#REF!</v>
      </c>
      <c r="F12" s="10"/>
      <c r="G12" s="11"/>
      <c r="H12" s="12"/>
      <c r="J12" s="57" t="e">
        <f t="shared" si="1"/>
        <v>#REF!</v>
      </c>
    </row>
    <row r="13" spans="1:10" ht="14.5" hidden="1" customHeight="1" x14ac:dyDescent="0.35">
      <c r="A13" s="53"/>
      <c r="B13" s="12" t="s">
        <v>2</v>
      </c>
      <c r="C13" s="10"/>
      <c r="D13" s="10"/>
      <c r="E13" s="9" t="e">
        <f>'Réserve Nord'!E33+'Nord Mobile 1'!E33+#REF!+'Nord 2'!G33+'Nord Mobile 2'!G33+Esplanade!G33+'Est mobile 1'!G32+'Est 1'!G33+'Est mobile 2'!G33+'Est Mobile 3'!G33+'Est 2'!G33+'Est mobile 4'!G33+'Réserve Sud'!G33+'Sud 1'!G33+#REF!+Visiteurs!G33+'Principale 1 '!G33+'Principale mobile 1'!G33+'Principale mobile 2'!G33+'Principale 2'!G33+'Principale mobile 3'!G33+'Principale mobile 4'!G33</f>
        <v>#REF!</v>
      </c>
      <c r="F13" s="10"/>
      <c r="G13" s="11"/>
      <c r="H13" s="12"/>
      <c r="J13" s="57" t="e">
        <f t="shared" si="1"/>
        <v>#REF!</v>
      </c>
    </row>
    <row r="14" spans="1:10" ht="14.5" hidden="1" customHeight="1" x14ac:dyDescent="0.35">
      <c r="A14" s="53"/>
      <c r="B14" s="12" t="s">
        <v>2</v>
      </c>
      <c r="C14" s="10"/>
      <c r="D14" s="10"/>
      <c r="E14" s="9" t="e">
        <f>'Réserve Nord'!E34+'Nord Mobile 1'!E34+#REF!+'Nord 2'!G34+'Nord Mobile 2'!G34+Esplanade!G34+'Est mobile 1'!G33+'Est 1'!G34+'Est mobile 2'!G34+'Est Mobile 3'!G34+'Est 2'!G34+'Est mobile 4'!G34+'Réserve Sud'!G34+'Sud 1'!G34+#REF!+Visiteurs!G34+'Principale 1 '!G34+'Principale mobile 1'!G34+'Principale mobile 2'!G34+'Principale 2'!G34+'Principale mobile 3'!G34+'Principale mobile 4'!G34</f>
        <v>#REF!</v>
      </c>
      <c r="F14" s="10" t="s">
        <v>20</v>
      </c>
      <c r="G14" s="11">
        <v>0</v>
      </c>
      <c r="H14" s="12" t="e">
        <f>E14*G14</f>
        <v>#REF!</v>
      </c>
      <c r="J14" s="57" t="e">
        <f t="shared" si="1"/>
        <v>#REF!</v>
      </c>
    </row>
    <row r="15" spans="1:10" hidden="1" x14ac:dyDescent="0.35">
      <c r="A15" s="53"/>
      <c r="B15" s="12" t="s">
        <v>2</v>
      </c>
      <c r="C15" s="10"/>
      <c r="D15" s="10"/>
      <c r="E15" s="9" t="e">
        <f>'Réserve Nord'!E35+'Nord Mobile 1'!E35+#REF!+'Nord 2'!G35+'Nord Mobile 2'!G35+Esplanade!G35+'Est mobile 1'!G34+'Est 1'!G35+'Est mobile 2'!G35+'Est Mobile 3'!G35+'Est 2'!G35+'Est mobile 4'!G35+'Réserve Sud'!G35+'Sud 1'!G35+#REF!+Visiteurs!G35+'Principale 1 '!G35+'Principale mobile 1'!G35+'Principale mobile 2'!G35+'Principale 2'!G35+'Principale mobile 3'!G35+'Principale mobile 4'!G35</f>
        <v>#REF!</v>
      </c>
      <c r="F15" s="10" t="s">
        <v>20</v>
      </c>
      <c r="G15" s="11">
        <v>0</v>
      </c>
      <c r="H15" s="12" t="e">
        <f>E15*G15</f>
        <v>#REF!</v>
      </c>
      <c r="J15" s="57" t="e">
        <f t="shared" si="1"/>
        <v>#REF!</v>
      </c>
    </row>
    <row r="16" spans="1:10" ht="14.5" hidden="1" customHeight="1" x14ac:dyDescent="0.35">
      <c r="A16" s="53"/>
      <c r="B16" s="12" t="s">
        <v>2</v>
      </c>
      <c r="C16" s="10"/>
      <c r="D16" s="10"/>
      <c r="E16" s="9" t="e">
        <f>'Réserve Nord'!E36+'Nord Mobile 1'!E36+#REF!+'Nord 2'!G36+'Nord Mobile 2'!G36+Esplanade!G36+'Est mobile 1'!G35+'Est 1'!G36+'Est mobile 2'!G36+'Est Mobile 3'!G36+'Est 2'!G36+'Est mobile 4'!G36+'Réserve Sud'!G36+'Sud 1'!G36+#REF!+Visiteurs!G36+'Principale 1 '!G36+'Principale mobile 1'!G36+'Principale mobile 2'!G36+'Principale 2'!G36+'Principale mobile 3'!G36+'Principale mobile 4'!G36</f>
        <v>#REF!</v>
      </c>
      <c r="F16" s="10" t="s">
        <v>20</v>
      </c>
      <c r="G16" s="11">
        <v>0</v>
      </c>
      <c r="H16" s="12" t="e">
        <f>E16*G16</f>
        <v>#REF!</v>
      </c>
      <c r="J16" s="57" t="e">
        <f t="shared" si="1"/>
        <v>#REF!</v>
      </c>
    </row>
    <row r="17" spans="1:10" hidden="1" x14ac:dyDescent="0.35">
      <c r="A17" s="53"/>
      <c r="B17" s="12" t="s">
        <v>2</v>
      </c>
      <c r="C17" s="10"/>
      <c r="D17" s="10"/>
      <c r="E17" s="9" t="e">
        <f>'Réserve Nord'!E37+'Nord Mobile 1'!E37+#REF!+'Nord 2'!G37+'Nord Mobile 2'!G37+Esplanade!G37+'Est mobile 1'!G36+'Est 1'!G37+'Est mobile 2'!G37+'Est Mobile 3'!G37+'Est 2'!G37+'Est mobile 4'!G37+'Réserve Sud'!G37+'Sud 1'!G37+#REF!+Visiteurs!G37+'Principale 1 '!G37+'Principale mobile 1'!G37+'Principale mobile 2'!G37+'Principale 2'!G37+'Principale mobile 3'!G37+'Principale mobile 4'!G37</f>
        <v>#REF!</v>
      </c>
      <c r="F17" s="10" t="s">
        <v>20</v>
      </c>
      <c r="G17" s="11">
        <v>0</v>
      </c>
      <c r="H17" s="12" t="e">
        <f>E17*G17</f>
        <v>#REF!</v>
      </c>
      <c r="J17" s="57" t="e">
        <f t="shared" si="1"/>
        <v>#REF!</v>
      </c>
    </row>
    <row r="18" spans="1:10" ht="15.5" hidden="1" x14ac:dyDescent="0.35">
      <c r="A18" s="54"/>
      <c r="B18" s="4" t="s">
        <v>119</v>
      </c>
      <c r="C18" s="4"/>
      <c r="D18" s="4"/>
      <c r="E18" s="4"/>
      <c r="F18" s="4"/>
      <c r="G18" s="36" t="s">
        <v>18</v>
      </c>
      <c r="H18" s="5" t="e">
        <f>SUM(H19:H26)</f>
        <v>#REF!</v>
      </c>
      <c r="J18" s="57">
        <f t="shared" si="1"/>
        <v>0</v>
      </c>
    </row>
    <row r="19" spans="1:10" hidden="1" x14ac:dyDescent="0.35">
      <c r="A19" s="53"/>
      <c r="B19" s="12" t="s">
        <v>7</v>
      </c>
      <c r="C19" s="10" t="s">
        <v>96</v>
      </c>
      <c r="D19" s="8"/>
      <c r="E19" s="9" t="e">
        <f>'Réserve Nord'!E39+'Nord Mobile 1'!E39+#REF!+'Nord 2'!G39+'Nord Mobile 2'!G39+Esplanade!G39+'Est mobile 1'!G38+'Est 1'!G39+'Est mobile 2'!G39+'Est Mobile 3'!G39+'Est 2'!G39+'Est mobile 4'!G39+'Réserve Sud'!G39+'Sud 1'!G39+#REF!+Visiteurs!G39+'Principale 1 '!G39+'Principale mobile 1'!G39+'Principale mobile 2'!G39+'Principale 2'!G39+'Principale mobile 3'!G39+'Principale mobile 4'!G39</f>
        <v>#REF!</v>
      </c>
      <c r="F19" s="10" t="s">
        <v>20</v>
      </c>
      <c r="G19" s="11">
        <v>100</v>
      </c>
      <c r="H19" s="12" t="e">
        <f>E19*G19</f>
        <v>#REF!</v>
      </c>
      <c r="J19" s="57" t="e">
        <f t="shared" si="1"/>
        <v>#REF!</v>
      </c>
    </row>
    <row r="20" spans="1:10" hidden="1" x14ac:dyDescent="0.35">
      <c r="A20" s="53"/>
      <c r="B20" s="12" t="s">
        <v>7</v>
      </c>
      <c r="C20" s="10"/>
      <c r="D20" s="8"/>
      <c r="E20" s="9" t="e">
        <f>'Réserve Nord'!E40+'Nord Mobile 1'!E40+#REF!+'Nord 2'!G40+'Nord Mobile 2'!G40+Esplanade!G40+'Est mobile 1'!G39+'Est 1'!G40+'Est mobile 2'!G40+'Est Mobile 3'!G40+'Est 2'!G40+'Est mobile 4'!G40+'Réserve Sud'!G40+'Sud 1'!G40+#REF!+Visiteurs!G40+'Principale 1 '!G40+'Principale mobile 1'!G40+'Principale mobile 2'!G40+'Principale 2'!G40+'Principale mobile 3'!G40+'Principale mobile 4'!G40</f>
        <v>#REF!</v>
      </c>
      <c r="F20" s="10"/>
      <c r="G20" s="11"/>
      <c r="H20" s="12"/>
      <c r="J20" s="57" t="e">
        <f t="shared" si="1"/>
        <v>#REF!</v>
      </c>
    </row>
    <row r="21" spans="1:10" ht="14.5" hidden="1" customHeight="1" x14ac:dyDescent="0.35">
      <c r="A21" s="53"/>
      <c r="B21" s="12" t="s">
        <v>7</v>
      </c>
      <c r="C21" s="10"/>
      <c r="D21" s="8"/>
      <c r="E21" s="9" t="e">
        <f>'Réserve Nord'!E41+'Nord Mobile 1'!E41+#REF!+'Nord 2'!G41+'Nord Mobile 2'!G41+Esplanade!G41+'Est mobile 1'!G40+'Est 1'!G41+'Est mobile 2'!G41+'Est Mobile 3'!G41+'Est 2'!G41+'Est mobile 4'!G41+'Réserve Sud'!G41+'Sud 1'!G41+#REF!+Visiteurs!G41+'Principale 1 '!G41+'Principale mobile 1'!G41+'Principale mobile 2'!G41+'Principale 2'!G41+'Principale mobile 3'!G41+'Principale mobile 4'!G41</f>
        <v>#REF!</v>
      </c>
      <c r="F21" s="10"/>
      <c r="G21" s="11"/>
      <c r="H21" s="12"/>
      <c r="J21" s="57" t="e">
        <f t="shared" si="1"/>
        <v>#REF!</v>
      </c>
    </row>
    <row r="22" spans="1:10" hidden="1" x14ac:dyDescent="0.35">
      <c r="A22" s="53"/>
      <c r="B22" s="12" t="s">
        <v>7</v>
      </c>
      <c r="C22" s="10"/>
      <c r="D22" s="8"/>
      <c r="E22" s="9" t="e">
        <f>'Réserve Nord'!E42+'Nord Mobile 1'!E42+#REF!+'Nord 2'!G42+'Nord Mobile 2'!G42+Esplanade!G42+'Est mobile 1'!G41+'Est 1'!G42+'Est mobile 2'!G42+'Est Mobile 3'!G42+'Est 2'!G42+'Est mobile 4'!G42+'Réserve Sud'!G42+'Sud 1'!G42+#REF!+Visiteurs!G42+'Principale 1 '!G42+'Principale mobile 1'!G42+'Principale mobile 2'!G42+'Principale 2'!G42+'Principale mobile 3'!G42+'Principale mobile 4'!G42</f>
        <v>#REF!</v>
      </c>
      <c r="F22" s="10"/>
      <c r="G22" s="11"/>
      <c r="H22" s="12"/>
      <c r="J22" s="57" t="e">
        <f t="shared" si="1"/>
        <v>#REF!</v>
      </c>
    </row>
    <row r="23" spans="1:10" hidden="1" x14ac:dyDescent="0.35">
      <c r="A23" s="53"/>
      <c r="B23" s="12" t="s">
        <v>7</v>
      </c>
      <c r="C23" s="10" t="s">
        <v>46</v>
      </c>
      <c r="D23" s="8"/>
      <c r="E23" s="9" t="e">
        <f>'Réserve Nord'!E43+'Nord Mobile 1'!E43+#REF!+'Nord 2'!G43+'Nord Mobile 2'!G43+Esplanade!G43+'Est mobile 1'!G42+'Est 1'!G43+'Est mobile 2'!G43+'Est Mobile 3'!G43+'Est 2'!G43+'Est mobile 4'!G43+'Réserve Sud'!G43+'Sud 1'!G43+#REF!+Visiteurs!G43+'Principale 1 '!G43+'Principale mobile 1'!G43+'Principale mobile 2'!G43+'Principale 2'!G43+'Principale mobile 3'!G43+'Principale mobile 4'!G43</f>
        <v>#REF!</v>
      </c>
      <c r="F23" s="10" t="s">
        <v>20</v>
      </c>
      <c r="G23" s="11">
        <v>5</v>
      </c>
      <c r="H23" s="12" t="e">
        <f>E23*G23</f>
        <v>#REF!</v>
      </c>
      <c r="J23" s="57" t="e">
        <f t="shared" si="1"/>
        <v>#REF!</v>
      </c>
    </row>
    <row r="24" spans="1:10" hidden="1" x14ac:dyDescent="0.35">
      <c r="A24" s="53"/>
      <c r="B24" s="12" t="s">
        <v>7</v>
      </c>
      <c r="C24" s="10"/>
      <c r="D24" s="8"/>
      <c r="E24" s="9" t="e">
        <f>'Réserve Nord'!E44+'Nord Mobile 1'!E44+#REF!+'Nord 2'!G44+'Nord Mobile 2'!G44+Esplanade!G44+'Est mobile 1'!G43+'Est 1'!G44+'Est mobile 2'!G44+'Est Mobile 3'!G44+'Est 2'!G44+'Est mobile 4'!G44+'Réserve Sud'!G44+'Sud 1'!G44+#REF!+Visiteurs!G44+'Principale 1 '!G44+'Principale mobile 1'!G44+'Principale mobile 2'!G44+'Principale 2'!G44+'Principale mobile 3'!G44+'Principale mobile 4'!G44</f>
        <v>#REF!</v>
      </c>
      <c r="F24" s="10"/>
      <c r="G24" s="11"/>
      <c r="H24" s="12"/>
      <c r="J24" s="57" t="e">
        <f t="shared" si="1"/>
        <v>#REF!</v>
      </c>
    </row>
    <row r="25" spans="1:10" hidden="1" x14ac:dyDescent="0.35">
      <c r="A25" s="53"/>
      <c r="B25" s="37" t="s">
        <v>7</v>
      </c>
      <c r="C25" s="15" t="s">
        <v>117</v>
      </c>
      <c r="D25" s="15"/>
      <c r="E25" s="9" t="e">
        <f>'Réserve Nord'!E45+'Nord Mobile 1'!E45+#REF!+'Nord 2'!G45+'Nord Mobile 2'!G45+Esplanade!G45+'Est mobile 1'!G44+'Est 1'!G45+'Est mobile 2'!G45+'Est Mobile 3'!G45+'Est 2'!G45+'Est mobile 4'!G45+'Réserve Sud'!G45+'Sud 1'!G45+#REF!+Visiteurs!G45+'Principale 1 '!G45+'Principale mobile 1'!G45+'Principale mobile 2'!G45+'Principale 2'!G45+'Principale mobile 3'!G45+'Principale mobile 4'!G45</f>
        <v>#REF!</v>
      </c>
      <c r="F25" s="15" t="s">
        <v>20</v>
      </c>
      <c r="G25" s="38">
        <v>50</v>
      </c>
      <c r="H25" s="37" t="e">
        <f>E25*G25</f>
        <v>#REF!</v>
      </c>
      <c r="J25" s="57" t="e">
        <f t="shared" si="1"/>
        <v>#REF!</v>
      </c>
    </row>
    <row r="26" spans="1:10" hidden="1" x14ac:dyDescent="0.35">
      <c r="A26" s="53"/>
      <c r="B26" s="12" t="s">
        <v>7</v>
      </c>
      <c r="C26" s="10" t="s">
        <v>128</v>
      </c>
      <c r="D26" s="10"/>
      <c r="E26" s="9" t="e">
        <f>'Réserve Nord'!E46+'Nord Mobile 1'!E46+#REF!+'Nord 2'!G46+'Nord Mobile 2'!G46+Esplanade!G46+'Est mobile 1'!G45+'Est 1'!G46+'Est mobile 2'!G46+'Est Mobile 3'!G46+'Est 2'!G46+'Est mobile 4'!G46+'Réserve Sud'!G46+'Sud 1'!G46+#REF!+Visiteurs!G46+'Principale 1 '!G46+'Principale mobile 1'!G46+'Principale mobile 2'!G46+'Principale 2'!G46+'Principale mobile 3'!G46+'Principale mobile 4'!G46</f>
        <v>#REF!</v>
      </c>
      <c r="F26" s="10" t="s">
        <v>20</v>
      </c>
      <c r="G26" s="11">
        <v>50</v>
      </c>
      <c r="H26" s="12" t="e">
        <f>E26*G26</f>
        <v>#REF!</v>
      </c>
      <c r="J26" s="57" t="e">
        <f t="shared" si="1"/>
        <v>#REF!</v>
      </c>
    </row>
    <row r="27" spans="1:10" hidden="1" x14ac:dyDescent="0.35">
      <c r="A27" s="53"/>
      <c r="B27" s="12" t="s">
        <v>7</v>
      </c>
      <c r="C27" s="10"/>
      <c r="D27" s="10"/>
      <c r="E27" s="9" t="e">
        <f>'Réserve Nord'!E47+'Nord Mobile 1'!E47+#REF!+'Nord 2'!G47+'Nord Mobile 2'!G47+Esplanade!G47+'Est mobile 1'!G46+'Est 1'!G47+'Est mobile 2'!G47+'Est Mobile 3'!G47+'Est 2'!G47+'Est mobile 4'!G47+'Réserve Sud'!G47+'Sud 1'!G47+#REF!+Visiteurs!G47+'Principale 1 '!G47+'Principale mobile 1'!G47+'Principale mobile 2'!G47+'Principale 2'!G47+'Principale mobile 3'!G47+'Principale mobile 4'!G47</f>
        <v>#REF!</v>
      </c>
      <c r="F27" s="10" t="s">
        <v>20</v>
      </c>
      <c r="G27" s="11">
        <v>0</v>
      </c>
      <c r="H27" s="12" t="e">
        <f>E27*G27</f>
        <v>#REF!</v>
      </c>
      <c r="J27" s="57" t="e">
        <f t="shared" si="1"/>
        <v>#REF!</v>
      </c>
    </row>
    <row r="28" spans="1:10" hidden="1" x14ac:dyDescent="0.35">
      <c r="A28" s="53"/>
      <c r="B28" s="12" t="s">
        <v>7</v>
      </c>
      <c r="C28" s="10"/>
      <c r="D28" s="10"/>
      <c r="E28" s="9" t="e">
        <f>'Réserve Nord'!E48+'Nord Mobile 1'!E48+#REF!+'Nord 2'!G48+'Nord Mobile 2'!G48+Esplanade!G48+'Est mobile 1'!G47+'Est 1'!G48+'Est mobile 2'!G48+'Est Mobile 3'!G48+'Est 2'!G48+'Est mobile 4'!G48+'Réserve Sud'!G48+'Sud 1'!G48+#REF!+Visiteurs!G48+'Principale 1 '!G48+'Principale mobile 1'!G48+'Principale mobile 2'!G48+'Principale 2'!G48+'Principale mobile 3'!G48+'Principale mobile 4'!G48</f>
        <v>#REF!</v>
      </c>
      <c r="F28" s="10" t="s">
        <v>20</v>
      </c>
      <c r="G28" s="11">
        <v>0</v>
      </c>
      <c r="H28" s="12" t="e">
        <f>E28*G28</f>
        <v>#REF!</v>
      </c>
      <c r="J28" s="57" t="e">
        <f t="shared" si="1"/>
        <v>#REF!</v>
      </c>
    </row>
    <row r="29" spans="1:10" ht="15.5" hidden="1" x14ac:dyDescent="0.35">
      <c r="A29" s="54"/>
      <c r="B29" s="4" t="s">
        <v>149</v>
      </c>
      <c r="C29" s="4"/>
      <c r="D29" s="4"/>
      <c r="E29" s="4"/>
      <c r="F29" s="4"/>
      <c r="G29" s="36" t="s">
        <v>18</v>
      </c>
      <c r="H29" s="5" t="e">
        <f>SUM(H30:H49)</f>
        <v>#REF!</v>
      </c>
      <c r="J29" s="57">
        <f t="shared" si="1"/>
        <v>0</v>
      </c>
    </row>
    <row r="30" spans="1:10" ht="14.5" customHeight="1" x14ac:dyDescent="0.35">
      <c r="A30" s="53"/>
      <c r="B30" s="12" t="s">
        <v>13</v>
      </c>
      <c r="C30" s="10" t="s">
        <v>78</v>
      </c>
      <c r="D30" s="8"/>
      <c r="E30" s="9" t="e">
        <f>'Réserve Nord'!E50+'Nord Mobile 1'!E50+#REF!+'Nord 2'!G50+'Nord Mobile 2'!G50+Esplanade!G50+'Est mobile 1'!G49+'Est 1'!G50+'Est mobile 2'!G50+'Est Mobile 3'!G50+'Est 2'!G50+'Est mobile 4'!G50+'Réserve Sud'!G50+'Sud 1'!G50+#REF!+Visiteurs!G50+'Principale 1 '!G50+'Principale mobile 1'!G50+'Principale mobile 2'!G50+'Principale 2'!G50+'Principale mobile 3'!G50+'Principale mobile 4'!G50</f>
        <v>#REF!</v>
      </c>
      <c r="F30" s="10" t="s">
        <v>20</v>
      </c>
      <c r="G30" s="11">
        <v>13</v>
      </c>
      <c r="H30" s="12" t="e">
        <f t="shared" ref="H30:H51" si="2">E30*G30</f>
        <v>#REF!</v>
      </c>
      <c r="J30" s="57" t="e">
        <f t="shared" si="1"/>
        <v>#REF!</v>
      </c>
    </row>
    <row r="31" spans="1:10" hidden="1" x14ac:dyDescent="0.35">
      <c r="A31" s="53"/>
      <c r="B31" s="12"/>
      <c r="C31" s="10"/>
      <c r="D31" s="8"/>
      <c r="E31" s="9" t="e">
        <f>'Réserve Nord'!E51+'Nord Mobile 1'!E51+#REF!+'Nord 2'!G51+'Nord Mobile 2'!G51+Esplanade!G51+'Est mobile 1'!G50+'Est 1'!G51+'Est mobile 2'!G51+'Est Mobile 3'!G51+'Est 2'!G51+'Est mobile 4'!G51+'Réserve Sud'!G51+'Sud 1'!G51+#REF!+Visiteurs!G51+'Principale 1 '!G51+'Principale mobile 1'!G51+'Principale mobile 2'!G51+'Principale 2'!G51+'Principale mobile 3'!G51+'Principale mobile 4'!G51</f>
        <v>#REF!</v>
      </c>
      <c r="F31" s="10"/>
      <c r="G31" s="11"/>
      <c r="H31" s="12"/>
      <c r="J31" s="57" t="e">
        <f t="shared" si="1"/>
        <v>#REF!</v>
      </c>
    </row>
    <row r="32" spans="1:10" hidden="1" x14ac:dyDescent="0.35">
      <c r="A32" s="53"/>
      <c r="B32" s="12"/>
      <c r="C32" s="10"/>
      <c r="D32" s="8"/>
      <c r="E32" s="9" t="e">
        <f>'Réserve Nord'!E52+'Nord Mobile 1'!E52+#REF!+'Nord 2'!G52+'Nord Mobile 2'!G52+Esplanade!G52+'Est mobile 1'!G51+'Est 1'!G52+'Est mobile 2'!G52+'Est Mobile 3'!G52+'Est 2'!G52+'Est mobile 4'!G52+'Réserve Sud'!G52+'Sud 1'!G52+#REF!+Visiteurs!G52+'Principale 1 '!G52+'Principale mobile 1'!G52+'Principale mobile 2'!G52+'Principale 2'!G52+'Principale mobile 3'!G52+'Principale mobile 4'!G52</f>
        <v>#REF!</v>
      </c>
      <c r="F32" s="10"/>
      <c r="G32" s="11"/>
      <c r="H32" s="12"/>
      <c r="J32" s="57" t="e">
        <f t="shared" si="1"/>
        <v>#REF!</v>
      </c>
    </row>
    <row r="33" spans="1:10" x14ac:dyDescent="0.35">
      <c r="A33" s="53"/>
      <c r="B33" s="12" t="s">
        <v>13</v>
      </c>
      <c r="C33" s="10" t="s">
        <v>32</v>
      </c>
      <c r="D33" s="8"/>
      <c r="E33" s="9" t="e">
        <f>'Réserve Nord'!E53+'Nord Mobile 1'!E53+#REF!+'Nord 2'!G53+'Nord Mobile 2'!G53+Esplanade!G53+'Est mobile 1'!G52+'Est 1'!G53+'Est mobile 2'!G53+'Est Mobile 3'!G53+'Est 2'!G53+'Est mobile 4'!G53+'Réserve Sud'!G53+'Sud 1'!G53+#REF!+Visiteurs!G53+'Principale 1 '!G53+'Principale mobile 1'!G53+'Principale mobile 2'!G53+'Principale 2'!G53+'Principale mobile 3'!G53+'Principale mobile 4'!G53</f>
        <v>#REF!</v>
      </c>
      <c r="F33" s="10" t="s">
        <v>20</v>
      </c>
      <c r="G33" s="11">
        <v>8.35</v>
      </c>
      <c r="H33" s="12" t="e">
        <f t="shared" si="2"/>
        <v>#REF!</v>
      </c>
      <c r="I33" s="56">
        <f>P200</f>
        <v>4.9066666666666672</v>
      </c>
      <c r="J33" s="57" t="e">
        <f t="shared" si="1"/>
        <v>#REF!</v>
      </c>
    </row>
    <row r="34" spans="1:10" x14ac:dyDescent="0.35">
      <c r="A34" s="53"/>
      <c r="B34" s="12" t="s">
        <v>13</v>
      </c>
      <c r="C34" s="10" t="s">
        <v>33</v>
      </c>
      <c r="D34" s="8"/>
      <c r="E34" s="9" t="e">
        <f>'Réserve Nord'!E54+'Nord Mobile 1'!E54+#REF!+'Nord 2'!G54+'Nord Mobile 2'!G54+Esplanade!G54+'Est mobile 1'!G53+'Est 1'!G54+'Est mobile 2'!G54+'Est Mobile 3'!G54+'Est 2'!G54+'Est mobile 4'!G54+'Réserve Sud'!G54+'Sud 1'!G54+#REF!+Visiteurs!G54+'Principale 1 '!G54+'Principale mobile 1'!G54+'Principale mobile 2'!G54+'Principale 2'!G54+'Principale mobile 3'!G54+'Principale mobile 4'!G54</f>
        <v>#REF!</v>
      </c>
      <c r="F34" s="10" t="s">
        <v>20</v>
      </c>
      <c r="G34" s="11">
        <v>8.9</v>
      </c>
      <c r="H34" s="12" t="e">
        <f t="shared" si="2"/>
        <v>#REF!</v>
      </c>
      <c r="I34" s="56">
        <f>P199+P202</f>
        <v>2.0533333333333332</v>
      </c>
      <c r="J34" s="57" t="e">
        <f t="shared" si="1"/>
        <v>#REF!</v>
      </c>
    </row>
    <row r="35" spans="1:10" x14ac:dyDescent="0.35">
      <c r="A35" s="53"/>
      <c r="B35" s="12" t="s">
        <v>13</v>
      </c>
      <c r="C35" s="10" t="s">
        <v>59</v>
      </c>
      <c r="D35" s="8"/>
      <c r="E35" s="9" t="e">
        <f>'Réserve Nord'!E55+'Nord Mobile 1'!E55+#REF!+'Nord 2'!G55+'Nord Mobile 2'!G55+Esplanade!G55+'Est mobile 1'!G54+'Est 1'!G55+'Est mobile 2'!G55+'Est Mobile 3'!G55+'Est 2'!G55+'Est mobile 4'!G55+'Réserve Sud'!G55+'Sud 1'!G55+#REF!+Visiteurs!G55+'Principale 1 '!G55+'Principale mobile 1'!G55+'Principale mobile 2'!G55+'Principale 2'!G55+'Principale mobile 3'!G55+'Principale mobile 4'!G55</f>
        <v>#REF!</v>
      </c>
      <c r="F35" s="10" t="s">
        <v>20</v>
      </c>
      <c r="G35" s="11">
        <v>8.6999999999999993</v>
      </c>
      <c r="H35" s="12" t="e">
        <f t="shared" si="2"/>
        <v>#REF!</v>
      </c>
      <c r="I35" s="56">
        <f>P201</f>
        <v>2.48</v>
      </c>
      <c r="J35" s="57" t="e">
        <f t="shared" si="1"/>
        <v>#REF!</v>
      </c>
    </row>
    <row r="36" spans="1:10" hidden="1" x14ac:dyDescent="0.35">
      <c r="A36" s="53"/>
      <c r="B36" s="12"/>
      <c r="C36" s="10"/>
      <c r="D36" s="8"/>
      <c r="E36" s="9" t="e">
        <f>'Réserve Nord'!E56+'Nord Mobile 1'!E56+#REF!+'Nord 2'!G56+'Nord Mobile 2'!G56+Esplanade!G56+'Est mobile 1'!G55+'Est 1'!G56+'Est mobile 2'!G56+'Est Mobile 3'!G56+'Est 2'!G56+'Est mobile 4'!G56+'Réserve Sud'!G56+'Sud 1'!G56+#REF!+Visiteurs!G56+'Principale 1 '!G56+'Principale mobile 1'!G56+'Principale mobile 2'!G56+'Principale 2'!G56+'Principale mobile 3'!G56+'Principale mobile 4'!G56</f>
        <v>#REF!</v>
      </c>
      <c r="F36" s="10" t="s">
        <v>20</v>
      </c>
      <c r="G36" s="11"/>
      <c r="H36" s="12"/>
      <c r="J36" s="57" t="e">
        <f t="shared" si="1"/>
        <v>#REF!</v>
      </c>
    </row>
    <row r="37" spans="1:10" hidden="1" x14ac:dyDescent="0.35">
      <c r="A37" s="53"/>
      <c r="B37" s="12"/>
      <c r="C37" s="10"/>
      <c r="D37" s="8"/>
      <c r="E37" s="9" t="e">
        <f>'Réserve Nord'!E57+'Nord Mobile 1'!E57+#REF!+'Nord 2'!G57+'Nord Mobile 2'!G57+Esplanade!G57+'Est mobile 1'!G56+'Est 1'!G57+'Est mobile 2'!G57+'Est Mobile 3'!G57+'Est 2'!G57+'Est mobile 4'!G57+'Réserve Sud'!G57+'Sud 1'!G57+#REF!+Visiteurs!G57+'Principale 1 '!G57+'Principale mobile 1'!G57+'Principale mobile 2'!G57+'Principale 2'!G57+'Principale mobile 3'!G57+'Principale mobile 4'!G57</f>
        <v>#REF!</v>
      </c>
      <c r="F37" s="10" t="s">
        <v>20</v>
      </c>
      <c r="G37" s="11"/>
      <c r="H37" s="12"/>
      <c r="J37" s="57" t="e">
        <f t="shared" si="1"/>
        <v>#REF!</v>
      </c>
    </row>
    <row r="38" spans="1:10" hidden="1" x14ac:dyDescent="0.35">
      <c r="A38" s="53"/>
      <c r="B38" s="12"/>
      <c r="C38" s="10"/>
      <c r="D38" s="8"/>
      <c r="E38" s="9" t="e">
        <f>'Réserve Nord'!E58+'Nord Mobile 1'!E58+#REF!+'Nord 2'!G58+'Nord Mobile 2'!G58+Esplanade!G58+'Est mobile 1'!G57+'Est 1'!G58+'Est mobile 2'!G58+'Est Mobile 3'!G58+'Est 2'!G58+'Est mobile 4'!G58+'Réserve Sud'!G58+'Sud 1'!G58+#REF!+Visiteurs!G58+'Principale 1 '!G58+'Principale mobile 1'!G58+'Principale mobile 2'!G58+'Principale 2'!G58+'Principale mobile 3'!G58+'Principale mobile 4'!G58</f>
        <v>#REF!</v>
      </c>
      <c r="F38" s="10" t="s">
        <v>20</v>
      </c>
      <c r="G38" s="11"/>
      <c r="H38" s="12"/>
      <c r="J38" s="57" t="e">
        <f t="shared" si="1"/>
        <v>#REF!</v>
      </c>
    </row>
    <row r="39" spans="1:10" hidden="1" x14ac:dyDescent="0.35">
      <c r="A39" s="53"/>
      <c r="B39" s="12"/>
      <c r="C39" s="10"/>
      <c r="D39" s="8"/>
      <c r="E39" s="9" t="e">
        <f>'Réserve Nord'!E59+'Nord Mobile 1'!E59+#REF!+'Nord 2'!G59+'Nord Mobile 2'!G59+Esplanade!G59+'Est mobile 1'!G58+'Est 1'!G59+'Est mobile 2'!G59+'Est Mobile 3'!G59+'Est 2'!G59+'Est mobile 4'!G59+'Réserve Sud'!G59+'Sud 1'!G59+#REF!+Visiteurs!G59+'Principale 1 '!G59+'Principale mobile 1'!G59+'Principale mobile 2'!G59+'Principale 2'!G59+'Principale mobile 3'!G59+'Principale mobile 4'!G59</f>
        <v>#REF!</v>
      </c>
      <c r="F39" s="10" t="s">
        <v>20</v>
      </c>
      <c r="G39" s="11"/>
      <c r="H39" s="12"/>
      <c r="J39" s="57" t="e">
        <f t="shared" si="1"/>
        <v>#REF!</v>
      </c>
    </row>
    <row r="40" spans="1:10" hidden="1" x14ac:dyDescent="0.35">
      <c r="A40" s="53"/>
      <c r="B40" s="12"/>
      <c r="C40" s="10"/>
      <c r="D40" s="8"/>
      <c r="E40" s="9" t="e">
        <f>'Réserve Nord'!E60+'Nord Mobile 1'!E60+#REF!+'Nord 2'!G60+'Nord Mobile 2'!G60+Esplanade!G60+'Est mobile 1'!G59+'Est 1'!G60+'Est mobile 2'!G60+'Est Mobile 3'!G60+'Est 2'!G60+'Est mobile 4'!G60+'Réserve Sud'!G60+'Sud 1'!G60+#REF!+Visiteurs!G60+'Principale 1 '!G60+'Principale mobile 1'!G60+'Principale mobile 2'!G60+'Principale 2'!G60+'Principale mobile 3'!G60+'Principale mobile 4'!G60</f>
        <v>#REF!</v>
      </c>
      <c r="F40" s="10" t="s">
        <v>20</v>
      </c>
      <c r="G40" s="11"/>
      <c r="H40" s="12"/>
      <c r="J40" s="57" t="e">
        <f t="shared" si="1"/>
        <v>#REF!</v>
      </c>
    </row>
    <row r="41" spans="1:10" hidden="1" x14ac:dyDescent="0.35">
      <c r="A41" s="53"/>
      <c r="B41" s="12"/>
      <c r="C41" s="10"/>
      <c r="D41" s="8"/>
      <c r="E41" s="9" t="e">
        <f>'Réserve Nord'!E61+'Nord Mobile 1'!E61+#REF!+'Nord 2'!G61+'Nord Mobile 2'!G61+Esplanade!G61+'Est mobile 1'!G60+'Est 1'!G61+'Est mobile 2'!G61+'Est Mobile 3'!G61+'Est 2'!G61+'Est mobile 4'!G61+'Réserve Sud'!G61+'Sud 1'!G61+#REF!+Visiteurs!G61+'Principale 1 '!G61+'Principale mobile 1'!G61+'Principale mobile 2'!G61+'Principale 2'!G61+'Principale mobile 3'!G61+'Principale mobile 4'!G61</f>
        <v>#REF!</v>
      </c>
      <c r="F41" s="10" t="s">
        <v>20</v>
      </c>
      <c r="G41" s="11"/>
      <c r="H41" s="12"/>
      <c r="J41" s="57" t="e">
        <f t="shared" si="1"/>
        <v>#REF!</v>
      </c>
    </row>
    <row r="42" spans="1:10" x14ac:dyDescent="0.35">
      <c r="A42" s="53"/>
      <c r="B42" s="12" t="s">
        <v>13</v>
      </c>
      <c r="C42" s="10" t="s">
        <v>90</v>
      </c>
      <c r="D42" s="8"/>
      <c r="E42" s="9" t="e">
        <f>'Réserve Nord'!E62+'Nord Mobile 1'!E62+#REF!+'Nord 2'!G62+'Nord Mobile 2'!G62+Esplanade!G62+'Est mobile 1'!G61+'Est 1'!G62+'Est mobile 2'!G62+'Est Mobile 3'!G62+'Est 2'!G62+'Est mobile 4'!G62+'Réserve Sud'!G62+'Sud 1'!G62+#REF!+Visiteurs!G62+'Principale 1 '!G62+'Principale mobile 1'!G62+'Principale mobile 2'!G62+'Principale 2'!G62+'Principale mobile 3'!G62+'Principale mobile 4'!G62</f>
        <v>#REF!</v>
      </c>
      <c r="F42" s="10" t="s">
        <v>20</v>
      </c>
      <c r="G42" s="11">
        <v>37.369999999999997</v>
      </c>
      <c r="H42" s="12" t="e">
        <f t="shared" si="2"/>
        <v>#REF!</v>
      </c>
      <c r="J42" s="57" t="e">
        <f t="shared" si="1"/>
        <v>#REF!</v>
      </c>
    </row>
    <row r="43" spans="1:10" x14ac:dyDescent="0.35">
      <c r="A43" s="53"/>
      <c r="B43" s="12" t="s">
        <v>13</v>
      </c>
      <c r="C43" s="10" t="s">
        <v>79</v>
      </c>
      <c r="D43" s="8"/>
      <c r="E43" s="9" t="e">
        <f>'Réserve Nord'!E63+'Nord Mobile 1'!E63+#REF!+'Nord 2'!G63+'Nord Mobile 2'!G63+Esplanade!G63+'Est mobile 1'!G62+'Est 1'!G63+'Est mobile 2'!G63+'Est Mobile 3'!G63+'Est 2'!G63+'Est mobile 4'!G63+'Réserve Sud'!G63+'Sud 1'!G63+#REF!+Visiteurs!G63+'Principale 1 '!G63+'Principale mobile 1'!G63+'Principale mobile 2'!G63+'Principale 2'!G63+'Principale mobile 3'!G63+'Principale mobile 4'!G63</f>
        <v>#REF!</v>
      </c>
      <c r="F43" s="10" t="s">
        <v>23</v>
      </c>
      <c r="G43" s="11">
        <v>3.49</v>
      </c>
      <c r="H43" s="12" t="e">
        <f t="shared" si="2"/>
        <v>#REF!</v>
      </c>
      <c r="J43" s="57" t="e">
        <f t="shared" si="1"/>
        <v>#REF!</v>
      </c>
    </row>
    <row r="44" spans="1:10" hidden="1" x14ac:dyDescent="0.35">
      <c r="A44" s="53"/>
      <c r="B44" s="12" t="s">
        <v>13</v>
      </c>
      <c r="C44" s="10"/>
      <c r="D44" s="8"/>
      <c r="E44" s="9" t="e">
        <f>'Réserve Nord'!E64+'Nord Mobile 1'!E64+#REF!+'Nord 2'!G64+'Nord Mobile 2'!G64+Esplanade!G64+'Est mobile 1'!G63+'Est 1'!G64+'Est mobile 2'!G64+'Est Mobile 3'!G64+'Est 2'!G64+'Est mobile 4'!G64+'Réserve Sud'!G64+'Sud 1'!G64+#REF!+Visiteurs!G64+'Principale 1 '!G64+'Principale mobile 1'!G64+'Principale mobile 2'!G64+'Principale 2'!G64+'Principale mobile 3'!G64+'Principale mobile 4'!G64</f>
        <v>#REF!</v>
      </c>
      <c r="F44" s="10"/>
      <c r="G44" s="11">
        <v>0</v>
      </c>
      <c r="H44" s="12" t="e">
        <f t="shared" si="2"/>
        <v>#REF!</v>
      </c>
      <c r="J44" s="57" t="e">
        <f t="shared" si="1"/>
        <v>#REF!</v>
      </c>
    </row>
    <row r="45" spans="1:10" hidden="1" x14ac:dyDescent="0.35">
      <c r="A45" s="53"/>
      <c r="B45" s="12" t="s">
        <v>13</v>
      </c>
      <c r="C45" s="10"/>
      <c r="D45" s="8"/>
      <c r="E45" s="9" t="e">
        <f>'Réserve Nord'!E65+'Nord Mobile 1'!E65+#REF!+'Nord 2'!G65+'Nord Mobile 2'!G65+Esplanade!G65+'Est mobile 1'!G64+'Est 1'!G65+'Est mobile 2'!G65+'Est Mobile 3'!G65+'Est 2'!G65+'Est mobile 4'!G65+'Réserve Sud'!G65+'Sud 1'!G65+#REF!+Visiteurs!G65+'Principale 1 '!G65+'Principale mobile 1'!G65+'Principale mobile 2'!G65+'Principale 2'!G65+'Principale mobile 3'!G65+'Principale mobile 4'!G65</f>
        <v>#REF!</v>
      </c>
      <c r="F45" s="10"/>
      <c r="G45" s="11">
        <v>0</v>
      </c>
      <c r="H45" s="12" t="e">
        <f t="shared" si="2"/>
        <v>#REF!</v>
      </c>
      <c r="J45" s="57" t="e">
        <f t="shared" si="1"/>
        <v>#REF!</v>
      </c>
    </row>
    <row r="46" spans="1:10" hidden="1" x14ac:dyDescent="0.35">
      <c r="A46" s="53"/>
      <c r="B46" s="12" t="s">
        <v>13</v>
      </c>
      <c r="C46" s="10"/>
      <c r="D46" s="8"/>
      <c r="E46" s="9" t="e">
        <f>'Réserve Nord'!E66+'Nord Mobile 1'!E66+#REF!+'Nord 2'!G66+'Nord Mobile 2'!G66+Esplanade!G66+'Est mobile 1'!G65+'Est 1'!G66+'Est mobile 2'!G66+'Est Mobile 3'!G66+'Est 2'!G66+'Est mobile 4'!G66+'Réserve Sud'!G66+'Sud 1'!G66+#REF!+Visiteurs!G66+'Principale 1 '!G66+'Principale mobile 1'!G66+'Principale mobile 2'!G66+'Principale 2'!G66+'Principale mobile 3'!G66+'Principale mobile 4'!G66</f>
        <v>#REF!</v>
      </c>
      <c r="F46" s="10"/>
      <c r="G46" s="11">
        <v>0</v>
      </c>
      <c r="H46" s="12" t="e">
        <f t="shared" si="2"/>
        <v>#REF!</v>
      </c>
      <c r="J46" s="57" t="e">
        <f t="shared" si="1"/>
        <v>#REF!</v>
      </c>
    </row>
    <row r="47" spans="1:10" hidden="1" x14ac:dyDescent="0.35">
      <c r="A47" s="53"/>
      <c r="B47" s="12" t="s">
        <v>13</v>
      </c>
      <c r="C47" s="10"/>
      <c r="D47" s="8"/>
      <c r="E47" s="9" t="e">
        <f>'Réserve Nord'!E67+'Nord Mobile 1'!E67+#REF!+'Nord 2'!G67+'Nord Mobile 2'!G67+Esplanade!G67+'Est mobile 1'!G66+'Est 1'!G67+'Est mobile 2'!G67+'Est Mobile 3'!G67+'Est 2'!G67+'Est mobile 4'!G67+'Réserve Sud'!G67+'Sud 1'!G67+#REF!+Visiteurs!G67+'Principale 1 '!G67+'Principale mobile 1'!G67+'Principale mobile 2'!G67+'Principale 2'!G67+'Principale mobile 3'!G67+'Principale mobile 4'!G67</f>
        <v>#REF!</v>
      </c>
      <c r="F47" s="10"/>
      <c r="G47" s="11">
        <v>0</v>
      </c>
      <c r="H47" s="12" t="e">
        <f t="shared" si="2"/>
        <v>#REF!</v>
      </c>
      <c r="J47" s="57" t="e">
        <f t="shared" si="1"/>
        <v>#REF!</v>
      </c>
    </row>
    <row r="48" spans="1:10" x14ac:dyDescent="0.35">
      <c r="A48" s="53"/>
      <c r="B48" s="12" t="s">
        <v>3</v>
      </c>
      <c r="C48" s="10" t="s">
        <v>126</v>
      </c>
      <c r="D48" s="8"/>
      <c r="E48" s="9" t="e">
        <f>'Réserve Nord'!E68+'Nord Mobile 1'!E68+#REF!+'Nord 2'!G68+'Nord Mobile 2'!G68+Esplanade!G68+'Est mobile 1'!G67+'Est 1'!G68+'Est mobile 2'!G68+'Est Mobile 3'!G68+'Est 2'!G68+'Est mobile 4'!G68+'Réserve Sud'!G68+'Sud 1'!G68+#REF!+Visiteurs!G68+'Principale 1 '!G68+'Principale mobile 1'!G68+'Principale mobile 2'!G68+'Principale 2'!G68+'Principale mobile 3'!G68+'Principale mobile 4'!G68</f>
        <v>#REF!</v>
      </c>
      <c r="F48" s="10" t="s">
        <v>20</v>
      </c>
      <c r="G48" s="11">
        <v>240</v>
      </c>
      <c r="H48" s="12" t="e">
        <f t="shared" si="2"/>
        <v>#REF!</v>
      </c>
      <c r="J48" s="57" t="e">
        <f t="shared" si="1"/>
        <v>#REF!</v>
      </c>
    </row>
    <row r="49" spans="1:10" x14ac:dyDescent="0.35">
      <c r="A49" s="53"/>
      <c r="B49" s="12" t="s">
        <v>3</v>
      </c>
      <c r="C49" s="10" t="s">
        <v>127</v>
      </c>
      <c r="D49" s="8"/>
      <c r="E49" s="9" t="e">
        <f>'Réserve Nord'!E69+'Nord Mobile 1'!E69+#REF!+'Nord 2'!G69+'Nord Mobile 2'!G69+Esplanade!G69+'Est mobile 1'!G68+'Est 1'!G69+'Est mobile 2'!G69+'Est Mobile 3'!G69+'Est 2'!G69+'Est mobile 4'!G69+'Réserve Sud'!G69+'Sud 1'!G69+#REF!+Visiteurs!G69+'Principale 1 '!G69+'Principale mobile 1'!G69+'Principale mobile 2'!G69+'Principale 2'!G69+'Principale mobile 3'!G69+'Principale mobile 4'!G69</f>
        <v>#REF!</v>
      </c>
      <c r="F49" s="10" t="s">
        <v>20</v>
      </c>
      <c r="G49" s="11">
        <v>300</v>
      </c>
      <c r="H49" s="12" t="e">
        <f t="shared" si="2"/>
        <v>#REF!</v>
      </c>
      <c r="J49" s="57" t="e">
        <f t="shared" si="1"/>
        <v>#REF!</v>
      </c>
    </row>
    <row r="50" spans="1:10" hidden="1" x14ac:dyDescent="0.35">
      <c r="A50" s="53"/>
      <c r="B50" s="12" t="s">
        <v>13</v>
      </c>
      <c r="C50" s="10"/>
      <c r="D50" s="8"/>
      <c r="E50" s="9" t="e">
        <f>'Réserve Nord'!E70+'Nord Mobile 1'!E70+#REF!+'Nord 2'!G70+'Nord Mobile 2'!G70+Esplanade!G70+'Est mobile 1'!G69+'Est 1'!G70+'Est mobile 2'!G70+'Est Mobile 3'!G70+'Est 2'!G70+'Est mobile 4'!G70+'Réserve Sud'!G70+'Sud 1'!G70+#REF!+Visiteurs!G70+'Principale 1 '!G70+'Principale mobile 1'!G70+'Principale mobile 2'!G70+'Principale 2'!G70+'Principale mobile 3'!G70+'Principale mobile 4'!G70</f>
        <v>#REF!</v>
      </c>
      <c r="F50" s="10" t="s">
        <v>20</v>
      </c>
      <c r="G50" s="11">
        <v>0</v>
      </c>
      <c r="H50" s="12" t="e">
        <f t="shared" si="2"/>
        <v>#REF!</v>
      </c>
      <c r="J50" s="57" t="e">
        <f t="shared" si="1"/>
        <v>#REF!</v>
      </c>
    </row>
    <row r="51" spans="1:10" hidden="1" x14ac:dyDescent="0.35">
      <c r="A51" s="53"/>
      <c r="B51" s="12" t="s">
        <v>13</v>
      </c>
      <c r="C51" s="10"/>
      <c r="D51" s="8"/>
      <c r="E51" s="9" t="e">
        <f>'Réserve Nord'!E71+'Nord Mobile 1'!E71+#REF!+'Nord 2'!G71+'Nord Mobile 2'!G71+Esplanade!G71+'Est mobile 1'!G70+'Est 1'!G71+'Est mobile 2'!G71+'Est Mobile 3'!G71+'Est 2'!G71+'Est mobile 4'!G71+'Réserve Sud'!G71+'Sud 1'!G71+#REF!+Visiteurs!G71+'Principale 1 '!G71+'Principale mobile 1'!G71+'Principale mobile 2'!G71+'Principale 2'!G71+'Principale mobile 3'!G71+'Principale mobile 4'!G71</f>
        <v>#REF!</v>
      </c>
      <c r="F51" s="10" t="s">
        <v>20</v>
      </c>
      <c r="G51" s="11">
        <v>0</v>
      </c>
      <c r="H51" s="12" t="e">
        <f t="shared" si="2"/>
        <v>#REF!</v>
      </c>
      <c r="J51" s="57" t="e">
        <f t="shared" si="1"/>
        <v>#REF!</v>
      </c>
    </row>
    <row r="52" spans="1:10" ht="15.5" hidden="1" x14ac:dyDescent="0.35">
      <c r="A52" s="54"/>
      <c r="B52" s="21" t="s">
        <v>120</v>
      </c>
      <c r="C52" s="21"/>
      <c r="D52" s="21"/>
      <c r="E52" s="21"/>
      <c r="F52" s="21"/>
      <c r="G52" s="36" t="s">
        <v>18</v>
      </c>
      <c r="H52" s="39" t="e">
        <f>SUM(H53:H84)</f>
        <v>#REF!</v>
      </c>
      <c r="J52" s="57">
        <f t="shared" si="1"/>
        <v>0</v>
      </c>
    </row>
    <row r="53" spans="1:10" hidden="1" x14ac:dyDescent="0.35">
      <c r="A53" s="53"/>
      <c r="B53" s="20" t="s">
        <v>4</v>
      </c>
      <c r="C53" s="18" t="s">
        <v>62</v>
      </c>
      <c r="D53" s="17"/>
      <c r="E53" s="9" t="e">
        <f>'Réserve Nord'!E73+'Nord Mobile 1'!E73+#REF!+'Nord 2'!G73+'Nord Mobile 2'!G73+Esplanade!G73+'Est mobile 1'!G72+'Est 1'!G73+'Est mobile 2'!G73+'Est Mobile 3'!G73+'Est 2'!G73+'Est mobile 4'!G73+'Réserve Sud'!G73+'Sud 1'!G73+#REF!+Visiteurs!G73+'Principale 1 '!G73+'Principale mobile 1'!G73+'Principale mobile 2'!G73+'Principale 2'!G73+'Principale mobile 3'!G73+'Principale mobile 4'!G73</f>
        <v>#REF!</v>
      </c>
      <c r="F53" s="18" t="s">
        <v>20</v>
      </c>
      <c r="G53" s="19">
        <v>7.35</v>
      </c>
      <c r="H53" s="20" t="e">
        <f>E53*G53</f>
        <v>#REF!</v>
      </c>
      <c r="J53" s="57" t="e">
        <f t="shared" si="1"/>
        <v>#REF!</v>
      </c>
    </row>
    <row r="54" spans="1:10" hidden="1" x14ac:dyDescent="0.35">
      <c r="A54" s="53"/>
      <c r="B54" s="20" t="s">
        <v>4</v>
      </c>
      <c r="C54" s="18" t="s">
        <v>60</v>
      </c>
      <c r="D54" s="17"/>
      <c r="E54" s="9" t="e">
        <f>'Réserve Nord'!E74+'Nord Mobile 1'!E74+#REF!+'Nord 2'!G74+'Nord Mobile 2'!G74+Esplanade!G74+'Est mobile 1'!G73+'Est 1'!G74+'Est mobile 2'!G74+'Est Mobile 3'!G74+'Est 2'!G74+'Est mobile 4'!G74+'Réserve Sud'!G74+'Sud 1'!G74+#REF!+Visiteurs!G74+'Principale 1 '!G74+'Principale mobile 1'!G74+'Principale mobile 2'!G74+'Principale 2'!G74+'Principale mobile 3'!G74+'Principale mobile 4'!G74</f>
        <v>#REF!</v>
      </c>
      <c r="F54" s="18" t="s">
        <v>20</v>
      </c>
      <c r="G54" s="19">
        <v>10.65</v>
      </c>
      <c r="H54" s="20" t="e">
        <f>E54*G54</f>
        <v>#REF!</v>
      </c>
      <c r="J54" s="57" t="e">
        <f t="shared" si="1"/>
        <v>#REF!</v>
      </c>
    </row>
    <row r="55" spans="1:10" hidden="1" x14ac:dyDescent="0.35">
      <c r="A55" s="53"/>
      <c r="B55" s="20" t="s">
        <v>4</v>
      </c>
      <c r="C55" s="18"/>
      <c r="D55" s="17"/>
      <c r="E55" s="9" t="e">
        <f>'Réserve Nord'!E75+'Nord Mobile 1'!E75+#REF!+'Nord 2'!G75+'Nord Mobile 2'!G75+Esplanade!G75+'Est mobile 1'!G74+'Est 1'!G75+'Est mobile 2'!G75+'Est Mobile 3'!G75+'Est 2'!G75+'Est mobile 4'!G75+'Réserve Sud'!G75+'Sud 1'!G75+#REF!+Visiteurs!G75+'Principale 1 '!G75+'Principale mobile 1'!G75+'Principale mobile 2'!G75+'Principale 2'!G75+'Principale mobile 3'!G75+'Principale mobile 4'!G75</f>
        <v>#REF!</v>
      </c>
      <c r="F55" s="18" t="s">
        <v>20</v>
      </c>
      <c r="G55" s="19">
        <v>0</v>
      </c>
      <c r="H55" s="20" t="e">
        <f>E55*G55</f>
        <v>#REF!</v>
      </c>
      <c r="J55" s="57" t="e">
        <f t="shared" si="1"/>
        <v>#REF!</v>
      </c>
    </row>
    <row r="56" spans="1:10" hidden="1" x14ac:dyDescent="0.35">
      <c r="A56" s="53"/>
      <c r="B56" s="20" t="s">
        <v>4</v>
      </c>
      <c r="C56" s="18"/>
      <c r="D56" s="17"/>
      <c r="E56" s="9" t="e">
        <f>'Réserve Nord'!E76+'Nord Mobile 1'!E76+#REF!+'Nord 2'!G76+'Nord Mobile 2'!G76+Esplanade!G76+'Est mobile 1'!G75+'Est 1'!G76+'Est mobile 2'!G76+'Est Mobile 3'!G76+'Est 2'!G76+'Est mobile 4'!G76+'Réserve Sud'!G76+'Sud 1'!G76+#REF!+Visiteurs!G76+'Principale 1 '!G76+'Principale mobile 1'!G76+'Principale mobile 2'!G76+'Principale 2'!G76+'Principale mobile 3'!G76+'Principale mobile 4'!G76</f>
        <v>#REF!</v>
      </c>
      <c r="F56" s="18" t="s">
        <v>20</v>
      </c>
      <c r="G56" s="19">
        <v>0</v>
      </c>
      <c r="H56" s="20" t="e">
        <f>E56*G56</f>
        <v>#REF!</v>
      </c>
      <c r="J56" s="57" t="e">
        <f t="shared" si="1"/>
        <v>#REF!</v>
      </c>
    </row>
    <row r="57" spans="1:10" hidden="1" x14ac:dyDescent="0.35">
      <c r="A57" s="53"/>
      <c r="B57" s="20" t="s">
        <v>4</v>
      </c>
      <c r="C57" s="18"/>
      <c r="D57" s="17"/>
      <c r="E57" s="9" t="e">
        <f>'Réserve Nord'!E77+'Nord Mobile 1'!E77+#REF!+'Nord 2'!G77+'Nord Mobile 2'!G77+Esplanade!G77+'Est mobile 1'!G76+'Est 1'!G77+'Est mobile 2'!G77+'Est Mobile 3'!G77+'Est 2'!G77+'Est mobile 4'!G77+'Réserve Sud'!G77+'Sud 1'!G77+#REF!+Visiteurs!G77+'Principale 1 '!G77+'Principale mobile 1'!G77+'Principale mobile 2'!G77+'Principale 2'!G77+'Principale mobile 3'!G77+'Principale mobile 4'!G77</f>
        <v>#REF!</v>
      </c>
      <c r="F57" s="18" t="s">
        <v>20</v>
      </c>
      <c r="G57" s="19">
        <v>0</v>
      </c>
      <c r="H57" s="20" t="e">
        <f>E57*G57</f>
        <v>#REF!</v>
      </c>
      <c r="J57" s="57" t="e">
        <f t="shared" si="1"/>
        <v>#REF!</v>
      </c>
    </row>
    <row r="58" spans="1:10" ht="15.5" hidden="1" x14ac:dyDescent="0.35">
      <c r="A58" s="55"/>
      <c r="B58" s="23" t="s">
        <v>40</v>
      </c>
      <c r="C58" s="23"/>
      <c r="D58" s="23"/>
      <c r="E58" s="23"/>
      <c r="F58" s="23"/>
      <c r="G58" s="23"/>
      <c r="H58" s="23"/>
      <c r="J58" s="57">
        <f t="shared" si="1"/>
        <v>0</v>
      </c>
    </row>
    <row r="59" spans="1:10" hidden="1" x14ac:dyDescent="0.35">
      <c r="A59" s="53"/>
      <c r="B59" s="12" t="s">
        <v>4</v>
      </c>
      <c r="C59" s="10" t="s">
        <v>83</v>
      </c>
      <c r="D59" s="8"/>
      <c r="E59" s="9" t="e">
        <f>'Réserve Nord'!E79+'Nord Mobile 1'!E79+#REF!+'Nord 2'!G79+'Nord Mobile 2'!G79+Esplanade!G79+'Est mobile 1'!G78+'Est 1'!G79+'Est mobile 2'!G79+'Est Mobile 3'!G79+'Est 2'!G79+'Est mobile 4'!G79+'Réserve Sud'!G79+'Sud 1'!G79+#REF!+Visiteurs!G79+'Principale 1 '!G79+'Principale mobile 1'!G79+'Principale mobile 2'!G79+'Principale 2'!G79+'Principale mobile 3'!G79+'Principale mobile 4'!G79</f>
        <v>#REF!</v>
      </c>
      <c r="F59" s="10" t="s">
        <v>20</v>
      </c>
      <c r="G59" s="11">
        <v>1.04</v>
      </c>
      <c r="H59" s="12" t="e">
        <f t="shared" ref="H59:H66" si="3">E59*G59</f>
        <v>#REF!</v>
      </c>
      <c r="J59" s="57" t="e">
        <f t="shared" si="1"/>
        <v>#REF!</v>
      </c>
    </row>
    <row r="60" spans="1:10" hidden="1" x14ac:dyDescent="0.35">
      <c r="A60" s="53"/>
      <c r="B60" s="12" t="s">
        <v>4</v>
      </c>
      <c r="C60" s="10" t="s">
        <v>89</v>
      </c>
      <c r="D60" s="8"/>
      <c r="E60" s="9" t="e">
        <f>'Réserve Nord'!E80+'Nord Mobile 1'!E80+#REF!+'Nord 2'!G80+'Nord Mobile 2'!G80+Esplanade!G80+'Est mobile 1'!G79+'Est 1'!G80+'Est mobile 2'!G80+'Est Mobile 3'!G80+'Est 2'!G80+'Est mobile 4'!G80+'Réserve Sud'!G80+'Sud 1'!G80+#REF!+Visiteurs!G80+'Principale 1 '!G80+'Principale mobile 1'!G80+'Principale mobile 2'!G80+'Principale 2'!G80+'Principale mobile 3'!G80+'Principale mobile 4'!G80</f>
        <v>#REF!</v>
      </c>
      <c r="F60" s="10" t="s">
        <v>20</v>
      </c>
      <c r="G60" s="11">
        <v>1.04</v>
      </c>
      <c r="H60" s="12" t="e">
        <f t="shared" si="3"/>
        <v>#REF!</v>
      </c>
      <c r="J60" s="57" t="e">
        <f t="shared" si="1"/>
        <v>#REF!</v>
      </c>
    </row>
    <row r="61" spans="1:10" hidden="1" x14ac:dyDescent="0.35">
      <c r="A61" s="53"/>
      <c r="B61" s="12" t="s">
        <v>4</v>
      </c>
      <c r="C61" s="10"/>
      <c r="D61" s="8"/>
      <c r="E61" s="9" t="e">
        <f>'Réserve Nord'!E81+'Nord Mobile 1'!E81+#REF!+'Nord 2'!G81+'Nord Mobile 2'!G81+Esplanade!G81+'Est mobile 1'!G80+'Est 1'!G81+'Est mobile 2'!G81+'Est Mobile 3'!G81+'Est 2'!G81+'Est mobile 4'!G81+'Réserve Sud'!G81+'Sud 1'!G81+#REF!+Visiteurs!G81+'Principale 1 '!G81+'Principale mobile 1'!G81+'Principale mobile 2'!G81+'Principale 2'!G81+'Principale mobile 3'!G81+'Principale mobile 4'!G81</f>
        <v>#REF!</v>
      </c>
      <c r="F61" s="10" t="s">
        <v>20</v>
      </c>
      <c r="G61" s="11">
        <v>0</v>
      </c>
      <c r="H61" s="12" t="e">
        <f t="shared" si="3"/>
        <v>#REF!</v>
      </c>
      <c r="J61" s="57" t="e">
        <f t="shared" si="1"/>
        <v>#REF!</v>
      </c>
    </row>
    <row r="62" spans="1:10" hidden="1" x14ac:dyDescent="0.35">
      <c r="A62" s="53"/>
      <c r="B62" s="12" t="s">
        <v>4</v>
      </c>
      <c r="C62" s="10"/>
      <c r="D62" s="8"/>
      <c r="E62" s="9" t="e">
        <f>'Réserve Nord'!E82+'Nord Mobile 1'!E82+#REF!+'Nord 2'!G82+'Nord Mobile 2'!G82+Esplanade!G82+'Est mobile 1'!G81+'Est 1'!G82+'Est mobile 2'!G82+'Est Mobile 3'!G82+'Est 2'!G82+'Est mobile 4'!G82+'Réserve Sud'!G82+'Sud 1'!G82+#REF!+Visiteurs!G82+'Principale 1 '!G82+'Principale mobile 1'!G82+'Principale mobile 2'!G82+'Principale 2'!G82+'Principale mobile 3'!G82+'Principale mobile 4'!G82</f>
        <v>#REF!</v>
      </c>
      <c r="F62" s="10" t="s">
        <v>20</v>
      </c>
      <c r="G62" s="11">
        <v>0</v>
      </c>
      <c r="H62" s="12" t="e">
        <f t="shared" si="3"/>
        <v>#REF!</v>
      </c>
      <c r="J62" s="57" t="e">
        <f t="shared" si="1"/>
        <v>#REF!</v>
      </c>
    </row>
    <row r="63" spans="1:10" hidden="1" x14ac:dyDescent="0.35">
      <c r="A63" s="53"/>
      <c r="B63" s="12" t="s">
        <v>4</v>
      </c>
      <c r="C63" s="10"/>
      <c r="D63" s="8"/>
      <c r="E63" s="9" t="e">
        <f>'Réserve Nord'!E83+'Nord Mobile 1'!E83+#REF!+'Nord 2'!G83+'Nord Mobile 2'!G83+Esplanade!G83+'Est mobile 1'!G82+'Est 1'!G83+'Est mobile 2'!G83+'Est Mobile 3'!G83+'Est 2'!G83+'Est mobile 4'!G83+'Réserve Sud'!G83+'Sud 1'!G83+#REF!+Visiteurs!G83+'Principale 1 '!G83+'Principale mobile 1'!G83+'Principale mobile 2'!G83+'Principale 2'!G83+'Principale mobile 3'!G83+'Principale mobile 4'!G83</f>
        <v>#REF!</v>
      </c>
      <c r="F63" s="10" t="s">
        <v>20</v>
      </c>
      <c r="G63" s="11">
        <v>0</v>
      </c>
      <c r="H63" s="12" t="e">
        <f t="shared" si="3"/>
        <v>#REF!</v>
      </c>
      <c r="J63" s="57" t="e">
        <f t="shared" si="1"/>
        <v>#REF!</v>
      </c>
    </row>
    <row r="64" spans="1:10" hidden="1" x14ac:dyDescent="0.35">
      <c r="A64" s="53"/>
      <c r="B64" s="12" t="s">
        <v>4</v>
      </c>
      <c r="C64" s="10"/>
      <c r="D64" s="8"/>
      <c r="E64" s="9" t="e">
        <f>'Réserve Nord'!E84+'Nord Mobile 1'!E84+#REF!+'Nord 2'!G84+'Nord Mobile 2'!G84+Esplanade!G84+'Est mobile 1'!G83+'Est 1'!G84+'Est mobile 2'!G84+'Est Mobile 3'!G84+'Est 2'!G84+'Est mobile 4'!G84+'Réserve Sud'!G84+'Sud 1'!G84+#REF!+Visiteurs!G84+'Principale 1 '!G84+'Principale mobile 1'!G84+'Principale mobile 2'!G84+'Principale 2'!G84+'Principale mobile 3'!G84+'Principale mobile 4'!G84</f>
        <v>#REF!</v>
      </c>
      <c r="F64" s="10" t="s">
        <v>20</v>
      </c>
      <c r="G64" s="11">
        <v>0</v>
      </c>
      <c r="H64" s="12" t="e">
        <f t="shared" si="3"/>
        <v>#REF!</v>
      </c>
      <c r="J64" s="57" t="e">
        <f t="shared" si="1"/>
        <v>#REF!</v>
      </c>
    </row>
    <row r="65" spans="1:10" hidden="1" x14ac:dyDescent="0.35">
      <c r="A65" s="53"/>
      <c r="B65" s="12" t="s">
        <v>4</v>
      </c>
      <c r="C65" s="10"/>
      <c r="D65" s="8"/>
      <c r="E65" s="9" t="e">
        <f>'Réserve Nord'!E85+'Nord Mobile 1'!E85+#REF!+'Nord 2'!G85+'Nord Mobile 2'!G85+Esplanade!G85+'Est mobile 1'!G84+'Est 1'!G85+'Est mobile 2'!G85+'Est Mobile 3'!G85+'Est 2'!G85+'Est mobile 4'!G85+'Réserve Sud'!G85+'Sud 1'!G85+#REF!+Visiteurs!G85+'Principale 1 '!G85+'Principale mobile 1'!G85+'Principale mobile 2'!G85+'Principale 2'!G85+'Principale mobile 3'!G85+'Principale mobile 4'!G85</f>
        <v>#REF!</v>
      </c>
      <c r="F65" s="10" t="s">
        <v>20</v>
      </c>
      <c r="G65" s="11">
        <v>0</v>
      </c>
      <c r="H65" s="12" t="e">
        <f t="shared" si="3"/>
        <v>#REF!</v>
      </c>
      <c r="J65" s="57" t="e">
        <f t="shared" si="1"/>
        <v>#REF!</v>
      </c>
    </row>
    <row r="66" spans="1:10" hidden="1" x14ac:dyDescent="0.35">
      <c r="A66" s="53"/>
      <c r="B66" s="12" t="s">
        <v>4</v>
      </c>
      <c r="C66" s="10"/>
      <c r="D66" s="8"/>
      <c r="E66" s="9" t="e">
        <f>'Réserve Nord'!E86+'Nord Mobile 1'!E86+#REF!+'Nord 2'!G86+'Nord Mobile 2'!G86+Esplanade!G86+'Est mobile 1'!G85+'Est 1'!G86+'Est mobile 2'!G86+'Est Mobile 3'!G86+'Est 2'!G86+'Est mobile 4'!G86+'Réserve Sud'!G86+'Sud 1'!G86+#REF!+Visiteurs!G86+'Principale 1 '!G86+'Principale mobile 1'!G86+'Principale mobile 2'!G86+'Principale 2'!G86+'Principale mobile 3'!G86+'Principale mobile 4'!G86</f>
        <v>#REF!</v>
      </c>
      <c r="F66" s="10" t="s">
        <v>20</v>
      </c>
      <c r="G66" s="11">
        <v>0</v>
      </c>
      <c r="H66" s="12" t="e">
        <f t="shared" si="3"/>
        <v>#REF!</v>
      </c>
      <c r="J66" s="57" t="e">
        <f t="shared" si="1"/>
        <v>#REF!</v>
      </c>
    </row>
    <row r="67" spans="1:10" ht="15.5" hidden="1" x14ac:dyDescent="0.35">
      <c r="A67" s="55"/>
      <c r="B67" s="23" t="s">
        <v>41</v>
      </c>
      <c r="C67" s="23"/>
      <c r="D67" s="23"/>
      <c r="E67" s="23"/>
      <c r="F67" s="23"/>
      <c r="G67" s="23"/>
      <c r="H67" s="23"/>
      <c r="J67" s="57">
        <f t="shared" si="1"/>
        <v>0</v>
      </c>
    </row>
    <row r="68" spans="1:10" x14ac:dyDescent="0.35">
      <c r="A68" s="53"/>
      <c r="B68" s="12" t="s">
        <v>4</v>
      </c>
      <c r="C68" s="10" t="s">
        <v>85</v>
      </c>
      <c r="D68" s="8"/>
      <c r="E68" s="9" t="e">
        <f>'Réserve Nord'!E88+'Nord Mobile 1'!E88+#REF!+'Nord 2'!G88+'Nord Mobile 2'!G88+Esplanade!G88+'Est mobile 1'!G87+'Est 1'!G88+'Est mobile 2'!G88+'Est Mobile 3'!G88+'Est 2'!G88+'Est mobile 4'!G88+'Réserve Sud'!G88+'Sud 1'!G88+#REF!+Visiteurs!G88+'Principale 1 '!G88+'Principale mobile 1'!G88+'Principale mobile 2'!G88+'Principale 2'!G88+'Principale mobile 3'!G88+'Principale mobile 4'!G88</f>
        <v>#REF!</v>
      </c>
      <c r="F68" s="10" t="s">
        <v>20</v>
      </c>
      <c r="G68" s="11">
        <v>2.97</v>
      </c>
      <c r="H68" s="12" t="e">
        <f t="shared" ref="H68:H80" si="4">E68*G68</f>
        <v>#REF!</v>
      </c>
      <c r="J68" s="57" t="e">
        <f t="shared" si="1"/>
        <v>#REF!</v>
      </c>
    </row>
    <row r="69" spans="1:10" x14ac:dyDescent="0.35">
      <c r="A69" s="53"/>
      <c r="B69" s="12" t="s">
        <v>4</v>
      </c>
      <c r="C69" s="10" t="s">
        <v>24</v>
      </c>
      <c r="D69" s="8"/>
      <c r="E69" s="9" t="e">
        <f>'Réserve Nord'!E89+'Nord Mobile 1'!E89+#REF!+'Nord 2'!G89+'Nord Mobile 2'!G89+Esplanade!G89+'Est mobile 1'!G88+'Est 1'!G89+'Est mobile 2'!G89+'Est Mobile 3'!G89+'Est 2'!G89+'Est mobile 4'!G89+'Réserve Sud'!G89+'Sud 1'!G89+#REF!+Visiteurs!G89+'Principale 1 '!G89+'Principale mobile 1'!G89+'Principale mobile 2'!G89+'Principale 2'!G89+'Principale mobile 3'!G89+'Principale mobile 4'!G89</f>
        <v>#REF!</v>
      </c>
      <c r="F69" s="10" t="s">
        <v>20</v>
      </c>
      <c r="G69" s="11">
        <v>3.04</v>
      </c>
      <c r="H69" s="12" t="e">
        <f t="shared" si="4"/>
        <v>#REF!</v>
      </c>
      <c r="J69" s="57" t="e">
        <f t="shared" si="1"/>
        <v>#REF!</v>
      </c>
    </row>
    <row r="70" spans="1:10" x14ac:dyDescent="0.35">
      <c r="A70" s="53"/>
      <c r="B70" s="12" t="s">
        <v>4</v>
      </c>
      <c r="C70" s="10" t="s">
        <v>80</v>
      </c>
      <c r="D70" s="8"/>
      <c r="E70" s="9" t="e">
        <f>'Réserve Nord'!E90+'Nord Mobile 1'!E90+#REF!+'Nord 2'!G90+'Nord Mobile 2'!G90+Esplanade!G90+'Est mobile 1'!G89+'Est 1'!G90+'Est mobile 2'!G90+'Est Mobile 3'!G90+'Est 2'!G90+'Est mobile 4'!G90+'Réserve Sud'!G90+'Sud 1'!G90+#REF!+Visiteurs!G90+'Principale 1 '!G90+'Principale mobile 1'!G90+'Principale mobile 2'!G90+'Principale 2'!G90+'Principale mobile 3'!G90+'Principale mobile 4'!G90</f>
        <v>#REF!</v>
      </c>
      <c r="F70" s="10" t="s">
        <v>20</v>
      </c>
      <c r="G70" s="11">
        <v>2.31</v>
      </c>
      <c r="H70" s="12" t="e">
        <f t="shared" si="4"/>
        <v>#REF!</v>
      </c>
      <c r="I70" s="57">
        <f>P178+P186</f>
        <v>224.8</v>
      </c>
      <c r="J70" s="57" t="e">
        <f t="shared" si="1"/>
        <v>#REF!</v>
      </c>
    </row>
    <row r="71" spans="1:10" x14ac:dyDescent="0.35">
      <c r="A71" s="53"/>
      <c r="B71" s="12" t="s">
        <v>4</v>
      </c>
      <c r="C71" s="10" t="s">
        <v>84</v>
      </c>
      <c r="D71" s="8"/>
      <c r="E71" s="9" t="e">
        <f>'Réserve Nord'!E91+'Nord Mobile 1'!E91+#REF!+'Nord 2'!G91+'Nord Mobile 2'!G91+Esplanade!G91+'Est mobile 1'!G90+'Est 1'!G91+'Est mobile 2'!G91+'Est Mobile 3'!G91+'Est 2'!G91+'Est mobile 4'!G91+'Réserve Sud'!G91+'Sud 1'!G91+#REF!+Visiteurs!G91+'Principale 1 '!G91+'Principale mobile 1'!G91+'Principale mobile 2'!G91+'Principale 2'!G91+'Principale mobile 3'!G91+'Principale mobile 4'!G91</f>
        <v>#REF!</v>
      </c>
      <c r="F71" s="10" t="s">
        <v>20</v>
      </c>
      <c r="G71" s="11">
        <v>2.31</v>
      </c>
      <c r="H71" s="12" t="e">
        <f t="shared" si="4"/>
        <v>#REF!</v>
      </c>
      <c r="I71" s="57">
        <f>P179+P187</f>
        <v>54.4</v>
      </c>
      <c r="J71" s="57" t="e">
        <f t="shared" ref="J71:J134" si="5">E71-I71</f>
        <v>#REF!</v>
      </c>
    </row>
    <row r="72" spans="1:10" x14ac:dyDescent="0.35">
      <c r="A72" s="53"/>
      <c r="B72" s="12" t="s">
        <v>4</v>
      </c>
      <c r="C72" s="10" t="s">
        <v>25</v>
      </c>
      <c r="D72" s="8"/>
      <c r="E72" s="9" t="e">
        <f>'Réserve Nord'!E92+'Nord Mobile 1'!E92+#REF!+'Nord 2'!G92+'Nord Mobile 2'!G92+Esplanade!G92+'Est mobile 1'!G91+'Est 1'!G92+'Est mobile 2'!G92+'Est Mobile 3'!G92+'Est 2'!G92+'Est mobile 4'!G92+'Réserve Sud'!G92+'Sud 1'!G92+#REF!+Visiteurs!G92+'Principale 1 '!G92+'Principale mobile 1'!G92+'Principale mobile 2'!G92+'Principale 2'!G92+'Principale mobile 3'!G92+'Principale mobile 4'!G92</f>
        <v>#REF!</v>
      </c>
      <c r="F72" s="10" t="s">
        <v>20</v>
      </c>
      <c r="G72" s="11">
        <v>1.79</v>
      </c>
      <c r="H72" s="12" t="e">
        <f t="shared" si="4"/>
        <v>#REF!</v>
      </c>
      <c r="I72" s="57">
        <f>P184+P191</f>
        <v>26.933333333333337</v>
      </c>
      <c r="J72" s="57" t="e">
        <f t="shared" si="5"/>
        <v>#REF!</v>
      </c>
    </row>
    <row r="73" spans="1:10" x14ac:dyDescent="0.35">
      <c r="A73" s="53"/>
      <c r="B73" s="12" t="s">
        <v>4</v>
      </c>
      <c r="C73" s="10" t="s">
        <v>97</v>
      </c>
      <c r="D73" s="8"/>
      <c r="E73" s="9" t="e">
        <f>'Réserve Nord'!E93+'Nord Mobile 1'!E93+#REF!+'Nord 2'!G93+'Nord Mobile 2'!G93+Esplanade!G93+'Est mobile 1'!G92+'Est 1'!G93+'Est mobile 2'!G93+'Est Mobile 3'!G93+'Est 2'!G93+'Est mobile 4'!G93+'Réserve Sud'!G93+'Sud 1'!G93+#REF!+Visiteurs!G93+'Principale 1 '!G93+'Principale mobile 1'!G93+'Principale mobile 2'!G93+'Principale 2'!G93+'Principale mobile 3'!G93+'Principale mobile 4'!G93</f>
        <v>#REF!</v>
      </c>
      <c r="F73" s="10" t="s">
        <v>20</v>
      </c>
      <c r="G73" s="11">
        <v>2.46</v>
      </c>
      <c r="H73" s="12" t="e">
        <f t="shared" si="4"/>
        <v>#REF!</v>
      </c>
      <c r="I73" s="57">
        <f>P190+P180</f>
        <v>179.73333333333335</v>
      </c>
      <c r="J73" s="57" t="e">
        <f t="shared" si="5"/>
        <v>#REF!</v>
      </c>
    </row>
    <row r="74" spans="1:10" hidden="1" x14ac:dyDescent="0.35">
      <c r="A74" s="53"/>
      <c r="B74" s="12" t="s">
        <v>4</v>
      </c>
      <c r="C74" s="10" t="s">
        <v>42</v>
      </c>
      <c r="D74" s="8"/>
      <c r="E74" s="9" t="e">
        <f>'Réserve Nord'!E94+'Nord Mobile 1'!E94+#REF!+'Nord 2'!G94+'Nord Mobile 2'!G94+Esplanade!G94+'Est mobile 1'!G93+'Est 1'!G94+'Est mobile 2'!G94+'Est Mobile 3'!G94+'Est 2'!G94+'Est mobile 4'!G94+'Réserve Sud'!G94+'Sud 1'!G94+#REF!+Visiteurs!G94+'Principale 1 '!G94+'Principale mobile 1'!G94+'Principale mobile 2'!G94+'Principale 2'!G94+'Principale mobile 3'!G94+'Principale mobile 4'!G94</f>
        <v>#REF!</v>
      </c>
      <c r="F74" s="10" t="s">
        <v>20</v>
      </c>
      <c r="G74" s="11">
        <v>2.46</v>
      </c>
      <c r="H74" s="12" t="e">
        <f t="shared" si="4"/>
        <v>#REF!</v>
      </c>
      <c r="J74" s="57" t="e">
        <f t="shared" si="5"/>
        <v>#REF!</v>
      </c>
    </row>
    <row r="75" spans="1:10" hidden="1" x14ac:dyDescent="0.35">
      <c r="A75" s="53"/>
      <c r="B75" s="12" t="s">
        <v>4</v>
      </c>
      <c r="C75" s="10" t="s">
        <v>43</v>
      </c>
      <c r="D75" s="8"/>
      <c r="E75" s="9" t="e">
        <f>'Réserve Nord'!E95+'Nord Mobile 1'!E95+#REF!+'Nord 2'!G95+'Nord Mobile 2'!G95+Esplanade!G95+'Est mobile 1'!G94+'Est 1'!G95+'Est mobile 2'!G95+'Est Mobile 3'!G95+'Est 2'!G95+'Est mobile 4'!G95+'Réserve Sud'!G95+'Sud 1'!G95+#REF!+Visiteurs!G95+'Principale 1 '!G95+'Principale mobile 1'!G95+'Principale mobile 2'!G95+'Principale 2'!G95+'Principale mobile 3'!G95+'Principale mobile 4'!G95</f>
        <v>#REF!</v>
      </c>
      <c r="F75" s="10" t="s">
        <v>20</v>
      </c>
      <c r="G75" s="11">
        <v>2.5499999999999998</v>
      </c>
      <c r="H75" s="12" t="e">
        <f t="shared" si="4"/>
        <v>#REF!</v>
      </c>
      <c r="J75" s="57" t="e">
        <f t="shared" si="5"/>
        <v>#REF!</v>
      </c>
    </row>
    <row r="76" spans="1:10" x14ac:dyDescent="0.35">
      <c r="A76" s="53"/>
      <c r="B76" s="12" t="s">
        <v>4</v>
      </c>
      <c r="C76" s="10" t="s">
        <v>81</v>
      </c>
      <c r="D76" s="8"/>
      <c r="E76" s="9" t="e">
        <f>'Réserve Nord'!E96+'Nord Mobile 1'!E96+#REF!+'Nord 2'!G96+'Nord Mobile 2'!G96+Esplanade!G96+'Est mobile 1'!G95+'Est 1'!G96+'Est mobile 2'!G96+'Est Mobile 3'!G96+'Est 2'!G96+'Est mobile 4'!G96+'Réserve Sud'!G96+'Sud 1'!G96+#REF!+Visiteurs!G96+'Principale 1 '!G96+'Principale mobile 1'!G96+'Principale mobile 2'!G96+'Principale 2'!G96+'Principale mobile 3'!G96+'Principale mobile 4'!G96</f>
        <v>#REF!</v>
      </c>
      <c r="F76" s="10" t="s">
        <v>20</v>
      </c>
      <c r="G76" s="11">
        <v>1.51</v>
      </c>
      <c r="H76" s="12" t="e">
        <f t="shared" si="4"/>
        <v>#REF!</v>
      </c>
      <c r="I76" s="57">
        <f>P189+P182</f>
        <v>58.666666666666671</v>
      </c>
      <c r="J76" s="57" t="e">
        <f t="shared" si="5"/>
        <v>#REF!</v>
      </c>
    </row>
    <row r="77" spans="1:10" x14ac:dyDescent="0.35">
      <c r="A77" s="53"/>
      <c r="B77" s="12" t="s">
        <v>4</v>
      </c>
      <c r="C77" s="10" t="s">
        <v>82</v>
      </c>
      <c r="D77" s="8"/>
      <c r="E77" s="9" t="e">
        <f>'Réserve Nord'!E97+'Nord Mobile 1'!E97+#REF!+'Nord 2'!G97+'Nord Mobile 2'!G97+Esplanade!G97+'Est mobile 1'!G96+'Est 1'!G97+'Est mobile 2'!G97+'Est Mobile 3'!G97+'Est 2'!G97+'Est mobile 4'!G97+'Réserve Sud'!G97+'Sud 1'!G97+#REF!+Visiteurs!G97+'Principale 1 '!G97+'Principale mobile 1'!G97+'Principale mobile 2'!G97+'Principale 2'!G97+'Principale mobile 3'!G97+'Principale mobile 4'!G97</f>
        <v>#REF!</v>
      </c>
      <c r="F77" s="10" t="s">
        <v>20</v>
      </c>
      <c r="G77" s="11">
        <v>1.51</v>
      </c>
      <c r="H77" s="12" t="e">
        <f t="shared" si="4"/>
        <v>#REF!</v>
      </c>
      <c r="I77" s="57">
        <f>P181+P188</f>
        <v>114.66666666666667</v>
      </c>
      <c r="J77" s="57" t="e">
        <f t="shared" si="5"/>
        <v>#REF!</v>
      </c>
    </row>
    <row r="78" spans="1:10" hidden="1" x14ac:dyDescent="0.35">
      <c r="A78" s="53"/>
      <c r="B78" s="12" t="s">
        <v>4</v>
      </c>
      <c r="C78" s="10"/>
      <c r="D78" s="8"/>
      <c r="E78" s="9" t="e">
        <f>'Réserve Nord'!E98+'Nord Mobile 1'!E98+#REF!+'Nord 2'!G98+'Nord Mobile 2'!G98+Esplanade!G98+'Est mobile 1'!G97+'Est 1'!G98+'Est mobile 2'!G98+'Est Mobile 3'!G98+'Est 2'!G98+'Est mobile 4'!G98+'Réserve Sud'!G98+'Sud 1'!G98+#REF!+Visiteurs!G98+'Principale 1 '!G98+'Principale mobile 1'!G98+'Principale mobile 2'!G98+'Principale 2'!G98+'Principale mobile 3'!G98+'Principale mobile 4'!G98</f>
        <v>#REF!</v>
      </c>
      <c r="F78" s="10" t="s">
        <v>20</v>
      </c>
      <c r="G78" s="11">
        <v>0</v>
      </c>
      <c r="H78" s="12" t="e">
        <f t="shared" si="4"/>
        <v>#REF!</v>
      </c>
      <c r="J78" s="57" t="e">
        <f t="shared" si="5"/>
        <v>#REF!</v>
      </c>
    </row>
    <row r="79" spans="1:10" hidden="1" x14ac:dyDescent="0.35">
      <c r="A79" s="53"/>
      <c r="B79" s="12" t="s">
        <v>4</v>
      </c>
      <c r="C79" s="10"/>
      <c r="D79" s="8"/>
      <c r="E79" s="9" t="e">
        <f>'Réserve Nord'!E99+'Nord Mobile 1'!E99+#REF!+'Nord 2'!G99+'Nord Mobile 2'!G99+Esplanade!G99+'Est mobile 1'!G98+'Est 1'!G99+'Est mobile 2'!G99+'Est Mobile 3'!G99+'Est 2'!G99+'Est mobile 4'!G99+'Réserve Sud'!G99+'Sud 1'!G99+#REF!+Visiteurs!G99+'Principale 1 '!G99+'Principale mobile 1'!G99+'Principale mobile 2'!G99+'Principale 2'!G99+'Principale mobile 3'!G99+'Principale mobile 4'!G99</f>
        <v>#REF!</v>
      </c>
      <c r="F79" s="10" t="s">
        <v>20</v>
      </c>
      <c r="G79" s="11">
        <v>0</v>
      </c>
      <c r="H79" s="12" t="e">
        <f t="shared" si="4"/>
        <v>#REF!</v>
      </c>
      <c r="J79" s="57" t="e">
        <f t="shared" si="5"/>
        <v>#REF!</v>
      </c>
    </row>
    <row r="80" spans="1:10" hidden="1" x14ac:dyDescent="0.35">
      <c r="A80" s="53"/>
      <c r="B80" s="12" t="s">
        <v>4</v>
      </c>
      <c r="C80" s="10"/>
      <c r="D80" s="8"/>
      <c r="E80" s="9" t="e">
        <f>'Réserve Nord'!E100+'Nord Mobile 1'!E100+#REF!+'Nord 2'!G100+'Nord Mobile 2'!G100+Esplanade!G100+'Est mobile 1'!G99+'Est 1'!G100+'Est mobile 2'!G100+'Est Mobile 3'!G100+'Est 2'!G100+'Est mobile 4'!G100+'Réserve Sud'!G100+'Sud 1'!G100+#REF!+Visiteurs!G100+'Principale 1 '!G100+'Principale mobile 1'!G100+'Principale mobile 2'!G100+'Principale 2'!G100+'Principale mobile 3'!G100+'Principale mobile 4'!G100</f>
        <v>#REF!</v>
      </c>
      <c r="F80" s="10" t="s">
        <v>20</v>
      </c>
      <c r="G80" s="11">
        <v>0</v>
      </c>
      <c r="H80" s="12" t="e">
        <f t="shared" si="4"/>
        <v>#REF!</v>
      </c>
      <c r="J80" s="57" t="e">
        <f t="shared" si="5"/>
        <v>#REF!</v>
      </c>
    </row>
    <row r="81" spans="1:10" ht="15.5" hidden="1" x14ac:dyDescent="0.35">
      <c r="A81" s="55"/>
      <c r="B81" s="23" t="s">
        <v>44</v>
      </c>
      <c r="C81" s="23"/>
      <c r="D81" s="23"/>
      <c r="E81" s="23"/>
      <c r="F81" s="23"/>
      <c r="G81" s="23"/>
      <c r="H81" s="23"/>
      <c r="J81" s="57">
        <f t="shared" si="5"/>
        <v>0</v>
      </c>
    </row>
    <row r="82" spans="1:10" x14ac:dyDescent="0.35">
      <c r="A82" s="53"/>
      <c r="B82" s="12" t="s">
        <v>4</v>
      </c>
      <c r="C82" s="10" t="s">
        <v>48</v>
      </c>
      <c r="D82" s="8"/>
      <c r="E82" s="9" t="e">
        <f>'Réserve Nord'!E102+'Nord Mobile 1'!E102+#REF!+'Nord 2'!G102+'Nord Mobile 2'!G102+Esplanade!G102+'Est mobile 1'!G101+'Est 1'!G102+'Est mobile 2'!G102+'Est Mobile 3'!G102+'Est 2'!G102+'Est mobile 4'!G102+'Réserve Sud'!G102+'Sud 1'!G102+#REF!+Visiteurs!G102+'Principale 1 '!G102+'Principale mobile 1'!G102+'Principale mobile 2'!G102+'Principale 2'!G102+'Principale mobile 3'!G102+'Principale mobile 4'!G102</f>
        <v>#REF!</v>
      </c>
      <c r="F82" s="10" t="s">
        <v>20</v>
      </c>
      <c r="G82" s="11">
        <v>1.94</v>
      </c>
      <c r="H82" s="12" t="e">
        <f>E82*G82</f>
        <v>#REF!</v>
      </c>
      <c r="I82" s="57">
        <f>P185</f>
        <v>53</v>
      </c>
      <c r="J82" s="57" t="e">
        <f t="shared" si="5"/>
        <v>#REF!</v>
      </c>
    </row>
    <row r="83" spans="1:10" x14ac:dyDescent="0.35">
      <c r="A83" s="53"/>
      <c r="B83" s="12" t="s">
        <v>4</v>
      </c>
      <c r="C83" s="10" t="s">
        <v>49</v>
      </c>
      <c r="D83" s="8"/>
      <c r="E83" s="9" t="e">
        <f>'Réserve Nord'!E103+'Nord Mobile 1'!E103+#REF!+'Nord 2'!G103+'Nord Mobile 2'!G103+Esplanade!G103+'Est mobile 1'!G102+'Est 1'!G103+'Est mobile 2'!G103+'Est Mobile 3'!G103+'Est 2'!G103+'Est mobile 4'!G103+'Réserve Sud'!G103+'Sud 1'!G103+#REF!+Visiteurs!G103+'Principale 1 '!G103+'Principale mobile 1'!G103+'Principale mobile 2'!G103+'Principale 2'!G103+'Principale mobile 3'!G103+'Principale mobile 4'!G103</f>
        <v>#REF!</v>
      </c>
      <c r="F83" s="10" t="s">
        <v>20</v>
      </c>
      <c r="G83" s="11">
        <v>1.94</v>
      </c>
      <c r="H83" s="12" t="e">
        <f>E83*G83</f>
        <v>#REF!</v>
      </c>
      <c r="J83" s="57" t="e">
        <f t="shared" si="5"/>
        <v>#REF!</v>
      </c>
    </row>
    <row r="84" spans="1:10" x14ac:dyDescent="0.35">
      <c r="A84" s="53"/>
      <c r="B84" s="12" t="s">
        <v>4</v>
      </c>
      <c r="C84" s="10" t="s">
        <v>50</v>
      </c>
      <c r="D84" s="8"/>
      <c r="E84" s="9" t="e">
        <f>'Réserve Nord'!E104+'Nord Mobile 1'!E104+#REF!+'Nord 2'!G104+'Nord Mobile 2'!G104+Esplanade!G104+'Est mobile 1'!G103+'Est 1'!G104+'Est mobile 2'!G104+'Est Mobile 3'!G104+'Est 2'!G104+'Est mobile 4'!G104+'Réserve Sud'!G104+'Sud 1'!G104+#REF!+Visiteurs!G104+'Principale 1 '!G104+'Principale mobile 1'!G104+'Principale mobile 2'!G104+'Principale 2'!G104+'Principale mobile 3'!G104+'Principale mobile 4'!G104</f>
        <v>#REF!</v>
      </c>
      <c r="F84" s="10" t="s">
        <v>20</v>
      </c>
      <c r="G84" s="11">
        <v>1.94</v>
      </c>
      <c r="H84" s="12" t="e">
        <f>E84*G84</f>
        <v>#REF!</v>
      </c>
      <c r="J84" s="57" t="e">
        <f t="shared" si="5"/>
        <v>#REF!</v>
      </c>
    </row>
    <row r="85" spans="1:10" ht="15.5" hidden="1" x14ac:dyDescent="0.35">
      <c r="A85" s="53"/>
      <c r="B85" s="26" t="s">
        <v>141</v>
      </c>
      <c r="C85" s="26"/>
      <c r="D85" s="26"/>
      <c r="E85" s="26"/>
      <c r="F85" s="26"/>
      <c r="G85" s="43" t="s">
        <v>18</v>
      </c>
      <c r="H85" s="44" t="e">
        <f>SUM(H86:H87)</f>
        <v>#REF!</v>
      </c>
      <c r="J85" s="57">
        <f t="shared" si="5"/>
        <v>0</v>
      </c>
    </row>
    <row r="86" spans="1:10" hidden="1" x14ac:dyDescent="0.35">
      <c r="A86" s="53"/>
      <c r="B86" s="20" t="s">
        <v>26</v>
      </c>
      <c r="C86" s="18" t="s">
        <v>53</v>
      </c>
      <c r="D86" s="17"/>
      <c r="E86" s="9" t="e">
        <f>'Réserve Nord'!E106+'Nord Mobile 1'!E106+#REF!+'Nord 2'!G106+'Nord Mobile 2'!G106+Esplanade!G106+'Est mobile 1'!G105+'Est 1'!G106+'Est mobile 2'!G106+'Est Mobile 3'!G106+'Est 2'!G106+'Est mobile 4'!G106+'Réserve Sud'!G106+'Sud 1'!G106+#REF!+Visiteurs!G106+'Principale 1 '!G106+'Principale mobile 1'!G106+'Principale mobile 2'!G106+'Principale 2'!G106+'Principale mobile 3'!G106+'Principale mobile 4'!G106</f>
        <v>#REF!</v>
      </c>
      <c r="F86" s="18" t="s">
        <v>20</v>
      </c>
      <c r="G86" s="19">
        <v>0.43</v>
      </c>
      <c r="H86" s="20" t="e">
        <f>E86*G86</f>
        <v>#REF!</v>
      </c>
      <c r="J86" s="57" t="e">
        <f t="shared" si="5"/>
        <v>#REF!</v>
      </c>
    </row>
    <row r="87" spans="1:10" hidden="1" x14ac:dyDescent="0.35">
      <c r="A87" s="53"/>
      <c r="B87" s="12" t="s">
        <v>26</v>
      </c>
      <c r="C87" s="10" t="s">
        <v>51</v>
      </c>
      <c r="D87" s="8"/>
      <c r="E87" s="9" t="e">
        <f>'Réserve Nord'!E107+'Nord Mobile 1'!E107+#REF!+'Nord 2'!G107+'Nord Mobile 2'!G107+Esplanade!G107+'Est mobile 1'!G106+'Est 1'!G107+'Est mobile 2'!G107+'Est Mobile 3'!G107+'Est 2'!G107+'Est mobile 4'!G107+'Réserve Sud'!G107+'Sud 1'!G107+#REF!+Visiteurs!G107+'Principale 1 '!G107+'Principale mobile 1'!G107+'Principale mobile 2'!G107+'Principale 2'!G107+'Principale mobile 3'!G107+'Principale mobile 4'!G107</f>
        <v>#REF!</v>
      </c>
      <c r="F87" s="10" t="s">
        <v>61</v>
      </c>
      <c r="G87" s="11">
        <v>14</v>
      </c>
      <c r="H87" s="12" t="e">
        <f>E87*G87</f>
        <v>#REF!</v>
      </c>
      <c r="J87" s="57" t="e">
        <f t="shared" si="5"/>
        <v>#REF!</v>
      </c>
    </row>
    <row r="88" spans="1:10" hidden="1" x14ac:dyDescent="0.35">
      <c r="A88" s="53"/>
      <c r="B88" s="12" t="s">
        <v>26</v>
      </c>
      <c r="C88" s="10"/>
      <c r="D88" s="8"/>
      <c r="E88" s="9" t="e">
        <f>'Réserve Nord'!E108+'Nord Mobile 1'!E108+#REF!+'Nord 2'!G108+'Nord Mobile 2'!G108+Esplanade!G108+'Est mobile 1'!G107+'Est 1'!G108+'Est mobile 2'!G108+'Est Mobile 3'!G108+'Est 2'!G108+'Est mobile 4'!G108+'Réserve Sud'!G108+'Sud 1'!G108+#REF!+Visiteurs!G108+'Principale 1 '!G108+'Principale mobile 1'!G108+'Principale mobile 2'!G108+'Principale 2'!G108+'Principale mobile 3'!G108+'Principale mobile 4'!G108</f>
        <v>#REF!</v>
      </c>
      <c r="F88" s="10" t="s">
        <v>61</v>
      </c>
      <c r="G88" s="11">
        <v>0</v>
      </c>
      <c r="H88" s="12" t="e">
        <f>E88*G88</f>
        <v>#REF!</v>
      </c>
      <c r="J88" s="57" t="e">
        <f t="shared" si="5"/>
        <v>#REF!</v>
      </c>
    </row>
    <row r="89" spans="1:10" hidden="1" x14ac:dyDescent="0.35">
      <c r="A89" s="53"/>
      <c r="B89" s="12" t="s">
        <v>26</v>
      </c>
      <c r="C89" s="10"/>
      <c r="D89" s="8"/>
      <c r="E89" s="9" t="e">
        <f>'Réserve Nord'!E109+'Nord Mobile 1'!E109+#REF!+'Nord 2'!G109+'Nord Mobile 2'!G109+Esplanade!G109+'Est mobile 1'!G108+'Est 1'!G109+'Est mobile 2'!G109+'Est Mobile 3'!G109+'Est 2'!G109+'Est mobile 4'!G109+'Réserve Sud'!G109+'Sud 1'!G109+#REF!+Visiteurs!G109+'Principale 1 '!G109+'Principale mobile 1'!G109+'Principale mobile 2'!G109+'Principale 2'!G109+'Principale mobile 3'!G109+'Principale mobile 4'!G109</f>
        <v>#REF!</v>
      </c>
      <c r="F89" s="10" t="s">
        <v>61</v>
      </c>
      <c r="G89" s="11">
        <v>0</v>
      </c>
      <c r="H89" s="12" t="e">
        <f>E89*G89</f>
        <v>#REF!</v>
      </c>
      <c r="J89" s="57" t="e">
        <f t="shared" si="5"/>
        <v>#REF!</v>
      </c>
    </row>
    <row r="90" spans="1:10" hidden="1" x14ac:dyDescent="0.35">
      <c r="A90" s="53"/>
      <c r="B90" s="12" t="s">
        <v>26</v>
      </c>
      <c r="C90" s="10"/>
      <c r="D90" s="8"/>
      <c r="E90" s="9" t="e">
        <f>'Réserve Nord'!E110+'Nord Mobile 1'!E110+#REF!+'Nord 2'!G110+'Nord Mobile 2'!G110+Esplanade!G110+'Est mobile 1'!G109+'Est 1'!G110+'Est mobile 2'!G110+'Est Mobile 3'!G110+'Est 2'!G110+'Est mobile 4'!G110+'Réserve Sud'!G110+'Sud 1'!G110+#REF!+Visiteurs!G110+'Principale 1 '!G110+'Principale mobile 1'!G110+'Principale mobile 2'!G110+'Principale 2'!G110+'Principale mobile 3'!G110+'Principale mobile 4'!G110</f>
        <v>#REF!</v>
      </c>
      <c r="F90" s="10" t="s">
        <v>61</v>
      </c>
      <c r="G90" s="11">
        <v>0</v>
      </c>
      <c r="H90" s="12" t="e">
        <f>E90*G90</f>
        <v>#REF!</v>
      </c>
      <c r="J90" s="57" t="e">
        <f t="shared" si="5"/>
        <v>#REF!</v>
      </c>
    </row>
    <row r="91" spans="1:10" ht="15.5" hidden="1" x14ac:dyDescent="0.35">
      <c r="A91" s="53"/>
      <c r="B91" s="4" t="s">
        <v>142</v>
      </c>
      <c r="C91" s="4"/>
      <c r="D91" s="4"/>
      <c r="E91" s="4"/>
      <c r="F91" s="4"/>
      <c r="G91" s="36" t="s">
        <v>18</v>
      </c>
      <c r="H91" s="5" t="e">
        <f>SUM(H92:H98)</f>
        <v>#REF!</v>
      </c>
      <c r="J91" s="57">
        <f t="shared" si="5"/>
        <v>0</v>
      </c>
    </row>
    <row r="92" spans="1:10" x14ac:dyDescent="0.35">
      <c r="A92" s="53"/>
      <c r="B92" s="12" t="s">
        <v>6</v>
      </c>
      <c r="C92" s="10" t="s">
        <v>125</v>
      </c>
      <c r="D92" s="27" t="s">
        <v>87</v>
      </c>
      <c r="E92" s="9" t="e">
        <f>'Réserve Nord'!E112+'Nord Mobile 1'!E112+#REF!+'Nord 2'!G112+'Nord Mobile 2'!G112+Esplanade!G112+'Est mobile 1'!G111+'Est 1'!G112+'Est mobile 2'!G112+'Est Mobile 3'!G112+'Est 2'!G112+'Est mobile 4'!G112+'Réserve Sud'!G112+'Sud 1'!G112+#REF!+Visiteurs!G112+'Principale 1 '!G112+'Principale mobile 1'!G112+'Principale mobile 2'!G112+'Principale 2'!G112+'Principale mobile 3'!G112+'Principale mobile 4'!G112</f>
        <v>#REF!</v>
      </c>
      <c r="F92" s="10" t="s">
        <v>27</v>
      </c>
      <c r="G92" s="11">
        <v>2.76</v>
      </c>
      <c r="H92" s="12" t="e">
        <f>E92*G92</f>
        <v>#REF!</v>
      </c>
      <c r="I92" s="60">
        <f>P206</f>
        <v>153</v>
      </c>
      <c r="J92" s="57" t="e">
        <f t="shared" si="5"/>
        <v>#REF!</v>
      </c>
    </row>
    <row r="93" spans="1:10" hidden="1" x14ac:dyDescent="0.35">
      <c r="A93" s="53"/>
      <c r="B93" s="12" t="s">
        <v>6</v>
      </c>
      <c r="C93" s="10" t="s">
        <v>98</v>
      </c>
      <c r="D93" s="27"/>
      <c r="E93" s="9" t="e">
        <f>'Réserve Nord'!E113+'Nord Mobile 1'!E113+#REF!+'Nord 2'!G113+'Nord Mobile 2'!G113+Esplanade!G113+'Est mobile 1'!G112+'Est 1'!G113+'Est mobile 2'!G113+'Est Mobile 3'!G113+'Est 2'!G113+'Est mobile 4'!G113+'Réserve Sud'!G113+'Sud 1'!G113+#REF!+Visiteurs!G113+'Principale 1 '!G113+'Principale mobile 1'!G113+'Principale mobile 2'!G113+'Principale 2'!G113+'Principale mobile 3'!G113+'Principale mobile 4'!G113</f>
        <v>#REF!</v>
      </c>
      <c r="F93" s="10" t="s">
        <v>20</v>
      </c>
      <c r="G93" s="11">
        <v>0.79</v>
      </c>
      <c r="H93" s="12" t="e">
        <f>E93*G93</f>
        <v>#REF!</v>
      </c>
      <c r="J93" s="57" t="e">
        <f t="shared" si="5"/>
        <v>#REF!</v>
      </c>
    </row>
    <row r="94" spans="1:10" hidden="1" x14ac:dyDescent="0.35">
      <c r="A94" s="53"/>
      <c r="B94" s="12" t="s">
        <v>6</v>
      </c>
      <c r="C94" s="10" t="s">
        <v>150</v>
      </c>
      <c r="D94" s="27"/>
      <c r="E94" s="9" t="e">
        <f>'Réserve Nord'!#REF!+'Nord Mobile 1'!#REF!+#REF!+'Nord 2'!#REF!+'Nord Mobile 2'!#REF!+Esplanade!#REF!+'Est mobile 1'!#REF!+'Est 1'!#REF!+'Est mobile 2'!#REF!+'Est Mobile 3'!#REF!+'Est 2'!#REF!+'Est mobile 4'!#REF!+'Réserve Sud'!#REF!+'Sud 1'!#REF!+#REF!+Visiteurs!#REF!+'Principale 1 '!#REF!+'Principale mobile 1'!#REF!+'Principale mobile 2'!#REF!+'Principale 2'!#REF!+'Principale mobile 3'!#REF!+'Principale mobile 4'!#REF!</f>
        <v>#REF!</v>
      </c>
      <c r="F94" s="10" t="s">
        <v>20</v>
      </c>
      <c r="G94" s="11">
        <v>1</v>
      </c>
      <c r="H94" s="12" t="e">
        <f>E94*G94</f>
        <v>#REF!</v>
      </c>
      <c r="J94" s="57" t="e">
        <f t="shared" si="5"/>
        <v>#REF!</v>
      </c>
    </row>
    <row r="95" spans="1:10" x14ac:dyDescent="0.35">
      <c r="A95" s="53"/>
      <c r="B95" s="12" t="s">
        <v>6</v>
      </c>
      <c r="C95" s="10" t="s">
        <v>34</v>
      </c>
      <c r="D95" s="27" t="s">
        <v>88</v>
      </c>
      <c r="E95" s="9" t="e">
        <f>'Réserve Nord'!E114+'Nord Mobile 1'!E114+#REF!+'Nord 2'!G114+'Nord Mobile 2'!G114+Esplanade!G114+'Est mobile 1'!G113+'Est 1'!G114+'Est mobile 2'!G114+'Est Mobile 3'!G114+'Est 2'!G114+'Est mobile 4'!G114+'Réserve Sud'!G114+'Sud 1'!G114+#REF!+Visiteurs!G114+'Principale 1 '!G114+'Principale mobile 1'!G114+'Principale mobile 2'!G114+'Principale 2'!G114+'Principale mobile 3'!G114+'Principale mobile 4'!G114</f>
        <v>#REF!</v>
      </c>
      <c r="F95" s="10" t="s">
        <v>20</v>
      </c>
      <c r="G95" s="11">
        <v>0.81</v>
      </c>
      <c r="H95" s="12" t="e">
        <f>E95*G95</f>
        <v>#REF!</v>
      </c>
      <c r="I95" s="60">
        <f>P204</f>
        <v>74</v>
      </c>
      <c r="J95" s="57" t="e">
        <f t="shared" si="5"/>
        <v>#REF!</v>
      </c>
    </row>
    <row r="96" spans="1:10" x14ac:dyDescent="0.35">
      <c r="A96" s="53"/>
      <c r="B96" s="12" t="s">
        <v>6</v>
      </c>
      <c r="C96" s="10" t="s">
        <v>35</v>
      </c>
      <c r="D96" s="27" t="s">
        <v>88</v>
      </c>
      <c r="E96" s="9" t="e">
        <f>'Réserve Nord'!E115+'Nord Mobile 1'!E115+#REF!+'Nord 2'!G115+'Nord Mobile 2'!G115+Esplanade!G115+'Est mobile 1'!G114+'Est 1'!G115+'Est mobile 2'!G115+'Est Mobile 3'!G115+'Est 2'!G115+'Est mobile 4'!G115+'Réserve Sud'!G115+'Sud 1'!G115+#REF!+Visiteurs!G115+'Principale 1 '!G115+'Principale mobile 1'!G115+'Principale mobile 2'!G115+'Principale 2'!G115+'Principale mobile 3'!G115+'Principale mobile 4'!G115</f>
        <v>#REF!</v>
      </c>
      <c r="F96" s="10" t="s">
        <v>20</v>
      </c>
      <c r="G96" s="11">
        <v>0.81</v>
      </c>
      <c r="H96" s="12" t="e">
        <f>E96*G96</f>
        <v>#REF!</v>
      </c>
      <c r="I96" s="60">
        <f>P206</f>
        <v>153</v>
      </c>
      <c r="J96" s="57" t="e">
        <f t="shared" si="5"/>
        <v>#REF!</v>
      </c>
    </row>
    <row r="97" spans="1:10" hidden="1" x14ac:dyDescent="0.35">
      <c r="A97" s="53"/>
      <c r="B97" s="12" t="s">
        <v>6</v>
      </c>
      <c r="C97" s="10"/>
      <c r="D97" s="27"/>
      <c r="E97" s="9" t="e">
        <f>'Réserve Nord'!E116+'Nord Mobile 1'!E116+#REF!+'Nord 2'!G116+'Nord Mobile 2'!G116+Esplanade!G116+'Est mobile 1'!G115+'Est 1'!G116+'Est mobile 2'!G116+'Est Mobile 3'!G116+'Est 2'!G116+'Est mobile 4'!G116+'Réserve Sud'!G116+'Sud 1'!G116+#REF!+Visiteurs!G116+'Principale 1 '!G116+'Principale mobile 1'!G116+'Principale mobile 2'!G116+'Principale 2'!G116+'Principale mobile 3'!G116+'Principale mobile 4'!G116</f>
        <v>#REF!</v>
      </c>
      <c r="F97" s="10"/>
      <c r="G97" s="11"/>
      <c r="H97" s="12"/>
      <c r="J97" s="57" t="e">
        <f t="shared" si="5"/>
        <v>#REF!</v>
      </c>
    </row>
    <row r="98" spans="1:10" hidden="1" x14ac:dyDescent="0.35">
      <c r="A98" s="53"/>
      <c r="B98" s="12" t="s">
        <v>6</v>
      </c>
      <c r="C98" s="10"/>
      <c r="D98" s="27"/>
      <c r="E98" s="9" t="e">
        <f>'Réserve Nord'!E117+'Nord Mobile 1'!E117+#REF!+'Nord 2'!G117+'Nord Mobile 2'!G117+Esplanade!G117+'Est mobile 1'!G116+'Est 1'!G117+'Est mobile 2'!G117+'Est Mobile 3'!G117+'Est 2'!G117+'Est mobile 4'!G117+'Réserve Sud'!G117+'Sud 1'!G117+#REF!+Visiteurs!G117+'Principale 1 '!G117+'Principale mobile 1'!G117+'Principale mobile 2'!G117+'Principale 2'!G117+'Principale mobile 3'!G117+'Principale mobile 4'!G117</f>
        <v>#REF!</v>
      </c>
      <c r="F98" s="10"/>
      <c r="G98" s="11"/>
      <c r="H98" s="12"/>
      <c r="J98" s="57" t="e">
        <f t="shared" si="5"/>
        <v>#REF!</v>
      </c>
    </row>
    <row r="99" spans="1:10" hidden="1" x14ac:dyDescent="0.35">
      <c r="A99" s="53"/>
      <c r="B99" s="12" t="s">
        <v>6</v>
      </c>
      <c r="C99" s="10"/>
      <c r="D99" s="27"/>
      <c r="E99" s="9" t="e">
        <f>'Réserve Nord'!E118+'Nord Mobile 1'!E118+#REF!+'Nord 2'!G118+'Nord Mobile 2'!G118+Esplanade!G118+'Est mobile 1'!G117+'Est 1'!G118+'Est mobile 2'!G118+'Est Mobile 3'!G118+'Est 2'!G118+'Est mobile 4'!G118+'Réserve Sud'!G118+'Sud 1'!G118+#REF!+Visiteurs!G118+'Principale 1 '!G118+'Principale mobile 1'!G118+'Principale mobile 2'!G118+'Principale 2'!G118+'Principale mobile 3'!G118+'Principale mobile 4'!G118</f>
        <v>#REF!</v>
      </c>
      <c r="F99" s="10" t="s">
        <v>20</v>
      </c>
      <c r="G99" s="11">
        <v>0</v>
      </c>
      <c r="H99" s="12">
        <v>0</v>
      </c>
      <c r="J99" s="57" t="e">
        <f t="shared" si="5"/>
        <v>#REF!</v>
      </c>
    </row>
    <row r="100" spans="1:10" hidden="1" x14ac:dyDescent="0.35">
      <c r="A100" s="53"/>
      <c r="B100" s="12" t="s">
        <v>6</v>
      </c>
      <c r="C100" s="10"/>
      <c r="D100" s="27" t="s">
        <v>88</v>
      </c>
      <c r="E100" s="9" t="e">
        <f>'Réserve Nord'!E119+'Nord Mobile 1'!E119+#REF!+'Nord 2'!G119+'Nord Mobile 2'!G119+Esplanade!G119+'Est mobile 1'!G118+'Est 1'!G119+'Est mobile 2'!G119+'Est Mobile 3'!G119+'Est 2'!G119+'Est mobile 4'!G119+'Réserve Sud'!G119+'Sud 1'!G119+#REF!+Visiteurs!G119+'Principale 1 '!G119+'Principale mobile 1'!G119+'Principale mobile 2'!G119+'Principale 2'!G119+'Principale mobile 3'!G119+'Principale mobile 4'!G119</f>
        <v>#REF!</v>
      </c>
      <c r="F100" s="10" t="s">
        <v>20</v>
      </c>
      <c r="G100" s="11">
        <v>0</v>
      </c>
      <c r="H100" s="12">
        <v>0</v>
      </c>
      <c r="J100" s="57" t="e">
        <f t="shared" si="5"/>
        <v>#REF!</v>
      </c>
    </row>
    <row r="101" spans="1:10" hidden="1" x14ac:dyDescent="0.35">
      <c r="A101" s="53"/>
      <c r="B101" s="12" t="s">
        <v>6</v>
      </c>
      <c r="C101" s="10"/>
      <c r="D101" s="27" t="s">
        <v>88</v>
      </c>
      <c r="E101" s="9" t="e">
        <f>'Réserve Nord'!E120+'Nord Mobile 1'!E120+#REF!+'Nord 2'!G120+'Nord Mobile 2'!G120+Esplanade!G120+'Est mobile 1'!G119+'Est 1'!G120+'Est mobile 2'!G120+'Est Mobile 3'!G120+'Est 2'!G120+'Est mobile 4'!G120+'Réserve Sud'!G120+'Sud 1'!G120+#REF!+Visiteurs!G120+'Principale 1 '!G120+'Principale mobile 1'!G120+'Principale mobile 2'!G120+'Principale 2'!G120+'Principale mobile 3'!G120+'Principale mobile 4'!G120</f>
        <v>#REF!</v>
      </c>
      <c r="F101" s="10" t="s">
        <v>20</v>
      </c>
      <c r="G101" s="11">
        <v>0</v>
      </c>
      <c r="H101" s="12">
        <v>0</v>
      </c>
      <c r="J101" s="57" t="e">
        <f t="shared" si="5"/>
        <v>#REF!</v>
      </c>
    </row>
    <row r="102" spans="1:10" ht="15.5" hidden="1" x14ac:dyDescent="0.35">
      <c r="A102" s="54"/>
      <c r="B102" s="21" t="s">
        <v>143</v>
      </c>
      <c r="C102" s="21"/>
      <c r="D102" s="21"/>
      <c r="E102" s="21"/>
      <c r="F102" s="21"/>
      <c r="G102" s="45" t="s">
        <v>18</v>
      </c>
      <c r="H102" s="46" t="e">
        <f>SUM(H103:H106)</f>
        <v>#REF!</v>
      </c>
      <c r="J102" s="57">
        <f t="shared" si="5"/>
        <v>0</v>
      </c>
    </row>
    <row r="103" spans="1:10" hidden="1" x14ac:dyDescent="0.35">
      <c r="A103" s="53"/>
      <c r="B103" s="12" t="s">
        <v>5</v>
      </c>
      <c r="C103" s="10" t="s">
        <v>55</v>
      </c>
      <c r="D103" s="27" t="s">
        <v>86</v>
      </c>
      <c r="E103" s="9" t="e">
        <f>'Réserve Nord'!E122+'Nord Mobile 1'!E122+#REF!+'Nord 2'!G122+'Nord Mobile 2'!G122+Esplanade!G122+'Est mobile 1'!G121+'Est 1'!G122+'Est mobile 2'!G122+'Est Mobile 3'!G122+'Est 2'!G122+'Est mobile 4'!G122+'Réserve Sud'!G122+'Sud 1'!G122+#REF!+Visiteurs!G122+'Principale 1 '!G122+'Principale mobile 1'!G122+'Principale mobile 2'!G122+'Principale 2'!G122+'Principale mobile 3'!G122+'Principale mobile 4'!G122</f>
        <v>#REF!</v>
      </c>
      <c r="F103" s="10" t="s">
        <v>20</v>
      </c>
      <c r="G103" s="11">
        <v>0.98</v>
      </c>
      <c r="H103" s="12" t="e">
        <f>E103*G103</f>
        <v>#REF!</v>
      </c>
      <c r="J103" s="57" t="e">
        <f t="shared" si="5"/>
        <v>#REF!</v>
      </c>
    </row>
    <row r="104" spans="1:10" hidden="1" x14ac:dyDescent="0.35">
      <c r="A104" s="53"/>
      <c r="B104" s="12" t="s">
        <v>5</v>
      </c>
      <c r="C104" s="10" t="s">
        <v>99</v>
      </c>
      <c r="D104" s="27" t="s">
        <v>86</v>
      </c>
      <c r="E104" s="9" t="e">
        <f>'Réserve Nord'!E123+'Nord Mobile 1'!E123+#REF!+'Nord 2'!G123+'Nord Mobile 2'!G123+Esplanade!G123+'Est mobile 1'!G122+'Est 1'!G123+'Est mobile 2'!G123+'Est Mobile 3'!G123+'Est 2'!G123+'Est mobile 4'!G123+'Réserve Sud'!G123+'Sud 1'!G123+#REF!+Visiteurs!G123+'Principale 1 '!G123+'Principale mobile 1'!G123+'Principale mobile 2'!G123+'Principale 2'!G123+'Principale mobile 3'!G123+'Principale mobile 4'!G123</f>
        <v>#REF!</v>
      </c>
      <c r="F104" s="10" t="s">
        <v>20</v>
      </c>
      <c r="G104" s="11">
        <v>0.4</v>
      </c>
      <c r="H104" s="12" t="e">
        <f>E104*G104</f>
        <v>#REF!</v>
      </c>
      <c r="J104" s="57" t="e">
        <f t="shared" si="5"/>
        <v>#REF!</v>
      </c>
    </row>
    <row r="105" spans="1:10" hidden="1" x14ac:dyDescent="0.35">
      <c r="A105" s="53"/>
      <c r="B105" s="12" t="s">
        <v>5</v>
      </c>
      <c r="C105" s="41" t="s">
        <v>75</v>
      </c>
      <c r="D105" s="29" t="s">
        <v>74</v>
      </c>
      <c r="E105" s="9" t="e">
        <f>'Réserve Nord'!E124+'Nord Mobile 1'!E124+#REF!+'Nord 2'!G124+'Nord Mobile 2'!G124+Esplanade!G124+'Est mobile 1'!G123+'Est 1'!G124+'Est mobile 2'!G124+'Est Mobile 3'!G124+'Est 2'!G124+'Est mobile 4'!G124+'Réserve Sud'!G124+'Sud 1'!G124+#REF!+Visiteurs!G124+'Principale 1 '!G124+'Principale mobile 1'!G124+'Principale mobile 2'!G124+'Principale 2'!G124+'Principale mobile 3'!G124+'Principale mobile 4'!G124</f>
        <v>#REF!</v>
      </c>
      <c r="F105" s="41" t="s">
        <v>20</v>
      </c>
      <c r="G105" s="42">
        <v>37.92</v>
      </c>
      <c r="H105" s="40" t="e">
        <f>E105*G105</f>
        <v>#REF!</v>
      </c>
      <c r="J105" s="57" t="e">
        <f t="shared" si="5"/>
        <v>#REF!</v>
      </c>
    </row>
    <row r="106" spans="1:10" hidden="1" x14ac:dyDescent="0.35">
      <c r="A106" s="53"/>
      <c r="B106" s="12" t="s">
        <v>5</v>
      </c>
      <c r="C106" s="41" t="s">
        <v>122</v>
      </c>
      <c r="D106" s="29"/>
      <c r="E106" s="9" t="e">
        <f>'Réserve Nord'!E125+'Nord Mobile 1'!E125+#REF!+'Nord 2'!G125+'Nord Mobile 2'!G125+Esplanade!G125+'Est mobile 1'!G124+'Est 1'!G125+'Est mobile 2'!G125+'Est Mobile 3'!G125+'Est 2'!G125+'Est mobile 4'!G125+'Réserve Sud'!G125+'Sud 1'!G125+#REF!+Visiteurs!G125+'Principale 1 '!G125+'Principale mobile 1'!G125+'Principale mobile 2'!G125+'Principale 2'!G125+'Principale mobile 3'!G125+'Principale mobile 4'!G125</f>
        <v>#REF!</v>
      </c>
      <c r="F106" s="41" t="s">
        <v>20</v>
      </c>
      <c r="G106" s="42">
        <v>3.6</v>
      </c>
      <c r="H106" s="40" t="e">
        <f>E106*G106</f>
        <v>#REF!</v>
      </c>
      <c r="J106" s="57" t="e">
        <f t="shared" si="5"/>
        <v>#REF!</v>
      </c>
    </row>
    <row r="107" spans="1:10" ht="15.5" hidden="1" x14ac:dyDescent="0.35">
      <c r="A107" s="54"/>
      <c r="B107" s="21" t="s">
        <v>144</v>
      </c>
      <c r="C107" s="21"/>
      <c r="D107" s="21"/>
      <c r="E107" s="21"/>
      <c r="F107" s="21"/>
      <c r="G107" s="45" t="s">
        <v>18</v>
      </c>
      <c r="H107" s="46" t="e">
        <f>SUM(H108:H118)</f>
        <v>#REF!</v>
      </c>
      <c r="J107" s="57">
        <f t="shared" si="5"/>
        <v>0</v>
      </c>
    </row>
    <row r="108" spans="1:10" hidden="1" x14ac:dyDescent="0.35">
      <c r="A108" s="53"/>
      <c r="B108" s="20" t="s">
        <v>8</v>
      </c>
      <c r="C108" s="18" t="s">
        <v>100</v>
      </c>
      <c r="D108" s="17"/>
      <c r="E108" s="9" t="e">
        <f>'Réserve Nord'!E127+'Nord Mobile 1'!E127+#REF!+'Nord 2'!G127+'Nord Mobile 2'!G127+Esplanade!G127+'Est mobile 1'!G126+'Est 1'!G127+'Est mobile 2'!G127+'Est Mobile 3'!G127+'Est 2'!G127+'Est mobile 4'!G127+'Réserve Sud'!G127+'Sud 1'!G127+#REF!+Visiteurs!G127+'Principale 1 '!G127+'Principale mobile 1'!G127+'Principale mobile 2'!G127+'Principale 2'!G127+'Principale mobile 3'!G127+'Principale mobile 4'!G127</f>
        <v>#REF!</v>
      </c>
      <c r="F108" s="18" t="s">
        <v>27</v>
      </c>
      <c r="G108" s="11">
        <v>28.62</v>
      </c>
      <c r="H108" s="12" t="e">
        <f t="shared" ref="H108:H118" si="6">E108*G108</f>
        <v>#REF!</v>
      </c>
      <c r="J108" s="57" t="e">
        <f t="shared" si="5"/>
        <v>#REF!</v>
      </c>
    </row>
    <row r="109" spans="1:10" hidden="1" x14ac:dyDescent="0.35">
      <c r="A109" s="53"/>
      <c r="B109" s="12" t="s">
        <v>8</v>
      </c>
      <c r="C109" s="10" t="s">
        <v>36</v>
      </c>
      <c r="D109" s="8"/>
      <c r="E109" s="9" t="e">
        <f>'Réserve Nord'!E128+'Nord Mobile 1'!E128+#REF!+'Nord 2'!G128+'Nord Mobile 2'!G128+Esplanade!G128+'Est mobile 1'!G127+'Est 1'!G128+'Est mobile 2'!G128+'Est Mobile 3'!G128+'Est 2'!G128+'Est mobile 4'!G128+'Réserve Sud'!G128+'Sud 1'!G128+#REF!+Visiteurs!G128+'Principale 1 '!G128+'Principale mobile 1'!G128+'Principale mobile 2'!G128+'Principale 2'!G128+'Principale mobile 3'!G128+'Principale mobile 4'!G128</f>
        <v>#REF!</v>
      </c>
      <c r="F109" s="10" t="s">
        <v>27</v>
      </c>
      <c r="G109" s="11">
        <v>15.43</v>
      </c>
      <c r="H109" s="12" t="e">
        <f t="shared" si="6"/>
        <v>#REF!</v>
      </c>
      <c r="J109" s="57" t="e">
        <f t="shared" si="5"/>
        <v>#REF!</v>
      </c>
    </row>
    <row r="110" spans="1:10" hidden="1" x14ac:dyDescent="0.35">
      <c r="A110" s="53"/>
      <c r="B110" s="12" t="s">
        <v>8</v>
      </c>
      <c r="C110" s="10" t="s">
        <v>37</v>
      </c>
      <c r="D110" s="8"/>
      <c r="E110" s="9" t="e">
        <f>'Réserve Nord'!E129+'Nord Mobile 1'!E129+#REF!+'Nord 2'!G129+'Nord Mobile 2'!G129+Esplanade!G129+'Est mobile 1'!G128+'Est 1'!G129+'Est mobile 2'!G129+'Est Mobile 3'!G129+'Est 2'!G129+'Est mobile 4'!G129+'Réserve Sud'!G129+'Sud 1'!G129+#REF!+Visiteurs!G129+'Principale 1 '!G129+'Principale mobile 1'!G129+'Principale mobile 2'!G129+'Principale 2'!G129+'Principale mobile 3'!G129+'Principale mobile 4'!G129</f>
        <v>#REF!</v>
      </c>
      <c r="F110" s="10" t="s">
        <v>27</v>
      </c>
      <c r="G110" s="11">
        <v>21.05</v>
      </c>
      <c r="H110" s="12" t="e">
        <f>E110*G110</f>
        <v>#REF!</v>
      </c>
      <c r="J110" s="57" t="e">
        <f t="shared" si="5"/>
        <v>#REF!</v>
      </c>
    </row>
    <row r="111" spans="1:10" hidden="1" x14ac:dyDescent="0.35">
      <c r="A111" s="53"/>
      <c r="B111" s="12" t="s">
        <v>8</v>
      </c>
      <c r="C111" s="10" t="s">
        <v>38</v>
      </c>
      <c r="D111" s="8"/>
      <c r="E111" s="9" t="e">
        <f>'Réserve Nord'!E130+'Nord Mobile 1'!E130+#REF!+'Nord 2'!G130+'Nord Mobile 2'!G130+Esplanade!G130+'Est mobile 1'!G129+'Est 1'!G130+'Est mobile 2'!G130+'Est Mobile 3'!G130+'Est 2'!G130+'Est mobile 4'!G130+'Réserve Sud'!G130+'Sud 1'!G130+#REF!+Visiteurs!G130+'Principale 1 '!G130+'Principale mobile 1'!G130+'Principale mobile 2'!G130+'Principale 2'!G130+'Principale mobile 3'!G130+'Principale mobile 4'!G130</f>
        <v>#REF!</v>
      </c>
      <c r="F111" s="10" t="s">
        <v>27</v>
      </c>
      <c r="G111" s="11">
        <v>14.79</v>
      </c>
      <c r="H111" s="12" t="e">
        <f>E111*G111</f>
        <v>#REF!</v>
      </c>
      <c r="J111" s="57" t="e">
        <f t="shared" si="5"/>
        <v>#REF!</v>
      </c>
    </row>
    <row r="112" spans="1:10" hidden="1" x14ac:dyDescent="0.35">
      <c r="A112" s="53"/>
      <c r="B112" s="12" t="s">
        <v>8</v>
      </c>
      <c r="C112" s="10" t="s">
        <v>101</v>
      </c>
      <c r="D112" s="8"/>
      <c r="E112" s="9" t="e">
        <f>'Réserve Nord'!E131+'Nord Mobile 1'!E131+#REF!+'Nord 2'!G131+'Nord Mobile 2'!G131+Esplanade!G131+'Est mobile 1'!G130+'Est 1'!G131+'Est mobile 2'!G131+'Est Mobile 3'!G131+'Est 2'!G131+'Est mobile 4'!G131+'Réserve Sud'!G131+'Sud 1'!G131+#REF!+Visiteurs!G131+'Principale 1 '!G131+'Principale mobile 1'!G131+'Principale mobile 2'!G131+'Principale 2'!G131+'Principale mobile 3'!G131+'Principale mobile 4'!G131</f>
        <v>#REF!</v>
      </c>
      <c r="F112" s="10" t="s">
        <v>61</v>
      </c>
      <c r="G112" s="11">
        <v>17.11</v>
      </c>
      <c r="H112" s="12" t="e">
        <f t="shared" si="6"/>
        <v>#REF!</v>
      </c>
      <c r="J112" s="57" t="e">
        <f t="shared" si="5"/>
        <v>#REF!</v>
      </c>
    </row>
    <row r="113" spans="1:10" hidden="1" x14ac:dyDescent="0.35">
      <c r="A113" s="53"/>
      <c r="B113" s="12" t="s">
        <v>8</v>
      </c>
      <c r="C113" s="10" t="s">
        <v>103</v>
      </c>
      <c r="D113" s="8"/>
      <c r="E113" s="9" t="e">
        <f>'Réserve Nord'!E132+'Nord Mobile 1'!E132+#REF!+'Nord 2'!G132+'Nord Mobile 2'!G132+Esplanade!G132+'Est mobile 1'!G131+'Est 1'!G132+'Est mobile 2'!G132+'Est Mobile 3'!G132+'Est 2'!G132+'Est mobile 4'!G132+'Réserve Sud'!G132+'Sud 1'!G132+#REF!+Visiteurs!G132+'Principale 1 '!G132+'Principale mobile 1'!G132+'Principale mobile 2'!G132+'Principale 2'!G132+'Principale mobile 3'!G132+'Principale mobile 4'!G132</f>
        <v>#REF!</v>
      </c>
      <c r="F113" s="10" t="s">
        <v>61</v>
      </c>
      <c r="G113" s="11">
        <v>22.13</v>
      </c>
      <c r="H113" s="12" t="e">
        <f t="shared" si="6"/>
        <v>#REF!</v>
      </c>
      <c r="J113" s="57" t="e">
        <f t="shared" si="5"/>
        <v>#REF!</v>
      </c>
    </row>
    <row r="114" spans="1:10" hidden="1" x14ac:dyDescent="0.35">
      <c r="A114" s="53"/>
      <c r="B114" s="40" t="s">
        <v>8</v>
      </c>
      <c r="C114" s="41" t="s">
        <v>102</v>
      </c>
      <c r="D114" s="25"/>
      <c r="E114" s="9" t="e">
        <f>'Réserve Nord'!E133+'Nord Mobile 1'!E133+#REF!+'Nord 2'!G133+'Nord Mobile 2'!G133+Esplanade!G133+'Est mobile 1'!G132+'Est 1'!G133+'Est mobile 2'!G133+'Est Mobile 3'!G133+'Est 2'!G133+'Est mobile 4'!G133+'Réserve Sud'!G133+'Sud 1'!G133+#REF!+Visiteurs!G133+'Principale 1 '!G133+'Principale mobile 1'!G133+'Principale mobile 2'!G133+'Principale 2'!G133+'Principale mobile 3'!G133+'Principale mobile 4'!G133</f>
        <v>#REF!</v>
      </c>
      <c r="F114" s="41" t="s">
        <v>61</v>
      </c>
      <c r="G114" s="42">
        <v>18.8</v>
      </c>
      <c r="H114" s="40" t="e">
        <f t="shared" si="6"/>
        <v>#REF!</v>
      </c>
      <c r="J114" s="57" t="e">
        <f t="shared" si="5"/>
        <v>#REF!</v>
      </c>
    </row>
    <row r="115" spans="1:10" hidden="1" x14ac:dyDescent="0.35">
      <c r="A115" s="53"/>
      <c r="B115" s="40" t="s">
        <v>8</v>
      </c>
      <c r="C115" s="41" t="s">
        <v>136</v>
      </c>
      <c r="D115" s="47"/>
      <c r="E115" s="9" t="e">
        <f>'Réserve Nord'!E134+'Nord Mobile 1'!E134+#REF!+'Nord 2'!G134+'Nord Mobile 2'!G134+Esplanade!G134+'Est mobile 1'!G133+'Est 1'!G134+'Est mobile 2'!G134+'Est Mobile 3'!G134+'Est 2'!G134+'Est mobile 4'!G134+'Réserve Sud'!G134+'Sud 1'!G134+#REF!+Visiteurs!G134+'Principale 1 '!G134+'Principale mobile 1'!G134+'Principale mobile 2'!G134+'Principale 2'!G134+'Principale mobile 3'!G134+'Principale mobile 4'!G134</f>
        <v>#REF!</v>
      </c>
      <c r="F115" s="41" t="s">
        <v>20</v>
      </c>
      <c r="G115" s="42">
        <v>0.5</v>
      </c>
      <c r="H115" s="40" t="e">
        <f t="shared" si="6"/>
        <v>#REF!</v>
      </c>
      <c r="J115" s="57" t="e">
        <f t="shared" si="5"/>
        <v>#REF!</v>
      </c>
    </row>
    <row r="116" spans="1:10" hidden="1" x14ac:dyDescent="0.35">
      <c r="A116" s="53"/>
      <c r="B116" s="40" t="s">
        <v>8</v>
      </c>
      <c r="C116" s="41" t="s">
        <v>137</v>
      </c>
      <c r="D116" s="47"/>
      <c r="E116" s="9" t="e">
        <f>'Réserve Nord'!E135+'Nord Mobile 1'!E135+#REF!+'Nord 2'!G135+'Nord Mobile 2'!G135+Esplanade!G135+'Est mobile 1'!G134+'Est 1'!G135+'Est mobile 2'!G135+'Est Mobile 3'!G135+'Est 2'!G135+'Est mobile 4'!G135+'Réserve Sud'!G135+'Sud 1'!G135+#REF!+Visiteurs!G135+'Principale 1 '!G135+'Principale mobile 1'!G135+'Principale mobile 2'!G135+'Principale 2'!G135+'Principale mobile 3'!G135+'Principale mobile 4'!G135</f>
        <v>#REF!</v>
      </c>
      <c r="F116" s="41" t="s">
        <v>20</v>
      </c>
      <c r="G116" s="42">
        <v>0.5</v>
      </c>
      <c r="H116" s="40" t="e">
        <f t="shared" si="6"/>
        <v>#REF!</v>
      </c>
      <c r="J116" s="57" t="e">
        <f t="shared" si="5"/>
        <v>#REF!</v>
      </c>
    </row>
    <row r="117" spans="1:10" hidden="1" x14ac:dyDescent="0.35">
      <c r="A117" s="53"/>
      <c r="B117" s="40" t="s">
        <v>8</v>
      </c>
      <c r="C117" s="41" t="s">
        <v>138</v>
      </c>
      <c r="D117" s="47"/>
      <c r="E117" s="9" t="e">
        <f>'Réserve Nord'!E136+'Nord Mobile 1'!E136+#REF!+'Nord 2'!G136+'Nord Mobile 2'!G136+Esplanade!G136+'Est mobile 1'!G135+'Est 1'!G136+'Est mobile 2'!G136+'Est Mobile 3'!G136+'Est 2'!G136+'Est mobile 4'!G136+'Réserve Sud'!G136+'Sud 1'!G136+#REF!+Visiteurs!G136+'Principale 1 '!G136+'Principale mobile 1'!G136+'Principale mobile 2'!G136+'Principale 2'!G136+'Principale mobile 3'!G136+'Principale mobile 4'!G136</f>
        <v>#REF!</v>
      </c>
      <c r="F117" s="41" t="s">
        <v>20</v>
      </c>
      <c r="G117" s="42">
        <v>12.55</v>
      </c>
      <c r="H117" s="40" t="e">
        <f t="shared" si="6"/>
        <v>#REF!</v>
      </c>
      <c r="J117" s="57" t="e">
        <f t="shared" si="5"/>
        <v>#REF!</v>
      </c>
    </row>
    <row r="118" spans="1:10" hidden="1" x14ac:dyDescent="0.35">
      <c r="A118" s="53"/>
      <c r="B118" s="40" t="s">
        <v>8</v>
      </c>
      <c r="C118" s="41"/>
      <c r="D118" s="47"/>
      <c r="E118" s="9" t="e">
        <f>'Réserve Nord'!E137+'Nord Mobile 1'!E137+#REF!+'Nord 2'!G137+'Nord Mobile 2'!G137+Esplanade!G137+'Est mobile 1'!G136+'Est 1'!G137+'Est mobile 2'!G137+'Est Mobile 3'!G137+'Est 2'!G137+'Est mobile 4'!G137+'Réserve Sud'!G137+'Sud 1'!G137+#REF!+Visiteurs!G137+'Principale 1 '!G137+'Principale mobile 1'!G137+'Principale mobile 2'!G137+'Principale 2'!G137+'Principale mobile 3'!G137+'Principale mobile 4'!G137</f>
        <v>#REF!</v>
      </c>
      <c r="F118" s="41" t="s">
        <v>61</v>
      </c>
      <c r="G118" s="42">
        <v>0</v>
      </c>
      <c r="H118" s="40" t="e">
        <f t="shared" si="6"/>
        <v>#REF!</v>
      </c>
      <c r="J118" s="57" t="e">
        <f t="shared" si="5"/>
        <v>#REF!</v>
      </c>
    </row>
    <row r="119" spans="1:10" ht="15.5" hidden="1" x14ac:dyDescent="0.35">
      <c r="A119" s="54"/>
      <c r="B119" s="21" t="s">
        <v>139</v>
      </c>
      <c r="C119" s="21"/>
      <c r="D119" s="21"/>
      <c r="E119" s="21"/>
      <c r="F119" s="21"/>
      <c r="G119" s="45" t="s">
        <v>18</v>
      </c>
      <c r="H119" s="46" t="e">
        <f>SUM(H120:H124)</f>
        <v>#REF!</v>
      </c>
      <c r="J119" s="57">
        <f t="shared" si="5"/>
        <v>0</v>
      </c>
    </row>
    <row r="120" spans="1:10" hidden="1" x14ac:dyDescent="0.35">
      <c r="A120" s="53"/>
      <c r="B120" s="12" t="s">
        <v>11</v>
      </c>
      <c r="C120" s="18" t="s">
        <v>130</v>
      </c>
      <c r="D120" s="17"/>
      <c r="E120" s="9" t="e">
        <f>'Réserve Nord'!E139+'Nord Mobile 1'!E139+#REF!+'Nord 2'!G139+'Nord Mobile 2'!G139+Esplanade!G139+'Est mobile 1'!G138+'Est 1'!G139+'Est mobile 2'!G139+'Est Mobile 3'!G139+'Est 2'!G139+'Est mobile 4'!G139+'Réserve Sud'!G139+'Sud 1'!G139+#REF!+Visiteurs!G139+'Principale 1 '!G139+'Principale mobile 1'!G139+'Principale mobile 2'!G139+'Principale 2'!G139+'Principale mobile 3'!G139+'Principale mobile 4'!G139</f>
        <v>#REF!</v>
      </c>
      <c r="F120" s="10" t="s">
        <v>52</v>
      </c>
      <c r="G120" s="35">
        <v>14.62</v>
      </c>
      <c r="H120" s="12" t="e">
        <f>E120*G120</f>
        <v>#REF!</v>
      </c>
      <c r="J120" s="57" t="e">
        <f t="shared" si="5"/>
        <v>#REF!</v>
      </c>
    </row>
    <row r="121" spans="1:10" hidden="1" x14ac:dyDescent="0.35">
      <c r="A121" s="53"/>
      <c r="B121" s="12" t="s">
        <v>11</v>
      </c>
      <c r="C121" s="18" t="s">
        <v>104</v>
      </c>
      <c r="D121" s="17"/>
      <c r="E121" s="9" t="e">
        <f>'Réserve Nord'!E141+'Nord Mobile 1'!E141+#REF!+'Nord 2'!G141+'Nord Mobile 2'!G141+Esplanade!G141+'Est mobile 1'!G139+'Est 1'!G141+'Est mobile 2'!G141+'Est Mobile 3'!G141+'Est 2'!G141+'Est mobile 4'!G141+'Réserve Sud'!G141+'Sud 1'!G141+#REF!+Visiteurs!G141+'Principale 1 '!G141+'Principale mobile 1'!G141+'Principale mobile 2'!G141+'Principale 2'!G141+'Principale mobile 3'!G141+'Principale mobile 4'!G141</f>
        <v>#REF!</v>
      </c>
      <c r="F121" s="10" t="s">
        <v>52</v>
      </c>
      <c r="G121" s="35">
        <v>8.5</v>
      </c>
      <c r="H121" s="12" t="e">
        <f>E121*G121</f>
        <v>#REF!</v>
      </c>
      <c r="J121" s="57" t="e">
        <f t="shared" si="5"/>
        <v>#REF!</v>
      </c>
    </row>
    <row r="122" spans="1:10" hidden="1" x14ac:dyDescent="0.35">
      <c r="A122" s="53"/>
      <c r="B122" s="12" t="s">
        <v>11</v>
      </c>
      <c r="C122" s="18"/>
      <c r="D122" s="48"/>
      <c r="E122" s="9" t="e">
        <f>'Réserve Nord'!E142+'Nord Mobile 1'!E142+#REF!+'Nord 2'!G142+'Nord Mobile 2'!G142+Esplanade!G142+'Est mobile 1'!G141+'Est 1'!G142+'Est mobile 2'!G142+'Est Mobile 3'!G142+'Est 2'!G142+'Est mobile 4'!G142+'Réserve Sud'!G142+'Sud 1'!G142+#REF!+Visiteurs!G142+'Principale 1 '!G142+'Principale mobile 1'!G142+'Principale mobile 2'!G142+'Principale 2'!G142+'Principale mobile 3'!G142+'Principale mobile 4'!G142</f>
        <v>#REF!</v>
      </c>
      <c r="F122" s="10" t="s">
        <v>52</v>
      </c>
      <c r="G122" s="35">
        <v>0</v>
      </c>
      <c r="H122" s="12" t="e">
        <f>E122*G122</f>
        <v>#REF!</v>
      </c>
      <c r="J122" s="57" t="e">
        <f t="shared" si="5"/>
        <v>#REF!</v>
      </c>
    </row>
    <row r="123" spans="1:10" hidden="1" x14ac:dyDescent="0.35">
      <c r="A123" s="53"/>
      <c r="B123" s="12" t="s">
        <v>11</v>
      </c>
      <c r="C123" s="18"/>
      <c r="D123" s="48"/>
      <c r="E123" s="9" t="e">
        <f>'Réserve Nord'!E143+'Nord Mobile 1'!E143+#REF!+'Nord 2'!G143+'Nord Mobile 2'!G143+Esplanade!G143+'Est mobile 1'!G142+'Est 1'!G143+'Est mobile 2'!G143+'Est Mobile 3'!G143+'Est 2'!G143+'Est mobile 4'!G143+'Réserve Sud'!G143+'Sud 1'!G143+#REF!+Visiteurs!G143+'Principale 1 '!G143+'Principale mobile 1'!G143+'Principale mobile 2'!G143+'Principale 2'!G143+'Principale mobile 3'!G143+'Principale mobile 4'!G143</f>
        <v>#REF!</v>
      </c>
      <c r="F123" s="10" t="s">
        <v>52</v>
      </c>
      <c r="G123" s="35">
        <v>0</v>
      </c>
      <c r="H123" s="12" t="e">
        <f>E123*G123</f>
        <v>#REF!</v>
      </c>
      <c r="J123" s="57" t="e">
        <f t="shared" si="5"/>
        <v>#REF!</v>
      </c>
    </row>
    <row r="124" spans="1:10" hidden="1" x14ac:dyDescent="0.35">
      <c r="A124" s="53"/>
      <c r="B124" s="12" t="s">
        <v>11</v>
      </c>
      <c r="C124" s="18"/>
      <c r="D124" s="48"/>
      <c r="E124" s="9" t="e">
        <f>'Réserve Nord'!E144+'Nord Mobile 1'!E144+#REF!+'Nord 2'!G144+'Nord Mobile 2'!G144+Esplanade!G144+'Est mobile 1'!G143+'Est 1'!G144+'Est mobile 2'!G144+'Est Mobile 3'!G144+'Est 2'!G144+'Est mobile 4'!G144+'Réserve Sud'!G144+'Sud 1'!G144+#REF!+Visiteurs!G144+'Principale 1 '!G144+'Principale mobile 1'!G144+'Principale mobile 2'!G144+'Principale 2'!G144+'Principale mobile 3'!G144+'Principale mobile 4'!G144</f>
        <v>#REF!</v>
      </c>
      <c r="F124" s="10" t="s">
        <v>52</v>
      </c>
      <c r="G124" s="35">
        <v>0</v>
      </c>
      <c r="H124" s="12" t="e">
        <f>E124*G124</f>
        <v>#REF!</v>
      </c>
      <c r="J124" s="57" t="e">
        <f t="shared" si="5"/>
        <v>#REF!</v>
      </c>
    </row>
    <row r="125" spans="1:10" ht="15.5" hidden="1" x14ac:dyDescent="0.35">
      <c r="A125" s="54"/>
      <c r="B125" s="21" t="s">
        <v>145</v>
      </c>
      <c r="C125" s="4"/>
      <c r="D125" s="4"/>
      <c r="E125" s="4"/>
      <c r="F125" s="4"/>
      <c r="G125" s="36" t="s">
        <v>18</v>
      </c>
      <c r="H125" s="46" t="e">
        <f>SUM(H126:H131)</f>
        <v>#REF!</v>
      </c>
      <c r="J125" s="57">
        <f t="shared" si="5"/>
        <v>0</v>
      </c>
    </row>
    <row r="126" spans="1:10" hidden="1" x14ac:dyDescent="0.35">
      <c r="A126" s="53"/>
      <c r="B126" s="12" t="s">
        <v>12</v>
      </c>
      <c r="C126" s="10" t="s">
        <v>70</v>
      </c>
      <c r="D126" s="8"/>
      <c r="E126" s="9" t="e">
        <f>'Réserve Nord'!E146+'Nord Mobile 1'!E146+#REF!+'Nord 2'!G146+'Nord Mobile 2'!G146+Esplanade!G146+'Est mobile 1'!G145+'Est 1'!G146+'Est mobile 2'!G146+'Est Mobile 3'!G146+'Est 2'!G146+'Est mobile 4'!G146+'Réserve Sud'!G146+'Sud 1'!G146+#REF!+Visiteurs!G146+'Principale 1 '!G146+'Principale mobile 1'!G146+'Principale mobile 2'!G146+'Principale 2'!G146+'Principale mobile 3'!G146+'Principale mobile 4'!G146</f>
        <v>#REF!</v>
      </c>
      <c r="F126" s="10" t="s">
        <v>27</v>
      </c>
      <c r="G126" s="11">
        <v>15.25</v>
      </c>
      <c r="H126" s="12" t="e">
        <f t="shared" ref="H126:H131" si="7">+E126*G126</f>
        <v>#REF!</v>
      </c>
      <c r="J126" s="57" t="e">
        <f t="shared" si="5"/>
        <v>#REF!</v>
      </c>
    </row>
    <row r="127" spans="1:10" hidden="1" x14ac:dyDescent="0.35">
      <c r="A127" s="53"/>
      <c r="B127" s="12" t="s">
        <v>12</v>
      </c>
      <c r="C127" s="10" t="s">
        <v>71</v>
      </c>
      <c r="D127" s="8"/>
      <c r="E127" s="9" t="e">
        <f>'Réserve Nord'!E147+'Nord Mobile 1'!E147+#REF!+'Nord 2'!G147+'Nord Mobile 2'!G147+Esplanade!G147+'Est mobile 1'!G146+'Est 1'!G147+'Est mobile 2'!G147+'Est Mobile 3'!G147+'Est 2'!G147+'Est mobile 4'!G147+'Réserve Sud'!G147+'Sud 1'!G147+#REF!+Visiteurs!G147+'Principale 1 '!G147+'Principale mobile 1'!G147+'Principale mobile 2'!G147+'Principale 2'!G147+'Principale mobile 3'!G147+'Principale mobile 4'!G147</f>
        <v>#REF!</v>
      </c>
      <c r="F127" s="10" t="s">
        <v>27</v>
      </c>
      <c r="G127" s="11">
        <v>13.7</v>
      </c>
      <c r="H127" s="12" t="e">
        <f t="shared" si="7"/>
        <v>#REF!</v>
      </c>
      <c r="J127" s="57" t="e">
        <f t="shared" si="5"/>
        <v>#REF!</v>
      </c>
    </row>
    <row r="128" spans="1:10" hidden="1" x14ac:dyDescent="0.35">
      <c r="A128" s="53"/>
      <c r="B128" s="12" t="s">
        <v>12</v>
      </c>
      <c r="C128" s="10" t="s">
        <v>134</v>
      </c>
      <c r="D128" s="48"/>
      <c r="E128" s="9" t="e">
        <f>'Réserve Nord'!E148+'Nord Mobile 1'!E148+#REF!+'Nord 2'!G148+'Nord Mobile 2'!G148+Esplanade!G148+'Est mobile 1'!G147+'Est 1'!G148+'Est mobile 2'!G148+'Est Mobile 3'!G148+'Est 2'!G148+'Est mobile 4'!G148+'Réserve Sud'!G148+'Sud 1'!G148+#REF!+Visiteurs!G148+'Principale 1 '!G148+'Principale mobile 1'!G148+'Principale mobile 2'!G148+'Principale 2'!G148+'Principale mobile 3'!G148+'Principale mobile 4'!G148</f>
        <v>#REF!</v>
      </c>
      <c r="F128" s="10" t="s">
        <v>27</v>
      </c>
      <c r="G128" s="11">
        <v>15.25</v>
      </c>
      <c r="H128" s="12" t="e">
        <f t="shared" si="7"/>
        <v>#REF!</v>
      </c>
      <c r="J128" s="57" t="e">
        <f t="shared" si="5"/>
        <v>#REF!</v>
      </c>
    </row>
    <row r="129" spans="1:10" hidden="1" x14ac:dyDescent="0.35">
      <c r="A129" s="53"/>
      <c r="B129" s="12" t="s">
        <v>12</v>
      </c>
      <c r="C129" s="10" t="s">
        <v>135</v>
      </c>
      <c r="D129" s="48"/>
      <c r="E129" s="9" t="e">
        <f>'Réserve Nord'!E149+'Nord Mobile 1'!E149+#REF!+'Nord 2'!G149+'Nord Mobile 2'!G149+Esplanade!G149+'Est mobile 1'!G148+'Est 1'!G149+'Est mobile 2'!G149+'Est Mobile 3'!G149+'Est 2'!G149+'Est mobile 4'!G149+'Réserve Sud'!G149+'Sud 1'!G149+#REF!+Visiteurs!G149+'Principale 1 '!G149+'Principale mobile 1'!G149+'Principale mobile 2'!G149+'Principale 2'!G149+'Principale mobile 3'!G149+'Principale mobile 4'!G149</f>
        <v>#REF!</v>
      </c>
      <c r="F129" s="10" t="s">
        <v>27</v>
      </c>
      <c r="G129" s="11">
        <v>15.5</v>
      </c>
      <c r="H129" s="12" t="e">
        <f t="shared" si="7"/>
        <v>#REF!</v>
      </c>
      <c r="J129" s="57" t="e">
        <f t="shared" si="5"/>
        <v>#REF!</v>
      </c>
    </row>
    <row r="130" spans="1:10" hidden="1" x14ac:dyDescent="0.35">
      <c r="A130" s="53"/>
      <c r="B130" s="12" t="s">
        <v>12</v>
      </c>
      <c r="C130" s="10" t="s">
        <v>123</v>
      </c>
      <c r="D130" s="48"/>
      <c r="E130" s="9" t="e">
        <f>'Réserve Nord'!E151+'Nord Mobile 1'!E151+#REF!+'Nord 2'!G151+'Nord Mobile 2'!G151+Esplanade!G151+'Est mobile 1'!G149+'Est 1'!G151+'Est mobile 2'!G151+'Est Mobile 3'!G151+'Est 2'!G151+'Est mobile 4'!G151+'Réserve Sud'!G151+'Sud 1'!G151+#REF!+Visiteurs!G151+'Principale 1 '!G151+'Principale mobile 1'!G151+'Principale mobile 2'!G151+'Principale 2'!G151+'Principale mobile 3'!G151+'Principale mobile 4'!G151</f>
        <v>#REF!</v>
      </c>
      <c r="F130" s="10" t="s">
        <v>27</v>
      </c>
      <c r="G130" s="11">
        <v>39.5</v>
      </c>
      <c r="H130" s="12" t="e">
        <f t="shared" si="7"/>
        <v>#REF!</v>
      </c>
      <c r="J130" s="57" t="e">
        <f t="shared" si="5"/>
        <v>#REF!</v>
      </c>
    </row>
    <row r="131" spans="1:10" hidden="1" x14ac:dyDescent="0.35">
      <c r="A131" s="53"/>
      <c r="B131" s="12" t="s">
        <v>12</v>
      </c>
      <c r="C131" s="10" t="s">
        <v>124</v>
      </c>
      <c r="D131" s="48"/>
      <c r="E131" s="9" t="e">
        <f>'Réserve Nord'!E152+'Nord Mobile 1'!E152+#REF!+'Nord 2'!G152+'Nord Mobile 2'!G152+Esplanade!G152+'Est mobile 1'!G151+'Est 1'!G152+'Est mobile 2'!G152+'Est Mobile 3'!G152+'Est 2'!G152+'Est mobile 4'!G152+'Réserve Sud'!G152+'Sud 1'!G152+#REF!+Visiteurs!G152+'Principale 1 '!G152+'Principale mobile 1'!G152+'Principale mobile 2'!G152+'Principale 2'!G152+'Principale mobile 3'!G152+'Principale mobile 4'!G152</f>
        <v>#REF!</v>
      </c>
      <c r="F131" s="10" t="s">
        <v>27</v>
      </c>
      <c r="G131" s="11">
        <v>10.08</v>
      </c>
      <c r="H131" s="12" t="e">
        <f t="shared" si="7"/>
        <v>#REF!</v>
      </c>
      <c r="J131" s="57" t="e">
        <f t="shared" si="5"/>
        <v>#REF!</v>
      </c>
    </row>
    <row r="132" spans="1:10" ht="15.5" hidden="1" x14ac:dyDescent="0.35">
      <c r="A132" s="54"/>
      <c r="B132" s="4" t="s">
        <v>146</v>
      </c>
      <c r="C132" s="4"/>
      <c r="D132" s="4"/>
      <c r="E132" s="4"/>
      <c r="F132" s="4"/>
      <c r="G132" s="36" t="s">
        <v>18</v>
      </c>
      <c r="H132" s="5" t="e">
        <f>SUM(H133:H136)</f>
        <v>#REF!</v>
      </c>
      <c r="J132" s="57">
        <f t="shared" si="5"/>
        <v>0</v>
      </c>
    </row>
    <row r="133" spans="1:10" hidden="1" x14ac:dyDescent="0.35">
      <c r="A133" s="53"/>
      <c r="B133" s="12" t="s">
        <v>10</v>
      </c>
      <c r="C133" s="41" t="s">
        <v>131</v>
      </c>
      <c r="D133" s="29"/>
      <c r="E133" s="9" t="e">
        <f>'Réserve Nord'!E154+'Nord Mobile 1'!E154+#REF!+'Nord 2'!G154+'Nord Mobile 2'!G154+Esplanade!G154+'Est mobile 1'!G153+'Est 1'!G154+'Est mobile 2'!G154+'Est Mobile 3'!G154+'Est 2'!G154+'Est mobile 4'!G154+'Réserve Sud'!G154+'Sud 1'!G154+#REF!+Visiteurs!G154+'Principale 1 '!G154+'Principale mobile 1'!G154+'Principale mobile 2'!G154+'Principale 2'!G154+'Principale mobile 3'!G154+'Principale mobile 4'!G154</f>
        <v>#REF!</v>
      </c>
      <c r="F133" s="41" t="s">
        <v>20</v>
      </c>
      <c r="G133" s="42">
        <v>5.6</v>
      </c>
      <c r="H133" s="12" t="e">
        <f>E133*G133</f>
        <v>#REF!</v>
      </c>
      <c r="J133" s="57" t="e">
        <f t="shared" si="5"/>
        <v>#REF!</v>
      </c>
    </row>
    <row r="134" spans="1:10" hidden="1" x14ac:dyDescent="0.35">
      <c r="A134" s="53"/>
      <c r="B134" s="12" t="s">
        <v>10</v>
      </c>
      <c r="C134" s="41" t="s">
        <v>132</v>
      </c>
      <c r="D134" s="29"/>
      <c r="E134" s="9" t="e">
        <f>'Réserve Nord'!E155+'Nord Mobile 1'!E155+#REF!+'Nord 2'!G155+'Nord Mobile 2'!G155+Esplanade!G155+'Est mobile 1'!G154+'Est 1'!G155+'Est mobile 2'!G155+'Est Mobile 3'!G155+'Est 2'!G155+'Est mobile 4'!G155+'Réserve Sud'!G155+'Sud 1'!G155+#REF!+Visiteurs!G155+'Principale 1 '!G155+'Principale mobile 1'!G155+'Principale mobile 2'!G155+'Principale 2'!G155+'Principale mobile 3'!G155+'Principale mobile 4'!G155</f>
        <v>#REF!</v>
      </c>
      <c r="F134" s="41" t="s">
        <v>20</v>
      </c>
      <c r="G134" s="42">
        <v>5.2</v>
      </c>
      <c r="H134" s="12" t="e">
        <f>E134*G134</f>
        <v>#REF!</v>
      </c>
      <c r="J134" s="57" t="e">
        <f t="shared" si="5"/>
        <v>#REF!</v>
      </c>
    </row>
    <row r="135" spans="1:10" hidden="1" x14ac:dyDescent="0.35">
      <c r="A135" s="53"/>
      <c r="B135" s="12" t="s">
        <v>10</v>
      </c>
      <c r="C135" s="10" t="s">
        <v>133</v>
      </c>
      <c r="D135" s="48"/>
      <c r="E135" s="9" t="e">
        <f>'Réserve Nord'!E156+'Nord Mobile 1'!E156+#REF!+'Nord 2'!G156+'Nord Mobile 2'!G156+Esplanade!G156+'Est mobile 1'!G155+'Est 1'!G156+'Est mobile 2'!G156+'Est Mobile 3'!G156+'Est 2'!G156+'Est mobile 4'!G156+'Réserve Sud'!G156+'Sud 1'!G156+#REF!+Visiteurs!G156+'Principale 1 '!G156+'Principale mobile 1'!G156+'Principale mobile 2'!G156+'Principale 2'!G156+'Principale mobile 3'!G156+'Principale mobile 4'!G156</f>
        <v>#REF!</v>
      </c>
      <c r="F135" s="10" t="s">
        <v>20</v>
      </c>
      <c r="G135" s="11">
        <v>4.0999999999999996</v>
      </c>
      <c r="H135" s="12" t="e">
        <f>E135*G135</f>
        <v>#REF!</v>
      </c>
      <c r="J135" s="57" t="e">
        <f t="shared" ref="J135:J175" si="8">E135-I135</f>
        <v>#REF!</v>
      </c>
    </row>
    <row r="136" spans="1:10" hidden="1" x14ac:dyDescent="0.35">
      <c r="A136" s="53"/>
      <c r="B136" s="40" t="s">
        <v>10</v>
      </c>
      <c r="C136" s="41" t="s">
        <v>129</v>
      </c>
      <c r="D136" s="47"/>
      <c r="E136" s="9" t="e">
        <f>'Réserve Nord'!E157+'Nord Mobile 1'!E157+#REF!+'Nord 2'!G157+'Nord Mobile 2'!G157+Esplanade!G157+'Est mobile 1'!G156+'Est 1'!G157+'Est mobile 2'!G157+'Est Mobile 3'!G157+'Est 2'!G157+'Est mobile 4'!G157+'Réserve Sud'!G157+'Sud 1'!G157+#REF!+Visiteurs!G157+'Principale 1 '!G157+'Principale mobile 1'!G157+'Principale mobile 2'!G157+'Principale 2'!G157+'Principale mobile 3'!G157+'Principale mobile 4'!G157</f>
        <v>#REF!</v>
      </c>
      <c r="F136" s="41" t="s">
        <v>27</v>
      </c>
      <c r="G136" s="42">
        <v>3.2</v>
      </c>
      <c r="H136" s="40" t="e">
        <f>E136*G136</f>
        <v>#REF!</v>
      </c>
      <c r="J136" s="57" t="e">
        <f t="shared" si="8"/>
        <v>#REF!</v>
      </c>
    </row>
    <row r="137" spans="1:10" ht="15.5" hidden="1" x14ac:dyDescent="0.35">
      <c r="A137" s="54"/>
      <c r="B137" s="21" t="s">
        <v>147</v>
      </c>
      <c r="C137" s="21"/>
      <c r="D137" s="21"/>
      <c r="E137" s="21"/>
      <c r="F137" s="21"/>
      <c r="G137" s="45" t="s">
        <v>18</v>
      </c>
      <c r="H137" s="46" t="e">
        <f>SUM(H138:H138)</f>
        <v>#REF!</v>
      </c>
      <c r="J137" s="57">
        <f t="shared" si="8"/>
        <v>0</v>
      </c>
    </row>
    <row r="138" spans="1:10" hidden="1" x14ac:dyDescent="0.35">
      <c r="A138" s="53"/>
      <c r="B138" s="12" t="s">
        <v>28</v>
      </c>
      <c r="C138" s="10" t="s">
        <v>29</v>
      </c>
      <c r="D138" s="32"/>
      <c r="E138" s="9" t="e">
        <f>'Réserve Nord'!E159+'Nord Mobile 1'!E159+#REF!+'Nord 2'!G159+'Nord Mobile 2'!G159+Esplanade!G159+'Est mobile 1'!G158+'Est 1'!G159+'Est mobile 2'!G159+'Est Mobile 3'!G159+'Est 2'!G159+'Est mobile 4'!G159+'Réserve Sud'!G159+'Sud 1'!G159+#REF!+Visiteurs!G159+'Principale 1 '!G159+'Principale mobile 1'!G159+'Principale mobile 2'!G159+'Principale 2'!G159+'Principale mobile 3'!G159+'Principale mobile 4'!G159</f>
        <v>#REF!</v>
      </c>
      <c r="F138" s="10" t="s">
        <v>54</v>
      </c>
      <c r="G138" s="11">
        <v>104</v>
      </c>
      <c r="H138" s="12" t="e">
        <f>+G138*E138</f>
        <v>#REF!</v>
      </c>
      <c r="J138" s="57" t="e">
        <f t="shared" si="8"/>
        <v>#REF!</v>
      </c>
    </row>
    <row r="139" spans="1:10" hidden="1" x14ac:dyDescent="0.35">
      <c r="A139" s="53"/>
      <c r="B139" s="12" t="s">
        <v>28</v>
      </c>
      <c r="C139" s="10"/>
      <c r="D139" s="49"/>
      <c r="E139" s="9" t="e">
        <f>'Réserve Nord'!E160+'Nord Mobile 1'!E160+#REF!+'Nord 2'!G160+'Nord Mobile 2'!G160+Esplanade!G160+'Est mobile 1'!G159+'Est 1'!G160+'Est mobile 2'!G160+'Est Mobile 3'!G160+'Est 2'!G160+'Est mobile 4'!G160+'Réserve Sud'!G160+'Sud 1'!G160+#REF!+Visiteurs!G160+'Principale 1 '!G160+'Principale mobile 1'!G160+'Principale mobile 2'!G160+'Principale 2'!G160+'Principale mobile 3'!G160+'Principale mobile 4'!G160</f>
        <v>#REF!</v>
      </c>
      <c r="F139" s="10"/>
      <c r="G139" s="11">
        <v>3.6</v>
      </c>
      <c r="H139" s="12" t="e">
        <f>+G139*E139</f>
        <v>#REF!</v>
      </c>
      <c r="J139" s="57" t="e">
        <f t="shared" si="8"/>
        <v>#REF!</v>
      </c>
    </row>
    <row r="140" spans="1:10" hidden="1" x14ac:dyDescent="0.35">
      <c r="A140" s="53"/>
      <c r="B140" s="12" t="s">
        <v>28</v>
      </c>
      <c r="C140" s="10"/>
      <c r="D140" s="49"/>
      <c r="E140" s="9" t="e">
        <f>'Réserve Nord'!E161+'Nord Mobile 1'!E161+#REF!+'Nord 2'!G161+'Nord Mobile 2'!G161+Esplanade!G161+'Est mobile 1'!G160+'Est 1'!G161+'Est mobile 2'!G161+'Est Mobile 3'!G161+'Est 2'!G161+'Est mobile 4'!G161+'Réserve Sud'!G161+'Sud 1'!G161+#REF!+Visiteurs!G161+'Principale 1 '!G161+'Principale mobile 1'!G161+'Principale mobile 2'!G161+'Principale 2'!G161+'Principale mobile 3'!G161+'Principale mobile 4'!G161</f>
        <v>#REF!</v>
      </c>
      <c r="F140" s="10"/>
      <c r="G140" s="11">
        <v>0</v>
      </c>
      <c r="H140" s="12" t="e">
        <f>+G140*E140</f>
        <v>#REF!</v>
      </c>
      <c r="J140" s="57" t="e">
        <f t="shared" si="8"/>
        <v>#REF!</v>
      </c>
    </row>
    <row r="141" spans="1:10" ht="15.5" hidden="1" x14ac:dyDescent="0.35">
      <c r="A141" s="54"/>
      <c r="B141" s="4" t="s">
        <v>148</v>
      </c>
      <c r="C141" s="4"/>
      <c r="D141" s="4"/>
      <c r="E141" s="4"/>
      <c r="F141" s="4"/>
      <c r="G141" s="36" t="s">
        <v>18</v>
      </c>
      <c r="H141" s="39" t="e">
        <f>SUM(H142:H153)</f>
        <v>#REF!</v>
      </c>
      <c r="J141" s="57">
        <f t="shared" si="8"/>
        <v>0</v>
      </c>
    </row>
    <row r="142" spans="1:10" hidden="1" x14ac:dyDescent="0.35">
      <c r="A142" s="53"/>
      <c r="B142" s="12" t="s">
        <v>9</v>
      </c>
      <c r="C142" s="10" t="s">
        <v>105</v>
      </c>
      <c r="D142" s="8"/>
      <c r="E142" s="9" t="e">
        <f>'Réserve Nord'!E163+'Nord Mobile 1'!E163+#REF!+'Nord 2'!G163+'Nord Mobile 2'!G163+Esplanade!G163+'Est mobile 1'!G162+'Est 1'!G163+'Est mobile 2'!G163+'Est Mobile 3'!G163+'Est 2'!G163+'Est mobile 4'!G163+'Réserve Sud'!G163+'Sud 1'!G163+#REF!+Visiteurs!G163+'Principale 1 '!G163+'Principale mobile 1'!G163+'Principale mobile 2'!G163+'Principale 2'!G163+'Principale mobile 3'!G163+'Principale mobile 4'!G163</f>
        <v>#REF!</v>
      </c>
      <c r="F142" s="10" t="s">
        <v>61</v>
      </c>
      <c r="G142" s="11">
        <v>79.8</v>
      </c>
      <c r="H142" s="50" t="e">
        <f t="shared" ref="H142:H158" si="9">E142*G142</f>
        <v>#REF!</v>
      </c>
      <c r="J142" s="57" t="e">
        <f t="shared" si="8"/>
        <v>#REF!</v>
      </c>
    </row>
    <row r="143" spans="1:10" hidden="1" x14ac:dyDescent="0.35">
      <c r="A143" s="53"/>
      <c r="B143" s="12" t="s">
        <v>9</v>
      </c>
      <c r="C143" s="10" t="s">
        <v>106</v>
      </c>
      <c r="D143" s="8"/>
      <c r="E143" s="9" t="e">
        <f>'Réserve Nord'!E164+'Nord Mobile 1'!E164+#REF!+'Nord 2'!G164+'Nord Mobile 2'!G164+Esplanade!G164+'Est mobile 1'!G163+'Est 1'!G164+'Est mobile 2'!G164+'Est Mobile 3'!G164+'Est 2'!G164+'Est mobile 4'!G164+'Réserve Sud'!G164+'Sud 1'!G164+#REF!+Visiteurs!G164+'Principale 1 '!G164+'Principale mobile 1'!G164+'Principale mobile 2'!G164+'Principale 2'!G164+'Principale mobile 3'!G164+'Principale mobile 4'!G164</f>
        <v>#REF!</v>
      </c>
      <c r="F143" s="10" t="s">
        <v>61</v>
      </c>
      <c r="G143" s="51">
        <v>107.12</v>
      </c>
      <c r="H143" s="50" t="e">
        <f t="shared" si="9"/>
        <v>#REF!</v>
      </c>
      <c r="J143" s="57" t="e">
        <f t="shared" si="8"/>
        <v>#REF!</v>
      </c>
    </row>
    <row r="144" spans="1:10" hidden="1" x14ac:dyDescent="0.35">
      <c r="A144" s="53"/>
      <c r="B144" s="12" t="s">
        <v>9</v>
      </c>
      <c r="C144" s="10" t="s">
        <v>108</v>
      </c>
      <c r="D144" s="8"/>
      <c r="E144" s="9" t="e">
        <f>'Réserve Nord'!E165+'Nord Mobile 1'!E165+#REF!+'Nord 2'!G165+'Nord Mobile 2'!G165+Esplanade!G165+'Est mobile 1'!G164+'Est 1'!G165+'Est mobile 2'!G165+'Est Mobile 3'!G165+'Est 2'!G165+'Est mobile 4'!G165+'Réserve Sud'!G165+'Sud 1'!G165+#REF!+Visiteurs!G165+'Principale 1 '!G165+'Principale mobile 1'!G165+'Principale mobile 2'!G165+'Principale 2'!G165+'Principale mobile 3'!G165+'Principale mobile 4'!G165</f>
        <v>#REF!</v>
      </c>
      <c r="F144" s="10" t="s">
        <v>61</v>
      </c>
      <c r="G144" s="11">
        <v>7.0999999999999994E-2</v>
      </c>
      <c r="H144" s="50" t="e">
        <f t="shared" si="9"/>
        <v>#REF!</v>
      </c>
      <c r="J144" s="57" t="e">
        <f t="shared" si="8"/>
        <v>#REF!</v>
      </c>
    </row>
    <row r="145" spans="1:10" hidden="1" x14ac:dyDescent="0.35">
      <c r="A145" s="53"/>
      <c r="B145" s="12" t="s">
        <v>9</v>
      </c>
      <c r="C145" s="10" t="s">
        <v>107</v>
      </c>
      <c r="D145" s="8"/>
      <c r="E145" s="9" t="e">
        <f>'Réserve Nord'!#REF!+'Nord Mobile 1'!#REF!+#REF!+'Nord 2'!#REF!+'Nord Mobile 2'!#REF!+Esplanade!#REF!+'Est mobile 1'!#REF!+'Est 1'!#REF!+'Est mobile 2'!#REF!+'Est Mobile 3'!#REF!+'Est 2'!#REF!+'Est mobile 4'!#REF!+'Réserve Sud'!#REF!+'Sud 1'!#REF!+#REF!+Visiteurs!#REF!+'Principale 1 '!#REF!+'Principale mobile 1'!#REF!+'Principale mobile 2'!#REF!+'Principale 2'!#REF!+'Principale mobile 3'!#REF!+'Principale mobile 4'!#REF!</f>
        <v>#REF!</v>
      </c>
      <c r="F145" s="10" t="s">
        <v>61</v>
      </c>
      <c r="G145" s="11">
        <v>163.80000000000001</v>
      </c>
      <c r="H145" s="50" t="e">
        <f t="shared" si="9"/>
        <v>#REF!</v>
      </c>
      <c r="J145" s="57" t="e">
        <f t="shared" si="8"/>
        <v>#REF!</v>
      </c>
    </row>
    <row r="146" spans="1:10" hidden="1" x14ac:dyDescent="0.35">
      <c r="A146" s="53"/>
      <c r="B146" s="12" t="s">
        <v>9</v>
      </c>
      <c r="C146" s="10" t="s">
        <v>109</v>
      </c>
      <c r="D146" s="8"/>
      <c r="E146" s="9" t="e">
        <f>'Réserve Nord'!E166+'Nord Mobile 1'!E166+#REF!+'Nord 2'!G166+'Nord Mobile 2'!G166+Esplanade!G166+'Est mobile 1'!G165+'Est 1'!G166+'Est mobile 2'!G166+'Est Mobile 3'!G166+'Est 2'!G166+'Est mobile 4'!G166+'Réserve Sud'!G166+'Sud 1'!G166+#REF!+Visiteurs!G166+'Principale 1 '!G166+'Principale mobile 1'!G166+'Principale mobile 2'!G166+'Principale 2'!G166+'Principale mobile 3'!G166+'Principale mobile 4'!G166</f>
        <v>#REF!</v>
      </c>
      <c r="F146" s="10" t="s">
        <v>20</v>
      </c>
      <c r="G146" s="11">
        <v>0.1</v>
      </c>
      <c r="H146" s="50" t="e">
        <f t="shared" si="9"/>
        <v>#REF!</v>
      </c>
      <c r="J146" s="57" t="e">
        <f t="shared" si="8"/>
        <v>#REF!</v>
      </c>
    </row>
    <row r="147" spans="1:10" hidden="1" x14ac:dyDescent="0.35">
      <c r="A147" s="53"/>
      <c r="B147" s="12" t="s">
        <v>9</v>
      </c>
      <c r="C147" s="10" t="s">
        <v>110</v>
      </c>
      <c r="D147" s="33" t="s">
        <v>73</v>
      </c>
      <c r="E147" s="9" t="e">
        <f>'Réserve Nord'!#REF!+'Nord Mobile 1'!#REF!+#REF!+'Nord 2'!#REF!+'Nord Mobile 2'!#REF!+Esplanade!#REF!+'Est mobile 1'!#REF!+'Est 1'!#REF!+'Est mobile 2'!#REF!+'Est Mobile 3'!#REF!+'Est 2'!#REF!+'Est mobile 4'!#REF!+'Réserve Sud'!#REF!+'Sud 1'!#REF!+#REF!+Visiteurs!#REF!+'Principale 1 '!#REF!+'Principale mobile 1'!#REF!+'Principale mobile 2'!#REF!+'Principale 2'!#REF!+'Principale mobile 3'!#REF!+'Principale mobile 4'!#REF!</f>
        <v>#REF!</v>
      </c>
      <c r="F147" s="10" t="s">
        <v>61</v>
      </c>
      <c r="G147" s="11">
        <v>49.33</v>
      </c>
      <c r="H147" s="50" t="e">
        <f t="shared" si="9"/>
        <v>#REF!</v>
      </c>
      <c r="J147" s="57" t="e">
        <f t="shared" si="8"/>
        <v>#REF!</v>
      </c>
    </row>
    <row r="148" spans="1:10" hidden="1" x14ac:dyDescent="0.35">
      <c r="A148" s="53"/>
      <c r="B148" s="12" t="s">
        <v>9</v>
      </c>
      <c r="C148" s="10" t="s">
        <v>111</v>
      </c>
      <c r="D148" s="8"/>
      <c r="E148" s="9" t="e">
        <f>'Réserve Nord'!E167+'Nord Mobile 1'!E167+#REF!+'Nord 2'!G167+'Nord Mobile 2'!G167+Esplanade!G167+'Est mobile 1'!G166+'Est 1'!G167+'Est mobile 2'!G167+'Est Mobile 3'!G167+'Est 2'!G167+'Est mobile 4'!G167+'Réserve Sud'!G167+'Sud 1'!G167+#REF!+Visiteurs!G167+'Principale 1 '!G167+'Principale mobile 1'!G167+'Principale mobile 2'!G167+'Principale 2'!G167+'Principale mobile 3'!G167+'Principale mobile 4'!G167</f>
        <v>#REF!</v>
      </c>
      <c r="F148" s="10" t="s">
        <v>61</v>
      </c>
      <c r="G148" s="11">
        <v>105.55</v>
      </c>
      <c r="H148" s="50" t="e">
        <f t="shared" si="9"/>
        <v>#REF!</v>
      </c>
      <c r="J148" s="57" t="e">
        <f t="shared" si="8"/>
        <v>#REF!</v>
      </c>
    </row>
    <row r="149" spans="1:10" hidden="1" x14ac:dyDescent="0.35">
      <c r="A149" s="53"/>
      <c r="B149" s="12" t="s">
        <v>9</v>
      </c>
      <c r="C149" s="10" t="s">
        <v>112</v>
      </c>
      <c r="D149" s="8"/>
      <c r="E149" s="9" t="e">
        <f>'Réserve Nord'!E168+'Nord Mobile 1'!E168+#REF!+'Nord 2'!G168+'Nord Mobile 2'!G168+Esplanade!G168+'Est mobile 1'!G167+'Est 1'!G168+'Est mobile 2'!G168+'Est Mobile 3'!G168+'Est 2'!G168+'Est mobile 4'!G168+'Réserve Sud'!G168+'Sud 1'!G168+#REF!+Visiteurs!G168+'Principale 1 '!G168+'Principale mobile 1'!G168+'Principale mobile 2'!G168+'Principale 2'!G168+'Principale mobile 3'!G168+'Principale mobile 4'!G168</f>
        <v>#REF!</v>
      </c>
      <c r="F149" s="10" t="s">
        <v>61</v>
      </c>
      <c r="G149" s="11">
        <v>33.25</v>
      </c>
      <c r="H149" s="50" t="e">
        <f t="shared" si="9"/>
        <v>#REF!</v>
      </c>
      <c r="J149" s="57" t="e">
        <f t="shared" si="8"/>
        <v>#REF!</v>
      </c>
    </row>
    <row r="150" spans="1:10" hidden="1" x14ac:dyDescent="0.35">
      <c r="A150" s="53"/>
      <c r="B150" s="12" t="s">
        <v>9</v>
      </c>
      <c r="C150" s="10" t="s">
        <v>151</v>
      </c>
      <c r="D150" s="8"/>
      <c r="E150" s="9" t="e">
        <f>'Réserve Nord'!E169+'Nord Mobile 1'!E169+#REF!+'Nord 2'!G169+'Nord Mobile 2'!G169+Esplanade!G169+'Est mobile 1'!G168+'Est 1'!G169+'Est mobile 2'!G169+'Est Mobile 3'!G169+'Est 2'!G169+'Est mobile 4'!G169+'Réserve Sud'!G169+'Sud 1'!G169+#REF!+Visiteurs!G169+'Principale 1 '!G169+'Principale mobile 1'!G169+'Principale mobile 2'!G169+'Principale 2'!G169+'Principale mobile 3'!G169+'Principale mobile 4'!G169</f>
        <v>#REF!</v>
      </c>
      <c r="F150" s="10" t="s">
        <v>20</v>
      </c>
      <c r="G150" s="11">
        <v>0.28999999999999998</v>
      </c>
      <c r="H150" s="50" t="e">
        <f t="shared" si="9"/>
        <v>#REF!</v>
      </c>
      <c r="J150" s="57" t="e">
        <f t="shared" si="8"/>
        <v>#REF!</v>
      </c>
    </row>
    <row r="151" spans="1:10" hidden="1" x14ac:dyDescent="0.35">
      <c r="A151" s="53"/>
      <c r="B151" s="12" t="s">
        <v>9</v>
      </c>
      <c r="C151" s="12" t="s">
        <v>94</v>
      </c>
      <c r="D151" s="8"/>
      <c r="E151" s="9" t="e">
        <f>'Réserve Nord'!E170+'Nord Mobile 1'!E170+#REF!+'Nord 2'!G170+'Nord Mobile 2'!G170+Esplanade!G170+'Est mobile 1'!G169+'Est 1'!G170+'Est mobile 2'!G170+'Est Mobile 3'!G170+'Est 2'!G170+'Est mobile 4'!G170+'Réserve Sud'!G170+'Sud 1'!G170+#REF!+Visiteurs!G170+'Principale 1 '!G170+'Principale mobile 1'!G170+'Principale mobile 2'!G170+'Principale 2'!G170+'Principale mobile 3'!G170+'Principale mobile 4'!G170</f>
        <v>#REF!</v>
      </c>
      <c r="F151" s="10" t="s">
        <v>113</v>
      </c>
      <c r="G151" s="35">
        <v>0</v>
      </c>
      <c r="H151" s="50" t="e">
        <f t="shared" si="9"/>
        <v>#REF!</v>
      </c>
      <c r="J151" s="57" t="e">
        <f t="shared" si="8"/>
        <v>#REF!</v>
      </c>
    </row>
    <row r="152" spans="1:10" hidden="1" x14ac:dyDescent="0.35">
      <c r="A152" s="53"/>
      <c r="B152" s="12" t="s">
        <v>9</v>
      </c>
      <c r="C152" s="12" t="s">
        <v>114</v>
      </c>
      <c r="D152" s="8"/>
      <c r="E152" s="9" t="e">
        <f>'Réserve Nord'!E171+'Nord Mobile 1'!E171+#REF!+'Nord 2'!G171+'Nord Mobile 2'!G171+Esplanade!G171+'Est mobile 1'!G170+'Est 1'!G171+'Est mobile 2'!G171+'Est Mobile 3'!G171+'Est 2'!G171+'Est mobile 4'!G171+'Réserve Sud'!G171+'Sud 1'!G171+#REF!+Visiteurs!G171+'Principale 1 '!G171+'Principale mobile 1'!G171+'Principale mobile 2'!G171+'Principale 2'!G171+'Principale mobile 3'!G171+'Principale mobile 4'!G171</f>
        <v>#REF!</v>
      </c>
      <c r="F152" s="10" t="s">
        <v>20</v>
      </c>
      <c r="G152" s="35">
        <v>0</v>
      </c>
      <c r="H152" s="50" t="e">
        <f t="shared" si="9"/>
        <v>#REF!</v>
      </c>
      <c r="J152" s="57" t="e">
        <f t="shared" si="8"/>
        <v>#REF!</v>
      </c>
    </row>
    <row r="153" spans="1:10" hidden="1" x14ac:dyDescent="0.35">
      <c r="A153" s="53"/>
      <c r="B153" s="12" t="s">
        <v>9</v>
      </c>
      <c r="C153" s="10" t="s">
        <v>68</v>
      </c>
      <c r="D153" s="8"/>
      <c r="E153" s="9" t="e">
        <f>'Réserve Nord'!E172+'Nord Mobile 1'!E172+#REF!+'Nord 2'!G172+'Nord Mobile 2'!G172+Esplanade!G172+'Est mobile 1'!G171+'Est 1'!G172+'Est mobile 2'!G172+'Est Mobile 3'!G172+'Est 2'!G172+'Est mobile 4'!G172+'Réserve Sud'!G172+'Sud 1'!G172+#REF!+Visiteurs!G172+'Principale 1 '!G172+'Principale mobile 1'!G172+'Principale mobile 2'!G172+'Principale 2'!G172+'Principale mobile 3'!G172+'Principale mobile 4'!G172</f>
        <v>#REF!</v>
      </c>
      <c r="F153" s="10" t="s">
        <v>61</v>
      </c>
      <c r="G153" s="35">
        <v>111.47</v>
      </c>
      <c r="H153" s="50" t="e">
        <f t="shared" si="9"/>
        <v>#REF!</v>
      </c>
      <c r="J153" s="57" t="e">
        <f t="shared" si="8"/>
        <v>#REF!</v>
      </c>
    </row>
    <row r="154" spans="1:10" hidden="1" x14ac:dyDescent="0.35">
      <c r="A154" s="53"/>
      <c r="B154" s="12" t="s">
        <v>9</v>
      </c>
      <c r="C154" s="10"/>
      <c r="D154" s="48"/>
      <c r="E154" s="9" t="e">
        <f>'Réserve Nord'!E173+'Nord Mobile 1'!E173+#REF!+'Nord 2'!G173+'Nord Mobile 2'!G173+Esplanade!G173+'Est mobile 1'!G172+'Est 1'!G173+'Est mobile 2'!G173+'Est Mobile 3'!G173+'Est 2'!G173+'Est mobile 4'!G173+'Réserve Sud'!G173+'Sud 1'!G173+#REF!+Visiteurs!G173+'Principale 1 '!G173+'Principale mobile 1'!G173+'Principale mobile 2'!G173+'Principale 2'!G173+'Principale mobile 3'!G173+'Principale mobile 4'!G173</f>
        <v>#REF!</v>
      </c>
      <c r="F154" s="10"/>
      <c r="G154" s="35">
        <v>0</v>
      </c>
      <c r="H154" s="50" t="e">
        <f t="shared" si="9"/>
        <v>#REF!</v>
      </c>
      <c r="J154" s="57" t="e">
        <f t="shared" si="8"/>
        <v>#REF!</v>
      </c>
    </row>
    <row r="155" spans="1:10" hidden="1" x14ac:dyDescent="0.35">
      <c r="A155" s="53"/>
      <c r="B155" s="12" t="s">
        <v>9</v>
      </c>
      <c r="C155" s="10"/>
      <c r="D155" s="48"/>
      <c r="E155" s="9" t="e">
        <f>'Réserve Nord'!E174+'Nord Mobile 1'!E174+#REF!+'Nord 2'!G174+'Nord Mobile 2'!G174+Esplanade!G174+'Est mobile 1'!G173+'Est 1'!G174+'Est mobile 2'!G174+'Est Mobile 3'!G174+'Est 2'!G174+'Est mobile 4'!G174+'Réserve Sud'!G174+'Sud 1'!G174+#REF!+Visiteurs!G174+'Principale 1 '!G174+'Principale mobile 1'!G174+'Principale mobile 2'!G174+'Principale 2'!G174+'Principale mobile 3'!G174+'Principale mobile 4'!G174</f>
        <v>#REF!</v>
      </c>
      <c r="F155" s="10"/>
      <c r="G155" s="35">
        <v>0</v>
      </c>
      <c r="H155" s="50" t="e">
        <f t="shared" si="9"/>
        <v>#REF!</v>
      </c>
      <c r="J155" s="57" t="e">
        <f t="shared" si="8"/>
        <v>#REF!</v>
      </c>
    </row>
    <row r="156" spans="1:10" hidden="1" x14ac:dyDescent="0.35">
      <c r="A156" s="53"/>
      <c r="B156" s="12" t="s">
        <v>9</v>
      </c>
      <c r="C156" s="10"/>
      <c r="D156" s="48"/>
      <c r="E156" s="9" t="e">
        <f>'Réserve Nord'!E175+'Nord Mobile 1'!E175+#REF!+'Nord 2'!G175+'Nord Mobile 2'!G175+Esplanade!G175+'Est mobile 1'!G174+'Est 1'!G175+'Est mobile 2'!G175+'Est Mobile 3'!G175+'Est 2'!G175+'Est mobile 4'!G175+'Réserve Sud'!G175+'Sud 1'!G175+#REF!+Visiteurs!G175+'Principale 1 '!G175+'Principale mobile 1'!G175+'Principale mobile 2'!G175+'Principale 2'!G175+'Principale mobile 3'!G175+'Principale mobile 4'!G175</f>
        <v>#REF!</v>
      </c>
      <c r="F156" s="10"/>
      <c r="G156" s="35">
        <v>0</v>
      </c>
      <c r="H156" s="50" t="e">
        <f t="shared" si="9"/>
        <v>#REF!</v>
      </c>
      <c r="J156" s="57" t="e">
        <f t="shared" si="8"/>
        <v>#REF!</v>
      </c>
    </row>
    <row r="157" spans="1:10" hidden="1" x14ac:dyDescent="0.35">
      <c r="A157" s="53"/>
      <c r="B157" s="12" t="s">
        <v>9</v>
      </c>
      <c r="C157" s="10"/>
      <c r="D157" s="48"/>
      <c r="E157" s="9" t="e">
        <f>'Réserve Nord'!E176+'Nord Mobile 1'!E176+#REF!+'Nord 2'!G176+'Nord Mobile 2'!G176+Esplanade!G176+'Est mobile 1'!G175+'Est 1'!G176+'Est mobile 2'!G176+'Est Mobile 3'!G176+'Est 2'!G176+'Est mobile 4'!G176+'Réserve Sud'!G176+'Sud 1'!G176+#REF!+Visiteurs!G176+'Principale 1 '!G176+'Principale mobile 1'!G176+'Principale mobile 2'!G176+'Principale 2'!G176+'Principale mobile 3'!G176+'Principale mobile 4'!G176</f>
        <v>#REF!</v>
      </c>
      <c r="F157" s="10"/>
      <c r="G157" s="35">
        <v>0</v>
      </c>
      <c r="H157" s="50" t="e">
        <f t="shared" si="9"/>
        <v>#REF!</v>
      </c>
      <c r="J157" s="57" t="e">
        <f t="shared" si="8"/>
        <v>#REF!</v>
      </c>
    </row>
    <row r="158" spans="1:10" hidden="1" x14ac:dyDescent="0.35">
      <c r="A158" s="53"/>
      <c r="B158" s="12" t="s">
        <v>9</v>
      </c>
      <c r="C158" s="10"/>
      <c r="D158" s="48"/>
      <c r="E158" s="9" t="e">
        <f>'Réserve Nord'!E177+'Nord Mobile 1'!E177+#REF!+'Nord 2'!G177+'Nord Mobile 2'!G177+Esplanade!G177+'Est mobile 1'!G176+'Est 1'!G177+'Est mobile 2'!G177+'Est Mobile 3'!G177+'Est 2'!G177+'Est mobile 4'!G177+'Réserve Sud'!G177+'Sud 1'!G177+#REF!+Visiteurs!G177+'Principale 1 '!G177+'Principale mobile 1'!G177+'Principale mobile 2'!G177+'Principale 2'!G177+'Principale mobile 3'!G177+'Principale mobile 4'!G177</f>
        <v>#REF!</v>
      </c>
      <c r="F158" s="10"/>
      <c r="G158" s="35">
        <v>0</v>
      </c>
      <c r="H158" s="50" t="e">
        <f t="shared" si="9"/>
        <v>#REF!</v>
      </c>
      <c r="J158" s="57" t="e">
        <f t="shared" si="8"/>
        <v>#REF!</v>
      </c>
    </row>
    <row r="159" spans="1:10" ht="15.5" hidden="1" x14ac:dyDescent="0.35">
      <c r="A159" s="54"/>
      <c r="B159" s="4" t="s">
        <v>121</v>
      </c>
      <c r="C159" s="4"/>
      <c r="D159" s="4"/>
      <c r="E159" s="4"/>
      <c r="F159" s="4"/>
      <c r="G159" s="36" t="s">
        <v>18</v>
      </c>
      <c r="H159" s="5" t="e">
        <f>SUM(H160:H169)</f>
        <v>#REF!</v>
      </c>
      <c r="J159" s="57">
        <f t="shared" si="8"/>
        <v>0</v>
      </c>
    </row>
    <row r="160" spans="1:10" hidden="1" x14ac:dyDescent="0.35">
      <c r="A160" s="53"/>
      <c r="B160" s="12" t="s">
        <v>31</v>
      </c>
      <c r="C160" s="10" t="s">
        <v>39</v>
      </c>
      <c r="D160" s="8"/>
      <c r="E160" s="9" t="e">
        <f>'Réserve Nord'!E179+'Nord Mobile 1'!E179+#REF!+'Nord 2'!G179+'Nord Mobile 2'!G179+Esplanade!G179+'Est mobile 1'!G178+'Est 1'!G179+'Est mobile 2'!G179+'Est Mobile 3'!G179+'Est 2'!G179+'Est mobile 4'!G179+'Réserve Sud'!G179+'Sud 1'!G179+#REF!+Visiteurs!G179+'Principale 1 '!G179+'Principale mobile 1'!G179+'Principale mobile 2'!G179+'Principale 2'!G179+'Principale mobile 3'!G179+'Principale mobile 4'!G179</f>
        <v>#REF!</v>
      </c>
      <c r="F160" s="10" t="s">
        <v>20</v>
      </c>
      <c r="G160" s="11">
        <v>4.55</v>
      </c>
      <c r="H160" s="12" t="e">
        <f>E160*G160</f>
        <v>#REF!</v>
      </c>
      <c r="J160" s="57" t="e">
        <f t="shared" si="8"/>
        <v>#REF!</v>
      </c>
    </row>
    <row r="161" spans="1:10" hidden="1" x14ac:dyDescent="0.35">
      <c r="A161" s="53"/>
      <c r="B161" s="12" t="s">
        <v>31</v>
      </c>
      <c r="C161" s="10" t="s">
        <v>30</v>
      </c>
      <c r="D161" s="8"/>
      <c r="E161" s="9" t="e">
        <f>'Réserve Nord'!E180+'Nord Mobile 1'!E180+#REF!+'Nord 2'!G180+'Nord Mobile 2'!G180+Esplanade!G180+'Est mobile 1'!G179+'Est 1'!G180+'Est mobile 2'!G180+'Est Mobile 3'!G180+'Est 2'!G180+'Est mobile 4'!G180+'Réserve Sud'!G180+'Sud 1'!G180+#REF!+Visiteurs!G180+'Principale 1 '!G180+'Principale mobile 1'!G180+'Principale mobile 2'!G180+'Principale 2'!G180+'Principale mobile 3'!G180+'Principale mobile 4'!G180</f>
        <v>#REF!</v>
      </c>
      <c r="F161" s="10" t="s">
        <v>20</v>
      </c>
      <c r="G161" s="11">
        <v>3.7</v>
      </c>
      <c r="H161" s="12" t="e">
        <f>E161*G161</f>
        <v>#REF!</v>
      </c>
      <c r="J161" s="57" t="e">
        <f t="shared" si="8"/>
        <v>#REF!</v>
      </c>
    </row>
    <row r="162" spans="1:10" hidden="1" x14ac:dyDescent="0.35">
      <c r="A162" s="53"/>
      <c r="B162" s="12" t="s">
        <v>31</v>
      </c>
      <c r="C162" s="10" t="s">
        <v>67</v>
      </c>
      <c r="D162" s="8"/>
      <c r="E162" s="9" t="e">
        <f>'Réserve Nord'!E181+'Nord Mobile 1'!E181+#REF!+'Nord 2'!G181+'Nord Mobile 2'!G181+Esplanade!G181+'Est mobile 1'!G180+'Est 1'!G181+'Est mobile 2'!G181+'Est Mobile 3'!G181+'Est 2'!G181+'Est mobile 4'!G181+'Réserve Sud'!G181+'Sud 1'!G181+#REF!+Visiteurs!G181+'Principale 1 '!G181+'Principale mobile 1'!G181+'Principale mobile 2'!G181+'Principale 2'!G181+'Principale mobile 3'!G181+'Principale mobile 4'!G181</f>
        <v>#REF!</v>
      </c>
      <c r="F162" s="10" t="s">
        <v>20</v>
      </c>
      <c r="G162" s="11">
        <v>15.56</v>
      </c>
      <c r="H162" s="12" t="e">
        <f t="shared" ref="H162:H175" si="10">E162*G162</f>
        <v>#REF!</v>
      </c>
      <c r="J162" s="57" t="e">
        <f t="shared" si="8"/>
        <v>#REF!</v>
      </c>
    </row>
    <row r="163" spans="1:10" hidden="1" x14ac:dyDescent="0.35">
      <c r="A163" s="53"/>
      <c r="B163" s="12" t="s">
        <v>31</v>
      </c>
      <c r="C163" s="10" t="s">
        <v>115</v>
      </c>
      <c r="D163" s="8"/>
      <c r="E163" s="9" t="e">
        <f>'Réserve Nord'!E182+'Nord Mobile 1'!E182+#REF!+'Nord 2'!G182+'Nord Mobile 2'!G182+Esplanade!G182+'Est mobile 1'!G181+'Est 1'!G182+'Est mobile 2'!G182+'Est Mobile 3'!G182+'Est 2'!G182+'Est mobile 4'!G182+'Réserve Sud'!G182+'Sud 1'!G182+#REF!+Visiteurs!G182+'Principale 1 '!G182+'Principale mobile 1'!G182+'Principale mobile 2'!G182+'Principale 2'!G182+'Principale mobile 3'!G182+'Principale mobile 4'!G182</f>
        <v>#REF!</v>
      </c>
      <c r="F163" s="10" t="s">
        <v>20</v>
      </c>
      <c r="G163" s="11">
        <v>2.65</v>
      </c>
      <c r="H163" s="12" t="e">
        <f t="shared" si="10"/>
        <v>#REF!</v>
      </c>
      <c r="J163" s="57" t="e">
        <f t="shared" si="8"/>
        <v>#REF!</v>
      </c>
    </row>
    <row r="164" spans="1:10" hidden="1" x14ac:dyDescent="0.35">
      <c r="A164" s="53"/>
      <c r="B164" s="12" t="s">
        <v>31</v>
      </c>
      <c r="C164" s="10" t="s">
        <v>65</v>
      </c>
      <c r="D164" s="8"/>
      <c r="E164" s="9" t="e">
        <f>'Réserve Nord'!E183+'Nord Mobile 1'!E183+#REF!+'Nord 2'!G183+'Nord Mobile 2'!G183+Esplanade!G183+'Est mobile 1'!G182+'Est 1'!G183+'Est mobile 2'!G183+'Est Mobile 3'!G183+'Est 2'!G183+'Est mobile 4'!G183+'Réserve Sud'!G183+'Sud 1'!G183+#REF!+Visiteurs!G183+'Principale 1 '!G183+'Principale mobile 1'!G183+'Principale mobile 2'!G183+'Principale 2'!G183+'Principale mobile 3'!G183+'Principale mobile 4'!G183</f>
        <v>#REF!</v>
      </c>
      <c r="F164" s="10" t="s">
        <v>20</v>
      </c>
      <c r="G164" s="11">
        <v>13.43</v>
      </c>
      <c r="H164" s="12" t="e">
        <f>E164*G164</f>
        <v>#REF!</v>
      </c>
      <c r="J164" s="57" t="e">
        <f t="shared" si="8"/>
        <v>#REF!</v>
      </c>
    </row>
    <row r="165" spans="1:10" hidden="1" x14ac:dyDescent="0.35">
      <c r="A165" s="53"/>
      <c r="B165" s="12" t="s">
        <v>31</v>
      </c>
      <c r="C165" s="10" t="s">
        <v>66</v>
      </c>
      <c r="D165" s="8"/>
      <c r="E165" s="9" t="e">
        <f>'Réserve Nord'!E184+'Nord Mobile 1'!E184+#REF!+'Nord 2'!G184+'Nord Mobile 2'!G184+Esplanade!G184+'Est mobile 1'!G183+'Est 1'!G184+'Est mobile 2'!G184+'Est Mobile 3'!G184+'Est 2'!G184+'Est mobile 4'!G184+'Réserve Sud'!G184+'Sud 1'!G184+#REF!+Visiteurs!G184+'Principale 1 '!G184+'Principale mobile 1'!G184+'Principale mobile 2'!G184+'Principale 2'!G184+'Principale mobile 3'!G184+'Principale mobile 4'!G184</f>
        <v>#REF!</v>
      </c>
      <c r="F165" s="10" t="s">
        <v>20</v>
      </c>
      <c r="G165" s="11">
        <v>75.38</v>
      </c>
      <c r="H165" s="12" t="e">
        <f t="shared" si="10"/>
        <v>#REF!</v>
      </c>
      <c r="J165" s="57" t="e">
        <f t="shared" si="8"/>
        <v>#REF!</v>
      </c>
    </row>
    <row r="166" spans="1:10" hidden="1" x14ac:dyDescent="0.35">
      <c r="A166" s="53"/>
      <c r="B166" s="12" t="s">
        <v>31</v>
      </c>
      <c r="C166" s="10" t="s">
        <v>69</v>
      </c>
      <c r="D166" s="8"/>
      <c r="E166" s="9" t="e">
        <f>'Réserve Nord'!E185+'Nord Mobile 1'!E185+#REF!+'Nord 2'!G185+'Nord Mobile 2'!G185+Esplanade!G185+'Est mobile 1'!G184+'Est 1'!G185+'Est mobile 2'!G185+'Est Mobile 3'!G185+'Est 2'!G185+'Est mobile 4'!G185+'Réserve Sud'!G185+'Sud 1'!G185+#REF!+Visiteurs!G185+'Principale 1 '!G185+'Principale mobile 1'!G185+'Principale mobile 2'!G185+'Principale 2'!G185+'Principale mobile 3'!G185+'Principale mobile 4'!G185</f>
        <v>#REF!</v>
      </c>
      <c r="F166" s="10" t="s">
        <v>63</v>
      </c>
      <c r="G166" s="11">
        <v>3.5</v>
      </c>
      <c r="H166" s="12" t="e">
        <f t="shared" si="10"/>
        <v>#REF!</v>
      </c>
      <c r="J166" s="57" t="e">
        <f t="shared" si="8"/>
        <v>#REF!</v>
      </c>
    </row>
    <row r="167" spans="1:10" hidden="1" x14ac:dyDescent="0.35">
      <c r="A167" s="53"/>
      <c r="B167" s="12" t="s">
        <v>31</v>
      </c>
      <c r="C167" s="10" t="s">
        <v>91</v>
      </c>
      <c r="D167" s="8"/>
      <c r="E167" s="9" t="e">
        <f>'Réserve Nord'!E186+'Nord Mobile 1'!E186+#REF!+'Nord 2'!G186+'Nord Mobile 2'!G186+Esplanade!G186+'Est mobile 1'!G185+'Est 1'!G186+'Est mobile 2'!G186+'Est Mobile 3'!G186+'Est 2'!G186+'Est mobile 4'!G186+'Réserve Sud'!G186+'Sud 1'!G186+#REF!+Visiteurs!G186+'Principale 1 '!G186+'Principale mobile 1'!G186+'Principale mobile 2'!G186+'Principale 2'!G186+'Principale mobile 3'!G186+'Principale mobile 4'!G186</f>
        <v>#REF!</v>
      </c>
      <c r="F167" s="10" t="s">
        <v>20</v>
      </c>
      <c r="G167" s="11">
        <v>2.8</v>
      </c>
      <c r="H167" s="12" t="e">
        <f t="shared" si="10"/>
        <v>#REF!</v>
      </c>
      <c r="J167" s="57" t="e">
        <f t="shared" si="8"/>
        <v>#REF!</v>
      </c>
    </row>
    <row r="168" spans="1:10" hidden="1" x14ac:dyDescent="0.35">
      <c r="A168" s="53"/>
      <c r="B168" s="12" t="s">
        <v>31</v>
      </c>
      <c r="C168" s="10" t="s">
        <v>92</v>
      </c>
      <c r="D168" s="8"/>
      <c r="E168" s="9" t="e">
        <f>'Réserve Nord'!E187+'Nord Mobile 1'!E187+#REF!+'Nord 2'!G187+'Nord Mobile 2'!G187+Esplanade!G187+'Est mobile 1'!G186+'Est 1'!G187+'Est mobile 2'!G187+'Est Mobile 3'!G187+'Est 2'!G187+'Est mobile 4'!G187+'Réserve Sud'!G187+'Sud 1'!G187+#REF!+Visiteurs!G187+'Principale 1 '!G187+'Principale mobile 1'!G187+'Principale mobile 2'!G187+'Principale 2'!G187+'Principale mobile 3'!G187+'Principale mobile 4'!G187</f>
        <v>#REF!</v>
      </c>
      <c r="F168" s="10" t="s">
        <v>118</v>
      </c>
      <c r="G168" s="11">
        <v>4.2</v>
      </c>
      <c r="H168" s="12" t="e">
        <f t="shared" si="10"/>
        <v>#REF!</v>
      </c>
      <c r="J168" s="57" t="e">
        <f t="shared" si="8"/>
        <v>#REF!</v>
      </c>
    </row>
    <row r="169" spans="1:10" hidden="1" x14ac:dyDescent="0.35">
      <c r="A169" s="53"/>
      <c r="B169" s="12" t="s">
        <v>31</v>
      </c>
      <c r="C169" s="10" t="s">
        <v>93</v>
      </c>
      <c r="D169" s="8"/>
      <c r="E169" s="9" t="e">
        <f>'Réserve Nord'!E188+'Nord Mobile 1'!E188+#REF!+'Nord 2'!G188+'Nord Mobile 2'!G188+Esplanade!G188+'Est mobile 1'!G187+'Est 1'!G188+'Est mobile 2'!G188+'Est Mobile 3'!G188+'Est 2'!G188+'Est mobile 4'!G188+'Réserve Sud'!G188+'Sud 1'!G188+#REF!+Visiteurs!G188+'Principale 1 '!G188+'Principale mobile 1'!G188+'Principale mobile 2'!G188+'Principale 2'!G188+'Principale mobile 3'!G188+'Principale mobile 4'!G188</f>
        <v>#REF!</v>
      </c>
      <c r="F169" s="10" t="s">
        <v>20</v>
      </c>
      <c r="G169" s="11">
        <v>1.1000000000000001</v>
      </c>
      <c r="H169" s="12" t="e">
        <f t="shared" si="10"/>
        <v>#REF!</v>
      </c>
      <c r="J169" s="57" t="e">
        <f t="shared" si="8"/>
        <v>#REF!</v>
      </c>
    </row>
    <row r="170" spans="1:10" hidden="1" x14ac:dyDescent="0.35">
      <c r="A170" s="53"/>
      <c r="B170" s="12" t="s">
        <v>31</v>
      </c>
      <c r="C170" s="10"/>
      <c r="D170" s="48"/>
      <c r="E170" s="9" t="e">
        <f>'Réserve Nord'!#REF!+'Nord Mobile 1'!#REF!+#REF!+'Nord 2'!#REF!+'Nord Mobile 2'!#REF!+Esplanade!#REF!+'Est mobile 1'!#REF!+'Est 1'!#REF!+'Est mobile 2'!#REF!+'Est Mobile 3'!#REF!+'Est 2'!#REF!+'Est mobile 4'!#REF!+'Réserve Sud'!#REF!+'Sud 1'!#REF!+#REF!+Visiteurs!#REF!+'Principale 1 '!#REF!+'Principale mobile 1'!#REF!+'Principale mobile 2'!#REF!+'Principale 2'!#REF!+'Principale mobile 3'!#REF!+'Principale mobile 4'!#REF!</f>
        <v>#REF!</v>
      </c>
      <c r="F170" s="10" t="s">
        <v>20</v>
      </c>
      <c r="G170" s="11">
        <v>0</v>
      </c>
      <c r="H170" s="12" t="e">
        <f t="shared" si="10"/>
        <v>#REF!</v>
      </c>
      <c r="J170" s="57" t="e">
        <f t="shared" si="8"/>
        <v>#REF!</v>
      </c>
    </row>
    <row r="171" spans="1:10" hidden="1" x14ac:dyDescent="0.35">
      <c r="A171" s="53"/>
      <c r="B171" s="12" t="s">
        <v>31</v>
      </c>
      <c r="C171" s="10"/>
      <c r="D171" s="48"/>
      <c r="E171" s="9" t="e">
        <f>'Réserve Nord'!#REF!+'Nord Mobile 1'!#REF!+#REF!+'Nord 2'!#REF!+'Nord Mobile 2'!#REF!+Esplanade!#REF!+'Est mobile 1'!#REF!+'Est 1'!#REF!+'Est mobile 2'!#REF!+'Est Mobile 3'!#REF!+'Est 2'!#REF!+'Est mobile 4'!#REF!+'Réserve Sud'!#REF!+'Sud 1'!#REF!+#REF!+Visiteurs!#REF!+'Principale 1 '!#REF!+'Principale mobile 1'!#REF!+'Principale mobile 2'!#REF!+'Principale 2'!#REF!+'Principale mobile 3'!#REF!+'Principale mobile 4'!#REF!</f>
        <v>#REF!</v>
      </c>
      <c r="F171" s="10" t="s">
        <v>20</v>
      </c>
      <c r="G171" s="11">
        <v>0</v>
      </c>
      <c r="H171" s="12" t="e">
        <f t="shared" si="10"/>
        <v>#REF!</v>
      </c>
      <c r="J171" s="57" t="e">
        <f t="shared" si="8"/>
        <v>#REF!</v>
      </c>
    </row>
    <row r="172" spans="1:10" hidden="1" x14ac:dyDescent="0.35">
      <c r="A172" s="53"/>
      <c r="B172" s="12" t="s">
        <v>31</v>
      </c>
      <c r="C172" s="10"/>
      <c r="D172" s="48"/>
      <c r="E172" s="9" t="e">
        <f>'Réserve Nord'!#REF!+'Nord Mobile 1'!#REF!+#REF!+'Nord 2'!#REF!+'Nord Mobile 2'!#REF!+Esplanade!#REF!+'Est mobile 1'!#REF!+'Est 1'!#REF!+'Est mobile 2'!#REF!+'Est Mobile 3'!#REF!+'Est 2'!#REF!+'Est mobile 4'!#REF!+'Réserve Sud'!#REF!+'Sud 1'!#REF!+#REF!+Visiteurs!#REF!+'Principale 1 '!#REF!+'Principale mobile 1'!#REF!+'Principale mobile 2'!#REF!+'Principale 2'!#REF!+'Principale mobile 3'!#REF!+'Principale mobile 4'!#REF!</f>
        <v>#REF!</v>
      </c>
      <c r="F172" s="10" t="s">
        <v>20</v>
      </c>
      <c r="G172" s="11">
        <v>0</v>
      </c>
      <c r="H172" s="12" t="e">
        <f t="shared" si="10"/>
        <v>#REF!</v>
      </c>
      <c r="J172" s="57" t="e">
        <f t="shared" si="8"/>
        <v>#REF!</v>
      </c>
    </row>
    <row r="173" spans="1:10" hidden="1" x14ac:dyDescent="0.35">
      <c r="A173" s="53"/>
      <c r="B173" s="12" t="s">
        <v>31</v>
      </c>
      <c r="C173" s="10"/>
      <c r="D173" s="48"/>
      <c r="E173" s="9" t="e">
        <f>'Réserve Nord'!#REF!+'Nord Mobile 1'!#REF!+#REF!+'Nord 2'!#REF!+'Nord Mobile 2'!#REF!+Esplanade!#REF!+'Est mobile 1'!#REF!+'Est 1'!#REF!+'Est mobile 2'!#REF!+'Est Mobile 3'!#REF!+'Est 2'!#REF!+'Est mobile 4'!#REF!+'Réserve Sud'!#REF!+'Sud 1'!#REF!+#REF!+Visiteurs!#REF!+'Principale 1 '!#REF!+'Principale mobile 1'!#REF!+'Principale mobile 2'!#REF!+'Principale 2'!#REF!+'Principale mobile 3'!#REF!+'Principale mobile 4'!#REF!</f>
        <v>#REF!</v>
      </c>
      <c r="F173" s="10" t="s">
        <v>20</v>
      </c>
      <c r="G173" s="11">
        <v>0</v>
      </c>
      <c r="H173" s="12" t="e">
        <f t="shared" si="10"/>
        <v>#REF!</v>
      </c>
      <c r="J173" s="57" t="e">
        <f t="shared" si="8"/>
        <v>#REF!</v>
      </c>
    </row>
    <row r="174" spans="1:10" ht="15.5" hidden="1" x14ac:dyDescent="0.35">
      <c r="A174" s="54"/>
      <c r="B174" s="4" t="s">
        <v>57</v>
      </c>
      <c r="C174" s="4"/>
      <c r="D174" s="4"/>
      <c r="E174" s="4"/>
      <c r="F174" s="4"/>
      <c r="G174" s="36" t="s">
        <v>18</v>
      </c>
      <c r="H174" s="5" t="e">
        <f>SUM(H175:H175)</f>
        <v>#REF!</v>
      </c>
      <c r="J174" s="57">
        <f t="shared" si="8"/>
        <v>0</v>
      </c>
    </row>
    <row r="175" spans="1:10" hidden="1" x14ac:dyDescent="0.35">
      <c r="A175" s="53"/>
      <c r="B175" s="12" t="s">
        <v>56</v>
      </c>
      <c r="C175" s="10" t="s">
        <v>58</v>
      </c>
      <c r="D175" s="8"/>
      <c r="E175" s="9" t="e">
        <f>'Réserve Nord'!E190+'Nord Mobile 1'!E190+#REF!+'Nord 2'!G190+'Nord Mobile 2'!G190+Esplanade!G190+'Est mobile 1'!G189+'Est 1'!G190+'Est mobile 2'!G190+'Est Mobile 3'!G190+'Est 2'!G190+'Est mobile 4'!G190+'Réserve Sud'!G190+'Sud 1'!G190+#REF!+Visiteurs!G190+'Principale 1 '!G190+'Principale mobile 1'!G190+'Principale mobile 2'!G190+'Principale 2'!G190+'Principale mobile 3'!G190+'Principale mobile 4'!G190</f>
        <v>#REF!</v>
      </c>
      <c r="F175" s="10" t="s">
        <v>20</v>
      </c>
      <c r="G175" s="11">
        <v>54.05</v>
      </c>
      <c r="H175" s="12" t="e">
        <f t="shared" si="10"/>
        <v>#REF!</v>
      </c>
      <c r="J175" s="57" t="e">
        <f t="shared" si="8"/>
        <v>#REF!</v>
      </c>
    </row>
    <row r="177" spans="10:16" x14ac:dyDescent="0.35">
      <c r="J177" s="59" t="s">
        <v>173</v>
      </c>
      <c r="K177" s="58"/>
      <c r="L177" s="58"/>
      <c r="M177" s="58"/>
      <c r="N177" s="58"/>
      <c r="O177" s="58"/>
      <c r="P177" t="s">
        <v>170</v>
      </c>
    </row>
    <row r="178" spans="10:16" x14ac:dyDescent="0.35">
      <c r="J178" s="328" t="s">
        <v>156</v>
      </c>
      <c r="K178" s="328"/>
      <c r="L178" s="328"/>
      <c r="M178" s="328"/>
      <c r="N178" s="329">
        <v>822</v>
      </c>
      <c r="O178" s="329"/>
      <c r="P178" s="57">
        <f>N178*0.4/1.5</f>
        <v>219.20000000000002</v>
      </c>
    </row>
    <row r="179" spans="10:16" x14ac:dyDescent="0.35">
      <c r="J179" s="325" t="s">
        <v>157</v>
      </c>
      <c r="K179" s="325"/>
      <c r="L179" s="325"/>
      <c r="M179" s="325"/>
      <c r="N179" s="326">
        <v>203</v>
      </c>
      <c r="O179" s="326"/>
      <c r="P179" s="57">
        <f t="shared" ref="P179:P192" si="11">N179*0.4/1.5</f>
        <v>54.133333333333333</v>
      </c>
    </row>
    <row r="180" spans="10:16" x14ac:dyDescent="0.35">
      <c r="J180" s="328" t="s">
        <v>158</v>
      </c>
      <c r="K180" s="328"/>
      <c r="L180" s="328"/>
      <c r="M180" s="328"/>
      <c r="N180" s="329">
        <v>654</v>
      </c>
      <c r="O180" s="329"/>
      <c r="P180" s="57">
        <f t="shared" si="11"/>
        <v>174.4</v>
      </c>
    </row>
    <row r="181" spans="10:16" x14ac:dyDescent="0.35">
      <c r="J181" s="325" t="s">
        <v>159</v>
      </c>
      <c r="K181" s="325"/>
      <c r="L181" s="325"/>
      <c r="M181" s="325"/>
      <c r="N181" s="326">
        <v>416</v>
      </c>
      <c r="O181" s="326"/>
      <c r="P181" s="57">
        <f t="shared" si="11"/>
        <v>110.93333333333334</v>
      </c>
    </row>
    <row r="182" spans="10:16" x14ac:dyDescent="0.35">
      <c r="J182" s="328" t="s">
        <v>160</v>
      </c>
      <c r="K182" s="328"/>
      <c r="L182" s="328"/>
      <c r="M182" s="328"/>
      <c r="N182" s="329">
        <v>217</v>
      </c>
      <c r="O182" s="329"/>
      <c r="P182" s="57">
        <f t="shared" si="11"/>
        <v>57.866666666666674</v>
      </c>
    </row>
    <row r="183" spans="10:16" x14ac:dyDescent="0.35">
      <c r="J183" s="325" t="s">
        <v>161</v>
      </c>
      <c r="K183" s="325"/>
      <c r="L183" s="325"/>
      <c r="M183" s="325"/>
      <c r="N183" s="326">
        <v>86</v>
      </c>
      <c r="O183" s="326"/>
      <c r="P183" s="57">
        <f t="shared" si="11"/>
        <v>22.933333333333334</v>
      </c>
    </row>
    <row r="184" spans="10:16" x14ac:dyDescent="0.35">
      <c r="J184" s="328" t="s">
        <v>162</v>
      </c>
      <c r="K184" s="328"/>
      <c r="L184" s="328"/>
      <c r="M184" s="328"/>
      <c r="N184" s="329">
        <v>99</v>
      </c>
      <c r="O184" s="329"/>
      <c r="P184" s="57">
        <f t="shared" si="11"/>
        <v>26.400000000000002</v>
      </c>
    </row>
    <row r="185" spans="10:16" x14ac:dyDescent="0.35">
      <c r="J185" s="325" t="s">
        <v>163</v>
      </c>
      <c r="K185" s="325"/>
      <c r="L185" s="325"/>
      <c r="M185" s="325"/>
      <c r="N185" s="326">
        <v>53</v>
      </c>
      <c r="O185" s="326"/>
      <c r="P185" s="57">
        <f>N185</f>
        <v>53</v>
      </c>
    </row>
    <row r="186" spans="10:16" x14ac:dyDescent="0.35">
      <c r="J186" s="328" t="s">
        <v>156</v>
      </c>
      <c r="K186" s="328"/>
      <c r="L186" s="328"/>
      <c r="M186" s="328"/>
      <c r="N186" s="329">
        <v>21</v>
      </c>
      <c r="O186" s="329"/>
      <c r="P186" s="57">
        <f t="shared" si="11"/>
        <v>5.6000000000000005</v>
      </c>
    </row>
    <row r="187" spans="10:16" x14ac:dyDescent="0.35">
      <c r="J187" s="325" t="s">
        <v>157</v>
      </c>
      <c r="K187" s="325"/>
      <c r="L187" s="325"/>
      <c r="M187" s="325"/>
      <c r="N187" s="326">
        <v>1</v>
      </c>
      <c r="O187" s="326"/>
      <c r="P187" s="57">
        <f t="shared" si="11"/>
        <v>0.26666666666666666</v>
      </c>
    </row>
    <row r="188" spans="10:16" x14ac:dyDescent="0.35">
      <c r="J188" s="328" t="s">
        <v>159</v>
      </c>
      <c r="K188" s="328"/>
      <c r="L188" s="328"/>
      <c r="M188" s="328"/>
      <c r="N188" s="329">
        <v>14</v>
      </c>
      <c r="O188" s="329"/>
      <c r="P188" s="57">
        <f t="shared" si="11"/>
        <v>3.7333333333333338</v>
      </c>
    </row>
    <row r="189" spans="10:16" x14ac:dyDescent="0.35">
      <c r="J189" s="325" t="s">
        <v>160</v>
      </c>
      <c r="K189" s="325"/>
      <c r="L189" s="325"/>
      <c r="M189" s="325"/>
      <c r="N189" s="326">
        <v>3</v>
      </c>
      <c r="O189" s="326"/>
      <c r="P189" s="57">
        <f t="shared" si="11"/>
        <v>0.80000000000000016</v>
      </c>
    </row>
    <row r="190" spans="10:16" x14ac:dyDescent="0.35">
      <c r="J190" s="328" t="s">
        <v>158</v>
      </c>
      <c r="K190" s="328"/>
      <c r="L190" s="328"/>
      <c r="M190" s="328"/>
      <c r="N190" s="329">
        <v>20</v>
      </c>
      <c r="O190" s="329"/>
      <c r="P190" s="57">
        <f t="shared" si="11"/>
        <v>5.333333333333333</v>
      </c>
    </row>
    <row r="191" spans="10:16" x14ac:dyDescent="0.35">
      <c r="J191" s="325" t="s">
        <v>162</v>
      </c>
      <c r="K191" s="325"/>
      <c r="L191" s="325"/>
      <c r="M191" s="325"/>
      <c r="N191" s="326">
        <v>2</v>
      </c>
      <c r="O191" s="326"/>
      <c r="P191" s="57">
        <f t="shared" si="11"/>
        <v>0.53333333333333333</v>
      </c>
    </row>
    <row r="192" spans="10:16" x14ac:dyDescent="0.35">
      <c r="J192" s="328" t="s">
        <v>161</v>
      </c>
      <c r="K192" s="328"/>
      <c r="L192" s="328"/>
      <c r="M192" s="328"/>
      <c r="N192" s="329">
        <v>3</v>
      </c>
      <c r="O192" s="329"/>
      <c r="P192" s="57">
        <f t="shared" si="11"/>
        <v>0.80000000000000016</v>
      </c>
    </row>
    <row r="193" spans="10:16" x14ac:dyDescent="0.35">
      <c r="J193" s="59" t="s">
        <v>171</v>
      </c>
      <c r="K193" s="58"/>
      <c r="L193" s="58"/>
      <c r="M193" s="58"/>
      <c r="N193" s="58"/>
      <c r="O193" s="58"/>
      <c r="P193" s="58"/>
    </row>
    <row r="194" spans="10:16" x14ac:dyDescent="0.35">
      <c r="J194" s="325" t="s">
        <v>164</v>
      </c>
      <c r="K194" s="325"/>
      <c r="L194" s="325"/>
      <c r="M194" s="325"/>
      <c r="N194" s="326">
        <v>8590</v>
      </c>
      <c r="O194" s="326"/>
      <c r="P194" s="57">
        <f>N194*0.4/20</f>
        <v>171.8</v>
      </c>
    </row>
    <row r="195" spans="10:16" x14ac:dyDescent="0.35">
      <c r="J195" s="328" t="s">
        <v>165</v>
      </c>
      <c r="K195" s="328"/>
      <c r="L195" s="328"/>
      <c r="M195" s="328"/>
      <c r="N195" s="329">
        <v>56</v>
      </c>
      <c r="O195" s="329"/>
      <c r="P195" s="57">
        <f>N195*0.4/20</f>
        <v>1.1200000000000001</v>
      </c>
    </row>
    <row r="196" spans="10:16" x14ac:dyDescent="0.35">
      <c r="J196" s="325" t="s">
        <v>164</v>
      </c>
      <c r="K196" s="325"/>
      <c r="L196" s="325"/>
      <c r="M196" s="325"/>
      <c r="N196" s="326">
        <v>81</v>
      </c>
      <c r="O196" s="326"/>
      <c r="P196" s="57">
        <f>N196*0.4/20</f>
        <v>1.6199999999999999</v>
      </c>
    </row>
    <row r="197" spans="10:16" x14ac:dyDescent="0.35">
      <c r="J197" s="328" t="s">
        <v>166</v>
      </c>
      <c r="K197" s="328"/>
      <c r="L197" s="328"/>
      <c r="M197" s="328"/>
      <c r="N197" s="329">
        <v>2063</v>
      </c>
      <c r="O197" s="329"/>
      <c r="P197" s="57">
        <f>N197*0.4/20</f>
        <v>41.260000000000005</v>
      </c>
    </row>
    <row r="198" spans="10:16" x14ac:dyDescent="0.35">
      <c r="J198" s="59" t="s">
        <v>172</v>
      </c>
      <c r="K198" s="58"/>
      <c r="L198" s="58"/>
      <c r="M198" s="58"/>
      <c r="N198" s="58"/>
      <c r="O198" s="58"/>
      <c r="P198" s="58"/>
    </row>
    <row r="199" spans="10:16" x14ac:dyDescent="0.35">
      <c r="J199" s="325" t="s">
        <v>167</v>
      </c>
      <c r="K199" s="325"/>
      <c r="L199" s="325"/>
      <c r="M199" s="325"/>
      <c r="N199" s="326">
        <v>74</v>
      </c>
      <c r="O199" s="326"/>
      <c r="P199" s="56">
        <f>N199*0.02/0.75</f>
        <v>1.9733333333333334</v>
      </c>
    </row>
    <row r="200" spans="10:16" x14ac:dyDescent="0.35">
      <c r="J200" s="328" t="s">
        <v>168</v>
      </c>
      <c r="K200" s="328"/>
      <c r="L200" s="328"/>
      <c r="M200" s="328"/>
      <c r="N200" s="329">
        <v>184</v>
      </c>
      <c r="O200" s="329"/>
      <c r="P200" s="56">
        <f>N200*0.02/0.75</f>
        <v>4.9066666666666672</v>
      </c>
    </row>
    <row r="201" spans="10:16" x14ac:dyDescent="0.35">
      <c r="J201" s="325" t="s">
        <v>169</v>
      </c>
      <c r="K201" s="325"/>
      <c r="L201" s="325"/>
      <c r="M201" s="325"/>
      <c r="N201" s="326">
        <v>93</v>
      </c>
      <c r="O201" s="326"/>
      <c r="P201" s="56">
        <f>N201*0.02/0.75</f>
        <v>2.48</v>
      </c>
    </row>
    <row r="202" spans="10:16" x14ac:dyDescent="0.35">
      <c r="J202" s="328" t="s">
        <v>167</v>
      </c>
      <c r="K202" s="328"/>
      <c r="L202" s="328"/>
      <c r="M202" s="328"/>
      <c r="N202" s="329">
        <v>3</v>
      </c>
      <c r="O202" s="329"/>
      <c r="P202" s="56">
        <f>N202*0.02/0.75</f>
        <v>0.08</v>
      </c>
    </row>
    <row r="203" spans="10:16" x14ac:dyDescent="0.35">
      <c r="J203" s="59" t="s">
        <v>174</v>
      </c>
      <c r="K203" s="58"/>
      <c r="L203" s="58"/>
      <c r="M203" s="58"/>
      <c r="N203" s="58"/>
      <c r="O203" s="58"/>
      <c r="P203" s="61" t="s">
        <v>175</v>
      </c>
    </row>
    <row r="204" spans="10:16" x14ac:dyDescent="0.35">
      <c r="J204" s="325" t="s">
        <v>153</v>
      </c>
      <c r="K204" s="325"/>
      <c r="L204" s="325"/>
      <c r="M204" s="325"/>
      <c r="N204" s="326">
        <v>74</v>
      </c>
      <c r="O204" s="326"/>
      <c r="P204" s="60">
        <f>N204</f>
        <v>74</v>
      </c>
    </row>
    <row r="205" spans="10:16" x14ac:dyDescent="0.35">
      <c r="J205" s="328" t="s">
        <v>154</v>
      </c>
      <c r="K205" s="328"/>
      <c r="L205" s="328"/>
      <c r="M205" s="328"/>
      <c r="N205" s="329">
        <v>119</v>
      </c>
      <c r="O205" s="329"/>
      <c r="P205" s="60">
        <f>N205</f>
        <v>119</v>
      </c>
    </row>
    <row r="206" spans="10:16" x14ac:dyDescent="0.35">
      <c r="J206" s="325" t="s">
        <v>155</v>
      </c>
      <c r="K206" s="325"/>
      <c r="L206" s="325"/>
      <c r="M206" s="325"/>
      <c r="N206" s="326">
        <v>153</v>
      </c>
      <c r="O206" s="326"/>
      <c r="P206" s="60">
        <f>N206</f>
        <v>153</v>
      </c>
    </row>
  </sheetData>
  <sheetProtection algorithmName="SHA-512" hashValue="u3wW+YbLAaB5rPXMk2bILu40LYGphZU2YvZM4wzVb8Oems+z2gMptD/rfGj6NobiZ//iSMgTdPH9bbetfb/26g==" saltValue="j/hyzSiD7zlwGmi0PRvXaA==" spinCount="100000" sheet="1" objects="1" scenarios="1" selectLockedCells="1" selectUnlockedCells="1"/>
  <mergeCells count="53">
    <mergeCell ref="J204:M204"/>
    <mergeCell ref="N204:O204"/>
    <mergeCell ref="J205:M205"/>
    <mergeCell ref="N205:O205"/>
    <mergeCell ref="J206:M206"/>
    <mergeCell ref="N206:O206"/>
    <mergeCell ref="N184:O184"/>
    <mergeCell ref="J185:M185"/>
    <mergeCell ref="N185:O185"/>
    <mergeCell ref="J186:M186"/>
    <mergeCell ref="N186:O186"/>
    <mergeCell ref="J201:M201"/>
    <mergeCell ref="N201:O201"/>
    <mergeCell ref="J202:M202"/>
    <mergeCell ref="N202:O202"/>
    <mergeCell ref="J195:M195"/>
    <mergeCell ref="N195:O195"/>
    <mergeCell ref="J196:M196"/>
    <mergeCell ref="N196:O196"/>
    <mergeCell ref="J197:M197"/>
    <mergeCell ref="N197:O197"/>
    <mergeCell ref="J199:M199"/>
    <mergeCell ref="N199:O199"/>
    <mergeCell ref="J200:M200"/>
    <mergeCell ref="N200:O200"/>
    <mergeCell ref="J194:M194"/>
    <mergeCell ref="N194:O194"/>
    <mergeCell ref="J188:M188"/>
    <mergeCell ref="N188:O188"/>
    <mergeCell ref="J189:M189"/>
    <mergeCell ref="N189:O189"/>
    <mergeCell ref="J190:M190"/>
    <mergeCell ref="N190:O190"/>
    <mergeCell ref="J191:M191"/>
    <mergeCell ref="N191:O191"/>
    <mergeCell ref="J192:M192"/>
    <mergeCell ref="N192:O192"/>
    <mergeCell ref="J181:M181"/>
    <mergeCell ref="N181:O181"/>
    <mergeCell ref="B1:G1"/>
    <mergeCell ref="J187:M187"/>
    <mergeCell ref="N187:O187"/>
    <mergeCell ref="J182:M182"/>
    <mergeCell ref="N182:O182"/>
    <mergeCell ref="J183:M183"/>
    <mergeCell ref="N183:O183"/>
    <mergeCell ref="J178:M178"/>
    <mergeCell ref="N178:O178"/>
    <mergeCell ref="J179:M179"/>
    <mergeCell ref="N179:O179"/>
    <mergeCell ref="J180:M180"/>
    <mergeCell ref="N180:O180"/>
    <mergeCell ref="J184:M184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F30C9-22FC-4FA0-BD2B-DF3DF7795906}">
  <sheetPr codeName="Feuil29">
    <tabColor rgb="FFFF5050"/>
  </sheetPr>
  <dimension ref="A1:Q255"/>
  <sheetViews>
    <sheetView topLeftCell="A234" zoomScale="95" zoomScaleNormal="95" workbookViewId="0">
      <selection activeCell="M244" sqref="M244"/>
    </sheetView>
  </sheetViews>
  <sheetFormatPr baseColWidth="10" defaultColWidth="10.7265625" defaultRowHeight="14.5" x14ac:dyDescent="0.35"/>
  <cols>
    <col min="1" max="1" width="2.81640625" customWidth="1"/>
    <col min="2" max="2" width="33.453125" bestFit="1" customWidth="1"/>
    <col min="3" max="3" width="44.54296875" bestFit="1" customWidth="1"/>
    <col min="4" max="4" width="9.54296875" hidden="1" customWidth="1"/>
    <col min="5" max="5" width="10.7265625" customWidth="1"/>
    <col min="6" max="6" width="10.7265625" hidden="1" customWidth="1"/>
    <col min="7" max="7" width="15.26953125" bestFit="1" customWidth="1"/>
    <col min="8" max="8" width="10.81640625" hidden="1" customWidth="1"/>
    <col min="9" max="9" width="10.7265625" customWidth="1"/>
    <col min="10" max="10" width="10.26953125" customWidth="1"/>
    <col min="11" max="11" width="19.54296875" bestFit="1" customWidth="1"/>
  </cols>
  <sheetData>
    <row r="1" spans="2:8" ht="15" thickBot="1" x14ac:dyDescent="0.4">
      <c r="B1" s="321" t="s">
        <v>198</v>
      </c>
      <c r="C1" s="322"/>
      <c r="E1" s="89"/>
      <c r="F1" s="89"/>
      <c r="G1" s="16"/>
      <c r="H1" s="16"/>
    </row>
    <row r="2" spans="2:8" ht="15" thickBot="1" x14ac:dyDescent="0.4">
      <c r="B2" s="319"/>
      <c r="C2" s="320"/>
      <c r="E2" s="90"/>
      <c r="F2" s="90"/>
      <c r="G2" s="16"/>
      <c r="H2" s="16"/>
    </row>
    <row r="3" spans="2:8" x14ac:dyDescent="0.35">
      <c r="B3" s="75"/>
      <c r="C3" s="75"/>
      <c r="E3" s="75"/>
      <c r="F3" s="75"/>
      <c r="G3" s="16"/>
      <c r="H3" s="16"/>
    </row>
    <row r="4" spans="2:8" ht="15.5" x14ac:dyDescent="0.35">
      <c r="B4" s="70" t="s">
        <v>0</v>
      </c>
      <c r="C4" s="70" t="s">
        <v>1</v>
      </c>
      <c r="E4" s="91"/>
      <c r="F4" s="91"/>
      <c r="G4" s="16"/>
      <c r="H4" s="16"/>
    </row>
    <row r="5" spans="2:8" x14ac:dyDescent="0.35">
      <c r="B5" s="71" t="s">
        <v>2</v>
      </c>
      <c r="C5" s="72">
        <f>K23</f>
        <v>13977.86</v>
      </c>
      <c r="E5" s="92"/>
      <c r="F5" s="92"/>
      <c r="G5" s="16"/>
      <c r="H5" s="16"/>
    </row>
    <row r="6" spans="2:8" x14ac:dyDescent="0.35">
      <c r="B6" s="71" t="s">
        <v>7</v>
      </c>
      <c r="C6" s="72">
        <f>K41</f>
        <v>200</v>
      </c>
      <c r="E6" s="92"/>
      <c r="F6" s="92"/>
      <c r="G6" s="16"/>
      <c r="H6" s="16"/>
    </row>
    <row r="7" spans="2:8" x14ac:dyDescent="0.35">
      <c r="B7" s="71" t="s">
        <v>13</v>
      </c>
      <c r="C7" s="72">
        <f>K50</f>
        <v>2293.4749999999999</v>
      </c>
      <c r="E7" s="92"/>
      <c r="F7" s="92"/>
      <c r="G7" s="16"/>
      <c r="H7" s="16"/>
    </row>
    <row r="8" spans="2:8" x14ac:dyDescent="0.35">
      <c r="B8" s="71" t="s">
        <v>3</v>
      </c>
      <c r="C8" s="72">
        <f>K78</f>
        <v>293.14999999999998</v>
      </c>
      <c r="E8" s="92"/>
      <c r="F8" s="92"/>
      <c r="G8" s="16"/>
      <c r="H8" s="16"/>
    </row>
    <row r="9" spans="2:8" x14ac:dyDescent="0.35">
      <c r="B9" s="71" t="s">
        <v>4</v>
      </c>
      <c r="C9" s="72">
        <f>K122</f>
        <v>6144.5400000000009</v>
      </c>
      <c r="E9" s="92"/>
      <c r="F9" s="92"/>
      <c r="G9" s="16"/>
      <c r="H9" s="16"/>
    </row>
    <row r="10" spans="2:8" x14ac:dyDescent="0.35">
      <c r="B10" s="71" t="s">
        <v>199</v>
      </c>
      <c r="C10" s="72">
        <f>K176</f>
        <v>0</v>
      </c>
      <c r="E10" s="92"/>
      <c r="F10" s="92"/>
      <c r="G10" s="16"/>
      <c r="H10" s="16"/>
    </row>
    <row r="11" spans="2:8" x14ac:dyDescent="0.35">
      <c r="B11" s="71" t="s">
        <v>200</v>
      </c>
      <c r="C11" s="72">
        <f>K187</f>
        <v>1769.72</v>
      </c>
      <c r="E11" s="92"/>
      <c r="F11" s="92"/>
      <c r="G11" s="16"/>
      <c r="H11" s="16"/>
    </row>
    <row r="12" spans="2:8" x14ac:dyDescent="0.35">
      <c r="B12" s="71" t="s">
        <v>201</v>
      </c>
      <c r="C12" s="72">
        <f>K193</f>
        <v>0</v>
      </c>
      <c r="E12" s="92"/>
      <c r="F12" s="92"/>
      <c r="G12" s="16"/>
      <c r="H12" s="16"/>
    </row>
    <row r="13" spans="2:8" x14ac:dyDescent="0.35">
      <c r="B13" s="71" t="s">
        <v>202</v>
      </c>
      <c r="C13" s="72">
        <f>K195</f>
        <v>951.96999999999991</v>
      </c>
      <c r="E13" s="92"/>
      <c r="F13" s="92"/>
      <c r="G13" s="16"/>
      <c r="H13" s="16"/>
    </row>
    <row r="14" spans="2:8" x14ac:dyDescent="0.35">
      <c r="B14" s="71" t="s">
        <v>203</v>
      </c>
      <c r="C14" s="72">
        <f>K208</f>
        <v>0</v>
      </c>
      <c r="E14" s="92"/>
      <c r="F14" s="92"/>
      <c r="G14" s="16"/>
      <c r="H14" s="16"/>
    </row>
    <row r="15" spans="2:8" x14ac:dyDescent="0.35">
      <c r="B15" s="71" t="s">
        <v>416</v>
      </c>
      <c r="C15" s="72">
        <f>K213</f>
        <v>0</v>
      </c>
      <c r="E15" s="92"/>
      <c r="F15" s="92"/>
      <c r="G15" s="16"/>
      <c r="H15" s="16"/>
    </row>
    <row r="16" spans="2:8" x14ac:dyDescent="0.35">
      <c r="B16" s="71" t="s">
        <v>204</v>
      </c>
      <c r="C16" s="72">
        <f>K218</f>
        <v>0</v>
      </c>
      <c r="E16" s="92"/>
      <c r="F16" s="92"/>
      <c r="G16" s="16"/>
      <c r="H16" s="16"/>
    </row>
    <row r="17" spans="1:17" x14ac:dyDescent="0.35">
      <c r="B17" s="71" t="s">
        <v>9</v>
      </c>
      <c r="C17" s="72">
        <f>K220</f>
        <v>1130.51</v>
      </c>
      <c r="E17" s="92"/>
      <c r="F17" s="92"/>
      <c r="G17" s="16"/>
      <c r="H17" s="16"/>
    </row>
    <row r="18" spans="1:17" x14ac:dyDescent="0.35">
      <c r="B18" s="71" t="s">
        <v>205</v>
      </c>
      <c r="C18" s="72">
        <f>K241</f>
        <v>393.54999999999995</v>
      </c>
      <c r="E18" s="92"/>
      <c r="F18" s="92"/>
      <c r="G18" s="16"/>
      <c r="H18" s="16"/>
    </row>
    <row r="19" spans="1:17" x14ac:dyDescent="0.35">
      <c r="B19" s="71" t="s">
        <v>56</v>
      </c>
      <c r="C19" s="72">
        <f>K253</f>
        <v>270.25</v>
      </c>
      <c r="E19" s="92"/>
      <c r="F19" s="92"/>
      <c r="G19" s="16"/>
      <c r="H19" s="16"/>
    </row>
    <row r="20" spans="1:17" x14ac:dyDescent="0.35">
      <c r="B20" s="73" t="s">
        <v>14</v>
      </c>
      <c r="C20" s="74">
        <f>C5+C6+C7+C8+C9+C10+C11+C12+C13+C14+C15+C16+C17+C18+C19</f>
        <v>27425.025000000001</v>
      </c>
      <c r="E20" s="93"/>
      <c r="F20" s="93"/>
      <c r="G20" s="16"/>
      <c r="H20" s="16"/>
    </row>
    <row r="21" spans="1:17" ht="18.5" x14ac:dyDescent="0.45">
      <c r="A21" s="76" t="s">
        <v>397</v>
      </c>
      <c r="B21" s="76"/>
      <c r="C21" s="76"/>
      <c r="D21" s="76"/>
      <c r="E21" s="76"/>
      <c r="F21" s="76"/>
      <c r="G21" s="69"/>
      <c r="H21" s="69"/>
      <c r="I21" s="76"/>
      <c r="J21" s="76"/>
      <c r="K21" s="76"/>
    </row>
    <row r="22" spans="1:17" x14ac:dyDescent="0.35">
      <c r="A22" s="129"/>
      <c r="B22" s="129" t="s">
        <v>15</v>
      </c>
      <c r="C22" s="129" t="s">
        <v>16</v>
      </c>
      <c r="D22" s="130" t="s">
        <v>398</v>
      </c>
      <c r="E22" s="130" t="s">
        <v>407</v>
      </c>
      <c r="F22" s="130" t="s">
        <v>399</v>
      </c>
      <c r="G22" s="131" t="s">
        <v>405</v>
      </c>
      <c r="H22" s="131"/>
      <c r="I22" s="129" t="s">
        <v>406</v>
      </c>
      <c r="J22" s="133" t="s">
        <v>45</v>
      </c>
      <c r="K22" s="129" t="s">
        <v>1</v>
      </c>
    </row>
    <row r="23" spans="1:17" ht="15.5" x14ac:dyDescent="0.35">
      <c r="A23" s="108" t="s">
        <v>208</v>
      </c>
      <c r="B23" s="108"/>
      <c r="C23" s="108"/>
      <c r="D23" s="108"/>
      <c r="E23" s="108"/>
      <c r="F23" s="108"/>
      <c r="G23" s="109"/>
      <c r="H23" s="109"/>
      <c r="I23" s="108"/>
      <c r="J23" s="110" t="s">
        <v>18</v>
      </c>
      <c r="K23" s="269">
        <f>SUM(K24:K40)</f>
        <v>13977.86</v>
      </c>
    </row>
    <row r="24" spans="1:17" x14ac:dyDescent="0.35">
      <c r="A24" s="103"/>
      <c r="B24" s="7" t="s">
        <v>2</v>
      </c>
      <c r="C24" s="14" t="s">
        <v>19</v>
      </c>
      <c r="D24" s="94"/>
      <c r="E24" s="232">
        <f>'Buvette 1'!H24+'Buvette 2'!H24+'Buvette 3'!H24+'2023'!H24+'Food Genevois'!H24+'Food Bretzel'!H24+'Chalet 1'!H24+'Chalet 2'!H24+'Chalet 3'!H24+Cocktail!H24+'Home Corner'!H24+Visiteur!H24+'Stock Principal'!H24</f>
        <v>4</v>
      </c>
      <c r="F24" s="94"/>
      <c r="G24" s="296">
        <f>SUM('Buvette 1'!G24,'Buvette 2'!G24,'Buvette 3'!G24,'2023'!G24,'Food Genevois'!G24,'Food Bretzel'!G24,'Chalet 1'!G24,'Chalet 2'!G24,'Chalet 3'!G24,Cocktail!G24,'Home Corner'!G24,Visiteur!G24,'Stock Principal'!G24)</f>
        <v>0</v>
      </c>
      <c r="H24" s="95"/>
      <c r="I24" s="10" t="s">
        <v>20</v>
      </c>
      <c r="J24" s="11">
        <v>55.95</v>
      </c>
      <c r="K24" s="12">
        <f>E24*J24</f>
        <v>223.8</v>
      </c>
    </row>
    <row r="25" spans="1:17" x14ac:dyDescent="0.35">
      <c r="A25" s="103"/>
      <c r="B25" s="7" t="s">
        <v>2</v>
      </c>
      <c r="C25" s="14" t="s">
        <v>209</v>
      </c>
      <c r="D25" s="94"/>
      <c r="E25" s="232">
        <f>'Buvette 1'!H25+'Buvette 2'!H25+'Buvette 3'!H25+'2023'!H25+'Food Genevois'!H25+'Food Bretzel'!H25+'Chalet 1'!H25+'Chalet 2'!H25+'Chalet 3'!H25+Cocktail!H25+'Home Corner'!H25+Visiteur!H25+'Stock Principal'!H25</f>
        <v>0</v>
      </c>
      <c r="F25" s="94"/>
      <c r="G25" s="296">
        <f>SUM('Buvette 1'!G25,'Buvette 2'!G25,'Buvette 3'!G25,'2023'!G25,'Food Genevois'!G25,'Food Bretzel'!G25,'Chalet 1'!G25,'Chalet 2'!G25,'Chalet 3'!G25,Cocktail!G25,'Home Corner'!G25,Visiteur!G25,'Stock Principal'!G25)</f>
        <v>0</v>
      </c>
      <c r="H25" s="95"/>
      <c r="I25" s="10" t="s">
        <v>20</v>
      </c>
      <c r="J25" s="11">
        <v>173.1</v>
      </c>
      <c r="K25" s="12">
        <f t="shared" ref="K25:K88" si="0">E25*J25</f>
        <v>0</v>
      </c>
    </row>
    <row r="26" spans="1:17" x14ac:dyDescent="0.35">
      <c r="A26" s="103"/>
      <c r="B26" s="12" t="s">
        <v>2</v>
      </c>
      <c r="C26" s="10" t="s">
        <v>21</v>
      </c>
      <c r="D26" s="94"/>
      <c r="E26" s="232">
        <f>'Buvette 1'!H26+'Buvette 2'!H26+'Buvette 3'!H26+'2023'!H26+'Food Genevois'!H26+'Food Bretzel'!H26+'Chalet 1'!H26+'Chalet 2'!H26+'Chalet 3'!H26+Cocktail!H26+'Home Corner'!H26+Visiteur!H26+'Stock Principal'!H26</f>
        <v>43</v>
      </c>
      <c r="F26" s="94"/>
      <c r="G26" s="296">
        <f>SUM('Buvette 1'!G26,'Buvette 2'!G26,'Buvette 3'!G26,'2023'!G26,'Food Genevois'!G26,'Food Bretzel'!G26,'Chalet 1'!G26,'Chalet 2'!G26,'Chalet 3'!G26,Cocktail!G26,'Home Corner'!G26,Visiteur!G26,'Stock Principal'!G26)</f>
        <v>2</v>
      </c>
      <c r="H26" s="95"/>
      <c r="I26" s="10" t="s">
        <v>20</v>
      </c>
      <c r="J26" s="11">
        <v>75.400000000000006</v>
      </c>
      <c r="K26" s="12">
        <f t="shared" si="0"/>
        <v>3242.2000000000003</v>
      </c>
    </row>
    <row r="27" spans="1:17" x14ac:dyDescent="0.35">
      <c r="A27" s="103"/>
      <c r="B27" s="12" t="s">
        <v>2</v>
      </c>
      <c r="C27" s="10" t="s">
        <v>210</v>
      </c>
      <c r="D27" s="94"/>
      <c r="E27" s="232">
        <f>'Buvette 1'!H27+'Buvette 2'!H27+'Buvette 3'!H27+'2023'!H27+'Food Genevois'!H27+'Food Bretzel'!H27+'Chalet 1'!H27+'Chalet 2'!H27+'Chalet 3'!H27+Cocktail!H27+'Home Corner'!H27+Visiteur!H27+'Stock Principal'!H27</f>
        <v>0</v>
      </c>
      <c r="F27" s="94"/>
      <c r="G27" s="296">
        <f>SUM('Buvette 1'!G27,'Buvette 2'!G27,'Buvette 3'!G27,'2023'!G27,'Food Genevois'!G27,'Food Bretzel'!G27,'Chalet 1'!G27,'Chalet 2'!G27,'Chalet 3'!G27,Cocktail!G27,'Home Corner'!G27,Visiteur!G27,'Stock Principal'!G27)</f>
        <v>0</v>
      </c>
      <c r="H27" s="95"/>
      <c r="I27" s="10" t="s">
        <v>20</v>
      </c>
      <c r="J27" s="11">
        <v>84.9</v>
      </c>
      <c r="K27" s="12">
        <f t="shared" si="0"/>
        <v>0</v>
      </c>
    </row>
    <row r="28" spans="1:17" x14ac:dyDescent="0.35">
      <c r="A28" s="103"/>
      <c r="B28" s="12" t="s">
        <v>2</v>
      </c>
      <c r="C28" s="10" t="s">
        <v>211</v>
      </c>
      <c r="D28" s="94"/>
      <c r="E28" s="232">
        <f>'Buvette 1'!H28+'Buvette 2'!H28+'Buvette 3'!H28+'2023'!H28+'Food Genevois'!H28+'Food Bretzel'!H28+'Chalet 1'!H28+'Chalet 2'!H28+'Chalet 3'!H28+Cocktail!H28+'Home Corner'!H28+Visiteur!H28+'Stock Principal'!H28</f>
        <v>100</v>
      </c>
      <c r="F28" s="94"/>
      <c r="G28" s="296">
        <f>SUM('Buvette 1'!G28,'Buvette 2'!G28,'Buvette 3'!G28,'2023'!G28,'Food Genevois'!G28,'Food Bretzel'!G28,'Chalet 1'!G28,'Chalet 2'!G28,'Chalet 3'!G28,Cocktail!G28,'Home Corner'!G28,Visiteur!G28,'Stock Principal'!G28)</f>
        <v>8</v>
      </c>
      <c r="H28" s="95"/>
      <c r="I28" s="10" t="s">
        <v>20</v>
      </c>
      <c r="J28" s="11">
        <v>2.96</v>
      </c>
      <c r="K28" s="12">
        <f t="shared" si="0"/>
        <v>296</v>
      </c>
    </row>
    <row r="29" spans="1:17" x14ac:dyDescent="0.35">
      <c r="A29" s="103"/>
      <c r="B29" s="12" t="s">
        <v>2</v>
      </c>
      <c r="C29" s="10" t="s">
        <v>212</v>
      </c>
      <c r="D29" s="94"/>
      <c r="E29" s="232">
        <f>'Buvette 1'!H29+'Buvette 2'!H29+'Buvette 3'!H29+'2023'!H29+'Food Genevois'!H29+'Food Bretzel'!H29+'Chalet 1'!H29+'Chalet 2'!H29+'Chalet 3'!H29+Cocktail!H29+'Home Corner'!H29+Visiteur!H29+'Stock Principal'!H29</f>
        <v>101</v>
      </c>
      <c r="F29" s="94"/>
      <c r="G29" s="296">
        <f>SUM('Buvette 1'!G29,'Buvette 2'!G29,'Buvette 3'!G29,'2023'!G29,'Food Genevois'!G29,'Food Bretzel'!G29,'Chalet 1'!G29,'Chalet 2'!G29,'Chalet 3'!G29,Cocktail!G29,'Home Corner'!G29,Visiteur!G29,'Stock Principal'!G29)</f>
        <v>8</v>
      </c>
      <c r="H29" s="95"/>
      <c r="I29" s="10" t="s">
        <v>20</v>
      </c>
      <c r="J29" s="11">
        <v>2.96</v>
      </c>
      <c r="K29" s="12">
        <f t="shared" si="0"/>
        <v>298.95999999999998</v>
      </c>
    </row>
    <row r="30" spans="1:17" x14ac:dyDescent="0.35">
      <c r="A30" s="103"/>
      <c r="B30" s="12" t="s">
        <v>2</v>
      </c>
      <c r="C30" s="10" t="s">
        <v>213</v>
      </c>
      <c r="D30" s="94"/>
      <c r="E30" s="232">
        <f>'Buvette 1'!H30+'Buvette 2'!H30+'Buvette 3'!H30+'2023'!H30+'Food Genevois'!H30+'Food Bretzel'!H30+'Chalet 1'!H30+'Chalet 2'!H30+'Chalet 3'!H30+Cocktail!H30+'Home Corner'!H30+Visiteur!H30+'Stock Principal'!H30</f>
        <v>85</v>
      </c>
      <c r="F30" s="94"/>
      <c r="G30" s="296">
        <f>SUM('Buvette 1'!G30,'Buvette 2'!G30,'Buvette 3'!G30,'2023'!G30,'Food Genevois'!G30,'Food Bretzel'!G30,'Chalet 1'!G30,'Chalet 2'!G30,'Chalet 3'!G30,Cocktail!G30,'Home Corner'!G30,Visiteur!G30,'Stock Principal'!G30)</f>
        <v>53</v>
      </c>
      <c r="H30" s="95"/>
      <c r="I30" s="10" t="s">
        <v>20</v>
      </c>
      <c r="J30" s="11">
        <v>2.96</v>
      </c>
      <c r="K30" s="12">
        <f t="shared" si="0"/>
        <v>251.6</v>
      </c>
      <c r="Q30" s="268"/>
    </row>
    <row r="31" spans="1:17" x14ac:dyDescent="0.35">
      <c r="A31" s="103"/>
      <c r="B31" s="7" t="s">
        <v>2</v>
      </c>
      <c r="C31" s="14" t="s">
        <v>22</v>
      </c>
      <c r="D31" s="94"/>
      <c r="E31" s="232">
        <f>'Buvette 1'!H31+'Buvette 2'!H31+'Buvette 3'!H31+'2023'!H31+'Food Genevois'!H31+'Food Bretzel'!H31+'Chalet 1'!H31+'Chalet 2'!H31+'Chalet 3'!H31+Cocktail!H31+'Home Corner'!H31+Visiteur!H31+'Stock Principal'!H31</f>
        <v>13</v>
      </c>
      <c r="F31" s="94"/>
      <c r="G31" s="296">
        <f>SUM('Buvette 1'!G31,'Buvette 2'!G31,'Buvette 3'!G31,'2023'!G31,'Food Genevois'!G31,'Food Bretzel'!G31,'Chalet 1'!G31,'Chalet 2'!G31,'Chalet 3'!G31,Cocktail!G31,'Home Corner'!G31,Visiteur!G31,'Stock Principal'!G31)</f>
        <v>0</v>
      </c>
      <c r="H31" s="95"/>
      <c r="I31" s="10" t="s">
        <v>20</v>
      </c>
      <c r="J31" s="11">
        <v>107.2</v>
      </c>
      <c r="K31" s="12">
        <f t="shared" si="0"/>
        <v>1393.6000000000001</v>
      </c>
    </row>
    <row r="32" spans="1:17" x14ac:dyDescent="0.35">
      <c r="A32" s="103"/>
      <c r="B32" s="7" t="s">
        <v>2</v>
      </c>
      <c r="C32" s="14" t="s">
        <v>214</v>
      </c>
      <c r="D32" s="94"/>
      <c r="E32" s="232">
        <f>'Buvette 1'!H32+'Buvette 2'!H32+'Buvette 3'!H32+'2023'!H32+'Food Genevois'!H32+'Food Bretzel'!H32+'Chalet 1'!H32+'Chalet 2'!H32+'Chalet 3'!H32+Cocktail!H32+'Home Corner'!H32+Visiteur!H32+'Stock Principal'!H32</f>
        <v>1</v>
      </c>
      <c r="F32" s="94"/>
      <c r="G32" s="296">
        <f>SUM('Buvette 1'!G32,'Buvette 2'!G32,'Buvette 3'!G32,'2023'!G32,'Food Genevois'!G32,'Food Bretzel'!G32,'Chalet 1'!G32,'Chalet 2'!G32,'Chalet 3'!G32,Cocktail!G32,'Home Corner'!G32,Visiteur!G32,'Stock Principal'!G32)</f>
        <v>1</v>
      </c>
      <c r="H32" s="95"/>
      <c r="I32" s="10" t="s">
        <v>20</v>
      </c>
      <c r="J32" s="11">
        <v>170.7</v>
      </c>
      <c r="K32" s="12">
        <f t="shared" si="0"/>
        <v>170.7</v>
      </c>
      <c r="M32" s="87"/>
    </row>
    <row r="33" spans="1:11" x14ac:dyDescent="0.35">
      <c r="A33" s="103"/>
      <c r="B33" s="12" t="s">
        <v>2</v>
      </c>
      <c r="C33" s="10" t="s">
        <v>215</v>
      </c>
      <c r="D33" s="94"/>
      <c r="E33" s="232">
        <f>'Buvette 1'!H33+'Buvette 2'!H33+'Buvette 3'!H33+'2023'!H33+'Food Genevois'!H33+'Food Bretzel'!H33+'Chalet 1'!H33+'Chalet 2'!H33+'Chalet 3'!H33+Cocktail!H33+'Home Corner'!H33+Visiteur!H33+'Stock Principal'!H33</f>
        <v>2000</v>
      </c>
      <c r="F33" s="94"/>
      <c r="G33" s="296">
        <f>SUM('Buvette 1'!G33,'Buvette 2'!G33,'Buvette 3'!G33,'2023'!G33,'Food Genevois'!G33,'Food Bretzel'!G33,'Chalet 1'!G33,'Chalet 2'!G33,'Chalet 3'!G33,Cocktail!G33,'Home Corner'!G33,Visiteur!G33,'Stock Principal'!G33)</f>
        <v>0</v>
      </c>
      <c r="H33" s="95"/>
      <c r="I33" s="10" t="s">
        <v>216</v>
      </c>
      <c r="J33" s="11">
        <v>3.77</v>
      </c>
      <c r="K33" s="12">
        <f t="shared" si="0"/>
        <v>7540</v>
      </c>
    </row>
    <row r="34" spans="1:11" x14ac:dyDescent="0.35">
      <c r="A34" s="103"/>
      <c r="B34" s="12" t="s">
        <v>2</v>
      </c>
      <c r="C34" s="10" t="s">
        <v>217</v>
      </c>
      <c r="D34" s="94"/>
      <c r="E34" s="232">
        <f>'Buvette 1'!H34+'Buvette 2'!H34+'Buvette 3'!H34+'2023'!H34+'Food Genevois'!H34+'Food Bretzel'!H34+'Chalet 1'!H34+'Chalet 2'!H34+'Chalet 3'!H34+Cocktail!H34+'Home Corner'!H34+Visiteur!H34+'Stock Principal'!H34</f>
        <v>60</v>
      </c>
      <c r="F34" s="94"/>
      <c r="G34" s="296">
        <f>SUM('Buvette 1'!G34,'Buvette 2'!G34,'Buvette 3'!G34,'2023'!G34,'Food Genevois'!G34,'Food Bretzel'!G34,'Chalet 1'!G34,'Chalet 2'!G34,'Chalet 3'!G34,Cocktail!G34,'Home Corner'!G34,Visiteur!G34,'Stock Principal'!G34)</f>
        <v>44</v>
      </c>
      <c r="H34" s="95"/>
      <c r="I34" s="10" t="s">
        <v>20</v>
      </c>
      <c r="J34" s="11">
        <v>2.56</v>
      </c>
      <c r="K34" s="12">
        <f t="shared" si="0"/>
        <v>153.6</v>
      </c>
    </row>
    <row r="35" spans="1:11" x14ac:dyDescent="0.35">
      <c r="A35" s="103"/>
      <c r="B35" s="12" t="s">
        <v>2</v>
      </c>
      <c r="C35" s="10" t="s">
        <v>218</v>
      </c>
      <c r="D35" s="94"/>
      <c r="E35" s="232">
        <f>'Buvette 1'!H35+'Buvette 2'!H35+'Buvette 3'!H35+'2023'!H35+'Food Genevois'!H35+'Food Bretzel'!H35+'Chalet 1'!H35+'Chalet 2'!H35+'Chalet 3'!H35+Cocktail!H35+'Home Corner'!H35+Visiteur!H35+'Stock Principal'!H35</f>
        <v>60</v>
      </c>
      <c r="F35" s="94"/>
      <c r="G35" s="296">
        <f>SUM('Buvette 1'!G35,'Buvette 2'!G35,'Buvette 3'!G35,'2023'!G35,'Food Genevois'!G35,'Food Bretzel'!G35,'Chalet 1'!G35,'Chalet 2'!G35,'Chalet 3'!G35,Cocktail!G35,'Home Corner'!G35,Visiteur!G35,'Stock Principal'!G35)</f>
        <v>0</v>
      </c>
      <c r="H35" s="95"/>
      <c r="I35" s="10" t="s">
        <v>20</v>
      </c>
      <c r="J35" s="11">
        <v>3.08</v>
      </c>
      <c r="K35" s="12">
        <f t="shared" si="0"/>
        <v>184.8</v>
      </c>
    </row>
    <row r="36" spans="1:11" x14ac:dyDescent="0.35">
      <c r="A36" s="103"/>
      <c r="B36" s="12" t="s">
        <v>2</v>
      </c>
      <c r="C36" s="10" t="s">
        <v>219</v>
      </c>
      <c r="D36" s="94"/>
      <c r="E36" s="232">
        <f>'Buvette 1'!H36+'Buvette 2'!H36+'Buvette 3'!H36+'2023'!H36+'Food Genevois'!H36+'Food Bretzel'!H36+'Chalet 1'!H36+'Chalet 2'!H36+'Chalet 3'!H36+Cocktail!H36+'Home Corner'!H36+Visiteur!H36+'Stock Principal'!H36</f>
        <v>60</v>
      </c>
      <c r="F36" s="94"/>
      <c r="G36" s="296">
        <f>SUM('Buvette 1'!G36,'Buvette 2'!G36,'Buvette 3'!G36,'2023'!G36,'Food Genevois'!G36,'Food Bretzel'!G36,'Chalet 1'!G36,'Chalet 2'!G36,'Chalet 3'!G36,Cocktail!G36,'Home Corner'!G36,Visiteur!G36,'Stock Principal'!G36)</f>
        <v>0</v>
      </c>
      <c r="H36" s="95"/>
      <c r="I36" s="10" t="s">
        <v>20</v>
      </c>
      <c r="J36" s="11">
        <v>2.56</v>
      </c>
      <c r="K36" s="12">
        <f t="shared" si="0"/>
        <v>153.6</v>
      </c>
    </row>
    <row r="37" spans="1:11" x14ac:dyDescent="0.35">
      <c r="A37" s="103"/>
      <c r="B37" s="12" t="s">
        <v>2</v>
      </c>
      <c r="C37" s="10" t="s">
        <v>220</v>
      </c>
      <c r="D37" s="94"/>
      <c r="E37" s="232">
        <f>'Buvette 1'!H37+'Buvette 2'!H37+'Buvette 3'!H37+'2023'!H37+'Food Genevois'!H37+'Food Bretzel'!H37+'Chalet 1'!H37+'Chalet 2'!H37+'Chalet 3'!H37+Cocktail!H37+'Home Corner'!H37+Visiteur!H37+'Stock Principal'!H37</f>
        <v>0</v>
      </c>
      <c r="F37" s="94"/>
      <c r="G37" s="296">
        <f>SUM('Buvette 1'!G37,'Buvette 2'!G37,'Buvette 3'!G37,'2023'!G37,'Food Genevois'!G37,'Food Bretzel'!G37,'Chalet 1'!G37,'Chalet 2'!G37,'Chalet 3'!G37,Cocktail!G37,'Home Corner'!G37,Visiteur!G37,'Stock Principal'!G37)</f>
        <v>0</v>
      </c>
      <c r="H37" s="95"/>
      <c r="I37" s="10" t="s">
        <v>20</v>
      </c>
      <c r="J37" s="11">
        <v>1.41</v>
      </c>
      <c r="K37" s="12">
        <f t="shared" si="0"/>
        <v>0</v>
      </c>
    </row>
    <row r="38" spans="1:11" x14ac:dyDescent="0.35">
      <c r="A38" s="103"/>
      <c r="B38" s="12" t="s">
        <v>2</v>
      </c>
      <c r="C38" s="10" t="s">
        <v>221</v>
      </c>
      <c r="D38" s="94"/>
      <c r="E38" s="232">
        <f>'Buvette 1'!H38+'Buvette 2'!H38+'Buvette 3'!H38+'2023'!H38+'Food Genevois'!H38+'Food Bretzel'!H38+'Chalet 1'!H38+'Chalet 2'!H38+'Chalet 3'!H38+Cocktail!H38+'Home Corner'!H38+Visiteur!H38+'Stock Principal'!H38</f>
        <v>0</v>
      </c>
      <c r="F38" s="94"/>
      <c r="G38" s="296">
        <f>SUM('Buvette 1'!G38,'Buvette 2'!G38,'Buvette 3'!G38,'2023'!G38,'Food Genevois'!G38,'Food Bretzel'!G38,'Chalet 1'!G38,'Chalet 2'!G38,'Chalet 3'!G38,Cocktail!G38,'Home Corner'!G38,Visiteur!G38,'Stock Principal'!G38)</f>
        <v>0</v>
      </c>
      <c r="H38" s="95"/>
      <c r="I38" s="10" t="s">
        <v>20</v>
      </c>
      <c r="J38" s="11">
        <v>1.73</v>
      </c>
      <c r="K38" s="12">
        <f t="shared" si="0"/>
        <v>0</v>
      </c>
    </row>
    <row r="39" spans="1:11" x14ac:dyDescent="0.35">
      <c r="A39" s="103"/>
      <c r="B39" s="12" t="s">
        <v>2</v>
      </c>
      <c r="C39" s="10" t="s">
        <v>222</v>
      </c>
      <c r="D39" s="94"/>
      <c r="E39" s="232">
        <f>'Buvette 1'!H39+'Buvette 2'!H39+'Buvette 3'!H39+'2023'!H39+'Food Genevois'!H39+'Food Bretzel'!H39+'Chalet 1'!H39+'Chalet 2'!H39+'Chalet 3'!H39+Cocktail!H39+'Home Corner'!H39+Visiteur!H39+'Stock Principal'!H39</f>
        <v>0</v>
      </c>
      <c r="F39" s="94"/>
      <c r="G39" s="296">
        <f>SUM('Buvette 1'!G39,'Buvette 2'!G39,'Buvette 3'!G39,'2023'!G39,'Food Genevois'!G39,'Food Bretzel'!G39,'Chalet 1'!G39,'Chalet 2'!G39,'Chalet 3'!G39,Cocktail!G39,'Home Corner'!G39,Visiteur!G39,'Stock Principal'!G39)</f>
        <v>0</v>
      </c>
      <c r="H39" s="95"/>
      <c r="I39" s="10" t="s">
        <v>20</v>
      </c>
      <c r="J39" s="11">
        <v>1.46</v>
      </c>
      <c r="K39" s="12">
        <f t="shared" si="0"/>
        <v>0</v>
      </c>
    </row>
    <row r="40" spans="1:11" x14ac:dyDescent="0.35">
      <c r="A40" s="103"/>
      <c r="B40" s="12" t="s">
        <v>2</v>
      </c>
      <c r="C40" s="10" t="s">
        <v>223</v>
      </c>
      <c r="D40" s="96"/>
      <c r="E40" s="232">
        <f>'Buvette 1'!H40+'Buvette 2'!H40+'Buvette 3'!H40+'2023'!H40+'Food Genevois'!H40+'Food Bretzel'!H40+'Chalet 1'!H40+'Chalet 2'!H40+'Chalet 3'!H40+Cocktail!H40+'Home Corner'!H40+Visiteur!H40+'Stock Principal'!H40</f>
        <v>20</v>
      </c>
      <c r="F40" s="96"/>
      <c r="G40" s="296">
        <f>SUM('Buvette 1'!G40,'Buvette 2'!G40,'Buvette 3'!G40,'2023'!G40,'Food Genevois'!G40,'Food Bretzel'!G40,'Chalet 1'!G40,'Chalet 2'!G40,'Chalet 3'!G40,Cocktail!G40,'Home Corner'!G40,Visiteur!G40,'Stock Principal'!G40)</f>
        <v>10</v>
      </c>
      <c r="H40" s="95"/>
      <c r="I40" s="10" t="s">
        <v>20</v>
      </c>
      <c r="J40" s="77">
        <v>3.45</v>
      </c>
      <c r="K40" s="12">
        <f t="shared" si="0"/>
        <v>69</v>
      </c>
    </row>
    <row r="41" spans="1:11" ht="15.5" x14ac:dyDescent="0.35">
      <c r="A41" s="108" t="s">
        <v>119</v>
      </c>
      <c r="B41" s="108"/>
      <c r="C41" s="108"/>
      <c r="D41" s="108"/>
      <c r="E41" s="108"/>
      <c r="F41" s="108"/>
      <c r="G41" s="296">
        <f>SUM('Buvette 1'!G41,'Buvette 2'!G41,'Buvette 3'!G41,'2023'!G41,'Food Genevois'!G41,'Food Bretzel'!G41,'Chalet 1'!G41,'Chalet 2'!G41,'Chalet 3'!G41,Cocktail!G41,'Home Corner'!G41,Visiteur!G41,'Stock Principal'!G41)</f>
        <v>0</v>
      </c>
      <c r="H41" s="108"/>
      <c r="I41" s="108"/>
      <c r="J41" s="106" t="s">
        <v>18</v>
      </c>
      <c r="K41" s="270">
        <f>SUM(K42:K49)</f>
        <v>200</v>
      </c>
    </row>
    <row r="42" spans="1:11" x14ac:dyDescent="0.35">
      <c r="A42" s="103"/>
      <c r="B42" s="12" t="s">
        <v>7</v>
      </c>
      <c r="C42" s="10" t="s">
        <v>224</v>
      </c>
      <c r="D42" s="94"/>
      <c r="E42" s="232">
        <f>'Buvette 1'!H42+'Buvette 2'!H42+'Buvette 3'!H42+'2023'!H42+'Food Genevois'!H42+'Food Bretzel'!H42+'Chalet 1'!H42+'Chalet 2'!H42+'Chalet 3'!H42+Cocktail!H42+'Home Corner'!H42+Visiteur!H42+'Stock Principal'!H42</f>
        <v>0</v>
      </c>
      <c r="F42" s="94"/>
      <c r="G42" s="296">
        <f>SUM('Buvette 1'!G42,'Buvette 2'!G42,'Buvette 3'!G42,'2023'!G42,'Food Genevois'!G42,'Food Bretzel'!G42,'Chalet 1'!G42,'Chalet 2'!G42,'Chalet 3'!G42,Cocktail!G42,'Home Corner'!G42,Visiteur!G42,'Stock Principal'!G42)</f>
        <v>0</v>
      </c>
      <c r="H42" s="95"/>
      <c r="I42" s="10" t="s">
        <v>20</v>
      </c>
      <c r="J42" s="11">
        <v>100</v>
      </c>
      <c r="K42" s="12">
        <f t="shared" si="0"/>
        <v>0</v>
      </c>
    </row>
    <row r="43" spans="1:11" x14ac:dyDescent="0.35">
      <c r="A43" s="103"/>
      <c r="B43" s="12" t="s">
        <v>7</v>
      </c>
      <c r="C43" s="10" t="s">
        <v>225</v>
      </c>
      <c r="D43" s="94"/>
      <c r="E43" s="232">
        <f>'Buvette 1'!H43+'Buvette 2'!H43+'Buvette 3'!H43+'2023'!H43+'Food Genevois'!H43+'Food Bretzel'!H43+'Chalet 1'!H43+'Chalet 2'!H43+'Chalet 3'!H43+Cocktail!H43+'Home Corner'!H43+Visiteur!H43+'Stock Principal'!H43</f>
        <v>0</v>
      </c>
      <c r="F43" s="94"/>
      <c r="G43" s="296">
        <f>SUM('Buvette 1'!G43,'Buvette 2'!G43,'Buvette 3'!G43,'2023'!G43,'Food Genevois'!G43,'Food Bretzel'!G43,'Chalet 1'!G43,'Chalet 2'!G43,'Chalet 3'!G43,Cocktail!G43,'Home Corner'!G43,Visiteur!G43,'Stock Principal'!G43)</f>
        <v>0</v>
      </c>
      <c r="H43" s="95"/>
      <c r="I43" s="10" t="s">
        <v>20</v>
      </c>
      <c r="J43" s="11">
        <v>12.2</v>
      </c>
      <c r="K43" s="12">
        <f t="shared" si="0"/>
        <v>0</v>
      </c>
    </row>
    <row r="44" spans="1:11" x14ac:dyDescent="0.35">
      <c r="A44" s="103"/>
      <c r="B44" s="12" t="s">
        <v>7</v>
      </c>
      <c r="C44" s="10" t="s">
        <v>226</v>
      </c>
      <c r="D44" s="94"/>
      <c r="E44" s="232">
        <f>'Buvette 1'!H44+'Buvette 2'!H44+'Buvette 3'!H44+'2023'!H44+'Food Genevois'!H44+'Food Bretzel'!H44+'Chalet 1'!H44+'Chalet 2'!H44+'Chalet 3'!H44+Cocktail!H44+'Home Corner'!H44+Visiteur!H44+'Stock Principal'!H44</f>
        <v>0</v>
      </c>
      <c r="F44" s="94"/>
      <c r="G44" s="296">
        <f>SUM('Buvette 1'!G44,'Buvette 2'!G44,'Buvette 3'!G44,'2023'!G44,'Food Genevois'!G44,'Food Bretzel'!G44,'Chalet 1'!G44,'Chalet 2'!G44,'Chalet 3'!G44,Cocktail!G44,'Home Corner'!G44,Visiteur!G44,'Stock Principal'!G44)</f>
        <v>0</v>
      </c>
      <c r="H44" s="95"/>
      <c r="I44" s="10" t="s">
        <v>20</v>
      </c>
      <c r="J44" s="11">
        <v>11</v>
      </c>
      <c r="K44" s="12">
        <f t="shared" si="0"/>
        <v>0</v>
      </c>
    </row>
    <row r="45" spans="1:11" x14ac:dyDescent="0.35">
      <c r="A45" s="103"/>
      <c r="B45" s="12" t="s">
        <v>7</v>
      </c>
      <c r="C45" s="10" t="s">
        <v>227</v>
      </c>
      <c r="D45" s="94"/>
      <c r="E45" s="232">
        <f>'Buvette 1'!H45+'Buvette 2'!H45+'Buvette 3'!H45+'2023'!H45+'Food Genevois'!H45+'Food Bretzel'!H45+'Chalet 1'!H45+'Chalet 2'!H45+'Chalet 3'!H45+Cocktail!H45+'Home Corner'!H45+Visiteur!H45+'Stock Principal'!H45</f>
        <v>0</v>
      </c>
      <c r="F45" s="94"/>
      <c r="G45" s="296">
        <f>SUM('Buvette 1'!G45,'Buvette 2'!G45,'Buvette 3'!G45,'2023'!G45,'Food Genevois'!G45,'Food Bretzel'!G45,'Chalet 1'!G45,'Chalet 2'!G45,'Chalet 3'!G45,Cocktail!G45,'Home Corner'!G45,Visiteur!G45,'Stock Principal'!G45)</f>
        <v>0</v>
      </c>
      <c r="H45" s="95"/>
      <c r="I45" s="10" t="s">
        <v>20</v>
      </c>
      <c r="J45" s="11">
        <v>5</v>
      </c>
      <c r="K45" s="12">
        <f t="shared" si="0"/>
        <v>0</v>
      </c>
    </row>
    <row r="46" spans="1:11" x14ac:dyDescent="0.35">
      <c r="A46" s="103"/>
      <c r="B46" s="12" t="s">
        <v>7</v>
      </c>
      <c r="C46" s="10" t="s">
        <v>46</v>
      </c>
      <c r="D46" s="94"/>
      <c r="E46" s="232">
        <f>'Buvette 1'!H46+'Buvette 2'!H46+'Buvette 3'!H46+'2023'!H46+'Food Genevois'!H46+'Food Bretzel'!H46+'Chalet 1'!H46+'Chalet 2'!H46+'Chalet 3'!H46+Cocktail!H46+'Home Corner'!H46+Visiteur!H46+'Stock Principal'!H46</f>
        <v>0</v>
      </c>
      <c r="F46" s="94"/>
      <c r="G46" s="296">
        <f>SUM('Buvette 1'!G46,'Buvette 2'!G46,'Buvette 3'!G46,'2023'!G46,'Food Genevois'!G46,'Food Bretzel'!G46,'Chalet 1'!G46,'Chalet 2'!G46,'Chalet 3'!G46,Cocktail!G46,'Home Corner'!G46,Visiteur!G46,'Stock Principal'!G46)</f>
        <v>0</v>
      </c>
      <c r="H46" s="95"/>
      <c r="I46" s="10" t="s">
        <v>20</v>
      </c>
      <c r="J46" s="11">
        <v>5</v>
      </c>
      <c r="K46" s="12">
        <f t="shared" si="0"/>
        <v>0</v>
      </c>
    </row>
    <row r="47" spans="1:11" x14ac:dyDescent="0.35">
      <c r="A47" s="103"/>
      <c r="B47" s="12" t="s">
        <v>7</v>
      </c>
      <c r="C47" s="10" t="s">
        <v>228</v>
      </c>
      <c r="D47" s="94"/>
      <c r="E47" s="232">
        <f>'Buvette 1'!H47+'Buvette 2'!H47+'Buvette 3'!H47+'2023'!H47+'Food Genevois'!H47+'Food Bretzel'!H47+'Chalet 1'!H47+'Chalet 2'!H47+'Chalet 3'!H47+Cocktail!H47+'Home Corner'!H47+Visiteur!H47+'Stock Principal'!H47</f>
        <v>0</v>
      </c>
      <c r="F47" s="94"/>
      <c r="G47" s="296">
        <f>SUM('Buvette 1'!G47,'Buvette 2'!G47,'Buvette 3'!G47,'2023'!G47,'Food Genevois'!G47,'Food Bretzel'!G47,'Chalet 1'!G47,'Chalet 2'!G47,'Chalet 3'!G47,Cocktail!G47,'Home Corner'!G47,Visiteur!G47,'Stock Principal'!G47)</f>
        <v>0</v>
      </c>
      <c r="H47" s="95"/>
      <c r="I47" s="10" t="s">
        <v>20</v>
      </c>
      <c r="J47" s="11">
        <v>11</v>
      </c>
      <c r="K47" s="12">
        <f t="shared" si="0"/>
        <v>0</v>
      </c>
    </row>
    <row r="48" spans="1:11" x14ac:dyDescent="0.35">
      <c r="A48" s="103"/>
      <c r="B48" s="12" t="s">
        <v>7</v>
      </c>
      <c r="C48" s="10" t="s">
        <v>229</v>
      </c>
      <c r="D48" s="94"/>
      <c r="E48" s="232">
        <f>'Buvette 1'!H48+'Buvette 2'!H48+'Buvette 3'!H48+'2023'!H48+'Food Genevois'!H48+'Food Bretzel'!H48+'Chalet 1'!H48+'Chalet 2'!H48+'Chalet 3'!H48+Cocktail!H48+'Home Corner'!H48+Visiteur!H48+'Stock Principal'!H48</f>
        <v>4</v>
      </c>
      <c r="F48" s="94"/>
      <c r="G48" s="296">
        <f>SUM('Buvette 1'!G48,'Buvette 2'!G48,'Buvette 3'!G48,'2023'!G48,'Food Genevois'!G48,'Food Bretzel'!G48,'Chalet 1'!G48,'Chalet 2'!G48,'Chalet 3'!G48,Cocktail!G48,'Home Corner'!G48,Visiteur!G48,'Stock Principal'!G48)</f>
        <v>0</v>
      </c>
      <c r="H48" s="95"/>
      <c r="I48" s="10" t="s">
        <v>20</v>
      </c>
      <c r="J48" s="11">
        <v>50</v>
      </c>
      <c r="K48" s="12">
        <f t="shared" si="0"/>
        <v>200</v>
      </c>
    </row>
    <row r="49" spans="1:11" x14ac:dyDescent="0.35">
      <c r="A49" s="103"/>
      <c r="B49" s="12" t="s">
        <v>7</v>
      </c>
      <c r="C49" s="78" t="s">
        <v>206</v>
      </c>
      <c r="D49" s="97"/>
      <c r="E49" s="232">
        <f>'Buvette 1'!H49+'Buvette 2'!H49+'Buvette 3'!H49+'2023'!H49+'Food Genevois'!H49+'Food Bretzel'!H49+'Chalet 1'!H49+'Chalet 2'!H49+'Chalet 3'!H49+Cocktail!H49+'Home Corner'!H49+Visiteur!H49+'Stock Principal'!H49</f>
        <v>0</v>
      </c>
      <c r="F49" s="97"/>
      <c r="G49" s="296">
        <f>SUM('Buvette 1'!G49,'Buvette 2'!G49,'Buvette 3'!G49,'2023'!G49,'Food Genevois'!G49,'Food Bretzel'!G49,'Chalet 1'!G49,'Chalet 2'!G49,'Chalet 3'!G49,Cocktail!G49,'Home Corner'!G49,Visiteur!G49,'Stock Principal'!G49)</f>
        <v>0</v>
      </c>
      <c r="H49" s="95"/>
      <c r="I49" s="10" t="s">
        <v>20</v>
      </c>
      <c r="J49" s="79">
        <v>5</v>
      </c>
      <c r="K49" s="12">
        <f t="shared" si="0"/>
        <v>0</v>
      </c>
    </row>
    <row r="50" spans="1:11" ht="15.5" x14ac:dyDescent="0.35">
      <c r="A50" s="103"/>
      <c r="B50" s="104" t="s">
        <v>230</v>
      </c>
      <c r="C50" s="105"/>
      <c r="D50" s="105"/>
      <c r="E50" s="105"/>
      <c r="F50" s="105"/>
      <c r="G50" s="297"/>
      <c r="H50" s="105"/>
      <c r="I50" s="105"/>
      <c r="J50" s="106" t="s">
        <v>18</v>
      </c>
      <c r="K50" s="270">
        <f>SUM(K52:K77)</f>
        <v>2293.4749999999999</v>
      </c>
    </row>
    <row r="51" spans="1:11" ht="15.5" x14ac:dyDescent="0.35">
      <c r="A51" s="111"/>
      <c r="B51" s="126" t="s">
        <v>231</v>
      </c>
      <c r="C51" s="127"/>
      <c r="D51" s="127"/>
      <c r="E51" s="127"/>
      <c r="F51" s="127"/>
      <c r="G51" s="297"/>
      <c r="H51" s="127"/>
      <c r="I51" s="127"/>
      <c r="J51" s="127"/>
      <c r="K51" s="247"/>
    </row>
    <row r="52" spans="1:11" x14ac:dyDescent="0.35">
      <c r="A52" s="103"/>
      <c r="B52" s="12" t="s">
        <v>13</v>
      </c>
      <c r="C52" s="10" t="s">
        <v>78</v>
      </c>
      <c r="D52" s="94"/>
      <c r="E52" s="232">
        <f>'Buvette 1'!H52+'Buvette 2'!H52+'Buvette 3'!H52+'2023'!H52+'Food Genevois'!H52+'Food Bretzel'!H52+'Chalet 1'!H52+'Chalet 2'!H52+'Chalet 3'!H52+Cocktail!H52+'Home Corner'!H52+Visiteur!H52+'Stock Principal'!H52</f>
        <v>33</v>
      </c>
      <c r="F52" s="94"/>
      <c r="G52" s="296">
        <f>SUM('Buvette 1'!G52,'Buvette 2'!G52,'Buvette 3'!G52,'2023'!G52,'Food Genevois'!G52,'Food Bretzel'!G52,'Chalet 1'!G52,'Chalet 2'!G52,'Chalet 3'!G52,Cocktail!G52,'Home Corner'!G52,Visiteur!G52,'Stock Principal'!G52)</f>
        <v>15</v>
      </c>
      <c r="H52" s="95"/>
      <c r="I52" s="10" t="s">
        <v>20</v>
      </c>
      <c r="J52" s="11">
        <v>13</v>
      </c>
      <c r="K52" s="12">
        <f t="shared" si="0"/>
        <v>429</v>
      </c>
    </row>
    <row r="53" spans="1:11" x14ac:dyDescent="0.35">
      <c r="A53" s="103"/>
      <c r="B53" s="12" t="s">
        <v>13</v>
      </c>
      <c r="C53" s="10" t="s">
        <v>232</v>
      </c>
      <c r="D53" s="94"/>
      <c r="E53" s="232">
        <f>'Buvette 1'!H53+'Buvette 2'!H53+'Buvette 3'!H53+'2023'!H53+'Food Genevois'!H53+'Food Bretzel'!H53+'Chalet 1'!H53+'Chalet 2'!H53+'Chalet 3'!H53+Cocktail!H53+'Home Corner'!H53+Visiteur!H53+'Stock Principal'!H53</f>
        <v>0</v>
      </c>
      <c r="F53" s="94"/>
      <c r="G53" s="296">
        <f>SUM('Buvette 1'!G53,'Buvette 2'!G53,'Buvette 3'!G53,'2023'!G53,'Food Genevois'!G53,'Food Bretzel'!G53,'Chalet 1'!G53,'Chalet 2'!G53,'Chalet 3'!G53,Cocktail!G53,'Home Corner'!G53,Visiteur!G53,'Stock Principal'!G53)</f>
        <v>0</v>
      </c>
      <c r="H53" s="95"/>
      <c r="I53" s="10" t="s">
        <v>20</v>
      </c>
      <c r="J53" s="11">
        <v>13</v>
      </c>
      <c r="K53" s="12">
        <f t="shared" si="0"/>
        <v>0</v>
      </c>
    </row>
    <row r="54" spans="1:11" x14ac:dyDescent="0.35">
      <c r="A54" s="103"/>
      <c r="B54" s="12" t="s">
        <v>13</v>
      </c>
      <c r="C54" s="10" t="s">
        <v>233</v>
      </c>
      <c r="D54" s="94"/>
      <c r="E54" s="232">
        <f>'Buvette 1'!H54+'Buvette 2'!H54+'Buvette 3'!H54+'2023'!H54+'Food Genevois'!H54+'Food Bretzel'!H54+'Chalet 1'!H54+'Chalet 2'!H54+'Chalet 3'!H54+Cocktail!H54+'Home Corner'!H54+Visiteur!H54+'Stock Principal'!H54</f>
        <v>0</v>
      </c>
      <c r="F54" s="94"/>
      <c r="G54" s="296">
        <f>SUM('Buvette 1'!G54,'Buvette 2'!G54,'Buvette 3'!G54,'2023'!G54,'Food Genevois'!G54,'Food Bretzel'!G54,'Chalet 1'!G54,'Chalet 2'!G54,'Chalet 3'!G54,Cocktail!G54,'Home Corner'!G54,Visiteur!G54,'Stock Principal'!G54)</f>
        <v>0</v>
      </c>
      <c r="H54" s="95"/>
      <c r="I54" s="10" t="s">
        <v>20</v>
      </c>
      <c r="J54" s="11">
        <v>8.9</v>
      </c>
      <c r="K54" s="12">
        <f t="shared" si="0"/>
        <v>0</v>
      </c>
    </row>
    <row r="55" spans="1:11" x14ac:dyDescent="0.35">
      <c r="A55" s="103"/>
      <c r="B55" s="12" t="s">
        <v>13</v>
      </c>
      <c r="C55" s="10" t="s">
        <v>32</v>
      </c>
      <c r="D55" s="94"/>
      <c r="E55" s="232">
        <f>'Buvette 1'!H55+'Buvette 2'!H55+'Buvette 3'!H55+'2023'!H55+'Food Genevois'!H55+'Food Bretzel'!H55+'Chalet 1'!H55+'Chalet 2'!H55+'Chalet 3'!H55+Cocktail!H55+'Home Corner'!H55+Visiteur!H55+'Stock Principal'!H55</f>
        <v>46.5</v>
      </c>
      <c r="F55" s="94"/>
      <c r="G55" s="296">
        <f>SUM('Buvette 1'!G55,'Buvette 2'!G55,'Buvette 3'!G55,'2023'!G55,'Food Genevois'!G55,'Food Bretzel'!G55,'Chalet 1'!G55,'Chalet 2'!G55,'Chalet 3'!G55,Cocktail!G55,'Home Corner'!G55,Visiteur!G55,'Stock Principal'!G55)</f>
        <v>22</v>
      </c>
      <c r="H55" s="95"/>
      <c r="I55" s="10" t="s">
        <v>20</v>
      </c>
      <c r="J55" s="11">
        <v>8.35</v>
      </c>
      <c r="K55" s="12">
        <f t="shared" si="0"/>
        <v>388.27499999999998</v>
      </c>
    </row>
    <row r="56" spans="1:11" x14ac:dyDescent="0.35">
      <c r="A56" s="103"/>
      <c r="B56" s="12" t="s">
        <v>13</v>
      </c>
      <c r="C56" s="10" t="s">
        <v>33</v>
      </c>
      <c r="D56" s="94"/>
      <c r="E56" s="232">
        <f>'Buvette 1'!H56+'Buvette 2'!H56+'Buvette 3'!H56+'2023'!H56+'Food Genevois'!H56+'Food Bretzel'!H56+'Chalet 1'!H56+'Chalet 2'!H56+'Chalet 3'!H56+Cocktail!H56+'Home Corner'!H56+Visiteur!H56+'Stock Principal'!H56</f>
        <v>44</v>
      </c>
      <c r="F56" s="94"/>
      <c r="G56" s="296">
        <f>SUM('Buvette 1'!G56,'Buvette 2'!G56,'Buvette 3'!G56,'2023'!G56,'Food Genevois'!G56,'Food Bretzel'!G56,'Chalet 1'!G56,'Chalet 2'!G56,'Chalet 3'!G56,Cocktail!G56,'Home Corner'!G56,Visiteur!G56,'Stock Principal'!G56)</f>
        <v>13</v>
      </c>
      <c r="H56" s="95"/>
      <c r="I56" s="10" t="s">
        <v>20</v>
      </c>
      <c r="J56" s="11">
        <v>8.9</v>
      </c>
      <c r="K56" s="12">
        <f t="shared" si="0"/>
        <v>391.6</v>
      </c>
    </row>
    <row r="57" spans="1:11" x14ac:dyDescent="0.35">
      <c r="A57" s="103"/>
      <c r="B57" s="12" t="s">
        <v>13</v>
      </c>
      <c r="C57" s="10" t="s">
        <v>59</v>
      </c>
      <c r="D57" s="94"/>
      <c r="E57" s="232">
        <f>'Buvette 1'!H57+'Buvette 2'!H57+'Buvette 3'!H57+'2023'!H57+'Food Genevois'!H57+'Food Bretzel'!H57+'Chalet 1'!H57+'Chalet 2'!H57+'Chalet 3'!H57+Cocktail!H57+'Home Corner'!H57+Visiteur!H57+'Stock Principal'!H57</f>
        <v>53</v>
      </c>
      <c r="F57" s="94"/>
      <c r="G57" s="296">
        <f>SUM('Buvette 1'!G57,'Buvette 2'!G57,'Buvette 3'!G57,'2023'!G57,'Food Genevois'!G57,'Food Bretzel'!G57,'Chalet 1'!G57,'Chalet 2'!G57,'Chalet 3'!G57,Cocktail!G57,'Home Corner'!G57,Visiteur!G57,'Stock Principal'!G57)</f>
        <v>2</v>
      </c>
      <c r="H57" s="95"/>
      <c r="I57" s="10" t="s">
        <v>20</v>
      </c>
      <c r="J57" s="11">
        <v>8.6999999999999993</v>
      </c>
      <c r="K57" s="12">
        <f t="shared" si="0"/>
        <v>461.09999999999997</v>
      </c>
    </row>
    <row r="58" spans="1:11" x14ac:dyDescent="0.35">
      <c r="A58" s="103"/>
      <c r="B58" s="12" t="s">
        <v>13</v>
      </c>
      <c r="C58" s="10" t="s">
        <v>234</v>
      </c>
      <c r="D58" s="94"/>
      <c r="E58" s="232">
        <f>'Buvette 1'!H58+'Buvette 2'!H58+'Buvette 3'!H58+'2023'!H58+'Food Genevois'!H58+'Food Bretzel'!H58+'Chalet 1'!H58+'Chalet 2'!H58+'Chalet 3'!H58+Cocktail!H58+'Home Corner'!H58+Visiteur!H58+'Stock Principal'!H58</f>
        <v>0</v>
      </c>
      <c r="F58" s="94"/>
      <c r="G58" s="296">
        <f>SUM('Buvette 1'!G58,'Buvette 2'!G58,'Buvette 3'!G58,'2023'!G58,'Food Genevois'!G58,'Food Bretzel'!G58,'Chalet 1'!G58,'Chalet 2'!G58,'Chalet 3'!G58,Cocktail!G58,'Home Corner'!G58,Visiteur!G58,'Stock Principal'!G58)</f>
        <v>0</v>
      </c>
      <c r="H58" s="95"/>
      <c r="I58" s="10" t="s">
        <v>20</v>
      </c>
      <c r="J58" s="11">
        <v>12.15</v>
      </c>
      <c r="K58" s="12">
        <f t="shared" si="0"/>
        <v>0</v>
      </c>
    </row>
    <row r="59" spans="1:11" x14ac:dyDescent="0.35">
      <c r="A59" s="103"/>
      <c r="B59" s="12" t="s">
        <v>13</v>
      </c>
      <c r="C59" s="10" t="s">
        <v>235</v>
      </c>
      <c r="D59" s="94"/>
      <c r="E59" s="232">
        <f>'Buvette 1'!H59+'Buvette 2'!H59+'Buvette 3'!H59+'2023'!H59+'Food Genevois'!H59+'Food Bretzel'!H59+'Chalet 1'!H59+'Chalet 2'!H59+'Chalet 3'!H59+Cocktail!H59+'Home Corner'!H59+Visiteur!H59+'Stock Principal'!H59</f>
        <v>13</v>
      </c>
      <c r="F59" s="94"/>
      <c r="G59" s="296">
        <f>SUM('Buvette 1'!G59,'Buvette 2'!G59,'Buvette 3'!G59,'2023'!G59,'Food Genevois'!G59,'Food Bretzel'!G59,'Chalet 1'!G59,'Chalet 2'!G59,'Chalet 3'!G59,Cocktail!G59,'Home Corner'!G59,Visiteur!G59,'Stock Principal'!G59)</f>
        <v>37</v>
      </c>
      <c r="H59" s="95"/>
      <c r="I59" s="10" t="s">
        <v>20</v>
      </c>
      <c r="J59" s="11">
        <v>11.35</v>
      </c>
      <c r="K59" s="12">
        <f t="shared" si="0"/>
        <v>147.54999999999998</v>
      </c>
    </row>
    <row r="60" spans="1:11" x14ac:dyDescent="0.35">
      <c r="A60" s="103"/>
      <c r="B60" s="12" t="s">
        <v>13</v>
      </c>
      <c r="C60" s="10" t="s">
        <v>236</v>
      </c>
      <c r="D60" s="94"/>
      <c r="E60" s="232">
        <f>'Buvette 1'!H60+'Buvette 2'!H60+'Buvette 3'!H60+'2023'!H60+'Food Genevois'!H60+'Food Bretzel'!H60+'Chalet 1'!H60+'Chalet 2'!H60+'Chalet 3'!H60+Cocktail!H60+'Home Corner'!H60+Visiteur!H60+'Stock Principal'!H60</f>
        <v>0</v>
      </c>
      <c r="F60" s="94"/>
      <c r="G60" s="296">
        <f>SUM('Buvette 1'!G60,'Buvette 2'!G60,'Buvette 3'!G60,'2023'!G60,'Food Genevois'!G60,'Food Bretzel'!G60,'Chalet 1'!G60,'Chalet 2'!G60,'Chalet 3'!G60,Cocktail!G60,'Home Corner'!G60,Visiteur!G60,'Stock Principal'!G60)</f>
        <v>0</v>
      </c>
      <c r="H60" s="95"/>
      <c r="I60" s="10" t="s">
        <v>20</v>
      </c>
      <c r="J60" s="11">
        <v>14.65</v>
      </c>
      <c r="K60" s="12">
        <f t="shared" si="0"/>
        <v>0</v>
      </c>
    </row>
    <row r="61" spans="1:11" x14ac:dyDescent="0.35">
      <c r="A61" s="103"/>
      <c r="B61" s="12" t="s">
        <v>13</v>
      </c>
      <c r="C61" s="10" t="s">
        <v>237</v>
      </c>
      <c r="D61" s="94"/>
      <c r="E61" s="232">
        <f>'Buvette 1'!H61+'Buvette 2'!H61+'Buvette 3'!H61+'2023'!H61+'Food Genevois'!H61+'Food Bretzel'!H61+'Chalet 1'!H61+'Chalet 2'!H61+'Chalet 3'!H61+Cocktail!H61+'Home Corner'!H61+Visiteur!H61+'Stock Principal'!H61</f>
        <v>0</v>
      </c>
      <c r="F61" s="94"/>
      <c r="G61" s="296">
        <f>SUM('Buvette 1'!G61,'Buvette 2'!G61,'Buvette 3'!G61,'2023'!G61,'Food Genevois'!G61,'Food Bretzel'!G61,'Chalet 1'!G61,'Chalet 2'!G61,'Chalet 3'!G61,Cocktail!G61,'Home Corner'!G61,Visiteur!G61,'Stock Principal'!G61)</f>
        <v>0</v>
      </c>
      <c r="H61" s="95"/>
      <c r="I61" s="10" t="s">
        <v>20</v>
      </c>
      <c r="J61" s="11">
        <v>16.25</v>
      </c>
      <c r="K61" s="12">
        <f t="shared" si="0"/>
        <v>0</v>
      </c>
    </row>
    <row r="62" spans="1:11" x14ac:dyDescent="0.35">
      <c r="A62" s="103"/>
      <c r="B62" s="12" t="s">
        <v>13</v>
      </c>
      <c r="C62" s="10" t="s">
        <v>238</v>
      </c>
      <c r="D62" s="94"/>
      <c r="E62" s="232">
        <f>'Buvette 1'!H62+'Buvette 2'!H62+'Buvette 3'!H62+'2023'!H62+'Food Genevois'!H62+'Food Bretzel'!H62+'Chalet 1'!H62+'Chalet 2'!H62+'Chalet 3'!H62+Cocktail!H62+'Home Corner'!H62+Visiteur!H62+'Stock Principal'!H62</f>
        <v>0</v>
      </c>
      <c r="F62" s="94"/>
      <c r="G62" s="296">
        <f>SUM('Buvette 1'!G62,'Buvette 2'!G62,'Buvette 3'!G62,'2023'!G62,'Food Genevois'!G62,'Food Bretzel'!G62,'Chalet 1'!G62,'Chalet 2'!G62,'Chalet 3'!G62,Cocktail!G62,'Home Corner'!G62,Visiteur!G62,'Stock Principal'!G62)</f>
        <v>0</v>
      </c>
      <c r="H62" s="95"/>
      <c r="I62" s="10" t="s">
        <v>20</v>
      </c>
      <c r="J62" s="11">
        <v>17.899999999999999</v>
      </c>
      <c r="K62" s="12">
        <f t="shared" si="0"/>
        <v>0</v>
      </c>
    </row>
    <row r="63" spans="1:11" x14ac:dyDescent="0.35">
      <c r="A63" s="103"/>
      <c r="B63" s="12" t="s">
        <v>13</v>
      </c>
      <c r="C63" s="10" t="s">
        <v>239</v>
      </c>
      <c r="D63" s="94"/>
      <c r="E63" s="232">
        <f>'Buvette 1'!H63+'Buvette 2'!H63+'Buvette 3'!H63+'2023'!H63+'Food Genevois'!H63+'Food Bretzel'!H63+'Chalet 1'!H63+'Chalet 2'!H63+'Chalet 3'!H63+Cocktail!H63+'Home Corner'!H63+Visiteur!H63+'Stock Principal'!H63</f>
        <v>24</v>
      </c>
      <c r="F63" s="94"/>
      <c r="G63" s="296">
        <f>SUM('Buvette 1'!G63,'Buvette 2'!G63,'Buvette 3'!G63,'2023'!G63,'Food Genevois'!G63,'Food Bretzel'!G63,'Chalet 1'!G63,'Chalet 2'!G63,'Chalet 3'!G63,Cocktail!G63,'Home Corner'!G63,Visiteur!G63,'Stock Principal'!G63)</f>
        <v>32</v>
      </c>
      <c r="H63" s="95"/>
      <c r="I63" s="10" t="s">
        <v>20</v>
      </c>
      <c r="J63" s="11">
        <v>15.95</v>
      </c>
      <c r="K63" s="12">
        <f t="shared" si="0"/>
        <v>382.79999999999995</v>
      </c>
    </row>
    <row r="64" spans="1:11" x14ac:dyDescent="0.35">
      <c r="A64" s="103"/>
      <c r="B64" s="12" t="s">
        <v>13</v>
      </c>
      <c r="C64" s="10" t="s">
        <v>240</v>
      </c>
      <c r="D64" s="94"/>
      <c r="E64" s="232">
        <f>'Buvette 1'!H64+'Buvette 2'!H64+'Buvette 3'!H64+'2023'!H64+'Food Genevois'!H64+'Food Bretzel'!H64+'Chalet 1'!H64+'Chalet 2'!H64+'Chalet 3'!H64+Cocktail!H64+'Home Corner'!H64+Visiteur!H64+'Stock Principal'!H64</f>
        <v>0</v>
      </c>
      <c r="F64" s="94"/>
      <c r="G64" s="296">
        <f>SUM('Buvette 1'!G64,'Buvette 2'!G64,'Buvette 3'!G64,'2023'!G64,'Food Genevois'!G64,'Food Bretzel'!G64,'Chalet 1'!G64,'Chalet 2'!G64,'Chalet 3'!G64,Cocktail!G64,'Home Corner'!G64,Visiteur!G64,'Stock Principal'!G64)</f>
        <v>0</v>
      </c>
      <c r="H64" s="95"/>
      <c r="I64" s="10" t="s">
        <v>20</v>
      </c>
      <c r="J64" s="11">
        <v>15.45</v>
      </c>
      <c r="K64" s="12">
        <f t="shared" si="0"/>
        <v>0</v>
      </c>
    </row>
    <row r="65" spans="1:11" ht="15.5" x14ac:dyDescent="0.35">
      <c r="A65" s="111"/>
      <c r="B65" s="126" t="s">
        <v>241</v>
      </c>
      <c r="C65" s="127"/>
      <c r="D65" s="127"/>
      <c r="E65" s="127"/>
      <c r="F65" s="127"/>
      <c r="G65" s="297"/>
      <c r="H65" s="127"/>
      <c r="I65" s="127"/>
      <c r="J65" s="127"/>
      <c r="K65" s="270"/>
    </row>
    <row r="66" spans="1:11" x14ac:dyDescent="0.35">
      <c r="A66" s="103"/>
      <c r="B66" s="12" t="s">
        <v>13</v>
      </c>
      <c r="C66" s="10" t="s">
        <v>242</v>
      </c>
      <c r="D66" s="94"/>
      <c r="E66" s="232">
        <f>'Buvette 1'!H66+'Buvette 2'!H66+'Buvette 3'!H66+'2023'!H66+'Food Genevois'!H66+'Food Bretzel'!H66+'Chalet 1'!H66+'Chalet 2'!H66+'Chalet 3'!H66+Cocktail!H66+'Home Corner'!H66+Visiteur!H66+'Stock Principal'!H66</f>
        <v>3</v>
      </c>
      <c r="F66" s="94"/>
      <c r="G66" s="296">
        <f>SUM('Buvette 1'!G66,'Buvette 2'!G66,'Buvette 3'!G66,'2023'!G66,'Food Genevois'!G66,'Food Bretzel'!G66,'Chalet 1'!G66,'Chalet 2'!G66,'Chalet 3'!G66,Cocktail!G66,'Home Corner'!G66,Visiteur!G66,'Stock Principal'!G66)</f>
        <v>3</v>
      </c>
      <c r="H66" s="95"/>
      <c r="I66" s="10" t="s">
        <v>20</v>
      </c>
      <c r="J66" s="11">
        <v>31.05</v>
      </c>
      <c r="K66" s="12">
        <f t="shared" si="0"/>
        <v>93.15</v>
      </c>
    </row>
    <row r="67" spans="1:11" x14ac:dyDescent="0.35">
      <c r="A67" s="103"/>
      <c r="B67" s="12" t="s">
        <v>13</v>
      </c>
      <c r="C67" s="10" t="s">
        <v>243</v>
      </c>
      <c r="D67" s="94"/>
      <c r="E67" s="232">
        <f>'Buvette 1'!H67+'Buvette 2'!H67+'Buvette 3'!H67+'2023'!H67+'Food Genevois'!H67+'Food Bretzel'!H67+'Chalet 1'!H67+'Chalet 2'!H67+'Chalet 3'!H67+Cocktail!H67+'Home Corner'!H67+Visiteur!H67+'Stock Principal'!H67</f>
        <v>0</v>
      </c>
      <c r="F67" s="94"/>
      <c r="G67" s="296">
        <f>SUM('Buvette 1'!G67,'Buvette 2'!G67,'Buvette 3'!G67,'2023'!G67,'Food Genevois'!G67,'Food Bretzel'!G67,'Chalet 1'!G67,'Chalet 2'!G67,'Chalet 3'!G67,Cocktail!G67,'Home Corner'!G67,Visiteur!G67,'Stock Principal'!G67)</f>
        <v>0</v>
      </c>
      <c r="H67" s="95"/>
      <c r="I67" s="10" t="s">
        <v>20</v>
      </c>
      <c r="J67" s="11">
        <v>60.79</v>
      </c>
      <c r="K67" s="12">
        <f t="shared" si="0"/>
        <v>0</v>
      </c>
    </row>
    <row r="68" spans="1:11" x14ac:dyDescent="0.35">
      <c r="A68" s="103"/>
      <c r="B68" s="12" t="s">
        <v>13</v>
      </c>
      <c r="C68" s="10" t="s">
        <v>244</v>
      </c>
      <c r="D68" s="94"/>
      <c r="E68" s="232">
        <f>'Buvette 1'!H68+'Buvette 2'!H68+'Buvette 3'!H68+'2023'!H68+'Food Genevois'!H68+'Food Bretzel'!H68+'Chalet 1'!H68+'Chalet 2'!H68+'Chalet 3'!H68+Cocktail!H68+'Home Corner'!H68+Visiteur!H68+'Stock Principal'!H68</f>
        <v>0</v>
      </c>
      <c r="F68" s="94"/>
      <c r="G68" s="296">
        <f>SUM('Buvette 1'!G68,'Buvette 2'!G68,'Buvette 3'!G68,'2023'!G68,'Food Genevois'!G68,'Food Bretzel'!G68,'Chalet 1'!G68,'Chalet 2'!G68,'Chalet 3'!G68,Cocktail!G68,'Home Corner'!G68,Visiteur!G68,'Stock Principal'!G68)</f>
        <v>2</v>
      </c>
      <c r="H68" s="95"/>
      <c r="I68" s="10" t="s">
        <v>20</v>
      </c>
      <c r="J68" s="11">
        <v>56.55</v>
      </c>
      <c r="K68" s="12">
        <f t="shared" si="0"/>
        <v>0</v>
      </c>
    </row>
    <row r="69" spans="1:11" x14ac:dyDescent="0.35">
      <c r="A69" s="103"/>
      <c r="B69" s="12" t="s">
        <v>13</v>
      </c>
      <c r="C69" s="10" t="s">
        <v>245</v>
      </c>
      <c r="D69" s="94"/>
      <c r="E69" s="232">
        <f>'Buvette 1'!H69+'Buvette 2'!H69+'Buvette 3'!H69+'2023'!H69+'Food Genevois'!H69+'Food Bretzel'!H69+'Chalet 1'!H69+'Chalet 2'!H69+'Chalet 3'!H69+Cocktail!H69+'Home Corner'!H69+Visiteur!H69+'Stock Principal'!H69</f>
        <v>0</v>
      </c>
      <c r="F69" s="94"/>
      <c r="G69" s="296">
        <f>SUM('Buvette 1'!G69,'Buvette 2'!G69,'Buvette 3'!G69,'2023'!G69,'Food Genevois'!G69,'Food Bretzel'!G69,'Chalet 1'!G69,'Chalet 2'!G69,'Chalet 3'!G69,Cocktail!G69,'Home Corner'!G69,Visiteur!G69,'Stock Principal'!G69)</f>
        <v>0</v>
      </c>
      <c r="H69" s="95"/>
      <c r="I69" s="10" t="s">
        <v>20</v>
      </c>
      <c r="J69" s="11">
        <v>107.44</v>
      </c>
      <c r="K69" s="12">
        <f t="shared" si="0"/>
        <v>0</v>
      </c>
    </row>
    <row r="70" spans="1:11" x14ac:dyDescent="0.35">
      <c r="A70" s="103"/>
      <c r="B70" s="12" t="s">
        <v>13</v>
      </c>
      <c r="C70" s="10" t="s">
        <v>246</v>
      </c>
      <c r="D70" s="94"/>
      <c r="E70" s="232">
        <f>'Buvette 1'!H70+'Buvette 2'!H70+'Buvette 3'!H70+'2023'!H70+'Food Genevois'!H70+'Food Bretzel'!H70+'Chalet 1'!H70+'Chalet 2'!H70+'Chalet 3'!H70+Cocktail!H70+'Home Corner'!H70+Visiteur!H70+'Stock Principal'!H70</f>
        <v>0</v>
      </c>
      <c r="F70" s="94"/>
      <c r="G70" s="296">
        <f>SUM('Buvette 1'!G70,'Buvette 2'!G70,'Buvette 3'!G70,'2023'!G70,'Food Genevois'!G70,'Food Bretzel'!G70,'Chalet 1'!G70,'Chalet 2'!G70,'Chalet 3'!G70,Cocktail!G70,'Home Corner'!G70,Visiteur!G70,'Stock Principal'!G70)</f>
        <v>0</v>
      </c>
      <c r="H70" s="95"/>
      <c r="I70" s="10" t="s">
        <v>20</v>
      </c>
      <c r="J70" s="11">
        <v>47.4</v>
      </c>
      <c r="K70" s="12">
        <f t="shared" si="0"/>
        <v>0</v>
      </c>
    </row>
    <row r="71" spans="1:11" x14ac:dyDescent="0.35">
      <c r="A71" s="103"/>
      <c r="B71" s="12" t="s">
        <v>13</v>
      </c>
      <c r="C71" s="10" t="s">
        <v>247</v>
      </c>
      <c r="D71" s="94"/>
      <c r="E71" s="232">
        <f>'Buvette 1'!H71+'Buvette 2'!H71+'Buvette 3'!H71+'2023'!H71+'Food Genevois'!H71+'Food Bretzel'!H71+'Chalet 1'!H71+'Chalet 2'!H71+'Chalet 3'!H71+Cocktail!H71+'Home Corner'!H71+Visiteur!H71+'Stock Principal'!H71</f>
        <v>0</v>
      </c>
      <c r="F71" s="94"/>
      <c r="G71" s="296">
        <f>SUM('Buvette 1'!G71,'Buvette 2'!G71,'Buvette 3'!G71,'2023'!G71,'Food Genevois'!G71,'Food Bretzel'!G71,'Chalet 1'!G71,'Chalet 2'!G71,'Chalet 3'!G71,Cocktail!G71,'Home Corner'!G71,Visiteur!G71,'Stock Principal'!G71)</f>
        <v>0</v>
      </c>
      <c r="H71" s="95"/>
      <c r="I71" s="10" t="s">
        <v>20</v>
      </c>
      <c r="J71" s="11">
        <v>87.63</v>
      </c>
      <c r="K71" s="12">
        <f t="shared" si="0"/>
        <v>0</v>
      </c>
    </row>
    <row r="72" spans="1:11" x14ac:dyDescent="0.35">
      <c r="A72" s="103"/>
      <c r="B72" s="12" t="s">
        <v>13</v>
      </c>
      <c r="C72" s="10" t="s">
        <v>248</v>
      </c>
      <c r="D72" s="94"/>
      <c r="E72" s="232">
        <f>'Buvette 1'!H72+'Buvette 2'!H72+'Buvette 3'!H72+'2023'!H72+'Food Genevois'!H72+'Food Bretzel'!H72+'Chalet 1'!H72+'Chalet 2'!H72+'Chalet 3'!H72+Cocktail!H72+'Home Corner'!H72+Visiteur!H72+'Stock Principal'!H72</f>
        <v>0</v>
      </c>
      <c r="F72" s="94"/>
      <c r="G72" s="296">
        <f>SUM('Buvette 1'!G72,'Buvette 2'!G72,'Buvette 3'!G72,'2023'!G72,'Food Genevois'!G72,'Food Bretzel'!G72,'Chalet 1'!G72,'Chalet 2'!G72,'Chalet 3'!G72,Cocktail!G72,'Home Corner'!G72,Visiteur!G72,'Stock Principal'!G72)</f>
        <v>0</v>
      </c>
      <c r="H72" s="95"/>
      <c r="I72" s="10" t="s">
        <v>20</v>
      </c>
      <c r="J72" s="11">
        <v>52.31</v>
      </c>
      <c r="K72" s="12">
        <f t="shared" si="0"/>
        <v>0</v>
      </c>
    </row>
    <row r="73" spans="1:11" ht="15.5" x14ac:dyDescent="0.35">
      <c r="A73" s="111"/>
      <c r="B73" s="126" t="s">
        <v>249</v>
      </c>
      <c r="C73" s="127"/>
      <c r="D73" s="127"/>
      <c r="E73" s="127"/>
      <c r="F73" s="127"/>
      <c r="G73" s="297"/>
      <c r="H73" s="127"/>
      <c r="I73" s="127"/>
      <c r="J73" s="127"/>
      <c r="K73" s="270"/>
    </row>
    <row r="74" spans="1:11" x14ac:dyDescent="0.35">
      <c r="A74" s="103"/>
      <c r="B74" s="12" t="s">
        <v>13</v>
      </c>
      <c r="C74" s="10" t="s">
        <v>250</v>
      </c>
      <c r="D74" s="94"/>
      <c r="E74" s="232">
        <f>'Buvette 1'!H74+'Buvette 2'!H74+'Buvette 3'!H74+'2023'!H74+'Food Genevois'!H74+'Food Bretzel'!H74+'Chalet 1'!H74+'Chalet 2'!H74+'Chalet 3'!H74+Cocktail!H74+'Home Corner'!H74+Visiteur!H74+'Stock Principal'!H74</f>
        <v>0</v>
      </c>
      <c r="F74" s="94"/>
      <c r="G74" s="296">
        <f>SUM('Buvette 1'!G74,'Buvette 2'!G74,'Buvette 3'!G74,'2023'!G74,'Food Genevois'!G74,'Food Bretzel'!G74,'Chalet 1'!G74,'Chalet 2'!G74,'Chalet 3'!G74,Cocktail!G74,'Home Corner'!G74,Visiteur!G74,'Stock Principal'!G74)</f>
        <v>0</v>
      </c>
      <c r="H74" s="95"/>
      <c r="I74" s="10" t="s">
        <v>20</v>
      </c>
      <c r="J74" s="11">
        <v>10.8</v>
      </c>
      <c r="K74" s="12">
        <f t="shared" si="0"/>
        <v>0</v>
      </c>
    </row>
    <row r="75" spans="1:11" x14ac:dyDescent="0.35">
      <c r="A75" s="103"/>
      <c r="B75" s="12" t="s">
        <v>13</v>
      </c>
      <c r="C75" s="10" t="s">
        <v>251</v>
      </c>
      <c r="D75" s="94"/>
      <c r="E75" s="232">
        <f>'Buvette 1'!H75+'Buvette 2'!H75+'Buvette 3'!H75+'2023'!H75+'Food Genevois'!H75+'Food Bretzel'!H75+'Chalet 1'!H75+'Chalet 2'!H75+'Chalet 3'!H75+Cocktail!H75+'Home Corner'!H75+Visiteur!H75+'Stock Principal'!H75</f>
        <v>0</v>
      </c>
      <c r="F75" s="94"/>
      <c r="G75" s="296">
        <f>SUM('Buvette 1'!G75,'Buvette 2'!G75,'Buvette 3'!G75,'2023'!G75,'Food Genevois'!G75,'Food Bretzel'!G75,'Chalet 1'!G75,'Chalet 2'!G75,'Chalet 3'!G75,Cocktail!G75,'Home Corner'!G75,Visiteur!G75,'Stock Principal'!G75)</f>
        <v>0</v>
      </c>
      <c r="H75" s="95"/>
      <c r="I75" s="10" t="s">
        <v>20</v>
      </c>
      <c r="J75" s="11">
        <v>11.2</v>
      </c>
      <c r="K75" s="12">
        <f t="shared" si="0"/>
        <v>0</v>
      </c>
    </row>
    <row r="76" spans="1:11" x14ac:dyDescent="0.35">
      <c r="A76" s="103"/>
      <c r="B76" s="12" t="s">
        <v>13</v>
      </c>
      <c r="C76" s="10" t="s">
        <v>252</v>
      </c>
      <c r="D76" s="94"/>
      <c r="E76" s="232">
        <f>'Buvette 1'!H76+'Buvette 2'!H76+'Buvette 3'!H76+'2023'!H76+'Food Genevois'!H76+'Food Bretzel'!H76+'Chalet 1'!H76+'Chalet 2'!H76+'Chalet 3'!H76+Cocktail!H76+'Home Corner'!H76+Visiteur!H76+'Stock Principal'!H76</f>
        <v>0</v>
      </c>
      <c r="F76" s="94"/>
      <c r="G76" s="296">
        <f>SUM('Buvette 1'!G76,'Buvette 2'!G76,'Buvette 3'!G76,'2023'!G76,'Food Genevois'!G76,'Food Bretzel'!G76,'Chalet 1'!G76,'Chalet 2'!G76,'Chalet 3'!G76,Cocktail!G76,'Home Corner'!G76,Visiteur!G76,'Stock Principal'!G76)</f>
        <v>0</v>
      </c>
      <c r="H76" s="95"/>
      <c r="I76" s="10" t="s">
        <v>23</v>
      </c>
      <c r="J76" s="11">
        <v>4.5599999999999996</v>
      </c>
      <c r="K76" s="12">
        <f t="shared" si="0"/>
        <v>0</v>
      </c>
    </row>
    <row r="77" spans="1:11" x14ac:dyDescent="0.35">
      <c r="A77" s="103"/>
      <c r="B77" s="12" t="s">
        <v>13</v>
      </c>
      <c r="C77" s="10" t="s">
        <v>253</v>
      </c>
      <c r="D77" s="94"/>
      <c r="E77" s="232">
        <f>'Buvette 1'!H77+'Buvette 2'!H77+'Buvette 3'!H77+'2023'!H77+'Food Genevois'!H77+'Food Bretzel'!H77+'Chalet 1'!H77+'Chalet 2'!H77+'Chalet 3'!H77+Cocktail!H77+'Home Corner'!H77+Visiteur!H77+'Stock Principal'!H77</f>
        <v>0</v>
      </c>
      <c r="F77" s="94"/>
      <c r="G77" s="296">
        <f>SUM('Buvette 1'!G77,'Buvette 2'!G77,'Buvette 3'!G77,'2023'!G77,'Food Genevois'!G77,'Food Bretzel'!G77,'Chalet 1'!G77,'Chalet 2'!G77,'Chalet 3'!G77,Cocktail!G77,'Home Corner'!G77,Visiteur!G77,'Stock Principal'!G77)</f>
        <v>0</v>
      </c>
      <c r="H77" s="95"/>
      <c r="I77" s="10" t="s">
        <v>23</v>
      </c>
      <c r="J77" s="11">
        <v>37.700000000000003</v>
      </c>
      <c r="K77" s="12">
        <f t="shared" si="0"/>
        <v>0</v>
      </c>
    </row>
    <row r="78" spans="1:11" ht="15.5" x14ac:dyDescent="0.35">
      <c r="A78" s="108" t="s">
        <v>254</v>
      </c>
      <c r="B78" s="108"/>
      <c r="C78" s="108"/>
      <c r="D78" s="108"/>
      <c r="E78" s="108"/>
      <c r="F78" s="108"/>
      <c r="G78" s="297"/>
      <c r="H78" s="108"/>
      <c r="I78" s="108"/>
      <c r="J78" s="110" t="s">
        <v>18</v>
      </c>
      <c r="K78" s="270">
        <f>SUM(K79:K121)</f>
        <v>293.14999999999998</v>
      </c>
    </row>
    <row r="79" spans="1:11" ht="15.5" x14ac:dyDescent="0.35">
      <c r="A79" s="111"/>
      <c r="B79" s="126" t="s">
        <v>255</v>
      </c>
      <c r="C79" s="127"/>
      <c r="D79" s="127"/>
      <c r="E79" s="127"/>
      <c r="F79" s="127"/>
      <c r="G79" s="297"/>
      <c r="H79" s="127"/>
      <c r="I79" s="127"/>
      <c r="J79" s="127"/>
      <c r="K79" s="247"/>
    </row>
    <row r="80" spans="1:11" x14ac:dyDescent="0.35">
      <c r="A80" s="103"/>
      <c r="B80" s="12" t="s">
        <v>3</v>
      </c>
      <c r="C80" s="10" t="s">
        <v>256</v>
      </c>
      <c r="D80" s="94"/>
      <c r="E80" s="232">
        <f>'Buvette 1'!H80+'Buvette 2'!H80+'Buvette 3'!H80+'2023'!H80+'Food Genevois'!H80+'Food Bretzel'!H80+'Chalet 1'!H80+'Chalet 2'!H80+'Chalet 3'!H80+Cocktail!H80+'Home Corner'!H80+Visiteur!H80+'Stock Principal'!H80</f>
        <v>0</v>
      </c>
      <c r="F80" s="94"/>
      <c r="G80" s="296">
        <f>SUM('Buvette 1'!G80,'Buvette 2'!G80,'Buvette 3'!G80,'2023'!G80,'Food Genevois'!G80,'Food Bretzel'!G80,'Chalet 1'!G80,'Chalet 2'!G80,'Chalet 3'!G80,Cocktail!G80,'Home Corner'!G80,Visiteur!G80,'Stock Principal'!G80)</f>
        <v>0</v>
      </c>
      <c r="H80" s="95"/>
      <c r="I80" s="10" t="s">
        <v>20</v>
      </c>
      <c r="J80" s="11">
        <v>32.950000000000003</v>
      </c>
      <c r="K80" s="12">
        <f t="shared" si="0"/>
        <v>0</v>
      </c>
    </row>
    <row r="81" spans="1:11" x14ac:dyDescent="0.35">
      <c r="A81" s="103"/>
      <c r="B81" s="12" t="s">
        <v>3</v>
      </c>
      <c r="C81" s="10" t="s">
        <v>257</v>
      </c>
      <c r="D81" s="94"/>
      <c r="E81" s="232">
        <f>'Buvette 1'!H81+'Buvette 2'!H81+'Buvette 3'!H81+'2023'!H81+'Food Genevois'!H81+'Food Bretzel'!H81+'Chalet 1'!H81+'Chalet 2'!H81+'Chalet 3'!H81+Cocktail!H81+'Home Corner'!H81+Visiteur!H81+'Stock Principal'!H81</f>
        <v>0</v>
      </c>
      <c r="F81" s="94"/>
      <c r="G81" s="296">
        <f>SUM('Buvette 1'!G81,'Buvette 2'!G81,'Buvette 3'!G81,'2023'!G81,'Food Genevois'!G81,'Food Bretzel'!G81,'Chalet 1'!G81,'Chalet 2'!G81,'Chalet 3'!G81,Cocktail!G81,'Home Corner'!G81,Visiteur!G81,'Stock Principal'!G81)</f>
        <v>0</v>
      </c>
      <c r="H81" s="95"/>
      <c r="I81" s="10" t="s">
        <v>20</v>
      </c>
      <c r="J81" s="11">
        <v>56.95</v>
      </c>
      <c r="K81" s="12">
        <f t="shared" si="0"/>
        <v>0</v>
      </c>
    </row>
    <row r="82" spans="1:11" x14ac:dyDescent="0.35">
      <c r="A82" s="103"/>
      <c r="B82" s="12" t="s">
        <v>3</v>
      </c>
      <c r="C82" s="10" t="s">
        <v>258</v>
      </c>
      <c r="D82" s="94"/>
      <c r="E82" s="232">
        <f>'Buvette 1'!H82+'Buvette 2'!H82+'Buvette 3'!H82+'2023'!H82+'Food Genevois'!H82+'Food Bretzel'!H82+'Chalet 1'!H82+'Chalet 2'!H82+'Chalet 3'!H82+Cocktail!H82+'Home Corner'!H82+Visiteur!H82+'Stock Principal'!H82</f>
        <v>0</v>
      </c>
      <c r="F82" s="94"/>
      <c r="G82" s="296">
        <f>SUM('Buvette 1'!G82,'Buvette 2'!G82,'Buvette 3'!G82,'2023'!G82,'Food Genevois'!G82,'Food Bretzel'!G82,'Chalet 1'!G82,'Chalet 2'!G82,'Chalet 3'!G82,Cocktail!G82,'Home Corner'!G82,Visiteur!G82,'Stock Principal'!G82)</f>
        <v>0</v>
      </c>
      <c r="H82" s="95"/>
      <c r="I82" s="10" t="s">
        <v>20</v>
      </c>
      <c r="J82" s="11">
        <v>15.95</v>
      </c>
      <c r="K82" s="12">
        <f t="shared" si="0"/>
        <v>0</v>
      </c>
    </row>
    <row r="83" spans="1:11" x14ac:dyDescent="0.35">
      <c r="A83" s="103"/>
      <c r="B83" s="12" t="s">
        <v>3</v>
      </c>
      <c r="C83" s="10" t="s">
        <v>259</v>
      </c>
      <c r="D83" s="94"/>
      <c r="E83" s="232">
        <f>'Buvette 1'!H83+'Buvette 2'!H83+'Buvette 3'!H83+'2023'!H83+'Food Genevois'!H83+'Food Bretzel'!H83+'Chalet 1'!H83+'Chalet 2'!H83+'Chalet 3'!H83+Cocktail!H83+'Home Corner'!H83+Visiteur!H83+'Stock Principal'!H83</f>
        <v>0</v>
      </c>
      <c r="F83" s="94"/>
      <c r="G83" s="296">
        <f>SUM('Buvette 1'!G83,'Buvette 2'!G83,'Buvette 3'!G83,'2023'!G83,'Food Genevois'!G83,'Food Bretzel'!G83,'Chalet 1'!G83,'Chalet 2'!G83,'Chalet 3'!G83,Cocktail!G83,'Home Corner'!G83,Visiteur!G83,'Stock Principal'!G83)</f>
        <v>0</v>
      </c>
      <c r="H83" s="95"/>
      <c r="I83" s="10" t="s">
        <v>20</v>
      </c>
      <c r="J83" s="11">
        <v>19.95</v>
      </c>
      <c r="K83" s="12">
        <f t="shared" si="0"/>
        <v>0</v>
      </c>
    </row>
    <row r="84" spans="1:11" x14ac:dyDescent="0.35">
      <c r="A84" s="103"/>
      <c r="B84" s="12" t="s">
        <v>3</v>
      </c>
      <c r="C84" s="10" t="s">
        <v>260</v>
      </c>
      <c r="D84" s="94"/>
      <c r="E84" s="232">
        <f>'Buvette 1'!H84+'Buvette 2'!H84+'Buvette 3'!H84+'2023'!H84+'Food Genevois'!H84+'Food Bretzel'!H84+'Chalet 1'!H84+'Chalet 2'!H84+'Chalet 3'!H84+Cocktail!H84+'Home Corner'!H84+Visiteur!H84+'Stock Principal'!H84</f>
        <v>0</v>
      </c>
      <c r="F84" s="94"/>
      <c r="G84" s="296">
        <f>SUM('Buvette 1'!G84,'Buvette 2'!G84,'Buvette 3'!G84,'2023'!G84,'Food Genevois'!G84,'Food Bretzel'!G84,'Chalet 1'!G84,'Chalet 2'!G84,'Chalet 3'!G84,Cocktail!G84,'Home Corner'!G84,Visiteur!G84,'Stock Principal'!G84)</f>
        <v>0</v>
      </c>
      <c r="H84" s="95"/>
      <c r="I84" s="10" t="s">
        <v>20</v>
      </c>
      <c r="J84" s="11">
        <v>46.95</v>
      </c>
      <c r="K84" s="12">
        <f t="shared" si="0"/>
        <v>0</v>
      </c>
    </row>
    <row r="85" spans="1:11" x14ac:dyDescent="0.35">
      <c r="A85" s="103"/>
      <c r="B85" s="12" t="s">
        <v>3</v>
      </c>
      <c r="C85" s="10" t="s">
        <v>261</v>
      </c>
      <c r="D85" s="94"/>
      <c r="E85" s="232">
        <f>'Buvette 1'!H85+'Buvette 2'!H85+'Buvette 3'!H85+'2023'!H85+'Food Genevois'!H85+'Food Bretzel'!H85+'Chalet 1'!H85+'Chalet 2'!H85+'Chalet 3'!H85+Cocktail!H85+'Home Corner'!H85+Visiteur!H85+'Stock Principal'!H85</f>
        <v>0</v>
      </c>
      <c r="F85" s="94"/>
      <c r="G85" s="296">
        <f>SUM('Buvette 1'!G85,'Buvette 2'!G85,'Buvette 3'!G85,'2023'!G85,'Food Genevois'!G85,'Food Bretzel'!G85,'Chalet 1'!G85,'Chalet 2'!G85,'Chalet 3'!G85,Cocktail!G85,'Home Corner'!G85,Visiteur!G85,'Stock Principal'!G85)</f>
        <v>0</v>
      </c>
      <c r="H85" s="95"/>
      <c r="I85" s="10" t="s">
        <v>20</v>
      </c>
      <c r="J85" s="11">
        <v>34.950000000000003</v>
      </c>
      <c r="K85" s="12">
        <f t="shared" si="0"/>
        <v>0</v>
      </c>
    </row>
    <row r="86" spans="1:11" x14ac:dyDescent="0.35">
      <c r="A86" s="103"/>
      <c r="B86" s="12" t="s">
        <v>3</v>
      </c>
      <c r="C86" s="10" t="s">
        <v>262</v>
      </c>
      <c r="D86" s="94"/>
      <c r="E86" s="232">
        <f>'Buvette 1'!H86+'Buvette 2'!H86+'Buvette 3'!H86+'2023'!H86+'Food Genevois'!H86+'Food Bretzel'!H86+'Chalet 1'!H86+'Chalet 2'!H86+'Chalet 3'!H86+Cocktail!H86+'Home Corner'!H86+Visiteur!H86+'Stock Principal'!H86</f>
        <v>0</v>
      </c>
      <c r="F86" s="94"/>
      <c r="G86" s="296">
        <f>SUM('Buvette 1'!G86,'Buvette 2'!G86,'Buvette 3'!G86,'2023'!G86,'Food Genevois'!G86,'Food Bretzel'!G86,'Chalet 1'!G86,'Chalet 2'!G86,'Chalet 3'!G86,Cocktail!G86,'Home Corner'!G86,Visiteur!G86,'Stock Principal'!G86)</f>
        <v>0</v>
      </c>
      <c r="H86" s="95"/>
      <c r="I86" s="10" t="s">
        <v>20</v>
      </c>
      <c r="J86" s="11">
        <v>24.95</v>
      </c>
      <c r="K86" s="12">
        <f t="shared" si="0"/>
        <v>0</v>
      </c>
    </row>
    <row r="87" spans="1:11" ht="15.5" x14ac:dyDescent="0.35">
      <c r="A87" s="111"/>
      <c r="B87" s="126" t="s">
        <v>263</v>
      </c>
      <c r="C87" s="127"/>
      <c r="D87" s="127"/>
      <c r="E87" s="127"/>
      <c r="F87" s="127"/>
      <c r="G87" s="297"/>
      <c r="H87" s="127"/>
      <c r="I87" s="127"/>
      <c r="J87" s="127"/>
      <c r="K87" s="270"/>
    </row>
    <row r="88" spans="1:11" x14ac:dyDescent="0.35">
      <c r="A88" s="103"/>
      <c r="B88" s="12" t="s">
        <v>3</v>
      </c>
      <c r="C88" s="10" t="s">
        <v>264</v>
      </c>
      <c r="D88" s="94"/>
      <c r="E88" s="232">
        <f>'Buvette 1'!H88+'Buvette 2'!H88+'Buvette 3'!H88+'2023'!H88+'Food Genevois'!H88+'Food Bretzel'!H88+'Chalet 1'!H88+'Chalet 2'!H88+'Chalet 3'!H88+Cocktail!H88+'Home Corner'!H88+Visiteur!H88+'Stock Principal'!H88</f>
        <v>0</v>
      </c>
      <c r="F88" s="94"/>
      <c r="G88" s="296">
        <f>SUM('Buvette 1'!G88,'Buvette 2'!G88,'Buvette 3'!G88,'2023'!G88,'Food Genevois'!G88,'Food Bretzel'!G88,'Chalet 1'!G88,'Chalet 2'!G88,'Chalet 3'!G88,Cocktail!G88,'Home Corner'!G88,Visiteur!G88,'Stock Principal'!G88)</f>
        <v>0</v>
      </c>
      <c r="H88" s="95"/>
      <c r="I88" s="10" t="s">
        <v>20</v>
      </c>
      <c r="J88" s="11">
        <v>19.5</v>
      </c>
      <c r="K88" s="12">
        <f t="shared" si="0"/>
        <v>0</v>
      </c>
    </row>
    <row r="89" spans="1:11" x14ac:dyDescent="0.35">
      <c r="A89" s="103"/>
      <c r="B89" s="12" t="s">
        <v>3</v>
      </c>
      <c r="C89" s="10" t="s">
        <v>265</v>
      </c>
      <c r="D89" s="94"/>
      <c r="E89" s="232">
        <f>'Buvette 1'!H89+'Buvette 2'!H89+'Buvette 3'!H89+'2023'!H89+'Food Genevois'!H89+'Food Bretzel'!H89+'Chalet 1'!H89+'Chalet 2'!H89+'Chalet 3'!H89+Cocktail!H89+'Home Corner'!H89+Visiteur!H89+'Stock Principal'!H89</f>
        <v>0</v>
      </c>
      <c r="F89" s="94"/>
      <c r="G89" s="296">
        <f>SUM('Buvette 1'!G89,'Buvette 2'!G89,'Buvette 3'!G89,'2023'!G89,'Food Genevois'!G89,'Food Bretzel'!G89,'Chalet 1'!G89,'Chalet 2'!G89,'Chalet 3'!G89,Cocktail!G89,'Home Corner'!G89,Visiteur!G89,'Stock Principal'!G89)</f>
        <v>0</v>
      </c>
      <c r="H89" s="95"/>
      <c r="I89" s="10" t="s">
        <v>20</v>
      </c>
      <c r="J89" s="11">
        <v>16.95</v>
      </c>
      <c r="K89" s="12">
        <f t="shared" ref="K89:K151" si="1">E89*J89</f>
        <v>0</v>
      </c>
    </row>
    <row r="90" spans="1:11" x14ac:dyDescent="0.35">
      <c r="A90" s="103"/>
      <c r="B90" s="12" t="s">
        <v>3</v>
      </c>
      <c r="C90" s="10" t="s">
        <v>266</v>
      </c>
      <c r="D90" s="94"/>
      <c r="E90" s="232">
        <f>'Buvette 1'!H90+'Buvette 2'!H90+'Buvette 3'!H90+'2023'!H90+'Food Genevois'!H90+'Food Bretzel'!H90+'Chalet 1'!H90+'Chalet 2'!H90+'Chalet 3'!H90+Cocktail!H90+'Home Corner'!H90+Visiteur!H90+'Stock Principal'!H90</f>
        <v>1</v>
      </c>
      <c r="F90" s="94"/>
      <c r="G90" s="296">
        <f>SUM('Buvette 1'!G90,'Buvette 2'!G90,'Buvette 3'!G90,'2023'!G90,'Food Genevois'!G90,'Food Bretzel'!G90,'Chalet 1'!G90,'Chalet 2'!G90,'Chalet 3'!G90,Cocktail!G90,'Home Corner'!G90,Visiteur!G90,'Stock Principal'!G90)</f>
        <v>0</v>
      </c>
      <c r="H90" s="95"/>
      <c r="I90" s="10" t="s">
        <v>20</v>
      </c>
      <c r="J90" s="11">
        <v>17.95</v>
      </c>
      <c r="K90" s="12">
        <f t="shared" si="1"/>
        <v>17.95</v>
      </c>
    </row>
    <row r="91" spans="1:11" x14ac:dyDescent="0.35">
      <c r="A91" s="103"/>
      <c r="B91" s="12" t="s">
        <v>3</v>
      </c>
      <c r="C91" s="10" t="s">
        <v>267</v>
      </c>
      <c r="D91" s="94"/>
      <c r="E91" s="232">
        <f>'Buvette 1'!H91+'Buvette 2'!H91+'Buvette 3'!H91+'2023'!H91+'Food Genevois'!H91+'Food Bretzel'!H91+'Chalet 1'!H91+'Chalet 2'!H91+'Chalet 3'!H91+Cocktail!H91+'Home Corner'!H91+Visiteur!H91+'Stock Principal'!H91</f>
        <v>2</v>
      </c>
      <c r="F91" s="94"/>
      <c r="G91" s="296">
        <f>SUM('Buvette 1'!G91,'Buvette 2'!G91,'Buvette 3'!G91,'2023'!G91,'Food Genevois'!G91,'Food Bretzel'!G91,'Chalet 1'!G91,'Chalet 2'!G91,'Chalet 3'!G91,Cocktail!G91,'Home Corner'!G91,Visiteur!G91,'Stock Principal'!G91)</f>
        <v>0</v>
      </c>
      <c r="H91" s="95"/>
      <c r="I91" s="10" t="s">
        <v>20</v>
      </c>
      <c r="J91" s="11">
        <v>15.95</v>
      </c>
      <c r="K91" s="12">
        <f t="shared" si="1"/>
        <v>31.9</v>
      </c>
    </row>
    <row r="92" spans="1:11" x14ac:dyDescent="0.35">
      <c r="A92" s="103"/>
      <c r="B92" s="12" t="s">
        <v>3</v>
      </c>
      <c r="C92" s="10" t="s">
        <v>268</v>
      </c>
      <c r="D92" s="94"/>
      <c r="E92" s="232">
        <f>'Buvette 1'!H92+'Buvette 2'!H92+'Buvette 3'!H92+'2023'!H92+'Food Genevois'!H92+'Food Bretzel'!H92+'Chalet 1'!H92+'Chalet 2'!H92+'Chalet 3'!H92+Cocktail!H92+'Home Corner'!H92+Visiteur!H92+'Stock Principal'!H92</f>
        <v>0</v>
      </c>
      <c r="F92" s="94"/>
      <c r="G92" s="296">
        <f>SUM('Buvette 1'!G92,'Buvette 2'!G92,'Buvette 3'!G92,'2023'!G92,'Food Genevois'!G92,'Food Bretzel'!G92,'Chalet 1'!G92,'Chalet 2'!G92,'Chalet 3'!G92,Cocktail!G92,'Home Corner'!G92,Visiteur!G92,'Stock Principal'!G92)</f>
        <v>0</v>
      </c>
      <c r="H92" s="95"/>
      <c r="I92" s="10" t="s">
        <v>20</v>
      </c>
      <c r="J92" s="11">
        <v>20.95</v>
      </c>
      <c r="K92" s="12">
        <f t="shared" si="1"/>
        <v>0</v>
      </c>
    </row>
    <row r="93" spans="1:11" x14ac:dyDescent="0.35">
      <c r="A93" s="103"/>
      <c r="B93" s="12" t="s">
        <v>3</v>
      </c>
      <c r="C93" s="10" t="s">
        <v>269</v>
      </c>
      <c r="D93" s="94"/>
      <c r="E93" s="232">
        <f>'Buvette 1'!H93+'Buvette 2'!H93+'Buvette 3'!H93+'2023'!H93+'Food Genevois'!H93+'Food Bretzel'!H93+'Chalet 1'!H93+'Chalet 2'!H93+'Chalet 3'!H93+Cocktail!H93+'Home Corner'!H93+Visiteur!H93+'Stock Principal'!H93</f>
        <v>0</v>
      </c>
      <c r="F93" s="94"/>
      <c r="G93" s="296">
        <f>SUM('Buvette 1'!G93,'Buvette 2'!G93,'Buvette 3'!G93,'2023'!G93,'Food Genevois'!G93,'Food Bretzel'!G93,'Chalet 1'!G93,'Chalet 2'!G93,'Chalet 3'!G93,Cocktail!G93,'Home Corner'!G93,Visiteur!G93,'Stock Principal'!G93)</f>
        <v>0</v>
      </c>
      <c r="H93" s="95"/>
      <c r="I93" s="10" t="s">
        <v>20</v>
      </c>
      <c r="J93" s="11">
        <v>26.95</v>
      </c>
      <c r="K93" s="12">
        <f t="shared" si="1"/>
        <v>0</v>
      </c>
    </row>
    <row r="94" spans="1:11" x14ac:dyDescent="0.35">
      <c r="A94" s="103"/>
      <c r="B94" s="12" t="s">
        <v>3</v>
      </c>
      <c r="C94" s="10" t="s">
        <v>270</v>
      </c>
      <c r="D94" s="94"/>
      <c r="E94" s="232">
        <f>'Buvette 1'!H94+'Buvette 2'!H94+'Buvette 3'!H94+'2023'!H94+'Food Genevois'!H94+'Food Bretzel'!H94+'Chalet 1'!H94+'Chalet 2'!H94+'Chalet 3'!H94+Cocktail!H94+'Home Corner'!H94+Visiteur!H94+'Stock Principal'!H94</f>
        <v>0</v>
      </c>
      <c r="F94" s="94"/>
      <c r="G94" s="296">
        <f>SUM('Buvette 1'!G94,'Buvette 2'!G94,'Buvette 3'!G94,'2023'!G94,'Food Genevois'!G94,'Food Bretzel'!G94,'Chalet 1'!G94,'Chalet 2'!G94,'Chalet 3'!G94,Cocktail!G94,'Home Corner'!G94,Visiteur!G94,'Stock Principal'!G94)</f>
        <v>0</v>
      </c>
      <c r="H94" s="95"/>
      <c r="I94" s="10" t="s">
        <v>20</v>
      </c>
      <c r="J94" s="11">
        <v>26.95</v>
      </c>
      <c r="K94" s="12">
        <f t="shared" si="1"/>
        <v>0</v>
      </c>
    </row>
    <row r="95" spans="1:11" ht="15.5" x14ac:dyDescent="0.35">
      <c r="A95" s="111"/>
      <c r="B95" s="126" t="s">
        <v>271</v>
      </c>
      <c r="C95" s="127"/>
      <c r="D95" s="127"/>
      <c r="E95" s="127"/>
      <c r="F95" s="127"/>
      <c r="G95" s="297"/>
      <c r="H95" s="127"/>
      <c r="I95" s="127"/>
      <c r="J95" s="127"/>
      <c r="K95" s="270"/>
    </row>
    <row r="96" spans="1:11" x14ac:dyDescent="0.35">
      <c r="A96" s="103"/>
      <c r="B96" s="12" t="s">
        <v>3</v>
      </c>
      <c r="C96" s="10" t="s">
        <v>272</v>
      </c>
      <c r="D96" s="94"/>
      <c r="E96" s="232">
        <f>'Buvette 1'!H96+'Buvette 2'!H96+'Buvette 3'!H96+'2023'!H96+'Food Genevois'!H96+'Food Bretzel'!H96+'Chalet 1'!H96+'Chalet 2'!H96+'Chalet 3'!H96+Cocktail!H96+'Home Corner'!H96+Visiteur!H96+'Stock Principal'!H96</f>
        <v>0</v>
      </c>
      <c r="F96" s="94"/>
      <c r="G96" s="296">
        <f>SUM('Buvette 1'!G96,'Buvette 2'!G96,'Buvette 3'!G96,'2023'!G96,'Food Genevois'!G96,'Food Bretzel'!G96,'Chalet 1'!G96,'Chalet 2'!G96,'Chalet 3'!G96,Cocktail!G96,'Home Corner'!G96,Visiteur!G96,'Stock Principal'!G96)</f>
        <v>0</v>
      </c>
      <c r="H96" s="95"/>
      <c r="I96" s="10" t="s">
        <v>20</v>
      </c>
      <c r="J96" s="11">
        <v>20.95</v>
      </c>
      <c r="K96" s="12">
        <f t="shared" si="1"/>
        <v>0</v>
      </c>
    </row>
    <row r="97" spans="1:11" x14ac:dyDescent="0.35">
      <c r="A97" s="103"/>
      <c r="B97" s="12" t="s">
        <v>3</v>
      </c>
      <c r="C97" s="10" t="s">
        <v>273</v>
      </c>
      <c r="D97" s="94"/>
      <c r="E97" s="232">
        <f>'Buvette 1'!H97+'Buvette 2'!H97+'Buvette 3'!H97+'2023'!H97+'Food Genevois'!H97+'Food Bretzel'!H97+'Chalet 1'!H97+'Chalet 2'!H97+'Chalet 3'!H97+Cocktail!H97+'Home Corner'!H97+Visiteur!H97+'Stock Principal'!H97</f>
        <v>2</v>
      </c>
      <c r="F97" s="94"/>
      <c r="G97" s="296">
        <f>SUM('Buvette 1'!G97,'Buvette 2'!G97,'Buvette 3'!G97,'2023'!G97,'Food Genevois'!G97,'Food Bretzel'!G97,'Chalet 1'!G97,'Chalet 2'!G97,'Chalet 3'!G97,Cocktail!G97,'Home Corner'!G97,Visiteur!G97,'Stock Principal'!G97)</f>
        <v>0</v>
      </c>
      <c r="H97" s="95"/>
      <c r="I97" s="10" t="s">
        <v>20</v>
      </c>
      <c r="J97" s="11">
        <v>23.95</v>
      </c>
      <c r="K97" s="12">
        <f t="shared" si="1"/>
        <v>47.9</v>
      </c>
    </row>
    <row r="98" spans="1:11" x14ac:dyDescent="0.35">
      <c r="A98" s="103"/>
      <c r="B98" s="12" t="s">
        <v>3</v>
      </c>
      <c r="C98" s="10" t="s">
        <v>274</v>
      </c>
      <c r="D98" s="94"/>
      <c r="E98" s="232">
        <f>'Buvette 1'!H98+'Buvette 2'!H98+'Buvette 3'!H98+'2023'!H98+'Food Genevois'!H98+'Food Bretzel'!H98+'Chalet 1'!H98+'Chalet 2'!H98+'Chalet 3'!H98+Cocktail!H98+'Home Corner'!H98+Visiteur!H98+'Stock Principal'!H98</f>
        <v>0</v>
      </c>
      <c r="F98" s="94"/>
      <c r="G98" s="296">
        <f>SUM('Buvette 1'!G98,'Buvette 2'!G98,'Buvette 3'!G98,'2023'!G98,'Food Genevois'!G98,'Food Bretzel'!G98,'Chalet 1'!G98,'Chalet 2'!G98,'Chalet 3'!G98,Cocktail!G98,'Home Corner'!G98,Visiteur!G98,'Stock Principal'!G98)</f>
        <v>0</v>
      </c>
      <c r="H98" s="95"/>
      <c r="I98" s="10" t="s">
        <v>20</v>
      </c>
      <c r="J98" s="11">
        <v>22.5</v>
      </c>
      <c r="K98" s="12">
        <f t="shared" si="1"/>
        <v>0</v>
      </c>
    </row>
    <row r="99" spans="1:11" x14ac:dyDescent="0.35">
      <c r="A99" s="103"/>
      <c r="B99" s="12" t="s">
        <v>3</v>
      </c>
      <c r="C99" s="10" t="s">
        <v>275</v>
      </c>
      <c r="D99" s="94"/>
      <c r="E99" s="232">
        <f>'Buvette 1'!H99+'Buvette 2'!H99+'Buvette 3'!H99+'2023'!H99+'Food Genevois'!H99+'Food Bretzel'!H99+'Chalet 1'!H99+'Chalet 2'!H99+'Chalet 3'!H99+Cocktail!H99+'Home Corner'!H99+Visiteur!H99+'Stock Principal'!H99</f>
        <v>0</v>
      </c>
      <c r="F99" s="94"/>
      <c r="G99" s="296">
        <f>SUM('Buvette 1'!G99,'Buvette 2'!G99,'Buvette 3'!G99,'2023'!G99,'Food Genevois'!G99,'Food Bretzel'!G99,'Chalet 1'!G99,'Chalet 2'!G99,'Chalet 3'!G99,Cocktail!G99,'Home Corner'!G99,Visiteur!G99,'Stock Principal'!G99)</f>
        <v>0</v>
      </c>
      <c r="H99" s="95"/>
      <c r="I99" s="10" t="s">
        <v>20</v>
      </c>
      <c r="J99" s="11">
        <v>29.95</v>
      </c>
      <c r="K99" s="12">
        <f t="shared" si="1"/>
        <v>0</v>
      </c>
    </row>
    <row r="100" spans="1:11" ht="15.5" x14ac:dyDescent="0.35">
      <c r="A100" s="111"/>
      <c r="B100" s="126" t="s">
        <v>276</v>
      </c>
      <c r="C100" s="127"/>
      <c r="D100" s="127"/>
      <c r="E100" s="127"/>
      <c r="F100" s="127"/>
      <c r="G100" s="297"/>
      <c r="H100" s="127"/>
      <c r="I100" s="127"/>
      <c r="J100" s="127"/>
      <c r="K100" s="270"/>
    </row>
    <row r="101" spans="1:11" x14ac:dyDescent="0.35">
      <c r="A101" s="103"/>
      <c r="B101" s="12" t="s">
        <v>3</v>
      </c>
      <c r="C101" s="10" t="s">
        <v>277</v>
      </c>
      <c r="D101" s="94"/>
      <c r="E101" s="232">
        <f>'Buvette 1'!H101+'Buvette 2'!H101+'Buvette 3'!H101+'2023'!H101+'Food Genevois'!H101+'Food Bretzel'!H101+'Chalet 1'!H101+'Chalet 2'!H101+'Chalet 3'!H101+Cocktail!H101+'Home Corner'!H101+Visiteur!H101+'Stock Principal'!H101</f>
        <v>3</v>
      </c>
      <c r="F101" s="94"/>
      <c r="G101" s="296">
        <f>SUM('Buvette 1'!G101,'Buvette 2'!G101,'Buvette 3'!G101,'2023'!G101,'Food Genevois'!G101,'Food Bretzel'!G101,'Chalet 1'!G101,'Chalet 2'!G101,'Chalet 3'!G101,Cocktail!G101,'Home Corner'!G101,Visiteur!G101,'Stock Principal'!G101)</f>
        <v>0</v>
      </c>
      <c r="H101" s="95"/>
      <c r="I101" s="10" t="s">
        <v>20</v>
      </c>
      <c r="J101" s="11">
        <v>17.95</v>
      </c>
      <c r="K101" s="12">
        <f t="shared" si="1"/>
        <v>53.849999999999994</v>
      </c>
    </row>
    <row r="102" spans="1:11" x14ac:dyDescent="0.35">
      <c r="A102" s="103"/>
      <c r="B102" s="12" t="s">
        <v>3</v>
      </c>
      <c r="C102" s="10" t="s">
        <v>278</v>
      </c>
      <c r="D102" s="94"/>
      <c r="E102" s="232">
        <f>'Buvette 1'!H102+'Buvette 2'!H102+'Buvette 3'!H102+'2023'!H102+'Food Genevois'!H102+'Food Bretzel'!H102+'Chalet 1'!H102+'Chalet 2'!H102+'Chalet 3'!H102+Cocktail!H102+'Home Corner'!H102+Visiteur!H102+'Stock Principal'!H102</f>
        <v>0</v>
      </c>
      <c r="F102" s="94"/>
      <c r="G102" s="296">
        <f>SUM('Buvette 1'!G102,'Buvette 2'!G102,'Buvette 3'!G102,'2023'!G102,'Food Genevois'!G102,'Food Bretzel'!G102,'Chalet 1'!G102,'Chalet 2'!G102,'Chalet 3'!G102,Cocktail!G102,'Home Corner'!G102,Visiteur!G102,'Stock Principal'!G102)</f>
        <v>1</v>
      </c>
      <c r="H102" s="95"/>
      <c r="I102" s="10" t="s">
        <v>20</v>
      </c>
      <c r="J102" s="11">
        <v>20.95</v>
      </c>
      <c r="K102" s="12">
        <f t="shared" si="1"/>
        <v>0</v>
      </c>
    </row>
    <row r="103" spans="1:11" x14ac:dyDescent="0.35">
      <c r="A103" s="103"/>
      <c r="B103" s="12" t="s">
        <v>3</v>
      </c>
      <c r="C103" s="10" t="s">
        <v>279</v>
      </c>
      <c r="D103" s="94"/>
      <c r="E103" s="232">
        <f>'Buvette 1'!H103+'Buvette 2'!H103+'Buvette 3'!H103+'2023'!H103+'Food Genevois'!H103+'Food Bretzel'!H103+'Chalet 1'!H103+'Chalet 2'!H103+'Chalet 3'!H103+Cocktail!H103+'Home Corner'!H103+Visiteur!H103+'Stock Principal'!H103</f>
        <v>0</v>
      </c>
      <c r="F103" s="94"/>
      <c r="G103" s="296">
        <f>SUM('Buvette 1'!G103,'Buvette 2'!G103,'Buvette 3'!G103,'2023'!G103,'Food Genevois'!G103,'Food Bretzel'!G103,'Chalet 1'!G103,'Chalet 2'!G103,'Chalet 3'!G103,Cocktail!G103,'Home Corner'!G103,Visiteur!G103,'Stock Principal'!G103)</f>
        <v>0</v>
      </c>
      <c r="H103" s="95"/>
      <c r="I103" s="10" t="s">
        <v>20</v>
      </c>
      <c r="J103" s="11">
        <v>19.95</v>
      </c>
      <c r="K103" s="12">
        <f t="shared" si="1"/>
        <v>0</v>
      </c>
    </row>
    <row r="104" spans="1:11" x14ac:dyDescent="0.35">
      <c r="A104" s="103"/>
      <c r="B104" s="40" t="s">
        <v>3</v>
      </c>
      <c r="C104" s="41" t="s">
        <v>280</v>
      </c>
      <c r="D104" s="98"/>
      <c r="E104" s="232">
        <f>'Buvette 1'!H104+'Buvette 2'!H104+'Buvette 3'!H104+'2023'!H104+'Food Genevois'!H104+'Food Bretzel'!H104+'Chalet 1'!H104+'Chalet 2'!H104+'Chalet 3'!H104+Cocktail!H104+'Home Corner'!H104+Visiteur!H104+'Stock Principal'!H104</f>
        <v>0</v>
      </c>
      <c r="F104" s="98"/>
      <c r="G104" s="296">
        <f>SUM('Buvette 1'!G104,'Buvette 2'!G104,'Buvette 3'!G104,'2023'!G104,'Food Genevois'!G104,'Food Bretzel'!G104,'Chalet 1'!G104,'Chalet 2'!G104,'Chalet 3'!G104,Cocktail!G104,'Home Corner'!G104,Visiteur!G104,'Stock Principal'!G104)</f>
        <v>0</v>
      </c>
      <c r="H104" s="145"/>
      <c r="I104" s="41" t="s">
        <v>20</v>
      </c>
      <c r="J104" s="42">
        <v>59.95</v>
      </c>
      <c r="K104" s="12">
        <f t="shared" si="1"/>
        <v>0</v>
      </c>
    </row>
    <row r="105" spans="1:11" ht="15.5" x14ac:dyDescent="0.35">
      <c r="A105" s="111"/>
      <c r="B105" s="126" t="s">
        <v>281</v>
      </c>
      <c r="C105" s="127"/>
      <c r="D105" s="127"/>
      <c r="E105" s="127"/>
      <c r="F105" s="127"/>
      <c r="G105" s="297"/>
      <c r="H105" s="127"/>
      <c r="I105" s="127"/>
      <c r="J105" s="127"/>
      <c r="K105" s="270"/>
    </row>
    <row r="106" spans="1:11" x14ac:dyDescent="0.35">
      <c r="A106" s="103"/>
      <c r="B106" s="12" t="s">
        <v>3</v>
      </c>
      <c r="C106" s="10" t="s">
        <v>282</v>
      </c>
      <c r="D106" s="94"/>
      <c r="E106" s="232">
        <f>'Buvette 1'!H106+'Buvette 2'!H106+'Buvette 3'!H106+'2023'!H106+'Food Genevois'!H106+'Food Bretzel'!H106+'Chalet 1'!H106+'Chalet 2'!H106+'Chalet 3'!H106+Cocktail!H106+'Home Corner'!H106+Visiteur!H106+'Stock Principal'!H106</f>
        <v>0</v>
      </c>
      <c r="F106" s="94"/>
      <c r="G106" s="296">
        <f>SUM('Buvette 1'!G106,'Buvette 2'!G106,'Buvette 3'!G106,'2023'!G106,'Food Genevois'!G106,'Food Bretzel'!G106,'Chalet 1'!G106,'Chalet 2'!G106,'Chalet 3'!G106,Cocktail!G106,'Home Corner'!G106,Visiteur!G106,'Stock Principal'!G106)</f>
        <v>0</v>
      </c>
      <c r="H106" s="95"/>
      <c r="I106" s="10" t="s">
        <v>20</v>
      </c>
      <c r="J106" s="11">
        <v>54.95</v>
      </c>
      <c r="K106" s="12">
        <f t="shared" si="1"/>
        <v>0</v>
      </c>
    </row>
    <row r="107" spans="1:11" x14ac:dyDescent="0.35">
      <c r="A107" s="103"/>
      <c r="B107" s="12" t="s">
        <v>3</v>
      </c>
      <c r="C107" s="10" t="s">
        <v>283</v>
      </c>
      <c r="D107" s="94"/>
      <c r="E107" s="232">
        <f>'Buvette 1'!H107+'Buvette 2'!H107+'Buvette 3'!H107+'2023'!H107+'Food Genevois'!H107+'Food Bretzel'!H107+'Chalet 1'!H107+'Chalet 2'!H107+'Chalet 3'!H107+Cocktail!H107+'Home Corner'!H107+Visiteur!H107+'Stock Principal'!H107</f>
        <v>0</v>
      </c>
      <c r="F107" s="94"/>
      <c r="G107" s="296">
        <f>SUM('Buvette 1'!G107,'Buvette 2'!G107,'Buvette 3'!G107,'2023'!G107,'Food Genevois'!G107,'Food Bretzel'!G107,'Chalet 1'!G107,'Chalet 2'!G107,'Chalet 3'!G107,Cocktail!G107,'Home Corner'!G107,Visiteur!G107,'Stock Principal'!G107)</f>
        <v>0</v>
      </c>
      <c r="H107" s="95"/>
      <c r="I107" s="10" t="s">
        <v>20</v>
      </c>
      <c r="J107" s="11">
        <v>49.95</v>
      </c>
      <c r="K107" s="12">
        <f t="shared" si="1"/>
        <v>0</v>
      </c>
    </row>
    <row r="108" spans="1:11" ht="15.5" x14ac:dyDescent="0.35">
      <c r="A108" s="111"/>
      <c r="B108" s="126" t="s">
        <v>284</v>
      </c>
      <c r="C108" s="127"/>
      <c r="D108" s="127"/>
      <c r="E108" s="127"/>
      <c r="F108" s="127"/>
      <c r="G108" s="297"/>
      <c r="H108" s="127"/>
      <c r="I108" s="127"/>
      <c r="J108" s="127"/>
      <c r="K108" s="270"/>
    </row>
    <row r="109" spans="1:11" x14ac:dyDescent="0.35">
      <c r="A109" s="103"/>
      <c r="B109" s="12" t="s">
        <v>3</v>
      </c>
      <c r="C109" s="10" t="s">
        <v>285</v>
      </c>
      <c r="D109" s="94"/>
      <c r="E109" s="232">
        <f>'Buvette 1'!H109+'Buvette 2'!H109+'Buvette 3'!H109+'2023'!H109+'Food Genevois'!H109+'Food Bretzel'!H109+'Chalet 1'!H109+'Chalet 2'!H109+'Chalet 3'!H109+Cocktail!H109+'Home Corner'!H109+Visiteur!H109+'Stock Principal'!H109</f>
        <v>0</v>
      </c>
      <c r="F109" s="94"/>
      <c r="G109" s="296">
        <f>SUM('Buvette 1'!G109,'Buvette 2'!G109,'Buvette 3'!G109,'2023'!G109,'Food Genevois'!G109,'Food Bretzel'!G109,'Chalet 1'!G109,'Chalet 2'!G109,'Chalet 3'!G109,Cocktail!G109,'Home Corner'!G109,Visiteur!G109,'Stock Principal'!G109)</f>
        <v>1</v>
      </c>
      <c r="H109" s="95"/>
      <c r="I109" s="10" t="s">
        <v>20</v>
      </c>
      <c r="J109" s="11">
        <v>41.5</v>
      </c>
      <c r="K109" s="12">
        <f t="shared" si="1"/>
        <v>0</v>
      </c>
    </row>
    <row r="110" spans="1:11" x14ac:dyDescent="0.35">
      <c r="A110" s="103"/>
      <c r="B110" s="12" t="s">
        <v>3</v>
      </c>
      <c r="C110" s="10" t="s">
        <v>286</v>
      </c>
      <c r="D110" s="94"/>
      <c r="E110" s="232">
        <f>'Buvette 1'!H110+'Buvette 2'!H110+'Buvette 3'!H110+'2023'!H110+'Food Genevois'!H110+'Food Bretzel'!H110+'Chalet 1'!H110+'Chalet 2'!H110+'Chalet 3'!H110+Cocktail!H110+'Home Corner'!H110+Visiteur!H110+'Stock Principal'!H110</f>
        <v>0</v>
      </c>
      <c r="F110" s="94"/>
      <c r="G110" s="296">
        <f>SUM('Buvette 1'!G110,'Buvette 2'!G110,'Buvette 3'!G110,'2023'!G110,'Food Genevois'!G110,'Food Bretzel'!G110,'Chalet 1'!G110,'Chalet 2'!G110,'Chalet 3'!G110,Cocktail!G110,'Home Corner'!G110,Visiteur!G110,'Stock Principal'!G110)</f>
        <v>0</v>
      </c>
      <c r="H110" s="95"/>
      <c r="I110" s="10" t="s">
        <v>20</v>
      </c>
      <c r="J110" s="11">
        <v>36.200000000000003</v>
      </c>
      <c r="K110" s="12">
        <f t="shared" si="1"/>
        <v>0</v>
      </c>
    </row>
    <row r="111" spans="1:11" x14ac:dyDescent="0.35">
      <c r="A111" s="103"/>
      <c r="B111" s="12" t="s">
        <v>3</v>
      </c>
      <c r="C111" s="10" t="s">
        <v>287</v>
      </c>
      <c r="D111" s="94"/>
      <c r="E111" s="232">
        <f>'Buvette 1'!H111+'Buvette 2'!H111+'Buvette 3'!H111+'2023'!H111+'Food Genevois'!H111+'Food Bretzel'!H111+'Chalet 1'!H111+'Chalet 2'!H111+'Chalet 3'!H111+Cocktail!H111+'Home Corner'!H111+Visiteur!H111+'Stock Principal'!H111</f>
        <v>0</v>
      </c>
      <c r="F111" s="94"/>
      <c r="G111" s="296">
        <f>SUM('Buvette 1'!G111,'Buvette 2'!G111,'Buvette 3'!G111,'2023'!G111,'Food Genevois'!G111,'Food Bretzel'!G111,'Chalet 1'!G111,'Chalet 2'!G111,'Chalet 3'!G111,Cocktail!G111,'Home Corner'!G111,Visiteur!G111,'Stock Principal'!G111)</f>
        <v>0</v>
      </c>
      <c r="H111" s="95"/>
      <c r="I111" s="10" t="s">
        <v>20</v>
      </c>
      <c r="J111" s="11">
        <v>25.95</v>
      </c>
      <c r="K111" s="12">
        <f t="shared" si="1"/>
        <v>0</v>
      </c>
    </row>
    <row r="112" spans="1:11" x14ac:dyDescent="0.35">
      <c r="A112" s="103"/>
      <c r="B112" s="12" t="s">
        <v>3</v>
      </c>
      <c r="C112" s="10" t="s">
        <v>288</v>
      </c>
      <c r="D112" s="94"/>
      <c r="E112" s="232">
        <f>'Buvette 1'!H112+'Buvette 2'!H112+'Buvette 3'!H112+'2023'!H112+'Food Genevois'!H112+'Food Bretzel'!H112+'Chalet 1'!H112+'Chalet 2'!H112+'Chalet 3'!H112+Cocktail!H112+'Home Corner'!H112+Visiteur!H112+'Stock Principal'!H112</f>
        <v>0</v>
      </c>
      <c r="F112" s="94"/>
      <c r="G112" s="296">
        <f>SUM('Buvette 1'!G112,'Buvette 2'!G112,'Buvette 3'!G112,'2023'!G112,'Food Genevois'!G112,'Food Bretzel'!G112,'Chalet 1'!G112,'Chalet 2'!G112,'Chalet 3'!G112,Cocktail!G112,'Home Corner'!G112,Visiteur!G112,'Stock Principal'!G112)</f>
        <v>0</v>
      </c>
      <c r="H112" s="95"/>
      <c r="I112" s="10" t="s">
        <v>20</v>
      </c>
      <c r="J112" s="11">
        <v>32.799999999999997</v>
      </c>
      <c r="K112" s="12">
        <f t="shared" si="1"/>
        <v>0</v>
      </c>
    </row>
    <row r="113" spans="1:11" x14ac:dyDescent="0.35">
      <c r="A113" s="103"/>
      <c r="B113" s="12" t="s">
        <v>3</v>
      </c>
      <c r="C113" s="10" t="s">
        <v>289</v>
      </c>
      <c r="D113" s="94"/>
      <c r="E113" s="232">
        <f>'Buvette 1'!H113+'Buvette 2'!H113+'Buvette 3'!H113+'2023'!H113+'Food Genevois'!H113+'Food Bretzel'!H113+'Chalet 1'!H113+'Chalet 2'!H113+'Chalet 3'!H113+Cocktail!H113+'Home Corner'!H113+Visiteur!H113+'Stock Principal'!H113</f>
        <v>0</v>
      </c>
      <c r="F113" s="94"/>
      <c r="G113" s="296">
        <f>SUM('Buvette 1'!G113,'Buvette 2'!G113,'Buvette 3'!G113,'2023'!G113,'Food Genevois'!G113,'Food Bretzel'!G113,'Chalet 1'!G113,'Chalet 2'!G113,'Chalet 3'!G113,Cocktail!G113,'Home Corner'!G113,Visiteur!G113,'Stock Principal'!G113)</f>
        <v>0</v>
      </c>
      <c r="H113" s="95"/>
      <c r="I113" s="10" t="s">
        <v>20</v>
      </c>
      <c r="J113" s="11">
        <v>29.2</v>
      </c>
      <c r="K113" s="12">
        <f t="shared" si="1"/>
        <v>0</v>
      </c>
    </row>
    <row r="114" spans="1:11" x14ac:dyDescent="0.35">
      <c r="A114" s="103"/>
      <c r="B114" s="12" t="s">
        <v>3</v>
      </c>
      <c r="C114" s="10" t="s">
        <v>290</v>
      </c>
      <c r="D114" s="94"/>
      <c r="E114" s="232">
        <f>'Buvette 1'!H114+'Buvette 2'!H114+'Buvette 3'!H114+'2023'!H114+'Food Genevois'!H114+'Food Bretzel'!H114+'Chalet 1'!H114+'Chalet 2'!H114+'Chalet 3'!H114+Cocktail!H114+'Home Corner'!H114+Visiteur!H114+'Stock Principal'!H114</f>
        <v>0</v>
      </c>
      <c r="F114" s="94"/>
      <c r="G114" s="296">
        <f>SUM('Buvette 1'!G114,'Buvette 2'!G114,'Buvette 3'!G114,'2023'!G114,'Food Genevois'!G114,'Food Bretzel'!G114,'Chalet 1'!G114,'Chalet 2'!G114,'Chalet 3'!G114,Cocktail!G114,'Home Corner'!G114,Visiteur!G114,'Stock Principal'!G114)</f>
        <v>0</v>
      </c>
      <c r="H114" s="95"/>
      <c r="I114" s="10" t="s">
        <v>20</v>
      </c>
      <c r="J114" s="11">
        <v>22.95</v>
      </c>
      <c r="K114" s="12">
        <f t="shared" si="1"/>
        <v>0</v>
      </c>
    </row>
    <row r="115" spans="1:11" ht="15.5" x14ac:dyDescent="0.35">
      <c r="A115" s="111"/>
      <c r="B115" s="126" t="s">
        <v>291</v>
      </c>
      <c r="C115" s="127"/>
      <c r="D115" s="127"/>
      <c r="E115" s="127"/>
      <c r="F115" s="127"/>
      <c r="G115" s="297"/>
      <c r="H115" s="127"/>
      <c r="I115" s="127"/>
      <c r="J115" s="127"/>
      <c r="K115" s="270"/>
    </row>
    <row r="116" spans="1:11" x14ac:dyDescent="0.35">
      <c r="A116" s="103"/>
      <c r="B116" s="12" t="s">
        <v>3</v>
      </c>
      <c r="C116" s="10" t="s">
        <v>292</v>
      </c>
      <c r="D116" s="94"/>
      <c r="E116" s="232">
        <f>'Buvette 1'!H116+'Buvette 2'!H116+'Buvette 3'!H116+'2023'!H116+'Food Genevois'!H116+'Food Bretzel'!H116+'Chalet 1'!H116+'Chalet 2'!H116+'Chalet 3'!H116+Cocktail!H116+'Home Corner'!H116+Visiteur!H116+'Stock Principal'!H116</f>
        <v>5</v>
      </c>
      <c r="F116" s="94"/>
      <c r="G116" s="296">
        <f>SUM('Buvette 1'!G116,'Buvette 2'!G116,'Buvette 3'!G116,'2023'!G116,'Food Genevois'!G116,'Food Bretzel'!G116,'Chalet 1'!G116,'Chalet 2'!G116,'Chalet 3'!G116,Cocktail!G116,'Home Corner'!G116,Visiteur!G116,'Stock Principal'!G116)</f>
        <v>0</v>
      </c>
      <c r="H116" s="95"/>
      <c r="I116" s="10" t="s">
        <v>20</v>
      </c>
      <c r="J116" s="11">
        <v>17.95</v>
      </c>
      <c r="K116" s="12">
        <f t="shared" si="1"/>
        <v>89.75</v>
      </c>
    </row>
    <row r="117" spans="1:11" x14ac:dyDescent="0.35">
      <c r="A117" s="103"/>
      <c r="B117" s="12" t="s">
        <v>3</v>
      </c>
      <c r="C117" s="10" t="s">
        <v>293</v>
      </c>
      <c r="D117" s="94"/>
      <c r="E117" s="232">
        <f>'Buvette 1'!H117+'Buvette 2'!H117+'Buvette 3'!H117+'2023'!H117+'Food Genevois'!H117+'Food Bretzel'!H117+'Chalet 1'!H117+'Chalet 2'!H117+'Chalet 3'!H117+Cocktail!H117+'Home Corner'!H117+Visiteur!H117+'Stock Principal'!H117</f>
        <v>4</v>
      </c>
      <c r="F117" s="94"/>
      <c r="G117" s="296">
        <f>SUM('Buvette 1'!G117,'Buvette 2'!G117,'Buvette 3'!G117,'2023'!G117,'Food Genevois'!G117,'Food Bretzel'!G117,'Chalet 1'!G117,'Chalet 2'!G117,'Chalet 3'!G117,Cocktail!G117,'Home Corner'!G117,Visiteur!G117,'Stock Principal'!G117)</f>
        <v>3</v>
      </c>
      <c r="H117" s="95"/>
      <c r="I117" s="10" t="s">
        <v>20</v>
      </c>
      <c r="J117" s="11">
        <v>12.95</v>
      </c>
      <c r="K117" s="12">
        <f t="shared" si="1"/>
        <v>51.8</v>
      </c>
    </row>
    <row r="118" spans="1:11" x14ac:dyDescent="0.35">
      <c r="A118" s="103"/>
      <c r="B118" s="12" t="s">
        <v>3</v>
      </c>
      <c r="C118" s="10" t="s">
        <v>294</v>
      </c>
      <c r="D118" s="94"/>
      <c r="E118" s="232">
        <f>'Buvette 1'!H118+'Buvette 2'!H118+'Buvette 3'!H118+'2023'!H118+'Food Genevois'!H118+'Food Bretzel'!H118+'Chalet 1'!H118+'Chalet 2'!H118+'Chalet 3'!H118+Cocktail!H118+'Home Corner'!H118+Visiteur!H118+'Stock Principal'!H118</f>
        <v>0</v>
      </c>
      <c r="F118" s="94"/>
      <c r="G118" s="296">
        <f>SUM('Buvette 1'!G118,'Buvette 2'!G118,'Buvette 3'!G118,'2023'!G118,'Food Genevois'!G118,'Food Bretzel'!G118,'Chalet 1'!G118,'Chalet 2'!G118,'Chalet 3'!G118,Cocktail!G118,'Home Corner'!G118,Visiteur!G118,'Stock Principal'!G118)</f>
        <v>0</v>
      </c>
      <c r="H118" s="95"/>
      <c r="I118" s="10" t="s">
        <v>20</v>
      </c>
      <c r="J118" s="11">
        <v>21.95</v>
      </c>
      <c r="K118" s="12">
        <f t="shared" si="1"/>
        <v>0</v>
      </c>
    </row>
    <row r="119" spans="1:11" x14ac:dyDescent="0.35">
      <c r="A119" s="103"/>
      <c r="B119" s="12" t="s">
        <v>3</v>
      </c>
      <c r="C119" s="10" t="s">
        <v>295</v>
      </c>
      <c r="D119" s="94"/>
      <c r="E119" s="232">
        <f>'Buvette 1'!H119+'Buvette 2'!H119+'Buvette 3'!H119+'2023'!H119+'Food Genevois'!H119+'Food Bretzel'!H119+'Chalet 1'!H119+'Chalet 2'!H119+'Chalet 3'!H119+Cocktail!H119+'Home Corner'!H119+Visiteur!H119+'Stock Principal'!H119</f>
        <v>0</v>
      </c>
      <c r="F119" s="94"/>
      <c r="G119" s="296">
        <f>SUM('Buvette 1'!G119,'Buvette 2'!G119,'Buvette 3'!G119,'2023'!G119,'Food Genevois'!G119,'Food Bretzel'!G119,'Chalet 1'!G119,'Chalet 2'!G119,'Chalet 3'!G119,Cocktail!G119,'Home Corner'!G119,Visiteur!G119,'Stock Principal'!G119)</f>
        <v>0</v>
      </c>
      <c r="H119" s="95"/>
      <c r="I119" s="10" t="s">
        <v>20</v>
      </c>
      <c r="J119" s="11"/>
      <c r="K119" s="12">
        <f t="shared" si="1"/>
        <v>0</v>
      </c>
    </row>
    <row r="120" spans="1:11" x14ac:dyDescent="0.35">
      <c r="A120" s="103"/>
      <c r="B120" s="12" t="s">
        <v>3</v>
      </c>
      <c r="C120" s="10" t="s">
        <v>296</v>
      </c>
      <c r="D120" s="94"/>
      <c r="E120" s="232">
        <f>'Buvette 1'!H120+'Buvette 2'!H120+'Buvette 3'!H120+'2023'!H120+'Food Genevois'!H120+'Food Bretzel'!H120+'Chalet 1'!H120+'Chalet 2'!H120+'Chalet 3'!H120+Cocktail!H120+'Home Corner'!H120+Visiteur!H120+'Stock Principal'!H120</f>
        <v>0</v>
      </c>
      <c r="F120" s="94"/>
      <c r="G120" s="296">
        <f>SUM('Buvette 1'!G120,'Buvette 2'!G120,'Buvette 3'!G120,'2023'!G120,'Food Genevois'!G120,'Food Bretzel'!G120,'Chalet 1'!G120,'Chalet 2'!G120,'Chalet 3'!G120,Cocktail!G120,'Home Corner'!G120,Visiteur!G120,'Stock Principal'!G120)</f>
        <v>0</v>
      </c>
      <c r="H120" s="95"/>
      <c r="I120" s="10" t="s">
        <v>20</v>
      </c>
      <c r="J120" s="11"/>
      <c r="K120" s="12">
        <f t="shared" si="1"/>
        <v>0</v>
      </c>
    </row>
    <row r="121" spans="1:11" x14ac:dyDescent="0.35">
      <c r="A121" s="103"/>
      <c r="B121" s="12" t="s">
        <v>3</v>
      </c>
      <c r="C121" s="10" t="s">
        <v>297</v>
      </c>
      <c r="D121" s="94"/>
      <c r="E121" s="232">
        <f>'Buvette 1'!H121+'Buvette 2'!H121+'Buvette 3'!H121+'2023'!H121+'Food Genevois'!H121+'Food Bretzel'!H121+'Chalet 1'!H121+'Chalet 2'!H121+'Chalet 3'!H121+Cocktail!H121+'Home Corner'!H121+Visiteur!H121+'Stock Principal'!H121</f>
        <v>0</v>
      </c>
      <c r="F121" s="94"/>
      <c r="G121" s="296">
        <f>SUM('Buvette 1'!G121,'Buvette 2'!G121,'Buvette 3'!G121,'2023'!G121,'Food Genevois'!G121,'Food Bretzel'!G121,'Chalet 1'!G121,'Chalet 2'!G121,'Chalet 3'!G121,Cocktail!G121,'Home Corner'!G121,Visiteur!G121,'Stock Principal'!G121)</f>
        <v>0</v>
      </c>
      <c r="H121" s="95"/>
      <c r="I121" s="10" t="s">
        <v>20</v>
      </c>
      <c r="J121" s="11">
        <v>22.95</v>
      </c>
      <c r="K121" s="12">
        <f t="shared" si="1"/>
        <v>0</v>
      </c>
    </row>
    <row r="122" spans="1:11" ht="15.5" x14ac:dyDescent="0.35">
      <c r="A122" s="112" t="s">
        <v>298</v>
      </c>
      <c r="B122" s="116"/>
      <c r="C122" s="116"/>
      <c r="D122" s="116"/>
      <c r="E122" s="116"/>
      <c r="F122" s="116"/>
      <c r="G122" s="297"/>
      <c r="H122" s="116"/>
      <c r="I122" s="117"/>
      <c r="J122" s="106" t="s">
        <v>18</v>
      </c>
      <c r="K122" s="270">
        <f>SUM(K123:K175)</f>
        <v>6144.5400000000009</v>
      </c>
    </row>
    <row r="123" spans="1:11" x14ac:dyDescent="0.35">
      <c r="A123" s="103"/>
      <c r="B123" s="20" t="s">
        <v>4</v>
      </c>
      <c r="C123" s="18" t="s">
        <v>62</v>
      </c>
      <c r="D123" s="99"/>
      <c r="E123" s="232">
        <f>'Buvette 1'!H123+'Buvette 2'!H123+'Buvette 3'!H123+'2023'!H123+'Food Genevois'!H123+'Food Bretzel'!H123+'Chalet 1'!H123+'Chalet 2'!H123+'Chalet 3'!H123+Cocktail!H123+'Home Corner'!H123+Visiteur!H123+'Stock Principal'!H123</f>
        <v>0</v>
      </c>
      <c r="F123" s="99"/>
      <c r="G123" s="296">
        <f>SUM('Buvette 1'!G123,'Buvette 2'!G123,'Buvette 3'!G123,'2023'!G123,'Food Genevois'!G123,'Food Bretzel'!G123,'Chalet 1'!G123,'Chalet 2'!G123,'Chalet 3'!G123,Cocktail!G123,'Home Corner'!G123,Visiteur!G123,'Stock Principal'!G123)</f>
        <v>0</v>
      </c>
      <c r="H123" s="147"/>
      <c r="I123" s="18" t="s">
        <v>20</v>
      </c>
      <c r="J123" s="19">
        <v>7.35</v>
      </c>
      <c r="K123" s="12">
        <f t="shared" si="1"/>
        <v>0</v>
      </c>
    </row>
    <row r="124" spans="1:11" x14ac:dyDescent="0.35">
      <c r="A124" s="103"/>
      <c r="B124" s="20" t="s">
        <v>4</v>
      </c>
      <c r="C124" s="18" t="s">
        <v>60</v>
      </c>
      <c r="D124" s="99"/>
      <c r="E124" s="232">
        <f>'Buvette 1'!H124+'Buvette 2'!H124+'Buvette 3'!H124+'2023'!H124+'Food Genevois'!H124+'Food Bretzel'!H124+'Chalet 1'!H124+'Chalet 2'!H124+'Chalet 3'!H124+Cocktail!H124+'Home Corner'!H124+Visiteur!H124+'Stock Principal'!H124</f>
        <v>1</v>
      </c>
      <c r="F124" s="99"/>
      <c r="G124" s="296">
        <f>SUM('Buvette 1'!G124,'Buvette 2'!G124,'Buvette 3'!G124,'2023'!G124,'Food Genevois'!G124,'Food Bretzel'!G124,'Chalet 1'!G124,'Chalet 2'!G124,'Chalet 3'!G124,Cocktail!G124,'Home Corner'!G124,Visiteur!G124,'Stock Principal'!G124)</f>
        <v>0</v>
      </c>
      <c r="H124" s="147"/>
      <c r="I124" s="18" t="s">
        <v>20</v>
      </c>
      <c r="J124" s="19">
        <v>10.65</v>
      </c>
      <c r="K124" s="12">
        <f t="shared" si="1"/>
        <v>10.65</v>
      </c>
    </row>
    <row r="125" spans="1:11" x14ac:dyDescent="0.35">
      <c r="A125" s="113" t="s">
        <v>40</v>
      </c>
      <c r="B125" s="124"/>
      <c r="C125" s="124"/>
      <c r="D125" s="124"/>
      <c r="E125" s="124"/>
      <c r="F125" s="124"/>
      <c r="G125" s="297"/>
      <c r="H125" s="124"/>
      <c r="I125" s="124"/>
      <c r="J125" s="124"/>
      <c r="K125" s="270"/>
    </row>
    <row r="126" spans="1:11" x14ac:dyDescent="0.35">
      <c r="A126" s="103"/>
      <c r="B126" s="20" t="s">
        <v>4</v>
      </c>
      <c r="C126" s="18" t="s">
        <v>299</v>
      </c>
      <c r="D126" s="99"/>
      <c r="E126" s="232">
        <f>'Buvette 1'!H126+'Buvette 2'!H126+'Buvette 3'!H126+'2023'!H126+'Food Genevois'!H126+'Food Bretzel'!H126+'Chalet 1'!H126+'Chalet 2'!H126+'Chalet 3'!H126+Cocktail!H126+'Home Corner'!H126+Visiteur!H126+'Stock Principal'!H126</f>
        <v>0</v>
      </c>
      <c r="F126" s="99"/>
      <c r="G126" s="296">
        <f>SUM('Buvette 1'!G126,'Buvette 2'!G126,'Buvette 3'!G126,'2023'!G126,'Food Genevois'!G126,'Food Bretzel'!G126,'Chalet 1'!G126,'Chalet 2'!G126,'Chalet 3'!G126,Cocktail!G126,'Home Corner'!G126,Visiteur!G126,'Stock Principal'!G126)</f>
        <v>0</v>
      </c>
      <c r="H126" s="147"/>
      <c r="I126" s="18" t="s">
        <v>20</v>
      </c>
      <c r="J126" s="19">
        <v>1.31</v>
      </c>
      <c r="K126" s="12">
        <f t="shared" si="1"/>
        <v>0</v>
      </c>
    </row>
    <row r="127" spans="1:11" x14ac:dyDescent="0.35">
      <c r="A127" s="103"/>
      <c r="B127" s="12" t="s">
        <v>4</v>
      </c>
      <c r="C127" s="10" t="s">
        <v>300</v>
      </c>
      <c r="D127" s="94"/>
      <c r="E127" s="232">
        <f>'Buvette 1'!H127+'Buvette 2'!H127+'Buvette 3'!H127+'2023'!H127+'Food Genevois'!H127+'Food Bretzel'!H127+'Chalet 1'!H127+'Chalet 2'!H127+'Chalet 3'!H127+Cocktail!H127+'Home Corner'!H127+Visiteur!H127+'Stock Principal'!H127</f>
        <v>0</v>
      </c>
      <c r="F127" s="94"/>
      <c r="G127" s="296">
        <f>SUM('Buvette 1'!G127,'Buvette 2'!G127,'Buvette 3'!G127,'2023'!G127,'Food Genevois'!G127,'Food Bretzel'!G127,'Chalet 1'!G127,'Chalet 2'!G127,'Chalet 3'!G127,Cocktail!G127,'Home Corner'!G127,Visiteur!G127,'Stock Principal'!G127)</f>
        <v>0</v>
      </c>
      <c r="H127" s="95"/>
      <c r="I127" s="10" t="s">
        <v>20</v>
      </c>
      <c r="J127" s="11">
        <v>1.31</v>
      </c>
      <c r="K127" s="12">
        <f t="shared" si="1"/>
        <v>0</v>
      </c>
    </row>
    <row r="128" spans="1:11" x14ac:dyDescent="0.35">
      <c r="A128" s="103"/>
      <c r="B128" s="20" t="s">
        <v>4</v>
      </c>
      <c r="C128" s="18" t="s">
        <v>301</v>
      </c>
      <c r="D128" s="99"/>
      <c r="E128" s="232">
        <f>'Buvette 1'!H128+'Buvette 2'!H128+'Buvette 3'!H128+'2023'!H128+'Food Genevois'!H128+'Food Bretzel'!H128+'Chalet 1'!H128+'Chalet 2'!H128+'Chalet 3'!H128+Cocktail!H128+'Home Corner'!H128+Visiteur!H128+'Stock Principal'!H128</f>
        <v>0</v>
      </c>
      <c r="F128" s="99"/>
      <c r="G128" s="296">
        <f>SUM('Buvette 1'!G128,'Buvette 2'!G128,'Buvette 3'!G128,'2023'!G128,'Food Genevois'!G128,'Food Bretzel'!G128,'Chalet 1'!G128,'Chalet 2'!G128,'Chalet 3'!G128,Cocktail!G128,'Home Corner'!G128,Visiteur!G128,'Stock Principal'!G128)</f>
        <v>0</v>
      </c>
      <c r="H128" s="147"/>
      <c r="I128" s="18" t="s">
        <v>20</v>
      </c>
      <c r="J128" s="19">
        <v>1.4039999999999999</v>
      </c>
      <c r="K128" s="12">
        <f t="shared" si="1"/>
        <v>0</v>
      </c>
    </row>
    <row r="129" spans="1:11" x14ac:dyDescent="0.35">
      <c r="A129" s="103"/>
      <c r="B129" s="12" t="s">
        <v>4</v>
      </c>
      <c r="C129" s="10" t="s">
        <v>302</v>
      </c>
      <c r="D129" s="94"/>
      <c r="E129" s="232">
        <f>'Buvette 1'!H129+'Buvette 2'!H129+'Buvette 3'!H129+'2023'!H129+'Food Genevois'!H129+'Food Bretzel'!H129+'Chalet 1'!H129+'Chalet 2'!H129+'Chalet 3'!H129+Cocktail!H129+'Home Corner'!H129+Visiteur!H129+'Stock Principal'!H129</f>
        <v>0</v>
      </c>
      <c r="F129" s="94"/>
      <c r="G129" s="296">
        <f>SUM('Buvette 1'!G129,'Buvette 2'!G129,'Buvette 3'!G129,'2023'!G129,'Food Genevois'!G129,'Food Bretzel'!G129,'Chalet 1'!G129,'Chalet 2'!G129,'Chalet 3'!G129,Cocktail!G129,'Home Corner'!G129,Visiteur!G129,'Stock Principal'!G129)</f>
        <v>0</v>
      </c>
      <c r="H129" s="95"/>
      <c r="I129" s="10" t="s">
        <v>20</v>
      </c>
      <c r="J129" s="11">
        <v>1.4039999999999999</v>
      </c>
      <c r="K129" s="12">
        <f t="shared" si="1"/>
        <v>0</v>
      </c>
    </row>
    <row r="130" spans="1:11" x14ac:dyDescent="0.35">
      <c r="A130" s="103"/>
      <c r="B130" s="12" t="s">
        <v>4</v>
      </c>
      <c r="C130" s="10" t="s">
        <v>303</v>
      </c>
      <c r="D130" s="94"/>
      <c r="E130" s="232">
        <f>'Buvette 1'!H130+'Buvette 2'!H130+'Buvette 3'!H130+'2023'!H130+'Food Genevois'!H130+'Food Bretzel'!H130+'Chalet 1'!H130+'Chalet 2'!H130+'Chalet 3'!H130+Cocktail!H130+'Home Corner'!H130+Visiteur!H130+'Stock Principal'!H130</f>
        <v>0</v>
      </c>
      <c r="F130" s="94"/>
      <c r="G130" s="296">
        <f>SUM('Buvette 1'!G130,'Buvette 2'!G130,'Buvette 3'!G130,'2023'!G130,'Food Genevois'!G130,'Food Bretzel'!G130,'Chalet 1'!G130,'Chalet 2'!G130,'Chalet 3'!G130,Cocktail!G130,'Home Corner'!G130,Visiteur!G130,'Stock Principal'!G130)</f>
        <v>0</v>
      </c>
      <c r="H130" s="95"/>
      <c r="I130" s="10" t="s">
        <v>20</v>
      </c>
      <c r="J130" s="11">
        <v>1.53</v>
      </c>
      <c r="K130" s="12">
        <f t="shared" si="1"/>
        <v>0</v>
      </c>
    </row>
    <row r="131" spans="1:11" x14ac:dyDescent="0.35">
      <c r="A131" s="103"/>
      <c r="B131" s="12" t="s">
        <v>4</v>
      </c>
      <c r="C131" s="10" t="s">
        <v>304</v>
      </c>
      <c r="D131" s="94"/>
      <c r="E131" s="232">
        <f>'Buvette 1'!H131+'Buvette 2'!H131+'Buvette 3'!H131+'2023'!H131+'Food Genevois'!H131+'Food Bretzel'!H131+'Chalet 1'!H131+'Chalet 2'!H131+'Chalet 3'!H131+Cocktail!H131+'Home Corner'!H131+Visiteur!H131+'Stock Principal'!H131</f>
        <v>0</v>
      </c>
      <c r="F131" s="94"/>
      <c r="G131" s="296">
        <f>SUM('Buvette 1'!G131,'Buvette 2'!G131,'Buvette 3'!G131,'2023'!G131,'Food Genevois'!G131,'Food Bretzel'!G131,'Chalet 1'!G131,'Chalet 2'!G131,'Chalet 3'!G131,Cocktail!G131,'Home Corner'!G131,Visiteur!G131,'Stock Principal'!G131)</f>
        <v>0</v>
      </c>
      <c r="H131" s="95"/>
      <c r="I131" s="10" t="s">
        <v>20</v>
      </c>
      <c r="J131" s="11">
        <v>1.65</v>
      </c>
      <c r="K131" s="12">
        <f t="shared" si="1"/>
        <v>0</v>
      </c>
    </row>
    <row r="132" spans="1:11" x14ac:dyDescent="0.35">
      <c r="A132" s="103"/>
      <c r="B132" s="12" t="s">
        <v>4</v>
      </c>
      <c r="C132" s="10" t="s">
        <v>83</v>
      </c>
      <c r="D132" s="94"/>
      <c r="E132" s="232">
        <f>'Buvette 1'!H132+'Buvette 2'!H132+'Buvette 3'!H132+'2023'!H132+'Food Genevois'!H132+'Food Bretzel'!H132+'Chalet 1'!H132+'Chalet 2'!H132+'Chalet 3'!H132+Cocktail!H132+'Home Corner'!H132+Visiteur!H132+'Stock Principal'!H132</f>
        <v>0</v>
      </c>
      <c r="F132" s="94"/>
      <c r="G132" s="296">
        <f>SUM('Buvette 1'!G132,'Buvette 2'!G132,'Buvette 3'!G132,'2023'!G132,'Food Genevois'!G132,'Food Bretzel'!G132,'Chalet 1'!G132,'Chalet 2'!G132,'Chalet 3'!G132,Cocktail!G132,'Home Corner'!G132,Visiteur!G132,'Stock Principal'!G132)</f>
        <v>0</v>
      </c>
      <c r="H132" s="95"/>
      <c r="I132" s="10" t="s">
        <v>20</v>
      </c>
      <c r="J132" s="11">
        <v>1.04</v>
      </c>
      <c r="K132" s="12">
        <f t="shared" si="1"/>
        <v>0</v>
      </c>
    </row>
    <row r="133" spans="1:11" x14ac:dyDescent="0.35">
      <c r="A133" s="103"/>
      <c r="B133" s="12" t="s">
        <v>4</v>
      </c>
      <c r="C133" s="10" t="s">
        <v>305</v>
      </c>
      <c r="D133" s="94"/>
      <c r="E133" s="232">
        <f>'Buvette 1'!H133+'Buvette 2'!H133+'Buvette 3'!H133+'2023'!H133+'Food Genevois'!H133+'Food Bretzel'!H133+'Chalet 1'!H133+'Chalet 2'!H133+'Chalet 3'!H133+Cocktail!H133+'Home Corner'!H133+Visiteur!H133+'Stock Principal'!H133</f>
        <v>0</v>
      </c>
      <c r="F133" s="94"/>
      <c r="G133" s="296">
        <f>SUM('Buvette 1'!G133,'Buvette 2'!G133,'Buvette 3'!G133,'2023'!G133,'Food Genevois'!G133,'Food Bretzel'!G133,'Chalet 1'!G133,'Chalet 2'!G133,'Chalet 3'!G133,Cocktail!G133,'Home Corner'!G133,Visiteur!G133,'Stock Principal'!G133)</f>
        <v>48</v>
      </c>
      <c r="H133" s="95"/>
      <c r="I133" s="10" t="s">
        <v>20</v>
      </c>
      <c r="J133" s="11">
        <v>1.04</v>
      </c>
      <c r="K133" s="12">
        <f t="shared" si="1"/>
        <v>0</v>
      </c>
    </row>
    <row r="134" spans="1:11" x14ac:dyDescent="0.35">
      <c r="A134" s="103"/>
      <c r="B134" s="12" t="s">
        <v>4</v>
      </c>
      <c r="C134" s="10" t="s">
        <v>306</v>
      </c>
      <c r="D134" s="94"/>
      <c r="E134" s="232">
        <f>'Buvette 1'!H134+'Buvette 2'!H134+'Buvette 3'!H134+'2023'!H134+'Food Genevois'!H134+'Food Bretzel'!H134+'Chalet 1'!H134+'Chalet 2'!H134+'Chalet 3'!H134+Cocktail!H134+'Home Corner'!H134+Visiteur!H134+'Stock Principal'!H134</f>
        <v>0</v>
      </c>
      <c r="F134" s="94"/>
      <c r="G134" s="296">
        <f>SUM('Buvette 1'!G134,'Buvette 2'!G134,'Buvette 3'!G134,'2023'!G134,'Food Genevois'!G134,'Food Bretzel'!G134,'Chalet 1'!G134,'Chalet 2'!G134,'Chalet 3'!G134,Cocktail!G134,'Home Corner'!G134,Visiteur!G134,'Stock Principal'!G134)</f>
        <v>0</v>
      </c>
      <c r="H134" s="95"/>
      <c r="I134" s="10" t="s">
        <v>20</v>
      </c>
      <c r="J134" s="11">
        <v>1.06</v>
      </c>
      <c r="K134" s="12">
        <f t="shared" si="1"/>
        <v>0</v>
      </c>
    </row>
    <row r="135" spans="1:11" x14ac:dyDescent="0.35">
      <c r="A135" s="103"/>
      <c r="B135" s="12" t="s">
        <v>4</v>
      </c>
      <c r="C135" s="10" t="s">
        <v>307</v>
      </c>
      <c r="D135" s="94"/>
      <c r="E135" s="232">
        <f>'Buvette 1'!H135+'Buvette 2'!H135+'Buvette 3'!H135+'2023'!H135+'Food Genevois'!H135+'Food Bretzel'!H135+'Chalet 1'!H135+'Chalet 2'!H135+'Chalet 3'!H135+Cocktail!H135+'Home Corner'!H135+Visiteur!H135+'Stock Principal'!H135</f>
        <v>0</v>
      </c>
      <c r="F135" s="94"/>
      <c r="G135" s="296">
        <f>SUM('Buvette 1'!G135,'Buvette 2'!G135,'Buvette 3'!G135,'2023'!G135,'Food Genevois'!G135,'Food Bretzel'!G135,'Chalet 1'!G135,'Chalet 2'!G135,'Chalet 3'!G135,Cocktail!G135,'Home Corner'!G135,Visiteur!G135,'Stock Principal'!G135)</f>
        <v>0</v>
      </c>
      <c r="H135" s="95"/>
      <c r="I135" s="10" t="s">
        <v>20</v>
      </c>
      <c r="J135" s="11">
        <v>1.06</v>
      </c>
      <c r="K135" s="12">
        <f t="shared" si="1"/>
        <v>0</v>
      </c>
    </row>
    <row r="136" spans="1:11" x14ac:dyDescent="0.35">
      <c r="A136" s="103"/>
      <c r="B136" s="12" t="s">
        <v>4</v>
      </c>
      <c r="C136" s="10" t="s">
        <v>308</v>
      </c>
      <c r="D136" s="94"/>
      <c r="E136" s="232">
        <f>'Buvette 1'!H136+'Buvette 2'!H136+'Buvette 3'!H136+'2023'!H136+'Food Genevois'!H136+'Food Bretzel'!H136+'Chalet 1'!H136+'Chalet 2'!H136+'Chalet 3'!H136+Cocktail!H136+'Home Corner'!H136+Visiteur!H136+'Stock Principal'!H136</f>
        <v>0</v>
      </c>
      <c r="F136" s="94"/>
      <c r="G136" s="296">
        <f>SUM('Buvette 1'!G136,'Buvette 2'!G136,'Buvette 3'!G136,'2023'!G136,'Food Genevois'!G136,'Food Bretzel'!G136,'Chalet 1'!G136,'Chalet 2'!G136,'Chalet 3'!G136,Cocktail!G136,'Home Corner'!G136,Visiteur!G136,'Stock Principal'!G136)</f>
        <v>0</v>
      </c>
      <c r="H136" s="95"/>
      <c r="I136" s="10" t="s">
        <v>20</v>
      </c>
      <c r="J136" s="11">
        <v>1.2869999999999999</v>
      </c>
      <c r="K136" s="12">
        <f t="shared" si="1"/>
        <v>0</v>
      </c>
    </row>
    <row r="137" spans="1:11" x14ac:dyDescent="0.35">
      <c r="A137" s="103"/>
      <c r="B137" s="12" t="s">
        <v>4</v>
      </c>
      <c r="C137" s="10" t="s">
        <v>309</v>
      </c>
      <c r="D137" s="94"/>
      <c r="E137" s="232">
        <f>'Buvette 1'!H137+'Buvette 2'!H137+'Buvette 3'!H137+'2023'!H137+'Food Genevois'!H137+'Food Bretzel'!H137+'Chalet 1'!H137+'Chalet 2'!H137+'Chalet 3'!H137+Cocktail!H137+'Home Corner'!H137+Visiteur!H137+'Stock Principal'!H137</f>
        <v>0</v>
      </c>
      <c r="F137" s="94"/>
      <c r="G137" s="296">
        <f>SUM('Buvette 1'!G137,'Buvette 2'!G137,'Buvette 3'!G137,'2023'!G137,'Food Genevois'!G137,'Food Bretzel'!G137,'Chalet 1'!G137,'Chalet 2'!G137,'Chalet 3'!G137,Cocktail!G137,'Home Corner'!G137,Visiteur!G137,'Stock Principal'!G137)</f>
        <v>0</v>
      </c>
      <c r="H137" s="95"/>
      <c r="I137" s="10" t="s">
        <v>20</v>
      </c>
      <c r="J137" s="11">
        <v>1.59</v>
      </c>
      <c r="K137" s="12">
        <f t="shared" si="1"/>
        <v>0</v>
      </c>
    </row>
    <row r="138" spans="1:11" x14ac:dyDescent="0.35">
      <c r="A138" s="113" t="s">
        <v>310</v>
      </c>
      <c r="B138" s="124"/>
      <c r="C138" s="124"/>
      <c r="D138" s="124"/>
      <c r="E138" s="124"/>
      <c r="F138" s="124"/>
      <c r="G138" s="297"/>
      <c r="H138" s="124"/>
      <c r="I138" s="124"/>
      <c r="J138" s="124"/>
      <c r="K138" s="270"/>
    </row>
    <row r="139" spans="1:11" x14ac:dyDescent="0.35">
      <c r="A139" s="103"/>
      <c r="B139" s="12" t="s">
        <v>4</v>
      </c>
      <c r="C139" s="10" t="s">
        <v>311</v>
      </c>
      <c r="D139" s="94"/>
      <c r="E139" s="232">
        <f>'Buvette 1'!H139+'Buvette 2'!H139+'Buvette 3'!H139+'2023'!H139+'Food Genevois'!H139+'Food Bretzel'!H139+'Chalet 1'!H139+'Chalet 2'!H139+'Chalet 3'!H139+Cocktail!H139+'Home Corner'!H139+Visiteur!H139+'Stock Principal'!H139</f>
        <v>0</v>
      </c>
      <c r="F139" s="94"/>
      <c r="G139" s="296">
        <f>SUM('Buvette 1'!G139,'Buvette 2'!G139,'Buvette 3'!G139,'2023'!G139,'Food Genevois'!G139,'Food Bretzel'!G139,'Chalet 1'!G139,'Chalet 2'!G139,'Chalet 3'!G139,Cocktail!G139,'Home Corner'!G139,Visiteur!G139,'Stock Principal'!G139)</f>
        <v>0</v>
      </c>
      <c r="H139" s="95"/>
      <c r="I139" s="10" t="s">
        <v>20</v>
      </c>
      <c r="J139" s="11">
        <v>1.1000000000000001</v>
      </c>
      <c r="K139" s="12">
        <f t="shared" si="1"/>
        <v>0</v>
      </c>
    </row>
    <row r="140" spans="1:11" x14ac:dyDescent="0.35">
      <c r="A140" s="103"/>
      <c r="B140" s="12" t="s">
        <v>4</v>
      </c>
      <c r="C140" s="10" t="s">
        <v>312</v>
      </c>
      <c r="D140" s="94"/>
      <c r="E140" s="232">
        <f>'Buvette 1'!H140+'Buvette 2'!H140+'Buvette 3'!H140+'2023'!H140+'Food Genevois'!H140+'Food Bretzel'!H140+'Chalet 1'!H140+'Chalet 2'!H140+'Chalet 3'!H140+Cocktail!H140+'Home Corner'!H140+Visiteur!H140+'Stock Principal'!H140</f>
        <v>0</v>
      </c>
      <c r="F140" s="94"/>
      <c r="G140" s="296">
        <f>SUM('Buvette 1'!G140,'Buvette 2'!G140,'Buvette 3'!G140,'2023'!G140,'Food Genevois'!G140,'Food Bretzel'!G140,'Chalet 1'!G140,'Chalet 2'!G140,'Chalet 3'!G140,Cocktail!G140,'Home Corner'!G140,Visiteur!G140,'Stock Principal'!G140)</f>
        <v>0</v>
      </c>
      <c r="H140" s="95"/>
      <c r="I140" s="10" t="s">
        <v>20</v>
      </c>
      <c r="J140" s="11">
        <v>1.1000000000000001</v>
      </c>
      <c r="K140" s="12">
        <f t="shared" si="1"/>
        <v>0</v>
      </c>
    </row>
    <row r="141" spans="1:11" x14ac:dyDescent="0.35">
      <c r="A141" s="103"/>
      <c r="B141" s="12" t="s">
        <v>4</v>
      </c>
      <c r="C141" s="10" t="s">
        <v>313</v>
      </c>
      <c r="D141" s="94"/>
      <c r="E141" s="232">
        <f>'Buvette 1'!H141+'Buvette 2'!H141+'Buvette 3'!H141+'2023'!H141+'Food Genevois'!H141+'Food Bretzel'!H141+'Chalet 1'!H141+'Chalet 2'!H141+'Chalet 3'!H141+Cocktail!H141+'Home Corner'!H141+Visiteur!H141+'Stock Principal'!H141</f>
        <v>0</v>
      </c>
      <c r="F141" s="94"/>
      <c r="G141" s="296">
        <f>SUM('Buvette 1'!G141,'Buvette 2'!G141,'Buvette 3'!G141,'2023'!G141,'Food Genevois'!G141,'Food Bretzel'!G141,'Chalet 1'!G141,'Chalet 2'!G141,'Chalet 3'!G141,Cocktail!G141,'Home Corner'!G141,Visiteur!G141,'Stock Principal'!G141)</f>
        <v>0</v>
      </c>
      <c r="H141" s="95"/>
      <c r="I141" s="10" t="s">
        <v>20</v>
      </c>
      <c r="J141" s="11">
        <v>1.3</v>
      </c>
      <c r="K141" s="12">
        <f t="shared" si="1"/>
        <v>0</v>
      </c>
    </row>
    <row r="142" spans="1:11" x14ac:dyDescent="0.35">
      <c r="A142" s="103"/>
      <c r="B142" s="12" t="s">
        <v>4</v>
      </c>
      <c r="C142" s="10" t="s">
        <v>314</v>
      </c>
      <c r="D142" s="94"/>
      <c r="E142" s="232">
        <f>'Buvette 1'!H142+'Buvette 2'!H142+'Buvette 3'!H142+'2023'!H142+'Food Genevois'!H142+'Food Bretzel'!H142+'Chalet 1'!H142+'Chalet 2'!H142+'Chalet 3'!H142+Cocktail!H142+'Home Corner'!H142+Visiteur!H142+'Stock Principal'!H142</f>
        <v>0</v>
      </c>
      <c r="F142" s="94"/>
      <c r="G142" s="296">
        <f>SUM('Buvette 1'!G142,'Buvette 2'!G142,'Buvette 3'!G142,'2023'!G142,'Food Genevois'!G142,'Food Bretzel'!G142,'Chalet 1'!G142,'Chalet 2'!G142,'Chalet 3'!G142,Cocktail!G142,'Home Corner'!G142,Visiteur!G142,'Stock Principal'!G142)</f>
        <v>0</v>
      </c>
      <c r="H142" s="95"/>
      <c r="I142" s="10" t="s">
        <v>20</v>
      </c>
      <c r="J142" s="11">
        <v>1.36</v>
      </c>
      <c r="K142" s="12">
        <f t="shared" si="1"/>
        <v>0</v>
      </c>
    </row>
    <row r="143" spans="1:11" x14ac:dyDescent="0.35">
      <c r="A143" s="103"/>
      <c r="B143" s="12" t="s">
        <v>4</v>
      </c>
      <c r="C143" s="10" t="s">
        <v>315</v>
      </c>
      <c r="D143" s="94"/>
      <c r="E143" s="232">
        <f>'Buvette 1'!H143+'Buvette 2'!H143+'Buvette 3'!H143+'2023'!H143+'Food Genevois'!H143+'Food Bretzel'!H143+'Chalet 1'!H143+'Chalet 2'!H143+'Chalet 3'!H143+Cocktail!H143+'Home Corner'!H143+Visiteur!H143+'Stock Principal'!H143</f>
        <v>0</v>
      </c>
      <c r="F143" s="94"/>
      <c r="G143" s="296">
        <f>SUM('Buvette 1'!G143,'Buvette 2'!G143,'Buvette 3'!G143,'2023'!G143,'Food Genevois'!G143,'Food Bretzel'!G143,'Chalet 1'!G143,'Chalet 2'!G143,'Chalet 3'!G143,Cocktail!G143,'Home Corner'!G143,Visiteur!G143,'Stock Principal'!G143)</f>
        <v>0</v>
      </c>
      <c r="H143" s="95"/>
      <c r="I143" s="10" t="s">
        <v>20</v>
      </c>
      <c r="J143" s="11">
        <v>1.3</v>
      </c>
      <c r="K143" s="12">
        <f t="shared" si="1"/>
        <v>0</v>
      </c>
    </row>
    <row r="144" spans="1:11" x14ac:dyDescent="0.35">
      <c r="A144" s="103"/>
      <c r="B144" s="12" t="s">
        <v>4</v>
      </c>
      <c r="C144" s="10" t="s">
        <v>316</v>
      </c>
      <c r="D144" s="94"/>
      <c r="E144" s="232">
        <f>'Buvette 1'!H144+'Buvette 2'!H144+'Buvette 3'!H144+'2023'!H144+'Food Genevois'!H144+'Food Bretzel'!H144+'Chalet 1'!H144+'Chalet 2'!H144+'Chalet 3'!H144+Cocktail!H144+'Home Corner'!H144+Visiteur!H144+'Stock Principal'!H144</f>
        <v>0</v>
      </c>
      <c r="F144" s="94"/>
      <c r="G144" s="296">
        <f>SUM('Buvette 1'!G144,'Buvette 2'!G144,'Buvette 3'!G144,'2023'!G144,'Food Genevois'!G144,'Food Bretzel'!G144,'Chalet 1'!G144,'Chalet 2'!G144,'Chalet 3'!G144,Cocktail!G144,'Home Corner'!G144,Visiteur!G144,'Stock Principal'!G144)</f>
        <v>0</v>
      </c>
      <c r="H144" s="95"/>
      <c r="I144" s="10" t="s">
        <v>20</v>
      </c>
      <c r="J144" s="11">
        <v>1.35</v>
      </c>
      <c r="K144" s="12">
        <f t="shared" si="1"/>
        <v>0</v>
      </c>
    </row>
    <row r="145" spans="1:11" x14ac:dyDescent="0.35">
      <c r="A145" s="103"/>
      <c r="B145" s="12" t="s">
        <v>4</v>
      </c>
      <c r="C145" s="10" t="s">
        <v>317</v>
      </c>
      <c r="D145" s="94"/>
      <c r="E145" s="232">
        <f>'Buvette 1'!H145+'Buvette 2'!H145+'Buvette 3'!H145+'2023'!H145+'Food Genevois'!H145+'Food Bretzel'!H145+'Chalet 1'!H145+'Chalet 2'!H145+'Chalet 3'!H145+Cocktail!H145+'Home Corner'!H145+Visiteur!H145+'Stock Principal'!H145</f>
        <v>0</v>
      </c>
      <c r="F145" s="94"/>
      <c r="G145" s="296">
        <f>SUM('Buvette 1'!G145,'Buvette 2'!G145,'Buvette 3'!G145,'2023'!G145,'Food Genevois'!G145,'Food Bretzel'!G145,'Chalet 1'!G145,'Chalet 2'!G145,'Chalet 3'!G145,Cocktail!G145,'Home Corner'!G145,Visiteur!G145,'Stock Principal'!G145)</f>
        <v>0</v>
      </c>
      <c r="H145" s="95"/>
      <c r="I145" s="10" t="s">
        <v>20</v>
      </c>
      <c r="J145" s="11">
        <v>1.28</v>
      </c>
      <c r="K145" s="12">
        <f t="shared" si="1"/>
        <v>0</v>
      </c>
    </row>
    <row r="146" spans="1:11" x14ac:dyDescent="0.35">
      <c r="A146" s="103"/>
      <c r="B146" s="12" t="s">
        <v>4</v>
      </c>
      <c r="C146" s="10" t="s">
        <v>318</v>
      </c>
      <c r="D146" s="94"/>
      <c r="E146" s="232">
        <f>'Buvette 1'!H146+'Buvette 2'!H146+'Buvette 3'!H146+'2023'!H146+'Food Genevois'!H146+'Food Bretzel'!H146+'Chalet 1'!H146+'Chalet 2'!H146+'Chalet 3'!H146+Cocktail!H146+'Home Corner'!H146+Visiteur!H146+'Stock Principal'!H146</f>
        <v>0</v>
      </c>
      <c r="F146" s="94"/>
      <c r="G146" s="296">
        <f>SUM('Buvette 1'!G146,'Buvette 2'!G146,'Buvette 3'!G146,'2023'!G146,'Food Genevois'!G146,'Food Bretzel'!G146,'Chalet 1'!G146,'Chalet 2'!G146,'Chalet 3'!G146,Cocktail!G146,'Home Corner'!G146,Visiteur!G146,'Stock Principal'!G146)</f>
        <v>0</v>
      </c>
      <c r="H146" s="95"/>
      <c r="I146" s="10" t="s">
        <v>20</v>
      </c>
      <c r="J146" s="11">
        <v>1.1000000000000001</v>
      </c>
      <c r="K146" s="12">
        <f t="shared" si="1"/>
        <v>0</v>
      </c>
    </row>
    <row r="147" spans="1:11" x14ac:dyDescent="0.35">
      <c r="A147" s="103"/>
      <c r="B147" s="12" t="s">
        <v>4</v>
      </c>
      <c r="C147" s="10" t="s">
        <v>319</v>
      </c>
      <c r="D147" s="94"/>
      <c r="E147" s="232">
        <f>'Buvette 1'!H147+'Buvette 2'!H147+'Buvette 3'!H147+'2023'!H147+'Food Genevois'!H147+'Food Bretzel'!H147+'Chalet 1'!H147+'Chalet 2'!H147+'Chalet 3'!H147+Cocktail!H147+'Home Corner'!H147+Visiteur!H147+'Stock Principal'!H147</f>
        <v>0</v>
      </c>
      <c r="F147" s="94"/>
      <c r="G147" s="296">
        <f>SUM('Buvette 1'!G147,'Buvette 2'!G147,'Buvette 3'!G147,'2023'!G147,'Food Genevois'!G147,'Food Bretzel'!G147,'Chalet 1'!G147,'Chalet 2'!G147,'Chalet 3'!G147,Cocktail!G147,'Home Corner'!G147,Visiteur!G147,'Stock Principal'!G147)</f>
        <v>0</v>
      </c>
      <c r="H147" s="95"/>
      <c r="I147" s="10" t="s">
        <v>20</v>
      </c>
      <c r="J147" s="11">
        <v>1.1000000000000001</v>
      </c>
      <c r="K147" s="12">
        <f t="shared" si="1"/>
        <v>0</v>
      </c>
    </row>
    <row r="148" spans="1:11" x14ac:dyDescent="0.35">
      <c r="A148" s="103"/>
      <c r="B148" s="12" t="s">
        <v>4</v>
      </c>
      <c r="C148" s="10" t="s">
        <v>320</v>
      </c>
      <c r="D148" s="94"/>
      <c r="E148" s="232">
        <f>'Buvette 1'!H148+'Buvette 2'!H148+'Buvette 3'!H148+'2023'!H148+'Food Genevois'!H148+'Food Bretzel'!H148+'Chalet 1'!H148+'Chalet 2'!H148+'Chalet 3'!H148+Cocktail!H148+'Home Corner'!H148+Visiteur!H148+'Stock Principal'!H148</f>
        <v>0</v>
      </c>
      <c r="F148" s="94"/>
      <c r="G148" s="296">
        <f>SUM('Buvette 1'!G148,'Buvette 2'!G148,'Buvette 3'!G148,'2023'!G148,'Food Genevois'!G148,'Food Bretzel'!G148,'Chalet 1'!G148,'Chalet 2'!G148,'Chalet 3'!G148,Cocktail!G148,'Home Corner'!G148,Visiteur!G148,'Stock Principal'!G148)</f>
        <v>0</v>
      </c>
      <c r="H148" s="95"/>
      <c r="I148" s="10" t="s">
        <v>20</v>
      </c>
      <c r="J148" s="11">
        <v>1.1000000000000001</v>
      </c>
      <c r="K148" s="12">
        <f t="shared" si="1"/>
        <v>0</v>
      </c>
    </row>
    <row r="149" spans="1:11" x14ac:dyDescent="0.35">
      <c r="A149" s="103"/>
      <c r="B149" s="12" t="s">
        <v>4</v>
      </c>
      <c r="C149" s="10" t="s">
        <v>321</v>
      </c>
      <c r="D149" s="94"/>
      <c r="E149" s="232">
        <f>'Buvette 1'!H149+'Buvette 2'!H149+'Buvette 3'!H149+'2023'!H149+'Food Genevois'!H149+'Food Bretzel'!H149+'Chalet 1'!H149+'Chalet 2'!H149+'Chalet 3'!H149+Cocktail!H149+'Home Corner'!H149+Visiteur!H149+'Stock Principal'!H149</f>
        <v>0</v>
      </c>
      <c r="F149" s="94"/>
      <c r="G149" s="296">
        <f>SUM('Buvette 1'!G149,'Buvette 2'!G149,'Buvette 3'!G149,'2023'!G149,'Food Genevois'!G149,'Food Bretzel'!G149,'Chalet 1'!G149,'Chalet 2'!G149,'Chalet 3'!G149,Cocktail!G149,'Home Corner'!G149,Visiteur!G149,'Stock Principal'!G149)</f>
        <v>0</v>
      </c>
      <c r="H149" s="95"/>
      <c r="I149" s="10" t="s">
        <v>20</v>
      </c>
      <c r="J149" s="11">
        <v>1.1000000000000001</v>
      </c>
      <c r="K149" s="12">
        <f t="shared" si="1"/>
        <v>0</v>
      </c>
    </row>
    <row r="150" spans="1:11" x14ac:dyDescent="0.35">
      <c r="A150" s="113" t="s">
        <v>41</v>
      </c>
      <c r="B150" s="124"/>
      <c r="C150" s="124"/>
      <c r="D150" s="124"/>
      <c r="E150" s="124"/>
      <c r="F150" s="124"/>
      <c r="G150" s="297"/>
      <c r="H150" s="124"/>
      <c r="I150" s="124"/>
      <c r="J150" s="124"/>
      <c r="K150" s="270"/>
    </row>
    <row r="151" spans="1:11" x14ac:dyDescent="0.35">
      <c r="A151" s="103"/>
      <c r="B151" s="12" t="s">
        <v>4</v>
      </c>
      <c r="C151" s="10" t="s">
        <v>24</v>
      </c>
      <c r="D151" s="94"/>
      <c r="E151" s="232">
        <f>'Buvette 1'!H151+'Buvette 2'!H151+'Buvette 3'!H151+'2023'!H151+'Food Genevois'!H151+'Food Bretzel'!H151+'Chalet 1'!H151+'Chalet 2'!H151+'Chalet 3'!H151+Cocktail!H151+'Home Corner'!H151+Visiteur!H151+'Stock Principal'!H151</f>
        <v>254</v>
      </c>
      <c r="F151" s="94"/>
      <c r="G151" s="296">
        <f>SUM('Buvette 1'!G151,'Buvette 2'!G151,'Buvette 3'!G151,'2023'!G151,'Food Genevois'!G151,'Food Bretzel'!G151,'Chalet 1'!G151,'Chalet 2'!G151,'Chalet 3'!G151,Cocktail!G151,'Home Corner'!G151,Visiteur!G151,'Stock Principal'!G151)</f>
        <v>36</v>
      </c>
      <c r="H151" s="95"/>
      <c r="I151" s="10" t="s">
        <v>20</v>
      </c>
      <c r="J151" s="11">
        <v>3.04</v>
      </c>
      <c r="K151" s="12">
        <f t="shared" si="1"/>
        <v>772.16</v>
      </c>
    </row>
    <row r="152" spans="1:11" x14ac:dyDescent="0.35">
      <c r="A152" s="103"/>
      <c r="B152" s="12" t="s">
        <v>4</v>
      </c>
      <c r="C152" s="10" t="s">
        <v>80</v>
      </c>
      <c r="D152" s="94"/>
      <c r="E152" s="232">
        <f>'Buvette 1'!H152+'Buvette 2'!H152+'Buvette 3'!H152+'2023'!H152+'Food Genevois'!H152+'Food Bretzel'!H152+'Chalet 1'!H152+'Chalet 2'!H152+'Chalet 3'!H152+Cocktail!H152+'Home Corner'!H152+Visiteur!H152+'Stock Principal'!H152</f>
        <v>421</v>
      </c>
      <c r="F152" s="94"/>
      <c r="G152" s="296">
        <f>SUM('Buvette 1'!G152,'Buvette 2'!G152,'Buvette 3'!G152,'2023'!G152,'Food Genevois'!G152,'Food Bretzel'!G152,'Chalet 1'!G152,'Chalet 2'!G152,'Chalet 3'!G152,Cocktail!G152,'Home Corner'!G152,Visiteur!G152,'Stock Principal'!G152)</f>
        <v>72</v>
      </c>
      <c r="H152" s="95"/>
      <c r="I152" s="10" t="s">
        <v>20</v>
      </c>
      <c r="J152" s="11">
        <v>2.31</v>
      </c>
      <c r="K152" s="12">
        <f>E152*J152</f>
        <v>972.51</v>
      </c>
    </row>
    <row r="153" spans="1:11" x14ac:dyDescent="0.35">
      <c r="A153" s="103"/>
      <c r="B153" s="12" t="s">
        <v>4</v>
      </c>
      <c r="C153" s="10" t="s">
        <v>84</v>
      </c>
      <c r="D153" s="94"/>
      <c r="E153" s="232">
        <f>'Buvette 1'!H153+'Buvette 2'!H153+'Buvette 3'!H153+'2023'!H153+'Food Genevois'!H153+'Food Bretzel'!H153+'Chalet 1'!H153+'Chalet 2'!H153+'Chalet 3'!H153+Cocktail!H153+'Home Corner'!H153+Visiteur!H153+'Stock Principal'!H153</f>
        <v>266</v>
      </c>
      <c r="F153" s="94"/>
      <c r="G153" s="296">
        <f>SUM('Buvette 1'!G153,'Buvette 2'!G153,'Buvette 3'!G153,'2023'!G153,'Food Genevois'!G153,'Food Bretzel'!G153,'Chalet 1'!G153,'Chalet 2'!G153,'Chalet 3'!G153,Cocktail!G153,'Home Corner'!G153,Visiteur!G153,'Stock Principal'!G153)</f>
        <v>6</v>
      </c>
      <c r="H153" s="95"/>
      <c r="I153" s="10" t="s">
        <v>20</v>
      </c>
      <c r="J153" s="11">
        <v>2.31</v>
      </c>
      <c r="K153" s="12">
        <f t="shared" ref="K153:K219" si="2">E153*J153</f>
        <v>614.46</v>
      </c>
    </row>
    <row r="154" spans="1:11" x14ac:dyDescent="0.35">
      <c r="A154" s="103"/>
      <c r="B154" s="12" t="s">
        <v>4</v>
      </c>
      <c r="C154" s="10" t="s">
        <v>394</v>
      </c>
      <c r="D154" s="94"/>
      <c r="E154" s="232">
        <f>'Buvette 1'!H154+'Buvette 2'!H154+'Buvette 3'!H154+'2023'!H154+'Food Genevois'!H154+'Food Bretzel'!H154+'Chalet 1'!H154+'Chalet 2'!H154+'Chalet 3'!H154+Cocktail!H154+'Home Corner'!H154+Visiteur!H154+'Stock Principal'!H154</f>
        <v>0</v>
      </c>
      <c r="F154" s="94"/>
      <c r="G154" s="296">
        <f>SUM('Buvette 1'!G154,'Buvette 2'!G154,'Buvette 3'!G154,'2023'!G154,'Food Genevois'!G154,'Food Bretzel'!G154,'Chalet 1'!G154,'Chalet 2'!G154,'Chalet 3'!G154,Cocktail!G154,'Home Corner'!G154,Visiteur!G154,'Stock Principal'!G154)</f>
        <v>0</v>
      </c>
      <c r="H154" s="95"/>
      <c r="I154" s="10" t="s">
        <v>20</v>
      </c>
      <c r="J154" s="11">
        <v>2.54</v>
      </c>
      <c r="K154" s="12">
        <f t="shared" si="2"/>
        <v>0</v>
      </c>
    </row>
    <row r="155" spans="1:11" x14ac:dyDescent="0.35">
      <c r="A155" s="103"/>
      <c r="B155" s="12" t="s">
        <v>4</v>
      </c>
      <c r="C155" s="10" t="s">
        <v>394</v>
      </c>
      <c r="D155" s="94"/>
      <c r="E155" s="232">
        <f>'Buvette 1'!H155+'Buvette 2'!H155+'Buvette 3'!H155+'2023'!H155+'Food Genevois'!H155+'Food Bretzel'!H155+'Chalet 1'!H155+'Chalet 2'!H155+'Chalet 3'!H155+Cocktail!H155+'Home Corner'!H155+Visiteur!H155+'Stock Principal'!H155</f>
        <v>0</v>
      </c>
      <c r="F155" s="94"/>
      <c r="G155" s="296">
        <f>SUM('Buvette 1'!G155,'Buvette 2'!G155,'Buvette 3'!G155,'2023'!G155,'Food Genevois'!G155,'Food Bretzel'!G155,'Chalet 1'!G155,'Chalet 2'!G155,'Chalet 3'!G155,Cocktail!G155,'Home Corner'!G155,Visiteur!G155,'Stock Principal'!G155)</f>
        <v>0</v>
      </c>
      <c r="H155" s="95"/>
      <c r="I155" s="10" t="s">
        <v>20</v>
      </c>
      <c r="J155" s="11">
        <v>2.54</v>
      </c>
      <c r="K155" s="12">
        <f t="shared" si="2"/>
        <v>0</v>
      </c>
    </row>
    <row r="156" spans="1:11" x14ac:dyDescent="0.35">
      <c r="A156" s="103"/>
      <c r="B156" s="12" t="s">
        <v>4</v>
      </c>
      <c r="C156" s="10" t="s">
        <v>25</v>
      </c>
      <c r="D156" s="94"/>
      <c r="E156" s="232">
        <f>'Buvette 1'!H156+'Buvette 2'!H156+'Buvette 3'!H156+'2023'!H156+'Food Genevois'!H156+'Food Bretzel'!H156+'Chalet 1'!H156+'Chalet 2'!H156+'Chalet 3'!H156+Cocktail!H156+'Home Corner'!H156+Visiteur!H156+'Stock Principal'!H156</f>
        <v>210</v>
      </c>
      <c r="F156" s="94"/>
      <c r="G156" s="296">
        <f>SUM('Buvette 1'!G156,'Buvette 2'!G156,'Buvette 3'!G156,'2023'!G156,'Food Genevois'!G156,'Food Bretzel'!G156,'Chalet 1'!G156,'Chalet 2'!G156,'Chalet 3'!G156,Cocktail!G156,'Home Corner'!G156,Visiteur!G156,'Stock Principal'!G156)</f>
        <v>9</v>
      </c>
      <c r="H156" s="95"/>
      <c r="I156" s="10" t="s">
        <v>20</v>
      </c>
      <c r="J156" s="11">
        <v>1.79</v>
      </c>
      <c r="K156" s="12">
        <f t="shared" si="2"/>
        <v>375.90000000000003</v>
      </c>
    </row>
    <row r="157" spans="1:11" x14ac:dyDescent="0.35">
      <c r="A157" s="103"/>
      <c r="B157" s="12" t="s">
        <v>4</v>
      </c>
      <c r="C157" s="10" t="s">
        <v>322</v>
      </c>
      <c r="D157" s="94"/>
      <c r="E157" s="232">
        <f>'Buvette 1'!H157+'Buvette 2'!H157+'Buvette 3'!H157+'2023'!H157+'Food Genevois'!H157+'Food Bretzel'!H157+'Chalet 1'!H157+'Chalet 2'!H157+'Chalet 3'!H157+Cocktail!H157+'Home Corner'!H157+Visiteur!H157+'Stock Principal'!H157</f>
        <v>0</v>
      </c>
      <c r="F157" s="94"/>
      <c r="G157" s="296">
        <f>SUM('Buvette 1'!G157,'Buvette 2'!G157,'Buvette 3'!G157,'2023'!G157,'Food Genevois'!G157,'Food Bretzel'!G157,'Chalet 1'!G157,'Chalet 2'!G157,'Chalet 3'!G157,Cocktail!G157,'Home Corner'!G157,Visiteur!G157,'Stock Principal'!G157)</f>
        <v>0</v>
      </c>
      <c r="H157" s="95"/>
      <c r="I157" s="10" t="s">
        <v>20</v>
      </c>
      <c r="J157" s="11">
        <v>2.46</v>
      </c>
      <c r="K157" s="12">
        <f t="shared" si="2"/>
        <v>0</v>
      </c>
    </row>
    <row r="158" spans="1:11" x14ac:dyDescent="0.35">
      <c r="A158" s="103"/>
      <c r="B158" s="12" t="s">
        <v>4</v>
      </c>
      <c r="C158" s="10" t="s">
        <v>393</v>
      </c>
      <c r="D158" s="94"/>
      <c r="E158" s="232">
        <f>'Buvette 1'!H158+'Buvette 2'!H158+'Buvette 3'!H158+'2023'!H158+'Food Genevois'!H158+'Food Bretzel'!H158+'Chalet 1'!H158+'Chalet 2'!H158+'Chalet 3'!H158+Cocktail!H158+'Home Corner'!H158+Visiteur!H158+'Stock Principal'!H158</f>
        <v>376</v>
      </c>
      <c r="F158" s="94"/>
      <c r="G158" s="296">
        <f>SUM('Buvette 1'!G158,'Buvette 2'!G158,'Buvette 3'!G158,'2023'!G158,'Food Genevois'!G158,'Food Bretzel'!G158,'Chalet 1'!G158,'Chalet 2'!G158,'Chalet 3'!G158,Cocktail!G158,'Home Corner'!G158,Visiteur!G158,'Stock Principal'!G158)</f>
        <v>141</v>
      </c>
      <c r="H158" s="95"/>
      <c r="I158" s="10" t="s">
        <v>20</v>
      </c>
      <c r="J158" s="11">
        <v>2.46</v>
      </c>
      <c r="K158" s="12">
        <f t="shared" si="2"/>
        <v>924.96</v>
      </c>
    </row>
    <row r="159" spans="1:11" x14ac:dyDescent="0.35">
      <c r="A159" s="103"/>
      <c r="B159" s="12" t="s">
        <v>4</v>
      </c>
      <c r="C159" s="10" t="s">
        <v>43</v>
      </c>
      <c r="D159" s="94"/>
      <c r="E159" s="232">
        <f>'Buvette 1'!H159+'Buvette 2'!H159+'Buvette 3'!H159+'2023'!H159+'Food Genevois'!H159+'Food Bretzel'!H159+'Chalet 1'!H159+'Chalet 2'!H159+'Chalet 3'!H159+Cocktail!H159+'Home Corner'!H159+Visiteur!H159+'Stock Principal'!H159</f>
        <v>0</v>
      </c>
      <c r="F159" s="94"/>
      <c r="G159" s="296">
        <f>SUM('Buvette 1'!G159,'Buvette 2'!G159,'Buvette 3'!G159,'2023'!G159,'Food Genevois'!G159,'Food Bretzel'!G159,'Chalet 1'!G159,'Chalet 2'!G159,'Chalet 3'!G159,Cocktail!G159,'Home Corner'!G159,Visiteur!G159,'Stock Principal'!G159)</f>
        <v>0</v>
      </c>
      <c r="H159" s="95"/>
      <c r="I159" s="10" t="s">
        <v>20</v>
      </c>
      <c r="J159" s="11">
        <v>2.5499999999999998</v>
      </c>
      <c r="K159" s="12">
        <f t="shared" si="2"/>
        <v>0</v>
      </c>
    </row>
    <row r="160" spans="1:11" x14ac:dyDescent="0.35">
      <c r="A160" s="103"/>
      <c r="B160" s="12" t="s">
        <v>4</v>
      </c>
      <c r="C160" s="10" t="s">
        <v>81</v>
      </c>
      <c r="D160" s="94"/>
      <c r="E160" s="232">
        <f>'Buvette 1'!H160+'Buvette 2'!H160+'Buvette 3'!H160+'2023'!H160+'Food Genevois'!H160+'Food Bretzel'!H160+'Chalet 1'!H160+'Chalet 2'!H160+'Chalet 3'!H160+Cocktail!H160+'Home Corner'!H160+Visiteur!H160+'Stock Principal'!H160</f>
        <v>411</v>
      </c>
      <c r="F160" s="94"/>
      <c r="G160" s="296">
        <f>SUM('Buvette 1'!G160,'Buvette 2'!G160,'Buvette 3'!G160,'2023'!G160,'Food Genevois'!G160,'Food Bretzel'!G160,'Chalet 1'!G160,'Chalet 2'!G160,'Chalet 3'!G160,Cocktail!G160,'Home Corner'!G160,Visiteur!G160,'Stock Principal'!G160)</f>
        <v>59</v>
      </c>
      <c r="H160" s="95"/>
      <c r="I160" s="10" t="s">
        <v>20</v>
      </c>
      <c r="J160" s="11">
        <v>1.51</v>
      </c>
      <c r="K160" s="12">
        <f t="shared" si="2"/>
        <v>620.61</v>
      </c>
    </row>
    <row r="161" spans="1:11" x14ac:dyDescent="0.35">
      <c r="A161" s="103"/>
      <c r="B161" s="12" t="s">
        <v>4</v>
      </c>
      <c r="C161" s="10" t="s">
        <v>82</v>
      </c>
      <c r="D161" s="94"/>
      <c r="E161" s="232">
        <f>'Buvette 1'!H161+'Buvette 2'!H161+'Buvette 3'!H161+'2023'!H161+'Food Genevois'!H161+'Food Bretzel'!H161+'Chalet 1'!H161+'Chalet 2'!H161+'Chalet 3'!H161+Cocktail!H161+'Home Corner'!H161+Visiteur!H161+'Stock Principal'!H161</f>
        <v>447</v>
      </c>
      <c r="F161" s="94"/>
      <c r="G161" s="296">
        <f>SUM('Buvette 1'!G161,'Buvette 2'!G161,'Buvette 3'!G161,'2023'!G161,'Food Genevois'!G161,'Food Bretzel'!G161,'Chalet 1'!G161,'Chalet 2'!G161,'Chalet 3'!G161,Cocktail!G161,'Home Corner'!G161,Visiteur!G161,'Stock Principal'!G161)</f>
        <v>110</v>
      </c>
      <c r="H161" s="95"/>
      <c r="I161" s="10" t="s">
        <v>20</v>
      </c>
      <c r="J161" s="11">
        <v>1.51</v>
      </c>
      <c r="K161" s="12">
        <f t="shared" si="2"/>
        <v>674.97</v>
      </c>
    </row>
    <row r="162" spans="1:11" x14ac:dyDescent="0.35">
      <c r="A162" s="103"/>
      <c r="B162" s="12" t="s">
        <v>4</v>
      </c>
      <c r="C162" s="10" t="s">
        <v>323</v>
      </c>
      <c r="D162" s="94"/>
      <c r="E162" s="232">
        <f>'Buvette 1'!H162+'Buvette 2'!H162+'Buvette 3'!H162+'2023'!H162+'Food Genevois'!H162+'Food Bretzel'!H162+'Chalet 1'!H162+'Chalet 2'!H162+'Chalet 3'!H162+Cocktail!H162+'Home Corner'!H162+Visiteur!H162+'Stock Principal'!H162</f>
        <v>0</v>
      </c>
      <c r="F162" s="94"/>
      <c r="G162" s="296">
        <f>SUM('Buvette 1'!G162,'Buvette 2'!G162,'Buvette 3'!G162,'2023'!G162,'Food Genevois'!G162,'Food Bretzel'!G162,'Chalet 1'!G162,'Chalet 2'!G162,'Chalet 3'!G162,Cocktail!G162,'Home Corner'!G162,Visiteur!G162,'Stock Principal'!G162)</f>
        <v>0</v>
      </c>
      <c r="H162" s="95"/>
      <c r="I162" s="10" t="s">
        <v>20</v>
      </c>
      <c r="J162" s="11">
        <v>1.54</v>
      </c>
      <c r="K162" s="12">
        <f t="shared" si="2"/>
        <v>0</v>
      </c>
    </row>
    <row r="163" spans="1:11" x14ac:dyDescent="0.35">
      <c r="A163" s="103"/>
      <c r="B163" s="12" t="s">
        <v>4</v>
      </c>
      <c r="C163" s="10" t="s">
        <v>324</v>
      </c>
      <c r="D163" s="94"/>
      <c r="E163" s="232">
        <f>'Buvette 1'!H163+'Buvette 2'!H163+'Buvette 3'!H163+'2023'!H163+'Food Genevois'!H163+'Food Bretzel'!H163+'Chalet 1'!H163+'Chalet 2'!H163+'Chalet 3'!H163+Cocktail!H163+'Home Corner'!H163+Visiteur!H163+'Stock Principal'!H163</f>
        <v>0</v>
      </c>
      <c r="F163" s="94"/>
      <c r="G163" s="296">
        <f>SUM('Buvette 1'!G163,'Buvette 2'!G163,'Buvette 3'!G163,'2023'!G163,'Food Genevois'!G163,'Food Bretzel'!G163,'Chalet 1'!G163,'Chalet 2'!G163,'Chalet 3'!G163,Cocktail!G163,'Home Corner'!G163,Visiteur!G163,'Stock Principal'!G163)</f>
        <v>0</v>
      </c>
      <c r="H163" s="95"/>
      <c r="I163" s="10" t="s">
        <v>20</v>
      </c>
      <c r="J163" s="11">
        <v>1.6</v>
      </c>
      <c r="K163" s="12">
        <f t="shared" si="2"/>
        <v>0</v>
      </c>
    </row>
    <row r="164" spans="1:11" x14ac:dyDescent="0.35">
      <c r="A164" s="103"/>
      <c r="B164" s="12" t="s">
        <v>4</v>
      </c>
      <c r="C164" s="78" t="s">
        <v>325</v>
      </c>
      <c r="D164" s="97"/>
      <c r="E164" s="232">
        <f>'Buvette 1'!H164+'Buvette 2'!H164+'Buvette 3'!H164+'2023'!H164+'Food Genevois'!H164+'Food Bretzel'!H164+'Chalet 1'!H164+'Chalet 2'!H164+'Chalet 3'!H164+Cocktail!H164+'Home Corner'!H164+Visiteur!H164+'Stock Principal'!H164</f>
        <v>0</v>
      </c>
      <c r="F164" s="97"/>
      <c r="G164" s="296">
        <f>SUM('Buvette 1'!G164,'Buvette 2'!G164,'Buvette 3'!G164,'2023'!G164,'Food Genevois'!G164,'Food Bretzel'!G164,'Chalet 1'!G164,'Chalet 2'!G164,'Chalet 3'!G164,Cocktail!G164,'Home Corner'!G164,Visiteur!G164,'Stock Principal'!G164)</f>
        <v>0</v>
      </c>
      <c r="H164" s="95"/>
      <c r="I164" s="10" t="s">
        <v>20</v>
      </c>
      <c r="J164" s="79">
        <v>49.95</v>
      </c>
      <c r="K164" s="12">
        <f t="shared" si="2"/>
        <v>0</v>
      </c>
    </row>
    <row r="165" spans="1:11" x14ac:dyDescent="0.35">
      <c r="A165" s="113" t="s">
        <v>44</v>
      </c>
      <c r="B165" s="124"/>
      <c r="C165" s="124"/>
      <c r="D165" s="124"/>
      <c r="E165" s="124"/>
      <c r="F165" s="124"/>
      <c r="G165" s="297"/>
      <c r="H165" s="124"/>
      <c r="I165" s="124"/>
      <c r="J165" s="124"/>
      <c r="K165" s="270"/>
    </row>
    <row r="166" spans="1:11" x14ac:dyDescent="0.35">
      <c r="A166" s="103"/>
      <c r="B166" s="12" t="s">
        <v>4</v>
      </c>
      <c r="C166" s="10" t="s">
        <v>48</v>
      </c>
      <c r="D166" s="94"/>
      <c r="E166" s="232">
        <f>'Buvette 1'!H166+'Buvette 2'!H166+'Buvette 3'!H166+'2023'!H166+'Food Genevois'!H166+'Food Bretzel'!H166+'Chalet 1'!H166+'Chalet 2'!H166+'Chalet 3'!H166+Cocktail!H166+'Home Corner'!H166+Visiteur!H166+'Stock Principal'!H166</f>
        <v>196</v>
      </c>
      <c r="F166" s="94"/>
      <c r="G166" s="296">
        <f>SUM('Buvette 1'!G166,'Buvette 2'!G166,'Buvette 3'!G166,'2023'!G166,'Food Genevois'!G166,'Food Bretzel'!G166,'Chalet 1'!G166,'Chalet 2'!G166,'Chalet 3'!G166,Cocktail!G166,'Home Corner'!G166,Visiteur!G166,'Stock Principal'!G166)</f>
        <v>72</v>
      </c>
      <c r="H166" s="95"/>
      <c r="I166" s="10" t="s">
        <v>20</v>
      </c>
      <c r="J166" s="11">
        <v>1.94</v>
      </c>
      <c r="K166" s="12">
        <f t="shared" si="2"/>
        <v>380.24</v>
      </c>
    </row>
    <row r="167" spans="1:11" x14ac:dyDescent="0.35">
      <c r="A167" s="103"/>
      <c r="B167" s="12" t="s">
        <v>4</v>
      </c>
      <c r="C167" s="10" t="s">
        <v>49</v>
      </c>
      <c r="D167" s="94"/>
      <c r="E167" s="232">
        <f>'Buvette 1'!H167+'Buvette 2'!H167+'Buvette 3'!H167+'2023'!H167+'Food Genevois'!H167+'Food Bretzel'!H167+'Chalet 1'!H167+'Chalet 2'!H167+'Chalet 3'!H167+Cocktail!H167+'Home Corner'!H167+Visiteur!H167+'Stock Principal'!H167</f>
        <v>120</v>
      </c>
      <c r="F167" s="94"/>
      <c r="G167" s="296">
        <f>SUM('Buvette 1'!G167,'Buvette 2'!G167,'Buvette 3'!G167,'2023'!G167,'Food Genevois'!G167,'Food Bretzel'!G167,'Chalet 1'!G167,'Chalet 2'!G167,'Chalet 3'!G167,Cocktail!G167,'Home Corner'!G167,Visiteur!G167,'Stock Principal'!G167)</f>
        <v>41</v>
      </c>
      <c r="H167" s="95"/>
      <c r="I167" s="10" t="s">
        <v>20</v>
      </c>
      <c r="J167" s="11">
        <v>1.94</v>
      </c>
      <c r="K167" s="12">
        <f t="shared" si="2"/>
        <v>232.79999999999998</v>
      </c>
    </row>
    <row r="168" spans="1:11" x14ac:dyDescent="0.35">
      <c r="A168" s="103"/>
      <c r="B168" s="12" t="s">
        <v>4</v>
      </c>
      <c r="C168" s="10" t="s">
        <v>50</v>
      </c>
      <c r="D168" s="94"/>
      <c r="E168" s="232">
        <f>'Buvette 1'!H168+'Buvette 2'!H168+'Buvette 3'!H168+'2023'!H168+'Food Genevois'!H168+'Food Bretzel'!H168+'Chalet 1'!H168+'Chalet 2'!H168+'Chalet 3'!H168+Cocktail!H168+'Home Corner'!H168+Visiteur!H168+'Stock Principal'!H168</f>
        <v>124</v>
      </c>
      <c r="F168" s="94"/>
      <c r="G168" s="296">
        <f>SUM('Buvette 1'!G168,'Buvette 2'!G168,'Buvette 3'!G168,'2023'!G168,'Food Genevois'!G168,'Food Bretzel'!G168,'Chalet 1'!G168,'Chalet 2'!G168,'Chalet 3'!G168,Cocktail!G168,'Home Corner'!G168,Visiteur!G168,'Stock Principal'!G168)</f>
        <v>68</v>
      </c>
      <c r="H168" s="95"/>
      <c r="I168" s="10" t="s">
        <v>20</v>
      </c>
      <c r="J168" s="11">
        <v>1.94</v>
      </c>
      <c r="K168" s="12">
        <f t="shared" si="2"/>
        <v>240.56</v>
      </c>
    </row>
    <row r="169" spans="1:11" x14ac:dyDescent="0.35">
      <c r="A169" s="103"/>
      <c r="B169" s="12" t="s">
        <v>4</v>
      </c>
      <c r="C169" s="14" t="s">
        <v>415</v>
      </c>
      <c r="D169" s="94"/>
      <c r="E169" s="232">
        <f>'Buvette 1'!H169+'Buvette 2'!H169+'Buvette 3'!H169+'2023'!H169+'Food Genevois'!H169+'Food Bretzel'!H169+'Chalet 1'!H169+'Chalet 2'!H169+'Chalet 3'!H169+Cocktail!H169+'Home Corner'!H169+Visiteur!H169+'Stock Principal'!H169</f>
        <v>48</v>
      </c>
      <c r="F169" s="94"/>
      <c r="G169" s="296">
        <f>SUM('Buvette 1'!G169,'Buvette 2'!G169,'Buvette 3'!G169,'2023'!G169,'Food Genevois'!G169,'Food Bretzel'!G169,'Chalet 1'!G169,'Chalet 2'!G169,'Chalet 3'!G169,Cocktail!G169,'Home Corner'!G169,Visiteur!G169,'Stock Principal'!G169)</f>
        <v>-48</v>
      </c>
      <c r="H169" s="95"/>
      <c r="I169" s="10" t="s">
        <v>20</v>
      </c>
      <c r="J169" s="11">
        <v>1.98</v>
      </c>
      <c r="K169" s="12">
        <f t="shared" si="2"/>
        <v>95.039999999999992</v>
      </c>
    </row>
    <row r="170" spans="1:11" x14ac:dyDescent="0.35">
      <c r="A170" s="103"/>
      <c r="B170" s="12" t="s">
        <v>4</v>
      </c>
      <c r="C170" s="10" t="s">
        <v>414</v>
      </c>
      <c r="D170" s="94"/>
      <c r="E170" s="232">
        <f>'Buvette 1'!H170+'Buvette 2'!H170+'Buvette 3'!H170+'2023'!H170+'Food Genevois'!H170+'Food Bretzel'!H170+'Chalet 1'!H170+'Chalet 2'!H170+'Chalet 3'!H170+Cocktail!H170+'Home Corner'!H170+Visiteur!H170+'Stock Principal'!H170</f>
        <v>68</v>
      </c>
      <c r="F170" s="94"/>
      <c r="G170" s="296">
        <f>SUM('Buvette 1'!G170,'Buvette 2'!G170,'Buvette 3'!G170,'2023'!G170,'Food Genevois'!G170,'Food Bretzel'!G170,'Chalet 1'!G170,'Chalet 2'!G170,'Chalet 3'!G170,Cocktail!G170,'Home Corner'!G170,Visiteur!G170,'Stock Principal'!G170)</f>
        <v>-25</v>
      </c>
      <c r="H170" s="95"/>
      <c r="I170" s="10" t="s">
        <v>20</v>
      </c>
      <c r="J170" s="11">
        <v>1.98</v>
      </c>
      <c r="K170" s="12">
        <f t="shared" si="2"/>
        <v>134.63999999999999</v>
      </c>
    </row>
    <row r="171" spans="1:11" hidden="1" x14ac:dyDescent="0.35">
      <c r="A171" s="103"/>
      <c r="B171" s="12" t="s">
        <v>4</v>
      </c>
      <c r="C171" s="10" t="s">
        <v>415</v>
      </c>
      <c r="D171" s="94"/>
      <c r="E171" s="232">
        <f>'Buvette 1'!H171+'Buvette 2'!H171+'Buvette 3'!H171+'2023'!H171+'Food Genevois'!H171+'Food Bretzel'!H171+'Chalet 1'!H171+'Chalet 2'!H171+'Chalet 3'!H171+Cocktail!H171+'Home Corner'!H171+Visiteur!H171+'Stock Principal'!H171</f>
        <v>0</v>
      </c>
      <c r="F171" s="94"/>
      <c r="G171" s="296">
        <f>SUM('Buvette 1'!G171,'Buvette 2'!G171,'Buvette 3'!G171,'2023'!G171,'Food Genevois'!G171,'Food Bretzel'!G171,'Chalet 1'!G171,'Chalet 2'!G171,'Chalet 3'!G171,Cocktail!G171,'Home Corner'!G171,Visiteur!G171,'Stock Principal'!G171)</f>
        <v>48</v>
      </c>
      <c r="H171" s="95"/>
      <c r="I171" s="10" t="s">
        <v>20</v>
      </c>
      <c r="J171" s="11">
        <v>1.98</v>
      </c>
      <c r="K171" s="12">
        <f t="shared" si="2"/>
        <v>0</v>
      </c>
    </row>
    <row r="172" spans="1:11" hidden="1" x14ac:dyDescent="0.35">
      <c r="A172" s="103"/>
      <c r="B172" s="12" t="s">
        <v>4</v>
      </c>
      <c r="C172" s="10" t="s">
        <v>432</v>
      </c>
      <c r="D172" s="94"/>
      <c r="E172" s="232">
        <f>'Buvette 1'!H172+'Buvette 2'!H172+'Buvette 3'!H172+'2023'!H172+'Food Genevois'!H172+'Food Bretzel'!H172+'Chalet 1'!H172+'Chalet 2'!H172+'Chalet 3'!H172+Cocktail!H172+'Home Corner'!H172+Visiteur!H172+'Stock Principal'!H172</f>
        <v>0</v>
      </c>
      <c r="F172" s="94"/>
      <c r="G172" s="296">
        <f>SUM('Buvette 1'!G172,'Buvette 2'!G172,'Buvette 3'!G172,'2023'!G172,'Food Genevois'!G172,'Food Bretzel'!G172,'Chalet 1'!G172,'Chalet 2'!G172,'Chalet 3'!G172,Cocktail!G172,'Home Corner'!G172,Visiteur!G172,'Stock Principal'!G172)</f>
        <v>23</v>
      </c>
      <c r="H172" s="95"/>
      <c r="I172" s="10" t="s">
        <v>20</v>
      </c>
      <c r="J172" s="11">
        <v>1.98</v>
      </c>
      <c r="K172" s="12">
        <f t="shared" si="2"/>
        <v>0</v>
      </c>
    </row>
    <row r="173" spans="1:11" x14ac:dyDescent="0.35">
      <c r="A173" s="103"/>
      <c r="B173" s="40" t="s">
        <v>4</v>
      </c>
      <c r="C173" s="41" t="s">
        <v>330</v>
      </c>
      <c r="D173" s="98"/>
      <c r="E173" s="232">
        <f>'Buvette 1'!H173+'Buvette 2'!H173+'Buvette 3'!H173+'2023'!H173+'Food Genevois'!H173+'Food Bretzel'!H173+'Chalet 1'!H173+'Chalet 2'!H173+'Chalet 3'!H173+Cocktail!H173+'Home Corner'!H173+Visiteur!H173+'Stock Principal'!H173</f>
        <v>0</v>
      </c>
      <c r="F173" s="98"/>
      <c r="G173" s="296">
        <f>SUM('Buvette 1'!G173,'Buvette 2'!G173,'Buvette 3'!G173,'2023'!G173,'Food Genevois'!G173,'Food Bretzel'!G173,'Chalet 1'!G173,'Chalet 2'!G173,'Chalet 3'!G173,Cocktail!G173,'Home Corner'!G173,Visiteur!G173,'Stock Principal'!G173)</f>
        <v>0</v>
      </c>
      <c r="H173" s="95"/>
      <c r="I173" s="10" t="s">
        <v>20</v>
      </c>
      <c r="J173" s="11">
        <v>1.98</v>
      </c>
      <c r="K173" s="12">
        <f t="shared" si="2"/>
        <v>0</v>
      </c>
    </row>
    <row r="174" spans="1:11" x14ac:dyDescent="0.35">
      <c r="A174" s="103"/>
      <c r="B174" s="40" t="s">
        <v>4</v>
      </c>
      <c r="C174" s="41" t="s">
        <v>331</v>
      </c>
      <c r="D174" s="98"/>
      <c r="E174" s="232">
        <f>'Buvette 1'!H174+'Buvette 2'!H174+'Buvette 3'!H174+'2023'!H174+'Food Genevois'!H174+'Food Bretzel'!H174+'Chalet 1'!H174+'Chalet 2'!H174+'Chalet 3'!H174+Cocktail!H174+'Home Corner'!H174+Visiteur!H174+'Stock Principal'!H174</f>
        <v>0</v>
      </c>
      <c r="F174" s="98"/>
      <c r="G174" s="296">
        <f>SUM('Buvette 1'!G174,'Buvette 2'!G174,'Buvette 3'!G174,'2023'!G174,'Food Genevois'!G174,'Food Bretzel'!G174,'Chalet 1'!G174,'Chalet 2'!G174,'Chalet 3'!G174,Cocktail!G174,'Home Corner'!G174,Visiteur!G174,'Stock Principal'!G174)</f>
        <v>0</v>
      </c>
      <c r="H174" s="95"/>
      <c r="I174" s="10" t="s">
        <v>20</v>
      </c>
      <c r="J174" s="11">
        <v>1.98</v>
      </c>
      <c r="K174" s="12">
        <f t="shared" si="2"/>
        <v>0</v>
      </c>
    </row>
    <row r="175" spans="1:11" x14ac:dyDescent="0.35">
      <c r="A175" s="103"/>
      <c r="B175" s="40" t="s">
        <v>4</v>
      </c>
      <c r="C175" s="41" t="s">
        <v>413</v>
      </c>
      <c r="D175" s="98"/>
      <c r="E175" s="232">
        <f>'Buvette 1'!H175+'Buvette 2'!H175+'Buvette 3'!H175+'2023'!H175+'Food Genevois'!H175+'Food Bretzel'!H175+'Chalet 1'!H175+'Chalet 2'!H175+'Chalet 3'!H175+Cocktail!H175+'Home Corner'!H175+Visiteur!H175+'Stock Principal'!H175</f>
        <v>48</v>
      </c>
      <c r="F175" s="98"/>
      <c r="G175" s="296">
        <f>SUM('Buvette 1'!G175,'Buvette 2'!G175,'Buvette 3'!G175,'2023'!G175,'Food Genevois'!G175,'Food Bretzel'!G175,'Chalet 1'!G175,'Chalet 2'!G175,'Chalet 3'!G175,Cocktail!G175,'Home Corner'!G175,Visiteur!G175,'Stock Principal'!G175)</f>
        <v>-76</v>
      </c>
      <c r="H175" s="145"/>
      <c r="I175" s="41" t="s">
        <v>20</v>
      </c>
      <c r="J175" s="42">
        <v>1.98</v>
      </c>
      <c r="K175" s="12">
        <f t="shared" si="2"/>
        <v>95.039999999999992</v>
      </c>
    </row>
    <row r="176" spans="1:11" ht="15.5" x14ac:dyDescent="0.35">
      <c r="A176" s="114" t="s">
        <v>333</v>
      </c>
      <c r="B176" s="120"/>
      <c r="C176" s="120"/>
      <c r="D176" s="120"/>
      <c r="E176" s="120"/>
      <c r="F176" s="120"/>
      <c r="G176" s="297"/>
      <c r="H176" s="120"/>
      <c r="I176" s="121"/>
      <c r="J176" s="122" t="s">
        <v>18</v>
      </c>
      <c r="K176" s="270">
        <f>SUM(K177:K186)</f>
        <v>0</v>
      </c>
    </row>
    <row r="177" spans="1:11" x14ac:dyDescent="0.35">
      <c r="A177" s="103"/>
      <c r="B177" s="12" t="s">
        <v>26</v>
      </c>
      <c r="C177" s="10" t="s">
        <v>334</v>
      </c>
      <c r="D177" s="94"/>
      <c r="E177" s="232">
        <f>'Buvette 1'!H177+'Buvette 2'!H177+'Buvette 3'!H177+'2023'!H177+'Food Genevois'!H177+'Food Bretzel'!H177+'Chalet 1'!H177+'Chalet 2'!H177+'Chalet 3'!H177+Cocktail!H177+'Home Corner'!H177+Visiteur!H177+'Stock Principal'!H177</f>
        <v>0</v>
      </c>
      <c r="F177" s="94"/>
      <c r="G177" s="296">
        <f>SUM('Buvette 1'!G177,'Buvette 2'!G177,'Buvette 3'!G177,'2023'!G177,'Food Genevois'!G177,'Food Bretzel'!G177,'Chalet 1'!G177,'Chalet 2'!G177,'Chalet 3'!G177,Cocktail!G177,'Home Corner'!G177,Visiteur!G177,'Stock Principal'!G177)</f>
        <v>0</v>
      </c>
      <c r="H177" s="95"/>
      <c r="I177" s="10" t="s">
        <v>335</v>
      </c>
      <c r="J177" s="11">
        <v>20</v>
      </c>
      <c r="K177" s="12">
        <f t="shared" si="2"/>
        <v>0</v>
      </c>
    </row>
    <row r="178" spans="1:11" x14ac:dyDescent="0.35">
      <c r="A178" s="103"/>
      <c r="B178" s="20" t="s">
        <v>26</v>
      </c>
      <c r="C178" s="18" t="s">
        <v>53</v>
      </c>
      <c r="D178" s="99"/>
      <c r="E178" s="232">
        <f>'Buvette 1'!H178+'Buvette 2'!H178+'Buvette 3'!H178+'2023'!H178+'Food Genevois'!H178+'Food Bretzel'!H178+'Chalet 1'!H178+'Chalet 2'!H178+'Chalet 3'!H178+Cocktail!H178+'Home Corner'!H178+Visiteur!H178+'Stock Principal'!H178</f>
        <v>0</v>
      </c>
      <c r="F178" s="99"/>
      <c r="G178" s="296">
        <f>SUM('Buvette 1'!G178,'Buvette 2'!G178,'Buvette 3'!G178,'2023'!G178,'Food Genevois'!G178,'Food Bretzel'!G178,'Chalet 1'!G178,'Chalet 2'!G178,'Chalet 3'!G178,Cocktail!G178,'Home Corner'!G178,Visiteur!G178,'Stock Principal'!G178)</f>
        <v>-7</v>
      </c>
      <c r="H178" s="147"/>
      <c r="I178" s="18" t="s">
        <v>20</v>
      </c>
      <c r="J178" s="19">
        <v>0.43</v>
      </c>
      <c r="K178" s="12">
        <f t="shared" si="2"/>
        <v>0</v>
      </c>
    </row>
    <row r="179" spans="1:11" x14ac:dyDescent="0.35">
      <c r="A179" s="103"/>
      <c r="B179" s="20" t="s">
        <v>26</v>
      </c>
      <c r="C179" s="18" t="s">
        <v>336</v>
      </c>
      <c r="D179" s="99"/>
      <c r="E179" s="232">
        <f>'Buvette 1'!H179+'Buvette 2'!H179+'Buvette 3'!H179+'2023'!H179+'Food Genevois'!H179+'Food Bretzel'!H179+'Chalet 1'!H179+'Chalet 2'!H179+'Chalet 3'!H179+Cocktail!H179+'Home Corner'!H179+Visiteur!H179+'Stock Principal'!H179</f>
        <v>0</v>
      </c>
      <c r="F179" s="99"/>
      <c r="G179" s="296">
        <f>SUM('Buvette 1'!G179,'Buvette 2'!G179,'Buvette 3'!G179,'2023'!G179,'Food Genevois'!G179,'Food Bretzel'!G179,'Chalet 1'!G179,'Chalet 2'!G179,'Chalet 3'!G179,Cocktail!G179,'Home Corner'!G179,Visiteur!G179,'Stock Principal'!G179)</f>
        <v>-9</v>
      </c>
      <c r="H179" s="147"/>
      <c r="I179" s="18" t="s">
        <v>20</v>
      </c>
      <c r="J179" s="19">
        <v>0.43</v>
      </c>
      <c r="K179" s="12">
        <f t="shared" si="2"/>
        <v>0</v>
      </c>
    </row>
    <row r="180" spans="1:11" x14ac:dyDescent="0.35">
      <c r="A180" s="103"/>
      <c r="B180" s="12" t="s">
        <v>26</v>
      </c>
      <c r="C180" s="10" t="s">
        <v>337</v>
      </c>
      <c r="D180" s="94"/>
      <c r="E180" s="232">
        <f>'Buvette 1'!H180+'Buvette 2'!H180+'Buvette 3'!H180+'2023'!H180+'Food Genevois'!H180+'Food Bretzel'!H180+'Chalet 1'!H180+'Chalet 2'!H180+'Chalet 3'!H180+Cocktail!H180+'Home Corner'!H180+Visiteur!H180+'Stock Principal'!H180</f>
        <v>0</v>
      </c>
      <c r="F180" s="94"/>
      <c r="G180" s="296">
        <f>SUM('Buvette 1'!G180,'Buvette 2'!G180,'Buvette 3'!G180,'2023'!G180,'Food Genevois'!G180,'Food Bretzel'!G180,'Chalet 1'!G180,'Chalet 2'!G180,'Chalet 3'!G180,Cocktail!G180,'Home Corner'!G180,Visiteur!G180,'Stock Principal'!G180)</f>
        <v>0</v>
      </c>
      <c r="H180" s="95"/>
      <c r="I180" s="10" t="s">
        <v>20</v>
      </c>
      <c r="J180" s="11">
        <v>0.43</v>
      </c>
      <c r="K180" s="12">
        <f t="shared" si="2"/>
        <v>0</v>
      </c>
    </row>
    <row r="181" spans="1:11" x14ac:dyDescent="0.35">
      <c r="A181" s="103"/>
      <c r="B181" s="12" t="s">
        <v>26</v>
      </c>
      <c r="C181" s="10" t="s">
        <v>51</v>
      </c>
      <c r="D181" s="94"/>
      <c r="E181" s="232">
        <f>'Buvette 1'!H181+'Buvette 2'!H181+'Buvette 3'!H181+'2023'!H181+'Food Genevois'!H181+'Food Bretzel'!H181+'Chalet 1'!H181+'Chalet 2'!H181+'Chalet 3'!H181+Cocktail!H181+'Home Corner'!H181+Visiteur!H181+'Stock Principal'!H181</f>
        <v>0</v>
      </c>
      <c r="F181" s="94"/>
      <c r="G181" s="296">
        <f>SUM('Buvette 1'!G181,'Buvette 2'!G181,'Buvette 3'!G181,'2023'!G181,'Food Genevois'!G181,'Food Bretzel'!G181,'Chalet 1'!G181,'Chalet 2'!G181,'Chalet 3'!G181,Cocktail!G181,'Home Corner'!G181,Visiteur!G181,'Stock Principal'!G181)</f>
        <v>0</v>
      </c>
      <c r="H181" s="95"/>
      <c r="I181" s="10" t="s">
        <v>61</v>
      </c>
      <c r="J181" s="11">
        <v>14</v>
      </c>
      <c r="K181" s="12">
        <f t="shared" si="2"/>
        <v>0</v>
      </c>
    </row>
    <row r="182" spans="1:11" x14ac:dyDescent="0.35">
      <c r="A182" s="103"/>
      <c r="B182" s="12" t="s">
        <v>26</v>
      </c>
      <c r="C182" s="10" t="s">
        <v>338</v>
      </c>
      <c r="D182" s="94"/>
      <c r="E182" s="232">
        <f>'Buvette 1'!H182+'Buvette 2'!H182+'Buvette 3'!H182+'2023'!H182+'Food Genevois'!H182+'Food Bretzel'!H182+'Chalet 1'!H182+'Chalet 2'!H182+'Chalet 3'!H182+Cocktail!H182+'Home Corner'!H182+Visiteur!H182+'Stock Principal'!H182</f>
        <v>0</v>
      </c>
      <c r="F182" s="94"/>
      <c r="G182" s="296">
        <f>SUM('Buvette 1'!G182,'Buvette 2'!G182,'Buvette 3'!G182,'2023'!G182,'Food Genevois'!G182,'Food Bretzel'!G182,'Chalet 1'!G182,'Chalet 2'!G182,'Chalet 3'!G182,Cocktail!G182,'Home Corner'!G182,Visiteur!G182,'Stock Principal'!G182)</f>
        <v>0</v>
      </c>
      <c r="H182" s="95"/>
      <c r="I182" s="10" t="s">
        <v>61</v>
      </c>
      <c r="J182" s="11">
        <v>14.78</v>
      </c>
      <c r="K182" s="12">
        <f t="shared" si="2"/>
        <v>0</v>
      </c>
    </row>
    <row r="183" spans="1:11" x14ac:dyDescent="0.35">
      <c r="A183" s="103"/>
      <c r="B183" s="12" t="s">
        <v>26</v>
      </c>
      <c r="C183" s="10" t="s">
        <v>339</v>
      </c>
      <c r="D183" s="94"/>
      <c r="E183" s="232">
        <f>'Buvette 1'!H183+'Buvette 2'!H183+'Buvette 3'!H183+'2023'!H183+'Food Genevois'!H183+'Food Bretzel'!H183+'Chalet 1'!H183+'Chalet 2'!H183+'Chalet 3'!H183+Cocktail!H183+'Home Corner'!H183+Visiteur!H183+'Stock Principal'!H183</f>
        <v>0</v>
      </c>
      <c r="F183" s="94"/>
      <c r="G183" s="296">
        <f>SUM('Buvette 1'!G183,'Buvette 2'!G183,'Buvette 3'!G183,'2023'!G183,'Food Genevois'!G183,'Food Bretzel'!G183,'Chalet 1'!G183,'Chalet 2'!G183,'Chalet 3'!G183,Cocktail!G183,'Home Corner'!G183,Visiteur!G183,'Stock Principal'!G183)</f>
        <v>0</v>
      </c>
      <c r="H183" s="95"/>
      <c r="I183" s="10" t="s">
        <v>61</v>
      </c>
      <c r="J183" s="11">
        <v>14.78</v>
      </c>
      <c r="K183" s="12">
        <f t="shared" si="2"/>
        <v>0</v>
      </c>
    </row>
    <row r="184" spans="1:11" x14ac:dyDescent="0.35">
      <c r="A184" s="103"/>
      <c r="B184" s="12" t="s">
        <v>26</v>
      </c>
      <c r="C184" s="10" t="s">
        <v>340</v>
      </c>
      <c r="D184" s="94"/>
      <c r="E184" s="232">
        <f>'Buvette 1'!H184+'Buvette 2'!H184+'Buvette 3'!H184+'2023'!H184+'Food Genevois'!H184+'Food Bretzel'!H184+'Chalet 1'!H184+'Chalet 2'!H184+'Chalet 3'!H184+Cocktail!H184+'Home Corner'!H184+Visiteur!H184+'Stock Principal'!H184</f>
        <v>0</v>
      </c>
      <c r="F184" s="94"/>
      <c r="G184" s="296">
        <f>SUM('Buvette 1'!G184,'Buvette 2'!G184,'Buvette 3'!G184,'2023'!G184,'Food Genevois'!G184,'Food Bretzel'!G184,'Chalet 1'!G184,'Chalet 2'!G184,'Chalet 3'!G184,Cocktail!G184,'Home Corner'!G184,Visiteur!G184,'Stock Principal'!G184)</f>
        <v>0</v>
      </c>
      <c r="H184" s="95"/>
      <c r="I184" s="10" t="s">
        <v>61</v>
      </c>
      <c r="J184" s="11">
        <v>14.78</v>
      </c>
      <c r="K184" s="12">
        <f t="shared" si="2"/>
        <v>0</v>
      </c>
    </row>
    <row r="185" spans="1:11" x14ac:dyDescent="0.35">
      <c r="A185" s="103"/>
      <c r="B185" s="12" t="s">
        <v>26</v>
      </c>
      <c r="C185" s="10" t="s">
        <v>341</v>
      </c>
      <c r="D185" s="94"/>
      <c r="E185" s="232">
        <f>'Buvette 1'!H185+'Buvette 2'!H185+'Buvette 3'!H185+'2023'!H185+'Food Genevois'!H185+'Food Bretzel'!H185+'Chalet 1'!H185+'Chalet 2'!H185+'Chalet 3'!H185+Cocktail!H185+'Home Corner'!H185+Visiteur!H185+'Stock Principal'!H185</f>
        <v>0</v>
      </c>
      <c r="F185" s="94"/>
      <c r="G185" s="296">
        <f>SUM('Buvette 1'!G185,'Buvette 2'!G185,'Buvette 3'!G185,'2023'!G185,'Food Genevois'!G185,'Food Bretzel'!G185,'Chalet 1'!G185,'Chalet 2'!G185,'Chalet 3'!G185,Cocktail!G185,'Home Corner'!G185,Visiteur!G185,'Stock Principal'!G185)</f>
        <v>0</v>
      </c>
      <c r="H185" s="95"/>
      <c r="I185" s="10" t="s">
        <v>61</v>
      </c>
      <c r="J185" s="11">
        <v>14.78</v>
      </c>
      <c r="K185" s="12">
        <f t="shared" si="2"/>
        <v>0</v>
      </c>
    </row>
    <row r="186" spans="1:11" x14ac:dyDescent="0.35">
      <c r="A186" s="103"/>
      <c r="B186" s="12" t="s">
        <v>26</v>
      </c>
      <c r="C186" s="10" t="s">
        <v>342</v>
      </c>
      <c r="D186" s="94"/>
      <c r="E186" s="232">
        <f>'Buvette 1'!H186+'Buvette 2'!H186+'Buvette 3'!H186+'2023'!H186+'Food Genevois'!H186+'Food Bretzel'!H186+'Chalet 1'!H186+'Chalet 2'!H186+'Chalet 3'!H186+Cocktail!H186+'Home Corner'!H186+Visiteur!H186+'Stock Principal'!H186</f>
        <v>0</v>
      </c>
      <c r="F186" s="94"/>
      <c r="G186" s="296">
        <f>SUM('Buvette 1'!G186,'Buvette 2'!G186,'Buvette 3'!G186,'2023'!G186,'Food Genevois'!G186,'Food Bretzel'!G186,'Chalet 1'!G186,'Chalet 2'!G186,'Chalet 3'!G186,Cocktail!G186,'Home Corner'!G186,Visiteur!G186,'Stock Principal'!G186)</f>
        <v>0</v>
      </c>
      <c r="H186" s="95"/>
      <c r="I186" s="10" t="s">
        <v>61</v>
      </c>
      <c r="J186" s="11">
        <v>14.78</v>
      </c>
      <c r="K186" s="12">
        <f t="shared" si="2"/>
        <v>0</v>
      </c>
    </row>
    <row r="187" spans="1:11" ht="15.5" x14ac:dyDescent="0.35">
      <c r="A187" s="108" t="s">
        <v>343</v>
      </c>
      <c r="B187" s="108"/>
      <c r="C187" s="108"/>
      <c r="D187" s="108"/>
      <c r="E187" s="108"/>
      <c r="F187" s="108"/>
      <c r="G187" s="297"/>
      <c r="H187" s="108"/>
      <c r="I187" s="108"/>
      <c r="J187" s="106" t="s">
        <v>18</v>
      </c>
      <c r="K187" s="270">
        <f>SUM(K188:K192)</f>
        <v>1769.72</v>
      </c>
    </row>
    <row r="188" spans="1:11" x14ac:dyDescent="0.35">
      <c r="A188" s="103"/>
      <c r="B188" s="7" t="s">
        <v>6</v>
      </c>
      <c r="C188" s="14" t="s">
        <v>344</v>
      </c>
      <c r="D188" s="94"/>
      <c r="E188" s="232">
        <f>'Buvette 1'!H188+'Buvette 2'!H188+'Buvette 3'!H188+'2023'!H188+'Food Genevois'!H188+'Food Bretzel'!H188+'Chalet 1'!H188+'Chalet 2'!H188+'Chalet 3'!H188+Cocktail!H188+'Home Corner'!H188+Visiteur!H188+'Stock Principal'!H188</f>
        <v>0</v>
      </c>
      <c r="F188" s="94"/>
      <c r="G188" s="296">
        <f>SUM('Buvette 1'!G188,'Buvette 2'!G188,'Buvette 3'!G188,'2023'!G188,'Food Genevois'!G188,'Food Bretzel'!G188,'Chalet 1'!G188,'Chalet 2'!G188,'Chalet 3'!G188,Cocktail!G188,'Home Corner'!G188,Visiteur!G188,'Stock Principal'!G188)</f>
        <v>0</v>
      </c>
      <c r="H188" s="95"/>
      <c r="I188" s="14" t="s">
        <v>20</v>
      </c>
      <c r="J188" s="35">
        <v>0.79</v>
      </c>
      <c r="K188" s="12">
        <f t="shared" si="2"/>
        <v>0</v>
      </c>
    </row>
    <row r="189" spans="1:11" x14ac:dyDescent="0.35">
      <c r="A189" s="103"/>
      <c r="B189" s="7" t="s">
        <v>6</v>
      </c>
      <c r="C189" s="14" t="s">
        <v>345</v>
      </c>
      <c r="D189" s="94"/>
      <c r="E189" s="232">
        <f>'Buvette 1'!H189+'Buvette 2'!H189+'Buvette 3'!H189+'2023'!H189+'Food Genevois'!H189+'Food Bretzel'!H189+'Chalet 1'!H189+'Chalet 2'!H189+'Chalet 3'!H189+Cocktail!H189+'Home Corner'!H189+Visiteur!H189+'Stock Principal'!H189</f>
        <v>312</v>
      </c>
      <c r="F189" s="94"/>
      <c r="G189" s="296">
        <f>SUM('Buvette 1'!G189,'Buvette 2'!G189,'Buvette 3'!G189,'2023'!G189,'Food Genevois'!G189,'Food Bretzel'!G189,'Chalet 1'!G189,'Chalet 2'!G189,'Chalet 3'!G189,Cocktail!G189,'Home Corner'!G189,Visiteur!G189,'Stock Principal'!G189)</f>
        <v>8</v>
      </c>
      <c r="H189" s="95"/>
      <c r="I189" s="14" t="s">
        <v>20</v>
      </c>
      <c r="J189" s="35">
        <v>2.76</v>
      </c>
      <c r="K189" s="12">
        <f t="shared" si="2"/>
        <v>861.11999999999989</v>
      </c>
    </row>
    <row r="190" spans="1:11" x14ac:dyDescent="0.35">
      <c r="A190" s="103"/>
      <c r="B190" s="7" t="s">
        <v>6</v>
      </c>
      <c r="C190" s="14" t="s">
        <v>346</v>
      </c>
      <c r="D190" s="94"/>
      <c r="E190" s="232">
        <f>'Buvette 1'!H190+'Buvette 2'!H190+'Buvette 3'!H190+'2023'!H190+'Food Genevois'!H190+'Food Bretzel'!H190+'Chalet 1'!H190+'Chalet 2'!H190+'Chalet 3'!H190+Cocktail!H190+'Home Corner'!H190+Visiteur!H190+'Stock Principal'!H190</f>
        <v>5</v>
      </c>
      <c r="F190" s="94"/>
      <c r="G190" s="296">
        <f>SUM('Buvette 1'!G190,'Buvette 2'!G190,'Buvette 3'!G190,'2023'!G190,'Food Genevois'!G190,'Food Bretzel'!G190,'Chalet 1'!G190,'Chalet 2'!G190,'Chalet 3'!G190,Cocktail!G190,'Home Corner'!G190,Visiteur!G190,'Stock Principal'!G190)</f>
        <v>0</v>
      </c>
      <c r="H190" s="95"/>
      <c r="I190" s="14" t="s">
        <v>20</v>
      </c>
      <c r="J190" s="35">
        <v>1</v>
      </c>
      <c r="K190" s="12">
        <f t="shared" si="2"/>
        <v>5</v>
      </c>
    </row>
    <row r="191" spans="1:11" x14ac:dyDescent="0.35">
      <c r="A191" s="103"/>
      <c r="B191" s="7" t="s">
        <v>6</v>
      </c>
      <c r="C191" s="14" t="s">
        <v>34</v>
      </c>
      <c r="D191" s="94"/>
      <c r="E191" s="232">
        <f>'Buvette 1'!H191+'Buvette 2'!H191+'Buvette 3'!H191+'2023'!H191+'Food Genevois'!H191+'Food Bretzel'!H191+'Chalet 1'!H191+'Chalet 2'!H191+'Chalet 3'!H191+Cocktail!H191+'Home Corner'!H191+Visiteur!H191+'Stock Principal'!H191</f>
        <v>278</v>
      </c>
      <c r="F191" s="94"/>
      <c r="G191" s="296">
        <f>SUM('Buvette 1'!G191,'Buvette 2'!G191,'Buvette 3'!G191,'2023'!G191,'Food Genevois'!G191,'Food Bretzel'!G191,'Chalet 1'!G191,'Chalet 2'!G191,'Chalet 3'!G191,Cocktail!G191,'Home Corner'!G191,Visiteur!G191,'Stock Principal'!G191)</f>
        <v>52</v>
      </c>
      <c r="H191" s="95"/>
      <c r="I191" s="14" t="s">
        <v>20</v>
      </c>
      <c r="J191" s="35">
        <v>1.8</v>
      </c>
      <c r="K191" s="12">
        <f t="shared" si="2"/>
        <v>500.40000000000003</v>
      </c>
    </row>
    <row r="192" spans="1:11" x14ac:dyDescent="0.35">
      <c r="A192" s="103"/>
      <c r="B192" s="7" t="s">
        <v>6</v>
      </c>
      <c r="C192" s="14" t="s">
        <v>35</v>
      </c>
      <c r="D192" s="94"/>
      <c r="E192" s="232">
        <f>'Buvette 1'!H192+'Buvette 2'!H192+'Buvette 3'!H192+'2023'!H192+'Food Genevois'!H192+'Food Bretzel'!H192+'Chalet 1'!H192+'Chalet 2'!H192+'Chalet 3'!H192+Cocktail!H192+'Home Corner'!H192+Visiteur!H192+'Stock Principal'!H192</f>
        <v>224</v>
      </c>
      <c r="F192" s="94"/>
      <c r="G192" s="296">
        <f>SUM('Buvette 1'!G192,'Buvette 2'!G192,'Buvette 3'!G192,'2023'!G192,'Food Genevois'!G192,'Food Bretzel'!G192,'Chalet 1'!G192,'Chalet 2'!G192,'Chalet 3'!G192,Cocktail!G192,'Home Corner'!G192,Visiteur!G192,'Stock Principal'!G192)</f>
        <v>166</v>
      </c>
      <c r="H192" s="95"/>
      <c r="I192" s="14" t="s">
        <v>20</v>
      </c>
      <c r="J192" s="35">
        <v>1.8</v>
      </c>
      <c r="K192" s="12">
        <f t="shared" si="2"/>
        <v>403.2</v>
      </c>
    </row>
    <row r="193" spans="1:11" ht="15.5" x14ac:dyDescent="0.35">
      <c r="A193" s="112" t="s">
        <v>347</v>
      </c>
      <c r="B193" s="116"/>
      <c r="C193" s="116"/>
      <c r="D193" s="116"/>
      <c r="E193" s="116"/>
      <c r="F193" s="116"/>
      <c r="G193" s="297"/>
      <c r="H193" s="116"/>
      <c r="I193" s="117"/>
      <c r="J193" s="118" t="s">
        <v>18</v>
      </c>
      <c r="K193" s="270">
        <f>SUM(K194)</f>
        <v>0</v>
      </c>
    </row>
    <row r="194" spans="1:11" x14ac:dyDescent="0.35">
      <c r="A194" s="103"/>
      <c r="B194" s="12" t="s">
        <v>5</v>
      </c>
      <c r="C194" s="10" t="s">
        <v>55</v>
      </c>
      <c r="D194" s="94"/>
      <c r="E194" s="232">
        <f>'Buvette 1'!H194+'Buvette 2'!H194+'Buvette 3'!H194+'2023'!H194+'Food Genevois'!H194+'Food Bretzel'!H194+'Chalet 1'!H194+'Chalet 2'!H194+'Chalet 3'!H194+Cocktail!H194+'Home Corner'!H194+Visiteur!H194+'Stock Principal'!H194</f>
        <v>0</v>
      </c>
      <c r="F194" s="94"/>
      <c r="G194" s="296">
        <f>SUM('Buvette 1'!G194,'Buvette 2'!G194,'Buvette 3'!G194,'2023'!G194,'Food Genevois'!G194,'Food Bretzel'!G194,'Chalet 1'!G194,'Chalet 2'!G194,'Chalet 3'!G194,Cocktail!G194,'Home Corner'!G194,Visiteur!G194,'Stock Principal'!G194)</f>
        <v>0</v>
      </c>
      <c r="H194" s="95"/>
      <c r="I194" s="10" t="s">
        <v>20</v>
      </c>
      <c r="J194" s="11">
        <v>1.01</v>
      </c>
      <c r="K194" s="12">
        <f t="shared" si="2"/>
        <v>0</v>
      </c>
    </row>
    <row r="195" spans="1:11" ht="15.5" x14ac:dyDescent="0.35">
      <c r="A195" s="112" t="s">
        <v>348</v>
      </c>
      <c r="B195" s="116"/>
      <c r="C195" s="116"/>
      <c r="D195" s="116"/>
      <c r="E195" s="116"/>
      <c r="F195" s="116"/>
      <c r="G195" s="297"/>
      <c r="H195" s="116"/>
      <c r="I195" s="117"/>
      <c r="J195" s="118" t="s">
        <v>18</v>
      </c>
      <c r="K195" s="270">
        <f>SUM(K196:K207)</f>
        <v>951.96999999999991</v>
      </c>
    </row>
    <row r="196" spans="1:11" x14ac:dyDescent="0.35">
      <c r="A196" s="103"/>
      <c r="B196" s="20" t="s">
        <v>8</v>
      </c>
      <c r="C196" s="18" t="s">
        <v>349</v>
      </c>
      <c r="D196" s="99"/>
      <c r="E196" s="232">
        <f>'Buvette 1'!H196+'Buvette 2'!H196+'Buvette 3'!H196+'2023'!H196+'Food Genevois'!H196+'Food Bretzel'!H196+'Chalet 1'!H196+'Chalet 2'!H196+'Chalet 3'!H196+Cocktail!H196+'Home Corner'!H196+Visiteur!H196+'Stock Principal'!H196</f>
        <v>0</v>
      </c>
      <c r="F196" s="99"/>
      <c r="G196" s="296">
        <f>SUM('Buvette 1'!G196,'Buvette 2'!G196,'Buvette 3'!G196,'2023'!G196,'Food Genevois'!G196,'Food Bretzel'!G196,'Chalet 1'!G196,'Chalet 2'!G196,'Chalet 3'!G196,Cocktail!G196,'Home Corner'!G196,Visiteur!G196,'Stock Principal'!G196)</f>
        <v>0</v>
      </c>
      <c r="H196" s="147"/>
      <c r="I196" s="18" t="s">
        <v>27</v>
      </c>
      <c r="J196" s="20">
        <v>28.62</v>
      </c>
      <c r="K196" s="12">
        <f t="shared" si="2"/>
        <v>0</v>
      </c>
    </row>
    <row r="197" spans="1:11" x14ac:dyDescent="0.35">
      <c r="A197" s="103"/>
      <c r="B197" s="12" t="s">
        <v>8</v>
      </c>
      <c r="C197" s="10" t="s">
        <v>350</v>
      </c>
      <c r="D197" s="94"/>
      <c r="E197" s="232">
        <f>'Buvette 1'!H197+'Buvette 2'!H197+'Buvette 3'!H197+'2023'!H197+'Food Genevois'!H197+'Food Bretzel'!H197+'Chalet 1'!H197+'Chalet 2'!H197+'Chalet 3'!H197+Cocktail!H197+'Home Corner'!H197+Visiteur!H197+'Stock Principal'!H197</f>
        <v>0</v>
      </c>
      <c r="F197" s="94"/>
      <c r="G197" s="296">
        <f>SUM('Buvette 1'!G197,'Buvette 2'!G197,'Buvette 3'!G197,'2023'!G197,'Food Genevois'!G197,'Food Bretzel'!G197,'Chalet 1'!G197,'Chalet 2'!G197,'Chalet 3'!G197,Cocktail!G197,'Home Corner'!G197,Visiteur!G197,'Stock Principal'!G197)</f>
        <v>0</v>
      </c>
      <c r="H197" s="95"/>
      <c r="I197" s="10" t="s">
        <v>335</v>
      </c>
      <c r="J197" s="12">
        <v>30</v>
      </c>
      <c r="K197" s="12">
        <f t="shared" si="2"/>
        <v>0</v>
      </c>
    </row>
    <row r="198" spans="1:11" x14ac:dyDescent="0.35">
      <c r="A198" s="103"/>
      <c r="B198" s="12" t="s">
        <v>8</v>
      </c>
      <c r="C198" s="10" t="s">
        <v>351</v>
      </c>
      <c r="D198" s="94"/>
      <c r="E198" s="232">
        <f>'Buvette 1'!H198+'Buvette 2'!H198+'Buvette 3'!H198+'2023'!H198+'Food Genevois'!H198+'Food Bretzel'!H198+'Chalet 1'!H198+'Chalet 2'!H198+'Chalet 3'!H198+Cocktail!H198+'Home Corner'!H198+Visiteur!H198+'Stock Principal'!H198</f>
        <v>0</v>
      </c>
      <c r="F198" s="94"/>
      <c r="G198" s="296">
        <f>SUM('Buvette 1'!G198,'Buvette 2'!G198,'Buvette 3'!G198,'2023'!G198,'Food Genevois'!G198,'Food Bretzel'!G198,'Chalet 1'!G198,'Chalet 2'!G198,'Chalet 3'!G198,Cocktail!G198,'Home Corner'!G198,Visiteur!G198,'Stock Principal'!G198)</f>
        <v>0</v>
      </c>
      <c r="H198" s="95"/>
      <c r="I198" s="10" t="s">
        <v>335</v>
      </c>
      <c r="J198" s="11">
        <v>1.1499999999999999</v>
      </c>
      <c r="K198" s="12">
        <f t="shared" si="2"/>
        <v>0</v>
      </c>
    </row>
    <row r="199" spans="1:11" x14ac:dyDescent="0.35">
      <c r="A199" s="103"/>
      <c r="B199" s="12" t="s">
        <v>8</v>
      </c>
      <c r="C199" s="10" t="s">
        <v>352</v>
      </c>
      <c r="D199" s="94"/>
      <c r="E199" s="232">
        <f>'Buvette 1'!H199+'Buvette 2'!H199+'Buvette 3'!H199+'2023'!H199+'Food Genevois'!H199+'Food Bretzel'!H199+'Chalet 1'!H199+'Chalet 2'!H199+'Chalet 3'!H199+Cocktail!H199+'Home Corner'!H199+Visiteur!H199+'Stock Principal'!H199</f>
        <v>9</v>
      </c>
      <c r="F199" s="94"/>
      <c r="G199" s="296">
        <f>SUM('Buvette 1'!G199,'Buvette 2'!G199,'Buvette 3'!G199,'2023'!G199,'Food Genevois'!G199,'Food Bretzel'!G199,'Chalet 1'!G199,'Chalet 2'!G199,'Chalet 3'!G199,Cocktail!G199,'Home Corner'!G199,Visiteur!G199,'Stock Principal'!G199)</f>
        <v>1</v>
      </c>
      <c r="H199" s="95"/>
      <c r="I199" s="10">
        <v>23.83</v>
      </c>
      <c r="J199" s="11">
        <v>30.95</v>
      </c>
      <c r="K199" s="12">
        <f t="shared" si="2"/>
        <v>278.55</v>
      </c>
    </row>
    <row r="200" spans="1:11" x14ac:dyDescent="0.35">
      <c r="A200" s="103"/>
      <c r="B200" s="12" t="s">
        <v>8</v>
      </c>
      <c r="C200" s="10" t="s">
        <v>353</v>
      </c>
      <c r="D200" s="94"/>
      <c r="E200" s="232">
        <f>'Buvette 1'!H200+'Buvette 2'!H200+'Buvette 3'!H200+'2023'!H200+'Food Genevois'!H200+'Food Bretzel'!H200+'Chalet 1'!H200+'Chalet 2'!H200+'Chalet 3'!H200+Cocktail!H200+'Home Corner'!H200+Visiteur!H200+'Stock Principal'!H200</f>
        <v>7</v>
      </c>
      <c r="F200" s="94"/>
      <c r="G200" s="296">
        <f>SUM('Buvette 1'!G200,'Buvette 2'!G200,'Buvette 3'!G200,'2023'!G200,'Food Genevois'!G200,'Food Bretzel'!G200,'Chalet 1'!G200,'Chalet 2'!G200,'Chalet 3'!G200,Cocktail!G200,'Home Corner'!G200,Visiteur!G200,'Stock Principal'!G200)</f>
        <v>0</v>
      </c>
      <c r="H200" s="95"/>
      <c r="I200" s="10" t="s">
        <v>27</v>
      </c>
      <c r="J200" s="11">
        <v>28.89</v>
      </c>
      <c r="K200" s="12">
        <f t="shared" si="2"/>
        <v>202.23000000000002</v>
      </c>
    </row>
    <row r="201" spans="1:11" x14ac:dyDescent="0.35">
      <c r="A201" s="103"/>
      <c r="B201" s="12" t="s">
        <v>8</v>
      </c>
      <c r="C201" s="10" t="s">
        <v>354</v>
      </c>
      <c r="D201" s="94"/>
      <c r="E201" s="232">
        <f>'Buvette 1'!H201+'Buvette 2'!H201+'Buvette 3'!H201+'2023'!H201+'Food Genevois'!H201+'Food Bretzel'!H201+'Chalet 1'!H201+'Chalet 2'!H201+'Chalet 3'!H201+Cocktail!H201+'Home Corner'!H201+Visiteur!H201+'Stock Principal'!H201</f>
        <v>9</v>
      </c>
      <c r="F201" s="94"/>
      <c r="G201" s="296">
        <f>SUM('Buvette 1'!G201,'Buvette 2'!G201,'Buvette 3'!G201,'2023'!G201,'Food Genevois'!G201,'Food Bretzel'!G201,'Chalet 1'!G201,'Chalet 2'!G201,'Chalet 3'!G201,Cocktail!G201,'Home Corner'!G201,Visiteur!G201,'Stock Principal'!G201)</f>
        <v>-1</v>
      </c>
      <c r="H201" s="95"/>
      <c r="I201" s="10" t="s">
        <v>27</v>
      </c>
      <c r="J201" s="11">
        <v>19.37</v>
      </c>
      <c r="K201" s="12">
        <f>E201*J201</f>
        <v>174.33</v>
      </c>
    </row>
    <row r="202" spans="1:11" x14ac:dyDescent="0.35">
      <c r="A202" s="103"/>
      <c r="B202" s="12" t="s">
        <v>8</v>
      </c>
      <c r="C202" s="10" t="s">
        <v>429</v>
      </c>
      <c r="D202" s="94"/>
      <c r="E202" s="232"/>
      <c r="F202" s="94"/>
      <c r="G202" s="296">
        <f>SUM('Buvette 1'!G202,'Buvette 2'!G202,'Buvette 3'!G202,'2023'!G202,'Food Genevois'!G202,'Food Bretzel'!G202,'Chalet 1'!G202,'Chalet 2'!G202,'Chalet 3'!G202,Cocktail!G202,'Home Corner'!G202,Visiteur!G202,'Stock Principal'!G202)</f>
        <v>5</v>
      </c>
      <c r="H202" s="95"/>
      <c r="I202" s="10" t="s">
        <v>27</v>
      </c>
      <c r="J202" s="11">
        <v>14.07</v>
      </c>
      <c r="K202" s="12">
        <f t="shared" ref="K202:K204" si="3">E202*J202</f>
        <v>0</v>
      </c>
    </row>
    <row r="203" spans="1:11" x14ac:dyDescent="0.35">
      <c r="A203" s="103"/>
      <c r="B203" s="12" t="s">
        <v>8</v>
      </c>
      <c r="C203" s="10" t="s">
        <v>430</v>
      </c>
      <c r="D203" s="94"/>
      <c r="E203" s="232"/>
      <c r="F203" s="94"/>
      <c r="G203" s="296">
        <f>SUM('Buvette 1'!G203,'Buvette 2'!G203,'Buvette 3'!G203,'2023'!G203,'Food Genevois'!G203,'Food Bretzel'!G203,'Chalet 1'!G203,'Chalet 2'!G203,'Chalet 3'!G203,Cocktail!G203,'Home Corner'!G203,Visiteur!G203,'Stock Principal'!G203)</f>
        <v>5</v>
      </c>
      <c r="H203" s="95"/>
      <c r="I203" s="10" t="s">
        <v>27</v>
      </c>
      <c r="J203" s="11">
        <v>16.07</v>
      </c>
      <c r="K203" s="12">
        <f t="shared" si="3"/>
        <v>0</v>
      </c>
    </row>
    <row r="204" spans="1:11" x14ac:dyDescent="0.35">
      <c r="A204" s="103"/>
      <c r="B204" s="12" t="s">
        <v>8</v>
      </c>
      <c r="C204" s="10" t="s">
        <v>431</v>
      </c>
      <c r="D204" s="94"/>
      <c r="G204" s="296">
        <f>SUM('Buvette 1'!G204,'Buvette 2'!G204,'Buvette 3'!G204,'2023'!G204,'Food Genevois'!G204,'Food Bretzel'!G204,'Chalet 1'!G204,'Chalet 2'!G204,'Chalet 3'!G204,Cocktail!G204,'Home Corner'!G204,Visiteur!G204,'Stock Principal'!G204)</f>
        <v>5</v>
      </c>
      <c r="H204" s="95"/>
      <c r="I204" s="10" t="s">
        <v>27</v>
      </c>
      <c r="J204" s="11">
        <v>14.62</v>
      </c>
      <c r="K204" s="12">
        <f t="shared" si="3"/>
        <v>0</v>
      </c>
    </row>
    <row r="205" spans="1:11" x14ac:dyDescent="0.35">
      <c r="A205" s="103"/>
      <c r="B205" s="12" t="s">
        <v>8</v>
      </c>
      <c r="C205" s="10" t="s">
        <v>355</v>
      </c>
      <c r="D205" s="94"/>
      <c r="E205" s="232">
        <f>'Buvette 1'!H205+'Buvette 2'!H205+'Buvette 3'!H205+'2023'!H205+'Food Genevois'!H205+'Food Bretzel'!H205+'Chalet 1'!H205+'Chalet 2'!H205+'Chalet 3'!H205+Cocktail!H205+'Home Corner'!H205+Visiteur!H205+'Stock Principal'!H205</f>
        <v>5</v>
      </c>
      <c r="F205" s="94"/>
      <c r="G205" s="296">
        <f>SUM('Buvette 1'!G205,'Buvette 2'!G205,'Buvette 3'!G205,'2023'!G205,'Food Genevois'!G205,'Food Bretzel'!G205,'Chalet 1'!G205,'Chalet 2'!G205,'Chalet 3'!G205,Cocktail!G205,'Home Corner'!G205,Visiteur!G205,'Stock Principal'!G205)</f>
        <v>0</v>
      </c>
      <c r="H205" s="95"/>
      <c r="I205" s="10" t="s">
        <v>61</v>
      </c>
      <c r="J205" s="11">
        <v>17.11</v>
      </c>
      <c r="K205" s="12">
        <f t="shared" si="2"/>
        <v>85.55</v>
      </c>
    </row>
    <row r="206" spans="1:11" x14ac:dyDescent="0.35">
      <c r="A206" s="103"/>
      <c r="B206" s="12" t="s">
        <v>8</v>
      </c>
      <c r="C206" s="10" t="s">
        <v>356</v>
      </c>
      <c r="D206" s="94"/>
      <c r="E206" s="232">
        <f>'Buvette 1'!H206+'Buvette 2'!H206+'Buvette 3'!H206+'2023'!H206+'Food Genevois'!H206+'Food Bretzel'!H206+'Chalet 1'!H206+'Chalet 2'!H206+'Chalet 3'!H206+Cocktail!H206+'Home Corner'!H206+Visiteur!H206+'Stock Principal'!H206</f>
        <v>7</v>
      </c>
      <c r="F206" s="94"/>
      <c r="G206" s="296">
        <f>SUM('Buvette 1'!G206,'Buvette 2'!G206,'Buvette 3'!G206,'2023'!G206,'Food Genevois'!G206,'Food Bretzel'!G206,'Chalet 1'!G206,'Chalet 2'!G206,'Chalet 3'!G206,Cocktail!G206,'Home Corner'!G206,Visiteur!G206,'Stock Principal'!G206)</f>
        <v>0</v>
      </c>
      <c r="H206" s="95"/>
      <c r="I206" s="10" t="s">
        <v>61</v>
      </c>
      <c r="J206" s="11">
        <v>22.13</v>
      </c>
      <c r="K206" s="12">
        <f t="shared" si="2"/>
        <v>154.91</v>
      </c>
    </row>
    <row r="207" spans="1:11" x14ac:dyDescent="0.35">
      <c r="A207" s="103"/>
      <c r="B207" s="40" t="s">
        <v>8</v>
      </c>
      <c r="C207" s="41" t="s">
        <v>357</v>
      </c>
      <c r="D207" s="98"/>
      <c r="E207" s="232">
        <f>'Buvette 1'!H207+'Buvette 2'!H207+'Buvette 3'!H207+'2023'!H207+'Food Genevois'!H207+'Food Bretzel'!H207+'Chalet 1'!H207+'Chalet 2'!H207+'Chalet 3'!H207+Cocktail!H207+'Home Corner'!H207+Visiteur!H207+'Stock Principal'!H207</f>
        <v>3</v>
      </c>
      <c r="F207" s="98"/>
      <c r="G207" s="296">
        <f>SUM('Buvette 1'!G207,'Buvette 2'!G207,'Buvette 3'!G207,'2023'!G207,'Food Genevois'!G207,'Food Bretzel'!G207,'Chalet 1'!G207,'Chalet 2'!G207,'Chalet 3'!G207,Cocktail!G207,'Home Corner'!G207,Visiteur!G207,'Stock Principal'!G207)</f>
        <v>0</v>
      </c>
      <c r="H207" s="145"/>
      <c r="I207" s="41" t="s">
        <v>61</v>
      </c>
      <c r="J207" s="42">
        <v>18.8</v>
      </c>
      <c r="K207" s="12">
        <f t="shared" si="2"/>
        <v>56.400000000000006</v>
      </c>
    </row>
    <row r="208" spans="1:11" ht="15.5" x14ac:dyDescent="0.35">
      <c r="A208" s="112" t="s">
        <v>358</v>
      </c>
      <c r="B208" s="116"/>
      <c r="C208" s="116"/>
      <c r="D208" s="116"/>
      <c r="E208" s="116"/>
      <c r="F208" s="116"/>
      <c r="G208" s="297"/>
      <c r="H208" s="116"/>
      <c r="I208" s="117"/>
      <c r="J208" s="118" t="s">
        <v>18</v>
      </c>
      <c r="K208" s="270">
        <f>SUM(K209)</f>
        <v>0</v>
      </c>
    </row>
    <row r="209" spans="1:11" x14ac:dyDescent="0.35">
      <c r="A209" s="103"/>
      <c r="B209" s="13" t="s">
        <v>11</v>
      </c>
      <c r="C209" s="18" t="s">
        <v>359</v>
      </c>
      <c r="D209" s="99"/>
      <c r="E209" s="232">
        <f>'Buvette 1'!H209+'Buvette 2'!H209+'Buvette 3'!H209+'2023'!H209+'Food Genevois'!H209+'Food Bretzel'!H209+'Chalet 1'!H209+'Chalet 2'!H209+'Chalet 3'!H209+Cocktail!H209+'Home Corner'!H209+Visiteur!H209+'Stock Principal'!H209</f>
        <v>0</v>
      </c>
      <c r="F209" s="99"/>
      <c r="G209" s="296">
        <f>SUM('Buvette 1'!G209,'Buvette 2'!G209,'Buvette 3'!G209,'2023'!G209,'Food Genevois'!G209,'Food Bretzel'!G209,'Chalet 1'!G209,'Chalet 2'!G209,'Chalet 3'!G209,Cocktail!G209,'Home Corner'!G209,Visiteur!G209,'Stock Principal'!G209)</f>
        <v>0</v>
      </c>
      <c r="H209" s="95"/>
      <c r="I209" s="10" t="s">
        <v>52</v>
      </c>
      <c r="J209" s="11">
        <v>11.63</v>
      </c>
      <c r="K209" s="12">
        <f t="shared" si="2"/>
        <v>0</v>
      </c>
    </row>
    <row r="210" spans="1:11" ht="15.5" x14ac:dyDescent="0.35">
      <c r="A210" s="108" t="s">
        <v>360</v>
      </c>
      <c r="B210" s="108"/>
      <c r="C210" s="108"/>
      <c r="D210" s="108"/>
      <c r="E210" s="108"/>
      <c r="F210" s="108"/>
      <c r="G210" s="297"/>
      <c r="H210" s="108"/>
      <c r="I210" s="108"/>
      <c r="J210" s="106" t="s">
        <v>18</v>
      </c>
      <c r="K210" s="270">
        <f>SUM(K211:K212)</f>
        <v>0</v>
      </c>
    </row>
    <row r="211" spans="1:11" x14ac:dyDescent="0.35">
      <c r="A211" s="103"/>
      <c r="B211" s="12" t="s">
        <v>12</v>
      </c>
      <c r="C211" s="10" t="s">
        <v>70</v>
      </c>
      <c r="D211" s="94"/>
      <c r="E211" s="232">
        <f>'Buvette 1'!H211+'Buvette 2'!H211+'Buvette 3'!H211+'2023'!H211+'Food Genevois'!H211+'Food Bretzel'!H211+'Chalet 1'!H211+'Chalet 2'!H211+'Chalet 3'!H211+Cocktail!H211+'Home Corner'!H211+Visiteur!H211+'Stock Principal'!H211</f>
        <v>0</v>
      </c>
      <c r="F211" s="94"/>
      <c r="G211" s="296">
        <f>SUM('Buvette 1'!G211,'Buvette 2'!G211,'Buvette 3'!G211,'2023'!G211,'Food Genevois'!G211,'Food Bretzel'!G211,'Chalet 1'!G211,'Chalet 2'!G211,'Chalet 3'!G211,Cocktail!G211,'Home Corner'!G211,Visiteur!G211,'Stock Principal'!G211)</f>
        <v>0</v>
      </c>
      <c r="H211" s="95"/>
      <c r="I211" s="10" t="s">
        <v>27</v>
      </c>
      <c r="J211" s="11">
        <v>20.7</v>
      </c>
      <c r="K211" s="12">
        <f t="shared" si="2"/>
        <v>0</v>
      </c>
    </row>
    <row r="212" spans="1:11" x14ac:dyDescent="0.35">
      <c r="A212" s="103"/>
      <c r="B212" s="12" t="s">
        <v>12</v>
      </c>
      <c r="C212" s="10" t="s">
        <v>71</v>
      </c>
      <c r="D212" s="94"/>
      <c r="E212" s="232">
        <f>'Buvette 1'!H212+'Buvette 2'!H212+'Buvette 3'!H212+'2023'!H212+'Food Genevois'!H212+'Food Bretzel'!H212+'Chalet 1'!H212+'Chalet 2'!H212+'Chalet 3'!H212+Cocktail!H212+'Home Corner'!H212+Visiteur!H212+'Stock Principal'!H212</f>
        <v>0</v>
      </c>
      <c r="F212" s="94"/>
      <c r="G212" s="296">
        <f>SUM('Buvette 1'!G212,'Buvette 2'!G212,'Buvette 3'!G212,'2023'!G212,'Food Genevois'!G212,'Food Bretzel'!G212,'Chalet 1'!G212,'Chalet 2'!G212,'Chalet 3'!G212,Cocktail!G212,'Home Corner'!G212,Visiteur!G212,'Stock Principal'!G212)</f>
        <v>0</v>
      </c>
      <c r="H212" s="95"/>
      <c r="I212" s="10" t="s">
        <v>27</v>
      </c>
      <c r="J212" s="11">
        <v>13.7</v>
      </c>
      <c r="K212" s="12">
        <f t="shared" si="2"/>
        <v>0</v>
      </c>
    </row>
    <row r="213" spans="1:11" ht="15.5" x14ac:dyDescent="0.35">
      <c r="A213" s="108" t="s">
        <v>361</v>
      </c>
      <c r="B213" s="108"/>
      <c r="C213" s="108"/>
      <c r="D213" s="108"/>
      <c r="E213" s="108"/>
      <c r="F213" s="108"/>
      <c r="G213" s="297"/>
      <c r="H213" s="108"/>
      <c r="I213" s="108"/>
      <c r="J213" s="106" t="s">
        <v>18</v>
      </c>
      <c r="K213" s="270">
        <f>SUM(K214:K217)</f>
        <v>0</v>
      </c>
    </row>
    <row r="214" spans="1:11" x14ac:dyDescent="0.35">
      <c r="A214" s="103"/>
      <c r="B214" s="12" t="s">
        <v>10</v>
      </c>
      <c r="C214" s="10" t="s">
        <v>362</v>
      </c>
      <c r="D214" s="94"/>
      <c r="E214" s="232">
        <f>'Buvette 1'!H214+'Buvette 2'!H214+'Buvette 3'!H214+'2023'!H214+'Food Genevois'!H214+'Food Bretzel'!H214+'Chalet 1'!H214+'Chalet 2'!H214+'Chalet 3'!H214+Cocktail!H214+'Home Corner'!H214+Visiteur!H214+'Stock Principal'!H214</f>
        <v>0</v>
      </c>
      <c r="F214" s="94"/>
      <c r="G214" s="296">
        <f>SUM('Buvette 1'!G214,'Buvette 2'!G214,'Buvette 3'!G214,'2023'!G214,'Food Genevois'!G214,'Food Bretzel'!G214,'Chalet 1'!G214,'Chalet 2'!G214,'Chalet 3'!G214,Cocktail!G214,'Home Corner'!G214,Visiteur!G214,'Stock Principal'!G214)</f>
        <v>0</v>
      </c>
      <c r="H214" s="95"/>
      <c r="I214" s="10" t="s">
        <v>20</v>
      </c>
      <c r="J214" s="11">
        <v>11.08</v>
      </c>
      <c r="K214" s="12">
        <f t="shared" si="2"/>
        <v>0</v>
      </c>
    </row>
    <row r="215" spans="1:11" x14ac:dyDescent="0.35">
      <c r="A215" s="103"/>
      <c r="B215" s="12" t="s">
        <v>10</v>
      </c>
      <c r="C215" s="10" t="s">
        <v>363</v>
      </c>
      <c r="D215" s="94"/>
      <c r="E215" s="232">
        <f>'Buvette 1'!H215+'Buvette 2'!H215+'Buvette 3'!H215+'2023'!H215+'Food Genevois'!H215+'Food Bretzel'!H215+'Chalet 1'!H215+'Chalet 2'!H215+'Chalet 3'!H215+Cocktail!H215+'Home Corner'!H215+Visiteur!H215+'Stock Principal'!H215</f>
        <v>0</v>
      </c>
      <c r="F215" s="94"/>
      <c r="G215" s="296">
        <f>SUM('Buvette 1'!G215,'Buvette 2'!G215,'Buvette 3'!G215,'2023'!G215,'Food Genevois'!G215,'Food Bretzel'!G215,'Chalet 1'!G215,'Chalet 2'!G215,'Chalet 3'!G215,Cocktail!G215,'Home Corner'!G215,Visiteur!G215,'Stock Principal'!G215)</f>
        <v>0</v>
      </c>
      <c r="H215" s="95"/>
      <c r="I215" s="10" t="s">
        <v>27</v>
      </c>
      <c r="J215" s="11">
        <v>16.21</v>
      </c>
      <c r="K215" s="12">
        <f t="shared" si="2"/>
        <v>0</v>
      </c>
    </row>
    <row r="216" spans="1:11" x14ac:dyDescent="0.35">
      <c r="A216" s="103"/>
      <c r="B216" s="12" t="s">
        <v>10</v>
      </c>
      <c r="C216" s="10" t="s">
        <v>364</v>
      </c>
      <c r="D216" s="94"/>
      <c r="E216" s="232">
        <f>'Buvette 1'!H216+'Buvette 2'!H216+'Buvette 3'!H216+'2023'!H216+'Food Genevois'!H216+'Food Bretzel'!H216+'Chalet 1'!H216+'Chalet 2'!H216+'Chalet 3'!H216+Cocktail!H216+'Home Corner'!H216+Visiteur!H216+'Stock Principal'!H216</f>
        <v>0</v>
      </c>
      <c r="F216" s="94"/>
      <c r="G216" s="296">
        <f>SUM('Buvette 1'!G216,'Buvette 2'!G216,'Buvette 3'!G216,'2023'!G216,'Food Genevois'!G216,'Food Bretzel'!G216,'Chalet 1'!G216,'Chalet 2'!G216,'Chalet 3'!G216,Cocktail!G216,'Home Corner'!G216,Visiteur!G216,'Stock Principal'!G216)</f>
        <v>0</v>
      </c>
      <c r="H216" s="95"/>
      <c r="I216" s="10" t="s">
        <v>27</v>
      </c>
      <c r="J216" s="11">
        <v>19.350000000000001</v>
      </c>
      <c r="K216" s="12">
        <f t="shared" si="2"/>
        <v>0</v>
      </c>
    </row>
    <row r="217" spans="1:11" x14ac:dyDescent="0.35">
      <c r="A217" s="103"/>
      <c r="B217" s="12" t="s">
        <v>10</v>
      </c>
      <c r="C217" s="10" t="s">
        <v>365</v>
      </c>
      <c r="D217" s="94"/>
      <c r="E217" s="232">
        <f>'Buvette 1'!H217+'Buvette 2'!H217+'Buvette 3'!H217+'2023'!H217+'Food Genevois'!H217+'Food Bretzel'!H217+'Chalet 1'!H217+'Chalet 2'!H217+'Chalet 3'!H217+Cocktail!H217+'Home Corner'!H217+Visiteur!H217+'Stock Principal'!H217</f>
        <v>0</v>
      </c>
      <c r="F217" s="94"/>
      <c r="G217" s="296">
        <f>SUM('Buvette 1'!G217,'Buvette 2'!G217,'Buvette 3'!G217,'2023'!G217,'Food Genevois'!G217,'Food Bretzel'!G217,'Chalet 1'!G217,'Chalet 2'!G217,'Chalet 3'!G217,Cocktail!G217,'Home Corner'!G217,Visiteur!G217,'Stock Principal'!G217)</f>
        <v>0</v>
      </c>
      <c r="H217" s="95"/>
      <c r="I217" s="10" t="s">
        <v>27</v>
      </c>
      <c r="J217" s="11">
        <v>19.809999999999999</v>
      </c>
      <c r="K217" s="12">
        <f t="shared" si="2"/>
        <v>0</v>
      </c>
    </row>
    <row r="218" spans="1:11" ht="15.5" x14ac:dyDescent="0.35">
      <c r="A218" s="108" t="s">
        <v>366</v>
      </c>
      <c r="B218" s="108"/>
      <c r="C218" s="108"/>
      <c r="D218" s="108"/>
      <c r="E218" s="108"/>
      <c r="F218" s="108"/>
      <c r="G218" s="297"/>
      <c r="H218" s="108"/>
      <c r="I218" s="108"/>
      <c r="J218" s="106" t="s">
        <v>18</v>
      </c>
      <c r="K218" s="270">
        <f>SUM(K219)</f>
        <v>0</v>
      </c>
    </row>
    <row r="219" spans="1:11" x14ac:dyDescent="0.35">
      <c r="A219" s="103"/>
      <c r="B219" s="12" t="s">
        <v>28</v>
      </c>
      <c r="C219" s="10" t="s">
        <v>29</v>
      </c>
      <c r="D219" s="100"/>
      <c r="E219" s="232">
        <f>'Buvette 1'!H219+'Buvette 2'!H219+'Buvette 3'!H219+'2023'!H219+'Food Genevois'!H219+'Food Bretzel'!H219+'Chalet 1'!H219+'Chalet 2'!H219+'Chalet 3'!H219+Cocktail!H219+'Home Corner'!H219+Visiteur!H219+'Stock Principal'!H219</f>
        <v>0</v>
      </c>
      <c r="F219" s="100"/>
      <c r="G219" s="296">
        <f>SUM('Buvette 1'!G219,'Buvette 2'!G219,'Buvette 3'!G219,'2023'!G219,'Food Genevois'!G219,'Food Bretzel'!G219,'Chalet 1'!G219,'Chalet 2'!G219,'Chalet 3'!G219,Cocktail!G219,'Home Corner'!G219,Visiteur!G219,'Stock Principal'!G219)</f>
        <v>0</v>
      </c>
      <c r="H219" s="95"/>
      <c r="I219" s="10" t="s">
        <v>54</v>
      </c>
      <c r="J219" s="11">
        <v>104</v>
      </c>
      <c r="K219" s="12">
        <f t="shared" si="2"/>
        <v>0</v>
      </c>
    </row>
    <row r="220" spans="1:11" ht="15.5" x14ac:dyDescent="0.35">
      <c r="A220" s="108" t="s">
        <v>367</v>
      </c>
      <c r="B220" s="108"/>
      <c r="C220" s="108"/>
      <c r="D220" s="108"/>
      <c r="E220" s="108"/>
      <c r="F220" s="108"/>
      <c r="G220" s="297"/>
      <c r="H220" s="108"/>
      <c r="I220" s="108"/>
      <c r="J220" s="106" t="s">
        <v>18</v>
      </c>
      <c r="K220" s="270">
        <f>SUM(K221:K240)</f>
        <v>1130.51</v>
      </c>
    </row>
    <row r="221" spans="1:11" x14ac:dyDescent="0.35">
      <c r="A221" s="103"/>
      <c r="B221" s="12" t="s">
        <v>9</v>
      </c>
      <c r="C221" s="10" t="s">
        <v>423</v>
      </c>
      <c r="D221" s="94"/>
      <c r="E221" s="232">
        <f>'Buvette 1'!H221+'Buvette 2'!H221+'Buvette 3'!H221+'2023'!H221+'Food Genevois'!H221+'Food Bretzel'!H221+'Chalet 1'!H221+'Chalet 2'!H221+'Chalet 3'!H221+Cocktail!H221+'Home Corner'!H221+Visiteur!H221+'Stock Principal'!H221</f>
        <v>1</v>
      </c>
      <c r="F221" s="94"/>
      <c r="G221" s="296">
        <f>SUM('Buvette 1'!G221,'Buvette 2'!G221,'Buvette 3'!G221,'2023'!G221,'Food Genevois'!G221,'Food Bretzel'!G221,'Chalet 1'!G221,'Chalet 2'!G221,'Chalet 3'!G221,Cocktail!G221,'Home Corner'!G221,Visiteur!G221,'Stock Principal'!G221)</f>
        <v>0</v>
      </c>
      <c r="H221" s="95"/>
      <c r="I221" s="10" t="s">
        <v>20</v>
      </c>
      <c r="J221" s="11">
        <v>78</v>
      </c>
      <c r="K221" s="12">
        <f>E222*J222</f>
        <v>214.24</v>
      </c>
    </row>
    <row r="222" spans="1:11" x14ac:dyDescent="0.35">
      <c r="A222" s="103"/>
      <c r="B222" s="12" t="s">
        <v>9</v>
      </c>
      <c r="C222" s="10" t="s">
        <v>424</v>
      </c>
      <c r="D222" s="94"/>
      <c r="E222" s="232">
        <f>'Buvette 1'!H222+'Buvette 2'!H222+'Buvette 3'!H222+'2023'!H222+'Food Genevois'!H222+'Food Bretzel'!H222+'Chalet 1'!H222+'Chalet 2'!H222+'Chalet 3'!H222+Cocktail!H222+'Home Corner'!H222+Visiteur!H222+'Stock Principal'!H222</f>
        <v>2</v>
      </c>
      <c r="F222" s="94"/>
      <c r="G222" s="296">
        <f>SUM('Buvette 1'!G222,'Buvette 2'!G222,'Buvette 3'!G222,'2023'!G222,'Food Genevois'!G222,'Food Bretzel'!G222,'Chalet 1'!G222,'Chalet 2'!G222,'Chalet 3'!G222,Cocktail!G222,'Home Corner'!G222,Visiteur!G222,'Stock Principal'!G222)</f>
        <v>1</v>
      </c>
      <c r="H222" s="95"/>
      <c r="I222" s="10" t="s">
        <v>61</v>
      </c>
      <c r="J222" s="51">
        <v>107.12</v>
      </c>
      <c r="K222" s="12">
        <f t="shared" ref="K222:K255" si="4">E222*J222</f>
        <v>214.24</v>
      </c>
    </row>
    <row r="223" spans="1:11" x14ac:dyDescent="0.35">
      <c r="A223" s="103"/>
      <c r="B223" s="12" t="s">
        <v>9</v>
      </c>
      <c r="C223" s="10" t="s">
        <v>369</v>
      </c>
      <c r="D223" s="94"/>
      <c r="E223" s="232">
        <f>'Buvette 1'!H223+'Buvette 2'!H223+'Buvette 3'!H223+'2023'!H223+'Food Genevois'!H223+'Food Bretzel'!H223+'Chalet 1'!H223+'Chalet 2'!H223+'Chalet 3'!H223+Cocktail!H223+'Home Corner'!H223+Visiteur!H223+'Stock Principal'!H223</f>
        <v>0</v>
      </c>
      <c r="F223" s="94"/>
      <c r="G223" s="296">
        <f>SUM('Buvette 1'!G223,'Buvette 2'!G223,'Buvette 3'!G223,'2023'!G223,'Food Genevois'!G223,'Food Bretzel'!G223,'Chalet 1'!G223,'Chalet 2'!G223,'Chalet 3'!G223,Cocktail!G223,'Home Corner'!G223,Visiteur!G223,'Stock Principal'!G223)</f>
        <v>0</v>
      </c>
      <c r="H223" s="95"/>
      <c r="I223" s="10" t="s">
        <v>20</v>
      </c>
      <c r="J223" s="11">
        <v>0.04</v>
      </c>
      <c r="K223" s="12">
        <f t="shared" si="4"/>
        <v>0</v>
      </c>
    </row>
    <row r="224" spans="1:11" x14ac:dyDescent="0.35">
      <c r="A224" s="103"/>
      <c r="B224" s="12" t="s">
        <v>9</v>
      </c>
      <c r="C224" s="10" t="s">
        <v>370</v>
      </c>
      <c r="D224" s="94"/>
      <c r="E224" s="232">
        <f>'Buvette 1'!H224+'Buvette 2'!H224+'Buvette 3'!H224+'2023'!H224+'Food Genevois'!H224+'Food Bretzel'!H224+'Chalet 1'!H224+'Chalet 2'!H224+'Chalet 3'!H224+Cocktail!H224+'Home Corner'!H224+Visiteur!H224+'Stock Principal'!H224</f>
        <v>0</v>
      </c>
      <c r="F224" s="94"/>
      <c r="G224" s="296">
        <f>SUM('Buvette 1'!G224,'Buvette 2'!G224,'Buvette 3'!G224,'2023'!G224,'Food Genevois'!G224,'Food Bretzel'!G224,'Chalet 1'!G224,'Chalet 2'!G224,'Chalet 3'!G224,Cocktail!G224,'Home Corner'!G224,Visiteur!G224,'Stock Principal'!G224)</f>
        <v>-1</v>
      </c>
      <c r="H224" s="95"/>
      <c r="I224" s="10" t="s">
        <v>20</v>
      </c>
      <c r="J224" s="11">
        <v>7.0999999999999994E-2</v>
      </c>
      <c r="K224" s="12">
        <f t="shared" si="4"/>
        <v>0</v>
      </c>
    </row>
    <row r="225" spans="1:11" x14ac:dyDescent="0.35">
      <c r="A225" s="103"/>
      <c r="B225" s="12" t="s">
        <v>9</v>
      </c>
      <c r="C225" s="10" t="s">
        <v>411</v>
      </c>
      <c r="D225" s="94"/>
      <c r="E225" s="232">
        <f>'Buvette 1'!H225+'Buvette 2'!H225+'Buvette 3'!H225+'2023'!H225+'Food Genevois'!H225+'Food Bretzel'!H225+'Chalet 1'!H225+'Chalet 2'!H225+'Chalet 3'!H225+Cocktail!H225+'Home Corner'!H225+Visiteur!H225+'Stock Principal'!H225</f>
        <v>0</v>
      </c>
      <c r="F225" s="94"/>
      <c r="G225" s="296">
        <f>SUM('Buvette 1'!G225,'Buvette 2'!G225,'Buvette 3'!G225,'2023'!G225,'Food Genevois'!G225,'Food Bretzel'!G225,'Chalet 1'!G225,'Chalet 2'!G225,'Chalet 3'!G225,Cocktail!G225,'Home Corner'!G225,Visiteur!G225,'Stock Principal'!G225)</f>
        <v>0</v>
      </c>
      <c r="H225" s="95" t="s">
        <v>20</v>
      </c>
      <c r="I225" s="10">
        <v>1.97</v>
      </c>
      <c r="J225" s="11"/>
      <c r="K225" s="12">
        <f t="shared" si="4"/>
        <v>0</v>
      </c>
    </row>
    <row r="226" spans="1:11" x14ac:dyDescent="0.35">
      <c r="A226" s="103"/>
      <c r="B226" s="12" t="s">
        <v>9</v>
      </c>
      <c r="C226" s="10" t="s">
        <v>371</v>
      </c>
      <c r="D226" s="94"/>
      <c r="E226" s="232">
        <f>'Buvette 1'!H226+'Buvette 2'!H226+'Buvette 3'!H226+'2023'!H226+'Food Genevois'!H226+'Food Bretzel'!H226+'Chalet 1'!H226+'Chalet 2'!H226+'Chalet 3'!H226+Cocktail!H226+'Home Corner'!H226+Visiteur!H226+'Stock Principal'!H226</f>
        <v>0</v>
      </c>
      <c r="F226" s="94"/>
      <c r="G226" s="296">
        <f>SUM('Buvette 1'!G226,'Buvette 2'!G226,'Buvette 3'!G226,'2023'!G226,'Food Genevois'!G226,'Food Bretzel'!G226,'Chalet 1'!G226,'Chalet 2'!G226,'Chalet 3'!G226,Cocktail!G226,'Home Corner'!G226,Visiteur!G226,'Stock Principal'!G226)</f>
        <v>0</v>
      </c>
      <c r="H226" s="95"/>
      <c r="I226" s="10" t="s">
        <v>61</v>
      </c>
      <c r="J226" s="11">
        <v>163.80000000000001</v>
      </c>
      <c r="K226" s="12">
        <f t="shared" si="4"/>
        <v>0</v>
      </c>
    </row>
    <row r="227" spans="1:11" x14ac:dyDescent="0.35">
      <c r="A227" s="103"/>
      <c r="B227" s="12" t="s">
        <v>9</v>
      </c>
      <c r="C227" s="10" t="s">
        <v>410</v>
      </c>
      <c r="D227" s="101"/>
      <c r="E227" s="232">
        <f>'Buvette 1'!H227+'Buvette 2'!H227+'Buvette 3'!H227+'2023'!H227+'Food Genevois'!H227+'Food Bretzel'!H227+'Chalet 1'!H227+'Chalet 2'!H227+'Chalet 3'!H227+Cocktail!H227+'Home Corner'!H227+Visiteur!H227+'Stock Principal'!H227</f>
        <v>0</v>
      </c>
      <c r="F227" s="101"/>
      <c r="G227" s="296">
        <f>SUM('Buvette 1'!G227,'Buvette 2'!G227,'Buvette 3'!G227,'2023'!G227,'Food Genevois'!G227,'Food Bretzel'!G227,'Chalet 1'!G227,'Chalet 2'!G227,'Chalet 3'!G227,Cocktail!G227,'Home Corner'!G227,Visiteur!G227,'Stock Principal'!G227)</f>
        <v>0</v>
      </c>
      <c r="H227" s="95"/>
      <c r="I227" s="10" t="s">
        <v>61</v>
      </c>
      <c r="J227" s="11">
        <v>49.33</v>
      </c>
      <c r="K227" s="12">
        <f t="shared" si="4"/>
        <v>0</v>
      </c>
    </row>
    <row r="228" spans="1:11" x14ac:dyDescent="0.35">
      <c r="A228" s="103"/>
      <c r="B228" s="12" t="s">
        <v>9</v>
      </c>
      <c r="C228" s="10" t="s">
        <v>373</v>
      </c>
      <c r="D228" s="102"/>
      <c r="E228" s="232">
        <f>'Buvette 1'!H228+'Buvette 2'!H228+'Buvette 3'!H228+'2023'!H228+'Food Genevois'!H228+'Food Bretzel'!H228+'Chalet 1'!H228+'Chalet 2'!H228+'Chalet 3'!H228+Cocktail!H228+'Home Corner'!H228+Visiteur!H228+'Stock Principal'!H228</f>
        <v>0</v>
      </c>
      <c r="F228" s="102"/>
      <c r="G228" s="296">
        <f>SUM('Buvette 1'!G228,'Buvette 2'!G228,'Buvette 3'!G228,'2023'!G228,'Food Genevois'!G228,'Food Bretzel'!G228,'Chalet 1'!G228,'Chalet 2'!G228,'Chalet 3'!G228,Cocktail!G228,'Home Corner'!G228,Visiteur!G228,'Stock Principal'!G228)</f>
        <v>0</v>
      </c>
      <c r="H228" s="95"/>
      <c r="I228" s="10" t="s">
        <v>61</v>
      </c>
      <c r="J228" s="11">
        <v>105.6</v>
      </c>
      <c r="K228" s="12">
        <f t="shared" si="4"/>
        <v>0</v>
      </c>
    </row>
    <row r="229" spans="1:11" x14ac:dyDescent="0.35">
      <c r="A229" s="103"/>
      <c r="B229" s="12" t="s">
        <v>9</v>
      </c>
      <c r="C229" s="10" t="s">
        <v>374</v>
      </c>
      <c r="D229" s="102"/>
      <c r="E229" s="232">
        <f>'Buvette 1'!H229+'Buvette 2'!H229+'Buvette 3'!H229+'2023'!H229+'Food Genevois'!H229+'Food Bretzel'!H229+'Chalet 1'!H229+'Chalet 2'!H229+'Chalet 3'!H229+Cocktail!H229+'Home Corner'!H229+Visiteur!H229+'Stock Principal'!H229</f>
        <v>0</v>
      </c>
      <c r="F229" s="102"/>
      <c r="G229" s="296">
        <f>SUM('Buvette 1'!G229,'Buvette 2'!G229,'Buvette 3'!G229,'2023'!G229,'Food Genevois'!G229,'Food Bretzel'!G229,'Chalet 1'!G229,'Chalet 2'!G229,'Chalet 3'!G229,Cocktail!G229,'Home Corner'!G229,Visiteur!G229,'Stock Principal'!G229)</f>
        <v>0</v>
      </c>
      <c r="H229" s="95"/>
      <c r="I229" s="10" t="s">
        <v>61</v>
      </c>
      <c r="J229" s="11">
        <v>114.75</v>
      </c>
      <c r="K229" s="12">
        <f t="shared" si="4"/>
        <v>0</v>
      </c>
    </row>
    <row r="230" spans="1:11" x14ac:dyDescent="0.35">
      <c r="A230" s="103"/>
      <c r="B230" s="12" t="s">
        <v>9</v>
      </c>
      <c r="C230" s="10" t="s">
        <v>375</v>
      </c>
      <c r="D230" s="94"/>
      <c r="E230" s="232">
        <f>'Buvette 1'!H230+'Buvette 2'!H230+'Buvette 3'!H230+'2023'!H230+'Food Genevois'!H230+'Food Bretzel'!H230+'Chalet 1'!H230+'Chalet 2'!H230+'Chalet 3'!H230+Cocktail!H230+'Home Corner'!H230+Visiteur!H230+'Stock Principal'!H230</f>
        <v>0</v>
      </c>
      <c r="F230" s="94"/>
      <c r="G230" s="296">
        <f>SUM('Buvette 1'!G230,'Buvette 2'!G230,'Buvette 3'!G230,'2023'!G230,'Food Genevois'!G230,'Food Bretzel'!G230,'Chalet 1'!G230,'Chalet 2'!G230,'Chalet 3'!G230,Cocktail!G230,'Home Corner'!G230,Visiteur!G230,'Stock Principal'!G230)</f>
        <v>0</v>
      </c>
      <c r="H230" s="95"/>
      <c r="I230" s="10" t="s">
        <v>61</v>
      </c>
      <c r="J230" s="11">
        <v>105.55</v>
      </c>
      <c r="K230" s="12">
        <f t="shared" si="4"/>
        <v>0</v>
      </c>
    </row>
    <row r="231" spans="1:11" x14ac:dyDescent="0.35">
      <c r="A231" s="103"/>
      <c r="B231" s="12" t="s">
        <v>9</v>
      </c>
      <c r="C231" s="10" t="s">
        <v>376</v>
      </c>
      <c r="D231" s="94"/>
      <c r="E231" s="232">
        <f>'Buvette 1'!H231+'Buvette 2'!H231+'Buvette 3'!H231+'2023'!H231+'Food Genevois'!H231+'Food Bretzel'!H231+'Chalet 1'!H231+'Chalet 2'!H231+'Chalet 3'!H231+Cocktail!H231+'Home Corner'!H231+Visiteur!H231+'Stock Principal'!H231</f>
        <v>3</v>
      </c>
      <c r="F231" s="94"/>
      <c r="G231" s="296">
        <f>SUM('Buvette 1'!G231,'Buvette 2'!G231,'Buvette 3'!G231,'2023'!G231,'Food Genevois'!G231,'Food Bretzel'!G231,'Chalet 1'!G231,'Chalet 2'!G231,'Chalet 3'!G231,Cocktail!G231,'Home Corner'!G231,Visiteur!G231,'Stock Principal'!G231)</f>
        <v>2</v>
      </c>
      <c r="H231" s="95"/>
      <c r="I231" s="10" t="s">
        <v>61</v>
      </c>
      <c r="J231" s="11">
        <v>33.25</v>
      </c>
      <c r="K231" s="12">
        <f t="shared" si="4"/>
        <v>99.75</v>
      </c>
    </row>
    <row r="232" spans="1:11" x14ac:dyDescent="0.35">
      <c r="A232" s="103"/>
      <c r="B232" s="12" t="s">
        <v>9</v>
      </c>
      <c r="C232" s="10" t="s">
        <v>377</v>
      </c>
      <c r="D232" s="94"/>
      <c r="E232" s="232">
        <f>'Buvette 1'!H232+'Buvette 2'!H232+'Buvette 3'!H232+'2023'!H232+'Food Genevois'!H232+'Food Bretzel'!H232+'Chalet 1'!H232+'Chalet 2'!H232+'Chalet 3'!H232+Cocktail!H232+'Home Corner'!H232+Visiteur!H232+'Stock Principal'!H232</f>
        <v>0</v>
      </c>
      <c r="F232" s="94"/>
      <c r="G232" s="296">
        <f>SUM('Buvette 1'!G232,'Buvette 2'!G232,'Buvette 3'!G232,'2023'!G232,'Food Genevois'!G232,'Food Bretzel'!G232,'Chalet 1'!G232,'Chalet 2'!G232,'Chalet 3'!G232,Cocktail!G232,'Home Corner'!G232,Visiteur!G232,'Stock Principal'!G232)</f>
        <v>0</v>
      </c>
      <c r="H232" s="95"/>
      <c r="I232" s="10" t="s">
        <v>20</v>
      </c>
      <c r="J232" s="11">
        <v>0.28999999999999998</v>
      </c>
      <c r="K232" s="12">
        <f t="shared" si="4"/>
        <v>0</v>
      </c>
    </row>
    <row r="233" spans="1:11" x14ac:dyDescent="0.35">
      <c r="A233" s="103"/>
      <c r="B233" s="12" t="s">
        <v>9</v>
      </c>
      <c r="C233" s="10" t="s">
        <v>378</v>
      </c>
      <c r="D233" s="94"/>
      <c r="E233" s="232">
        <f>'Buvette 1'!H233+'Buvette 2'!H233+'Buvette 3'!H233+'2023'!H233+'Food Genevois'!H233+'Food Bretzel'!H233+'Chalet 1'!H233+'Chalet 2'!H233+'Chalet 3'!H233+Cocktail!H233+'Home Corner'!H233+Visiteur!H233+'Stock Principal'!H233</f>
        <v>0</v>
      </c>
      <c r="F233" s="94"/>
      <c r="G233" s="296">
        <f>SUM('Buvette 1'!G233,'Buvette 2'!G233,'Buvette 3'!G233,'2023'!G233,'Food Genevois'!G233,'Food Bretzel'!G233,'Chalet 1'!G233,'Chalet 2'!G233,'Chalet 3'!G233,Cocktail!G233,'Home Corner'!G233,Visiteur!G233,'Stock Principal'!G233)</f>
        <v>0</v>
      </c>
      <c r="H233" s="95"/>
      <c r="I233" s="10" t="s">
        <v>61</v>
      </c>
      <c r="J233" s="35">
        <v>37.85</v>
      </c>
      <c r="K233" s="12">
        <f t="shared" si="4"/>
        <v>0</v>
      </c>
    </row>
    <row r="234" spans="1:11" x14ac:dyDescent="0.35">
      <c r="A234" s="103"/>
      <c r="B234" s="12" t="s">
        <v>9</v>
      </c>
      <c r="C234" s="10" t="s">
        <v>425</v>
      </c>
      <c r="D234" s="94"/>
      <c r="E234" s="232">
        <f>'Buvette 1'!H234+'Buvette 2'!H234+'Buvette 3'!H234+'2023'!H234+'Food Genevois'!H234+'Food Bretzel'!H234+'Chalet 1'!H234+'Chalet 2'!H234+'Chalet 3'!H234+Cocktail!H234+'Home Corner'!H234+Visiteur!H234+'Stock Principal'!H234</f>
        <v>5</v>
      </c>
      <c r="F234" s="94"/>
      <c r="G234" s="296">
        <f>SUM('Buvette 1'!G234,'Buvette 2'!G234,'Buvette 3'!G234,'2023'!G234,'Food Genevois'!G234,'Food Bretzel'!G234,'Chalet 1'!G234,'Chalet 2'!G234,'Chalet 3'!G234,Cocktail!G234,'Home Corner'!G234,Visiteur!G234,'Stock Principal'!G234)</f>
        <v>3</v>
      </c>
      <c r="H234" s="95"/>
      <c r="I234" s="10" t="s">
        <v>61</v>
      </c>
      <c r="J234" s="35">
        <v>111.47</v>
      </c>
      <c r="K234" s="12">
        <f t="shared" si="4"/>
        <v>557.35</v>
      </c>
    </row>
    <row r="235" spans="1:11" x14ac:dyDescent="0.35">
      <c r="A235" s="103"/>
      <c r="B235" s="12" t="s">
        <v>9</v>
      </c>
      <c r="C235" s="10" t="s">
        <v>379</v>
      </c>
      <c r="D235" s="94"/>
      <c r="E235" s="232">
        <f>'Buvette 1'!H235+'Buvette 2'!H235+'Buvette 3'!H235+'2023'!H235+'Food Genevois'!H235+'Food Bretzel'!H235+'Chalet 1'!H235+'Chalet 2'!H235+'Chalet 3'!H235+Cocktail!H235+'Home Corner'!H235+Visiteur!H235+'Stock Principal'!H235</f>
        <v>0</v>
      </c>
      <c r="F235" s="94"/>
      <c r="G235" s="296">
        <f>SUM('Buvette 1'!G235,'Buvette 2'!G235,'Buvette 3'!G235,'2023'!G235,'Food Genevois'!G235,'Food Bretzel'!G235,'Chalet 1'!G235,'Chalet 2'!G235,'Chalet 3'!G235,Cocktail!G235,'Home Corner'!G235,Visiteur!G235,'Stock Principal'!G235)</f>
        <v>0</v>
      </c>
      <c r="H235" s="95"/>
      <c r="I235" s="10" t="s">
        <v>61</v>
      </c>
      <c r="J235" s="35">
        <v>174.97</v>
      </c>
      <c r="K235" s="12">
        <f t="shared" si="4"/>
        <v>0</v>
      </c>
    </row>
    <row r="236" spans="1:11" x14ac:dyDescent="0.35">
      <c r="A236" s="103"/>
      <c r="B236" s="12" t="s">
        <v>9</v>
      </c>
      <c r="C236" s="10" t="s">
        <v>380</v>
      </c>
      <c r="D236" s="94"/>
      <c r="E236" s="232">
        <f>'Buvette 1'!H236+'Buvette 2'!H236+'Buvette 3'!H236+'2023'!H236+'Food Genevois'!H236+'Food Bretzel'!H236+'Chalet 1'!H236+'Chalet 2'!H236+'Chalet 3'!H236+Cocktail!H236+'Home Corner'!H236+Visiteur!H236+'Stock Principal'!H236</f>
        <v>1</v>
      </c>
      <c r="F236" s="94"/>
      <c r="G236" s="296">
        <f>SUM('Buvette 1'!G236,'Buvette 2'!G236,'Buvette 3'!G236,'2023'!G236,'Food Genevois'!G236,'Food Bretzel'!G236,'Chalet 1'!G236,'Chalet 2'!G236,'Chalet 3'!G236,Cocktail!G236,'Home Corner'!G236,Visiteur!G236,'Stock Principal'!G236)</f>
        <v>0</v>
      </c>
      <c r="H236" s="95"/>
      <c r="I236" s="10" t="s">
        <v>61</v>
      </c>
      <c r="J236" s="35">
        <v>44.93</v>
      </c>
      <c r="K236" s="12">
        <f t="shared" si="4"/>
        <v>44.93</v>
      </c>
    </row>
    <row r="237" spans="1:11" x14ac:dyDescent="0.35">
      <c r="A237" s="103"/>
      <c r="B237" s="12" t="s">
        <v>9</v>
      </c>
      <c r="C237" s="10" t="s">
        <v>426</v>
      </c>
      <c r="D237" s="94"/>
      <c r="E237" s="232">
        <f>'Buvette 1'!H237+'Buvette 2'!H237+'Buvette 3'!H237+'2023'!H237+'Food Genevois'!H237+'Food Bretzel'!H237+'Chalet 1'!H237+'Chalet 2'!H237+'Chalet 3'!H237+Cocktail!H237+'Home Corner'!H237+Visiteur!H237+'Stock Principal'!H237</f>
        <v>5</v>
      </c>
      <c r="F237" s="94"/>
      <c r="G237" s="296">
        <f>SUM('Buvette 1'!G237,'Buvette 2'!G237,'Buvette 3'!G237,'2023'!G237,'Food Genevois'!G237,'Food Bretzel'!G237,'Chalet 1'!G237,'Chalet 2'!G237,'Chalet 3'!G237,Cocktail!G237,'Home Corner'!G237,Visiteur!G237,'Stock Principal'!G237)</f>
        <v>3</v>
      </c>
      <c r="H237" s="95"/>
      <c r="I237" s="10" t="s">
        <v>61</v>
      </c>
      <c r="J237" s="35"/>
      <c r="K237" s="12">
        <f t="shared" si="4"/>
        <v>0</v>
      </c>
    </row>
    <row r="238" spans="1:11" x14ac:dyDescent="0.35">
      <c r="A238" s="103"/>
      <c r="B238" s="12" t="s">
        <v>9</v>
      </c>
      <c r="C238" s="10" t="s">
        <v>427</v>
      </c>
      <c r="D238" s="94"/>
      <c r="E238" s="232">
        <f>'Buvette 1'!H238+'Buvette 2'!H238+'Buvette 3'!H238+'2023'!H238+'Food Genevois'!H238+'Food Bretzel'!H238+'Chalet 1'!H238+'Chalet 2'!H238+'Chalet 3'!H238+Cocktail!H238+'Home Corner'!H238+Visiteur!H238+'Stock Principal'!H238</f>
        <v>5</v>
      </c>
      <c r="F238" s="94"/>
      <c r="G238" s="296">
        <f>SUM('Buvette 1'!G238,'Buvette 2'!G238,'Buvette 3'!G238,'2023'!G238,'Food Genevois'!G238,'Food Bretzel'!G238,'Chalet 1'!G238,'Chalet 2'!G238,'Chalet 3'!G238,Cocktail!G238,'Home Corner'!G238,Visiteur!G238,'Stock Principal'!G238)</f>
        <v>-2</v>
      </c>
      <c r="H238" s="95" t="s">
        <v>20</v>
      </c>
      <c r="I238" s="10" t="s">
        <v>61</v>
      </c>
      <c r="J238" s="35"/>
      <c r="K238" s="12">
        <f>E238*J238</f>
        <v>0</v>
      </c>
    </row>
    <row r="239" spans="1:11" x14ac:dyDescent="0.35">
      <c r="A239" s="103"/>
      <c r="B239" s="12" t="s">
        <v>9</v>
      </c>
      <c r="C239" s="10" t="s">
        <v>428</v>
      </c>
      <c r="D239" s="94"/>
      <c r="E239" s="232">
        <f>'Buvette 1'!H239+'Buvette 2'!H239+'Buvette 3'!H239+'2023'!H239+'Food Genevois'!H239+'Food Bretzel'!H239+'Chalet 1'!H239+'Chalet 2'!H239+'Chalet 3'!H239+Cocktail!H239+'Home Corner'!H239+Visiteur!H239+'Stock Principal'!H239</f>
        <v>2</v>
      </c>
      <c r="F239" s="94"/>
      <c r="G239" s="296">
        <f>SUM('Buvette 1'!G239,'Buvette 2'!G239,'Buvette 3'!G239,'2023'!G239,'Food Genevois'!G239,'Food Bretzel'!G239,'Chalet 1'!G239,'Chalet 2'!G239,'Chalet 3'!G239,Cocktail!G239,'Home Corner'!G239,Visiteur!G239,'Stock Principal'!G239)</f>
        <v>-6</v>
      </c>
      <c r="H239" s="95" t="s">
        <v>20</v>
      </c>
      <c r="I239" s="10" t="s">
        <v>61</v>
      </c>
      <c r="J239" s="35"/>
      <c r="K239" s="12">
        <f>E239*J239</f>
        <v>0</v>
      </c>
    </row>
    <row r="240" spans="1:11" x14ac:dyDescent="0.35">
      <c r="A240" s="103"/>
      <c r="B240" s="12" t="s">
        <v>9</v>
      </c>
      <c r="C240" s="10" t="s">
        <v>381</v>
      </c>
      <c r="D240" s="94"/>
      <c r="E240" s="232">
        <f>'Buvette 1'!H240+'Buvette 2'!H240+'Buvette 3'!H240+'2023'!H240+'Food Genevois'!H240+'Food Bretzel'!H240+'Chalet 1'!H240+'Chalet 2'!H240+'Chalet 3'!H240+Cocktail!H240+'Home Corner'!H240+Visiteur!H240+'Stock Principal'!H240</f>
        <v>0</v>
      </c>
      <c r="F240" s="94"/>
      <c r="G240" s="296">
        <f>SUM('Buvette 1'!G240,'Buvette 2'!G240,'Buvette 3'!G240,'2023'!G240,'Food Genevois'!G240,'Food Bretzel'!G240,'Chalet 1'!G240,'Chalet 2'!G240,'Chalet 3'!G240,Cocktail!G240,'Home Corner'!G240,Visiteur!G240,'Stock Principal'!G240)</f>
        <v>0</v>
      </c>
      <c r="H240" s="95" t="s">
        <v>20</v>
      </c>
      <c r="I240" s="10" t="s">
        <v>61</v>
      </c>
      <c r="J240" s="35"/>
      <c r="K240" s="12">
        <f t="shared" si="4"/>
        <v>0</v>
      </c>
    </row>
    <row r="241" spans="1:11" ht="15.5" x14ac:dyDescent="0.35">
      <c r="A241" s="108" t="s">
        <v>382</v>
      </c>
      <c r="B241" s="108"/>
      <c r="C241" s="108"/>
      <c r="D241" s="108"/>
      <c r="E241" s="108"/>
      <c r="F241" s="108"/>
      <c r="G241" s="297"/>
      <c r="H241" s="108"/>
      <c r="I241" s="108">
        <v>29.2</v>
      </c>
      <c r="J241" s="106" t="s">
        <v>18</v>
      </c>
      <c r="K241" s="270">
        <f>SUM(K242:K252)</f>
        <v>393.54999999999995</v>
      </c>
    </row>
    <row r="242" spans="1:11" x14ac:dyDescent="0.35">
      <c r="A242" s="103"/>
      <c r="B242" s="12" t="s">
        <v>31</v>
      </c>
      <c r="C242" s="10" t="s">
        <v>383</v>
      </c>
      <c r="D242" s="94"/>
      <c r="E242" s="232">
        <f>'Buvette 1'!H242+'Buvette 2'!H242+'Buvette 3'!H242+'2023'!H242+'Food Genevois'!H242+'Food Bretzel'!H242+'Chalet 1'!H242+'Chalet 2'!H242+'Chalet 3'!H242+Cocktail!H242+'Home Corner'!H242+Visiteur!H242+'Stock Principal'!H242</f>
        <v>0</v>
      </c>
      <c r="F242" s="94"/>
      <c r="G242" s="296">
        <f>SUM('Buvette 1'!G242,'Buvette 2'!G242,'Buvette 3'!G242,'2023'!G242,'Food Genevois'!G242,'Food Bretzel'!G242,'Chalet 1'!G242,'Chalet 2'!G242,'Chalet 3'!G242,Cocktail!G242,'Home Corner'!G242,Visiteur!G242,'Stock Principal'!G242)</f>
        <v>0</v>
      </c>
      <c r="H242" s="95"/>
      <c r="I242" s="10">
        <v>19.03</v>
      </c>
      <c r="J242" s="11">
        <v>5.5</v>
      </c>
      <c r="K242" s="12">
        <f t="shared" si="4"/>
        <v>0</v>
      </c>
    </row>
    <row r="243" spans="1:11" x14ac:dyDescent="0.35">
      <c r="A243" s="103"/>
      <c r="B243" s="12" t="s">
        <v>31</v>
      </c>
      <c r="C243" s="10" t="s">
        <v>39</v>
      </c>
      <c r="D243" s="94"/>
      <c r="E243" s="232">
        <f>'Buvette 1'!H243+'Buvette 2'!H243+'Buvette 3'!H243+'2023'!H243+'Food Genevois'!H243+'Food Bretzel'!H243+'Chalet 1'!H243+'Chalet 2'!H243+'Chalet 3'!H243+Cocktail!H243+'Home Corner'!H243+Visiteur!H243+'Stock Principal'!H243</f>
        <v>12</v>
      </c>
      <c r="F243" s="94"/>
      <c r="G243" s="296">
        <f>SUM('Buvette 1'!G243,'Buvette 2'!G243,'Buvette 3'!G243,'2023'!G243,'Food Genevois'!G243,'Food Bretzel'!G243,'Chalet 1'!G243,'Chalet 2'!G243,'Chalet 3'!G243,Cocktail!G243,'Home Corner'!G243,Visiteur!G243,'Stock Principal'!G243)</f>
        <v>7</v>
      </c>
      <c r="H243" s="95"/>
      <c r="I243" s="10">
        <v>8.4600000000000009</v>
      </c>
      <c r="J243" s="11">
        <v>4.55</v>
      </c>
      <c r="K243" s="12">
        <f t="shared" si="4"/>
        <v>54.599999999999994</v>
      </c>
    </row>
    <row r="244" spans="1:11" x14ac:dyDescent="0.35">
      <c r="A244" s="103"/>
      <c r="B244" s="12" t="s">
        <v>31</v>
      </c>
      <c r="C244" s="10" t="s">
        <v>422</v>
      </c>
      <c r="D244" s="94"/>
      <c r="E244" s="232">
        <f>'Buvette 1'!H244+'Buvette 2'!H244+'Buvette 3'!H244+'2023'!H244+'Food Genevois'!H244+'Food Bretzel'!H244+'Chalet 1'!H244+'Chalet 2'!H244+'Chalet 3'!H244+Cocktail!H244+'Home Corner'!H244+Visiteur!H244+'Stock Principal'!H244</f>
        <v>10</v>
      </c>
      <c r="F244" s="94"/>
      <c r="G244" s="296">
        <f>SUM('Buvette 1'!G244,'Buvette 2'!G244,'Buvette 3'!G244,'2023'!G244,'Food Genevois'!G244,'Food Bretzel'!G244,'Chalet 1'!G244,'Chalet 2'!G244,'Chalet 3'!G244,Cocktail!G244,'Home Corner'!G244,Visiteur!G244,'Stock Principal'!G244)</f>
        <v>9</v>
      </c>
      <c r="H244" s="95"/>
      <c r="I244" s="10" t="s">
        <v>20</v>
      </c>
      <c r="J244" s="11">
        <v>3.7</v>
      </c>
      <c r="K244" s="12">
        <f t="shared" si="4"/>
        <v>37</v>
      </c>
    </row>
    <row r="245" spans="1:11" x14ac:dyDescent="0.35">
      <c r="A245" s="103"/>
      <c r="B245" s="12" t="s">
        <v>31</v>
      </c>
      <c r="C245" s="10" t="s">
        <v>67</v>
      </c>
      <c r="D245" s="94"/>
      <c r="E245" s="232">
        <f>'Buvette 1'!H245+'Buvette 2'!H245+'Buvette 3'!H245+'2023'!H245+'Food Genevois'!H245+'Food Bretzel'!H245+'Chalet 1'!H245+'Chalet 2'!H245+'Chalet 3'!H245+Cocktail!H245+'Home Corner'!H245+Visiteur!H245+'Stock Principal'!H245</f>
        <v>7</v>
      </c>
      <c r="F245" s="94"/>
      <c r="G245" s="296">
        <f>SUM('Buvette 1'!G245,'Buvette 2'!G245,'Buvette 3'!G245,'2023'!G245,'Food Genevois'!G245,'Food Bretzel'!G245,'Chalet 1'!G245,'Chalet 2'!G245,'Chalet 3'!G245,Cocktail!G245,'Home Corner'!G245,Visiteur!G245,'Stock Principal'!G245)</f>
        <v>-3</v>
      </c>
      <c r="H245" s="95"/>
      <c r="I245" s="10" t="s">
        <v>20</v>
      </c>
      <c r="J245" s="11">
        <v>15.56</v>
      </c>
      <c r="K245" s="12">
        <f t="shared" si="4"/>
        <v>108.92</v>
      </c>
    </row>
    <row r="246" spans="1:11" x14ac:dyDescent="0.35">
      <c r="A246" s="103"/>
      <c r="B246" s="12" t="s">
        <v>31</v>
      </c>
      <c r="C246" s="10" t="s">
        <v>384</v>
      </c>
      <c r="D246" s="94"/>
      <c r="E246" s="232">
        <f>'Buvette 1'!H246+'Buvette 2'!H246+'Buvette 3'!H246+'2023'!H246+'Food Genevois'!H246+'Food Bretzel'!H246+'Chalet 1'!H246+'Chalet 2'!H246+'Chalet 3'!H246+Cocktail!H246+'Home Corner'!H246+Visiteur!H246+'Stock Principal'!H246</f>
        <v>0</v>
      </c>
      <c r="F246" s="94"/>
      <c r="G246" s="296">
        <f>SUM('Buvette 1'!G246,'Buvette 2'!G246,'Buvette 3'!G246,'2023'!G246,'Food Genevois'!G246,'Food Bretzel'!G246,'Chalet 1'!G246,'Chalet 2'!G246,'Chalet 3'!G246,Cocktail!G246,'Home Corner'!G246,Visiteur!G246,'Stock Principal'!G246)</f>
        <v>0</v>
      </c>
      <c r="H246" s="95"/>
      <c r="I246" s="10" t="s">
        <v>20</v>
      </c>
      <c r="J246" s="11">
        <v>0.8</v>
      </c>
      <c r="K246" s="12">
        <f t="shared" si="4"/>
        <v>0</v>
      </c>
    </row>
    <row r="247" spans="1:11" x14ac:dyDescent="0.35">
      <c r="A247" s="103"/>
      <c r="B247" s="12" t="s">
        <v>31</v>
      </c>
      <c r="C247" s="10" t="s">
        <v>385</v>
      </c>
      <c r="D247" s="94"/>
      <c r="E247" s="232">
        <f>'Buvette 1'!H247+'Buvette 2'!H247+'Buvette 3'!H247+'2023'!H247+'Food Genevois'!H247+'Food Bretzel'!H247+'Chalet 1'!H247+'Chalet 2'!H247+'Chalet 3'!H247+Cocktail!H247+'Home Corner'!H247+Visiteur!H247+'Stock Principal'!H247</f>
        <v>0</v>
      </c>
      <c r="F247" s="94"/>
      <c r="G247" s="296">
        <f>SUM('Buvette 1'!G247,'Buvette 2'!G247,'Buvette 3'!G247,'2023'!G247,'Food Genevois'!G247,'Food Bretzel'!G247,'Chalet 1'!G247,'Chalet 2'!G247,'Chalet 3'!G247,Cocktail!G247,'Home Corner'!G247,Visiteur!G247,'Stock Principal'!G247)</f>
        <v>-21</v>
      </c>
      <c r="H247" s="95"/>
      <c r="I247" s="10" t="s">
        <v>20</v>
      </c>
      <c r="J247" s="11">
        <v>1.83</v>
      </c>
      <c r="K247" s="12">
        <f t="shared" si="4"/>
        <v>0</v>
      </c>
    </row>
    <row r="248" spans="1:11" x14ac:dyDescent="0.35">
      <c r="A248" s="103"/>
      <c r="B248" s="12" t="s">
        <v>31</v>
      </c>
      <c r="C248" s="10" t="s">
        <v>386</v>
      </c>
      <c r="D248" s="94"/>
      <c r="E248" s="232">
        <f>'Buvette 1'!H248+'Buvette 2'!H248+'Buvette 3'!H248+'2023'!H248+'Food Genevois'!H248+'Food Bretzel'!H248+'Chalet 1'!H248+'Chalet 2'!H248+'Chalet 3'!H248+Cocktail!H248+'Home Corner'!H248+Visiteur!H248+'Stock Principal'!H248</f>
        <v>12</v>
      </c>
      <c r="F248" s="94"/>
      <c r="G248" s="296">
        <f>SUM('Buvette 1'!G248,'Buvette 2'!G248,'Buvette 3'!G248,'2023'!G248,'Food Genevois'!G248,'Food Bretzel'!G248,'Chalet 1'!G248,'Chalet 2'!G248,'Chalet 3'!G248,Cocktail!G248,'Home Corner'!G248,Visiteur!G248,'Stock Principal'!G248)</f>
        <v>-4</v>
      </c>
      <c r="H248" s="95"/>
      <c r="I248" s="10" t="s">
        <v>20</v>
      </c>
      <c r="J248" s="11">
        <v>2.65</v>
      </c>
      <c r="K248" s="12">
        <f t="shared" si="4"/>
        <v>31.799999999999997</v>
      </c>
    </row>
    <row r="249" spans="1:11" x14ac:dyDescent="0.35">
      <c r="A249" s="103"/>
      <c r="B249" s="12" t="s">
        <v>31</v>
      </c>
      <c r="C249" s="10" t="s">
        <v>65</v>
      </c>
      <c r="D249" s="94"/>
      <c r="E249" s="232">
        <f>'Buvette 1'!H249+'Buvette 2'!H249+'Buvette 3'!H249+'2023'!H249+'Food Genevois'!H249+'Food Bretzel'!H249+'Chalet 1'!H249+'Chalet 2'!H249+'Chalet 3'!H249+Cocktail!H249+'Home Corner'!H249+Visiteur!H249+'Stock Principal'!H249</f>
        <v>6</v>
      </c>
      <c r="F249" s="94"/>
      <c r="G249" s="296">
        <f>SUM('Buvette 1'!G249,'Buvette 2'!G249,'Buvette 3'!G249,'2023'!G249,'Food Genevois'!G249,'Food Bretzel'!G249,'Chalet 1'!G249,'Chalet 2'!G249,'Chalet 3'!G249,Cocktail!G249,'Home Corner'!G249,Visiteur!G249,'Stock Principal'!G249)</f>
        <v>0</v>
      </c>
      <c r="H249" s="95"/>
      <c r="I249" s="10" t="s">
        <v>20</v>
      </c>
      <c r="J249" s="11">
        <v>13.43</v>
      </c>
      <c r="K249" s="12">
        <f t="shared" si="4"/>
        <v>80.58</v>
      </c>
    </row>
    <row r="250" spans="1:11" x14ac:dyDescent="0.35">
      <c r="A250" s="103"/>
      <c r="B250" s="12" t="s">
        <v>31</v>
      </c>
      <c r="C250" s="10" t="s">
        <v>66</v>
      </c>
      <c r="D250" s="94"/>
      <c r="E250" s="232">
        <f>'Buvette 1'!H250+'Buvette 2'!H250+'Buvette 3'!H250+'2023'!H250+'Food Genevois'!H250+'Food Bretzel'!H250+'Chalet 1'!H250+'Chalet 2'!H250+'Chalet 3'!H250+Cocktail!H250+'Home Corner'!H250+Visiteur!H250+'Stock Principal'!H250</f>
        <v>0</v>
      </c>
      <c r="F250" s="94"/>
      <c r="G250" s="296">
        <f>SUM('Buvette 1'!G250,'Buvette 2'!G250,'Buvette 3'!G250,'2023'!G250,'Food Genevois'!G250,'Food Bretzel'!G250,'Chalet 1'!G250,'Chalet 2'!G250,'Chalet 3'!G250,Cocktail!G250,'Home Corner'!G250,Visiteur!G250,'Stock Principal'!G250)</f>
        <v>0</v>
      </c>
      <c r="H250" s="95"/>
      <c r="I250" s="10" t="s">
        <v>20</v>
      </c>
      <c r="J250" s="11">
        <v>75.38</v>
      </c>
      <c r="K250" s="12">
        <f t="shared" si="4"/>
        <v>0</v>
      </c>
    </row>
    <row r="251" spans="1:11" x14ac:dyDescent="0.35">
      <c r="A251" s="103"/>
      <c r="B251" s="12" t="s">
        <v>31</v>
      </c>
      <c r="C251" s="10" t="s">
        <v>412</v>
      </c>
      <c r="D251" s="94"/>
      <c r="E251" s="232">
        <f>'Buvette 1'!H251+'Buvette 2'!H251+'Buvette 3'!H251+'2023'!H251+'Food Genevois'!H251+'Food Bretzel'!H251+'Chalet 1'!H251+'Chalet 2'!H251+'Chalet 3'!H251+Cocktail!H251+'Home Corner'!H251+Visiteur!H251+'Stock Principal'!H251</f>
        <v>5</v>
      </c>
      <c r="F251" s="94"/>
      <c r="G251" s="296">
        <f>SUM('Buvette 1'!G251,'Buvette 2'!G251,'Buvette 3'!G251,'2023'!G251,'Food Genevois'!G251,'Food Bretzel'!G251,'Chalet 1'!G251,'Chalet 2'!G251,'Chalet 3'!G251,Cocktail!G251,'Home Corner'!G251,Visiteur!G251,'Stock Principal'!G251)</f>
        <v>-3</v>
      </c>
      <c r="H251" s="95"/>
      <c r="I251" s="10" t="s">
        <v>20</v>
      </c>
      <c r="J251" s="11">
        <v>8.43</v>
      </c>
      <c r="K251" s="12">
        <f t="shared" si="4"/>
        <v>42.15</v>
      </c>
    </row>
    <row r="252" spans="1:11" x14ac:dyDescent="0.35">
      <c r="A252" s="103"/>
      <c r="B252" s="12" t="s">
        <v>31</v>
      </c>
      <c r="C252" s="10" t="s">
        <v>69</v>
      </c>
      <c r="D252" s="94"/>
      <c r="E252" s="232">
        <f>'Buvette 1'!H252+'Buvette 2'!H252+'Buvette 3'!H252+'2023'!H252+'Food Genevois'!H252+'Food Bretzel'!H252+'Chalet 1'!H252+'Chalet 2'!H252+'Chalet 3'!H252+Cocktail!H252+'Home Corner'!H252+Visiteur!H252+'Stock Principal'!H252</f>
        <v>11</v>
      </c>
      <c r="F252" s="94"/>
      <c r="G252" s="296">
        <f>SUM('Buvette 1'!G252,'Buvette 2'!G252,'Buvette 3'!G252,'2023'!G252,'Food Genevois'!G252,'Food Bretzel'!G252,'Chalet 1'!G252,'Chalet 2'!G252,'Chalet 3'!G252,Cocktail!G252,'Home Corner'!G252,Visiteur!G252,'Stock Principal'!G252)</f>
        <v>-3</v>
      </c>
      <c r="H252" s="95"/>
      <c r="I252" s="10" t="s">
        <v>63</v>
      </c>
      <c r="J252" s="11">
        <v>3.5</v>
      </c>
      <c r="K252" s="12">
        <f t="shared" si="4"/>
        <v>38.5</v>
      </c>
    </row>
    <row r="253" spans="1:11" ht="15.5" x14ac:dyDescent="0.35">
      <c r="A253" s="108" t="s">
        <v>57</v>
      </c>
      <c r="B253" s="108"/>
      <c r="C253" s="108"/>
      <c r="D253" s="108"/>
      <c r="E253" s="108"/>
      <c r="F253" s="108"/>
      <c r="G253" s="297"/>
      <c r="H253" s="108"/>
      <c r="I253" s="108"/>
      <c r="J253" s="106" t="s">
        <v>18</v>
      </c>
      <c r="K253" s="270">
        <f>K254+K255</f>
        <v>270.25</v>
      </c>
    </row>
    <row r="254" spans="1:11" x14ac:dyDescent="0.35">
      <c r="A254" s="103"/>
      <c r="B254" s="12" t="s">
        <v>56</v>
      </c>
      <c r="C254" s="10" t="s">
        <v>58</v>
      </c>
      <c r="D254" s="94"/>
      <c r="E254" s="232">
        <f>'Buvette 1'!H254+'Buvette 2'!H254+'Buvette 3'!H254+'2023'!H254+'Food Genevois'!H254+'Food Bretzel'!H254+'Chalet 1'!H254+'Chalet 2'!H254+'Chalet 3'!H254+Cocktail!H254+'Home Corner'!H254+Visiteur!H254+'Stock Principal'!H254</f>
        <v>5</v>
      </c>
      <c r="F254" s="94"/>
      <c r="G254" s="296">
        <f>SUM('Buvette 1'!G254,'Buvette 2'!G254,'Buvette 3'!G254,'2023'!G254,'Food Genevois'!G254,'Food Bretzel'!G254,'Chalet 1'!G254,'Chalet 2'!G254,'Chalet 3'!G254,Cocktail!G254,'Home Corner'!G254,Visiteur!G254,'Stock Principal'!G254)</f>
        <v>0</v>
      </c>
      <c r="H254" s="95"/>
      <c r="I254" s="10" t="s">
        <v>20</v>
      </c>
      <c r="J254" s="11">
        <v>54.05</v>
      </c>
      <c r="K254" s="12">
        <f t="shared" si="4"/>
        <v>270.25</v>
      </c>
    </row>
    <row r="255" spans="1:11" x14ac:dyDescent="0.35">
      <c r="A255" s="103"/>
      <c r="B255" s="12" t="s">
        <v>56</v>
      </c>
      <c r="C255" s="10" t="s">
        <v>388</v>
      </c>
      <c r="D255" s="94"/>
      <c r="E255" s="232">
        <f>'Buvette 1'!H255+'Buvette 2'!H255+'Buvette 3'!H255+'2023'!H255+'Food Genevois'!H255+'Food Bretzel'!H255+'Chalet 1'!H255+'Chalet 2'!H255+'Chalet 3'!H255+Cocktail!H255+'Home Corner'!H255+Visiteur!H255+'Stock Principal'!H255</f>
        <v>0</v>
      </c>
      <c r="F255" s="94"/>
      <c r="G255" s="296">
        <f>SUM('Buvette 1'!G255,'Buvette 2'!G255,'Buvette 3'!G255,'2023'!G255,'Food Genevois'!G255,'Food Bretzel'!G255,'Chalet 1'!G255,'Chalet 2'!G255,'Chalet 3'!G255,Cocktail!G255,'Home Corner'!G255,Visiteur!G255,'Stock Principal'!G255)</f>
        <v>0</v>
      </c>
      <c r="H255" s="95"/>
      <c r="I255" s="10" t="s">
        <v>20</v>
      </c>
      <c r="J255" s="11">
        <v>0</v>
      </c>
      <c r="K255" s="12">
        <f t="shared" si="4"/>
        <v>0</v>
      </c>
    </row>
  </sheetData>
  <mergeCells count="2">
    <mergeCell ref="B1:C1"/>
    <mergeCell ref="B2:C2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C506D-4071-4DD6-8DC2-A00090E47DFA}">
  <sheetPr codeName="Feuil30">
    <tabColor rgb="FFFF5050"/>
  </sheetPr>
  <dimension ref="A1:R255"/>
  <sheetViews>
    <sheetView topLeftCell="A9" zoomScale="112" zoomScaleNormal="112" workbookViewId="0">
      <selection activeCell="M244" sqref="M244"/>
    </sheetView>
  </sheetViews>
  <sheetFormatPr baseColWidth="10" defaultColWidth="10.7265625" defaultRowHeight="14.5" x14ac:dyDescent="0.35"/>
  <cols>
    <col min="1" max="1" width="2.81640625" customWidth="1"/>
    <col min="2" max="2" width="30.1796875" bestFit="1" customWidth="1"/>
    <col min="3" max="3" width="44.54296875" bestFit="1" customWidth="1"/>
    <col min="4" max="4" width="14.26953125" style="13" bestFit="1" customWidth="1"/>
    <col min="5" max="5" width="17.1796875" style="34" bestFit="1" customWidth="1"/>
    <col min="6" max="6" width="17" bestFit="1" customWidth="1"/>
    <col min="7" max="7" width="15.26953125" style="253" bestFit="1" customWidth="1"/>
    <col min="8" max="8" width="10.26953125" style="16" customWidth="1"/>
    <col min="9" max="9" width="6.81640625" bestFit="1" customWidth="1"/>
    <col min="10" max="10" width="10.26953125" customWidth="1"/>
    <col min="11" max="11" width="19.54296875" bestFit="1" customWidth="1"/>
  </cols>
  <sheetData>
    <row r="1" spans="2:6" ht="15" thickBot="1" x14ac:dyDescent="0.4">
      <c r="B1" s="321" t="s">
        <v>198</v>
      </c>
      <c r="C1" s="322"/>
      <c r="E1" s="154"/>
      <c r="F1" s="89"/>
    </row>
    <row r="2" spans="2:6" ht="15" thickBot="1" x14ac:dyDescent="0.4">
      <c r="B2" s="319"/>
      <c r="C2" s="320"/>
      <c r="E2" s="155"/>
      <c r="F2" s="90"/>
    </row>
    <row r="3" spans="2:6" x14ac:dyDescent="0.35">
      <c r="B3" s="75"/>
      <c r="C3" s="75"/>
      <c r="E3" s="156"/>
      <c r="F3" s="75"/>
    </row>
    <row r="4" spans="2:6" ht="15.5" x14ac:dyDescent="0.35">
      <c r="B4" s="70" t="s">
        <v>0</v>
      </c>
      <c r="C4" s="70" t="s">
        <v>1</v>
      </c>
      <c r="E4" s="157"/>
      <c r="F4" s="91"/>
    </row>
    <row r="5" spans="2:6" x14ac:dyDescent="0.35">
      <c r="B5" s="71" t="s">
        <v>2</v>
      </c>
      <c r="C5" s="72">
        <f>K23</f>
        <v>0</v>
      </c>
      <c r="E5" s="156"/>
      <c r="F5" s="75"/>
    </row>
    <row r="6" spans="2:6" x14ac:dyDescent="0.35">
      <c r="B6" s="71" t="s">
        <v>7</v>
      </c>
      <c r="C6" s="72">
        <f>K41</f>
        <v>0</v>
      </c>
      <c r="E6" s="156"/>
      <c r="F6" s="75"/>
    </row>
    <row r="7" spans="2:6" x14ac:dyDescent="0.35">
      <c r="B7" s="71" t="s">
        <v>13</v>
      </c>
      <c r="C7" s="72">
        <f>K50</f>
        <v>194.7</v>
      </c>
      <c r="E7" s="156"/>
      <c r="F7" s="75"/>
    </row>
    <row r="8" spans="2:6" x14ac:dyDescent="0.35">
      <c r="B8" s="71" t="s">
        <v>3</v>
      </c>
      <c r="C8" s="72">
        <f>K78</f>
        <v>0</v>
      </c>
      <c r="E8" s="156"/>
      <c r="F8" s="75"/>
    </row>
    <row r="9" spans="2:6" x14ac:dyDescent="0.35">
      <c r="B9" s="71" t="s">
        <v>4</v>
      </c>
      <c r="C9" s="72">
        <f>K122</f>
        <v>832.45</v>
      </c>
      <c r="E9" s="156"/>
      <c r="F9" s="75"/>
    </row>
    <row r="10" spans="2:6" x14ac:dyDescent="0.35">
      <c r="B10" s="71" t="s">
        <v>199</v>
      </c>
      <c r="C10" s="72">
        <f>K176</f>
        <v>0</v>
      </c>
      <c r="E10" s="156"/>
      <c r="F10" s="75"/>
    </row>
    <row r="11" spans="2:6" x14ac:dyDescent="0.35">
      <c r="B11" s="71" t="s">
        <v>200</v>
      </c>
      <c r="C11" s="72">
        <f>K187</f>
        <v>226.8</v>
      </c>
      <c r="E11" s="156"/>
      <c r="F11" s="75"/>
    </row>
    <row r="12" spans="2:6" x14ac:dyDescent="0.35">
      <c r="B12" s="71" t="s">
        <v>201</v>
      </c>
      <c r="C12" s="72">
        <f>K193</f>
        <v>0</v>
      </c>
      <c r="E12" s="156"/>
      <c r="F12" s="75"/>
    </row>
    <row r="13" spans="2:6" x14ac:dyDescent="0.35">
      <c r="B13" s="71" t="s">
        <v>202</v>
      </c>
      <c r="C13" s="72">
        <f>K195</f>
        <v>0</v>
      </c>
      <c r="E13" s="156"/>
      <c r="F13" s="75"/>
    </row>
    <row r="14" spans="2:6" x14ac:dyDescent="0.35">
      <c r="B14" s="71" t="s">
        <v>203</v>
      </c>
      <c r="C14" s="72">
        <f>K208</f>
        <v>0</v>
      </c>
      <c r="E14" s="285"/>
      <c r="F14" s="75"/>
    </row>
    <row r="15" spans="2:6" ht="15" hidden="1" customHeight="1" x14ac:dyDescent="0.35">
      <c r="B15" s="71" t="s">
        <v>416</v>
      </c>
      <c r="C15" s="72">
        <f>K213</f>
        <v>0</v>
      </c>
      <c r="E15" s="156"/>
      <c r="F15" s="75"/>
    </row>
    <row r="16" spans="2:6" x14ac:dyDescent="0.35">
      <c r="B16" s="71" t="s">
        <v>204</v>
      </c>
      <c r="C16" s="72">
        <f>K218</f>
        <v>0</v>
      </c>
      <c r="E16" s="156"/>
      <c r="F16" s="75"/>
    </row>
    <row r="17" spans="1:17" x14ac:dyDescent="0.35">
      <c r="B17" s="71" t="s">
        <v>9</v>
      </c>
      <c r="C17" s="72">
        <f>K220</f>
        <v>0</v>
      </c>
      <c r="E17" s="156"/>
      <c r="F17" s="75"/>
    </row>
    <row r="18" spans="1:17" x14ac:dyDescent="0.35">
      <c r="B18" s="71" t="s">
        <v>205</v>
      </c>
      <c r="C18" s="72">
        <f>K241</f>
        <v>26.33</v>
      </c>
      <c r="E18" s="156"/>
      <c r="F18" s="75"/>
    </row>
    <row r="19" spans="1:17" x14ac:dyDescent="0.35">
      <c r="B19" s="71" t="s">
        <v>56</v>
      </c>
      <c r="C19" s="72">
        <f>K253</f>
        <v>0</v>
      </c>
      <c r="E19" s="156"/>
      <c r="F19" s="75"/>
    </row>
    <row r="20" spans="1:17" x14ac:dyDescent="0.35">
      <c r="B20" s="73" t="s">
        <v>14</v>
      </c>
      <c r="C20" s="74">
        <f>C5+C6+C7+C8+C9+C10+C11+C12+C13+C14+C15+C16+C17+C18+C19</f>
        <v>1280.28</v>
      </c>
      <c r="E20" s="248"/>
      <c r="F20" s="243"/>
    </row>
    <row r="21" spans="1:17" ht="18.5" x14ac:dyDescent="0.45">
      <c r="A21" s="76" t="s">
        <v>397</v>
      </c>
      <c r="B21" s="76"/>
      <c r="C21" s="76"/>
      <c r="D21" s="234"/>
      <c r="E21" s="160"/>
      <c r="F21" s="76"/>
      <c r="G21" s="254"/>
      <c r="H21" s="69"/>
      <c r="I21" s="76"/>
      <c r="J21" s="76"/>
      <c r="K21" s="76"/>
    </row>
    <row r="22" spans="1:17" x14ac:dyDescent="0.35">
      <c r="A22" s="129"/>
      <c r="B22" s="129" t="s">
        <v>15</v>
      </c>
      <c r="C22" s="129" t="s">
        <v>16</v>
      </c>
      <c r="D22" s="235" t="s">
        <v>398</v>
      </c>
      <c r="E22" s="185" t="s">
        <v>404</v>
      </c>
      <c r="F22" s="130" t="s">
        <v>399</v>
      </c>
      <c r="G22" s="255" t="s">
        <v>405</v>
      </c>
      <c r="H22" s="131" t="s">
        <v>408</v>
      </c>
      <c r="I22" s="129" t="s">
        <v>406</v>
      </c>
      <c r="J22" s="133" t="s">
        <v>45</v>
      </c>
      <c r="K22" s="129" t="s">
        <v>1</v>
      </c>
    </row>
    <row r="23" spans="1:17" ht="15.5" hidden="1" x14ac:dyDescent="0.35">
      <c r="A23" s="108" t="s">
        <v>208</v>
      </c>
      <c r="B23" s="108"/>
      <c r="C23" s="108"/>
      <c r="D23" s="111"/>
      <c r="E23" s="162"/>
      <c r="F23" s="108"/>
      <c r="G23" s="186"/>
      <c r="H23" s="109"/>
      <c r="I23" s="108"/>
      <c r="J23" s="110" t="s">
        <v>18</v>
      </c>
      <c r="K23" s="269">
        <f>SUM(K24:K40)</f>
        <v>0</v>
      </c>
    </row>
    <row r="24" spans="1:17" hidden="1" x14ac:dyDescent="0.35">
      <c r="A24" s="103"/>
      <c r="B24" s="7" t="s">
        <v>2</v>
      </c>
      <c r="C24" s="14" t="s">
        <v>19</v>
      </c>
      <c r="D24" s="152"/>
      <c r="E24" s="187"/>
      <c r="F24" s="153" t="str">
        <f t="shared" ref="F24:F88" si="0">IF(E24="","",IF(D24-E24&gt;0,D24-E24,""))</f>
        <v/>
      </c>
      <c r="G24" s="256"/>
      <c r="H24" s="166">
        <f t="shared" ref="H24:H45" si="1">IF(ISNUMBER(E24),E24,0)+IF(ISNUMBER(F24),F24,0)-IF(ISNUMBER(G24),G24,0)</f>
        <v>0</v>
      </c>
      <c r="I24" s="10" t="s">
        <v>20</v>
      </c>
      <c r="J24" s="11">
        <v>55.95</v>
      </c>
      <c r="K24" s="12">
        <f t="shared" ref="K24:K27" si="2">G24*J24</f>
        <v>0</v>
      </c>
    </row>
    <row r="25" spans="1:17" hidden="1" x14ac:dyDescent="0.35">
      <c r="A25" s="103"/>
      <c r="B25" s="7" t="s">
        <v>2</v>
      </c>
      <c r="C25" s="14" t="s">
        <v>209</v>
      </c>
      <c r="D25" s="152"/>
      <c r="E25" s="187"/>
      <c r="F25" s="153" t="str">
        <f t="shared" si="0"/>
        <v/>
      </c>
      <c r="G25" s="256"/>
      <c r="H25" s="166">
        <f t="shared" si="1"/>
        <v>0</v>
      </c>
      <c r="I25" s="10" t="s">
        <v>20</v>
      </c>
      <c r="J25" s="11">
        <v>173.1</v>
      </c>
      <c r="K25" s="12">
        <f t="shared" si="2"/>
        <v>0</v>
      </c>
    </row>
    <row r="26" spans="1:17" hidden="1" x14ac:dyDescent="0.35">
      <c r="A26" s="103"/>
      <c r="B26" s="12" t="s">
        <v>2</v>
      </c>
      <c r="C26" s="10" t="s">
        <v>21</v>
      </c>
      <c r="D26" s="152"/>
      <c r="E26" s="187"/>
      <c r="F26" s="153" t="str">
        <f t="shared" si="0"/>
        <v/>
      </c>
      <c r="G26" s="256"/>
      <c r="H26" s="166">
        <f t="shared" si="1"/>
        <v>0</v>
      </c>
      <c r="I26" s="10" t="s">
        <v>20</v>
      </c>
      <c r="J26" s="11">
        <v>75.400000000000006</v>
      </c>
      <c r="K26" s="12">
        <f t="shared" si="2"/>
        <v>0</v>
      </c>
    </row>
    <row r="27" spans="1:17" hidden="1" x14ac:dyDescent="0.35">
      <c r="A27" s="103"/>
      <c r="B27" s="12" t="s">
        <v>2</v>
      </c>
      <c r="C27" s="10" t="s">
        <v>210</v>
      </c>
      <c r="D27" s="152"/>
      <c r="E27" s="187"/>
      <c r="F27" s="153" t="str">
        <f t="shared" si="0"/>
        <v/>
      </c>
      <c r="G27" s="257"/>
      <c r="H27" s="166">
        <f t="shared" si="1"/>
        <v>0</v>
      </c>
      <c r="I27" s="10" t="s">
        <v>20</v>
      </c>
      <c r="J27" s="11">
        <v>84.9</v>
      </c>
      <c r="K27" s="12">
        <f t="shared" si="2"/>
        <v>0</v>
      </c>
    </row>
    <row r="28" spans="1:17" hidden="1" x14ac:dyDescent="0.35">
      <c r="A28" s="103"/>
      <c r="B28" s="12" t="s">
        <v>2</v>
      </c>
      <c r="C28" s="10" t="s">
        <v>211</v>
      </c>
      <c r="D28" s="152"/>
      <c r="E28" s="187"/>
      <c r="F28" s="153" t="str">
        <f t="shared" si="0"/>
        <v/>
      </c>
      <c r="G28" s="256"/>
      <c r="H28" s="166">
        <f t="shared" si="1"/>
        <v>0</v>
      </c>
      <c r="I28" s="10" t="s">
        <v>20</v>
      </c>
      <c r="J28" s="11">
        <v>2.96</v>
      </c>
      <c r="K28" s="12">
        <f>H28*J28</f>
        <v>0</v>
      </c>
    </row>
    <row r="29" spans="1:17" hidden="1" x14ac:dyDescent="0.35">
      <c r="A29" s="103"/>
      <c r="B29" s="12" t="s">
        <v>2</v>
      </c>
      <c r="C29" s="10" t="s">
        <v>212</v>
      </c>
      <c r="D29" s="152"/>
      <c r="E29" s="187"/>
      <c r="F29" s="153" t="str">
        <f t="shared" si="0"/>
        <v/>
      </c>
      <c r="G29" s="256"/>
      <c r="H29" s="166">
        <f t="shared" si="1"/>
        <v>0</v>
      </c>
      <c r="I29" s="10" t="s">
        <v>20</v>
      </c>
      <c r="J29" s="11">
        <v>2.96</v>
      </c>
      <c r="K29" s="12">
        <f t="shared" ref="K29:K40" si="3">H29*J29</f>
        <v>0</v>
      </c>
    </row>
    <row r="30" spans="1:17" hidden="1" x14ac:dyDescent="0.35">
      <c r="A30" s="103"/>
      <c r="B30" s="12" t="s">
        <v>2</v>
      </c>
      <c r="C30" s="10" t="s">
        <v>213</v>
      </c>
      <c r="D30" s="152"/>
      <c r="E30" s="187"/>
      <c r="F30" s="153" t="str">
        <f t="shared" si="0"/>
        <v/>
      </c>
      <c r="G30" s="256"/>
      <c r="H30" s="166">
        <f t="shared" si="1"/>
        <v>0</v>
      </c>
      <c r="I30" s="10" t="s">
        <v>20</v>
      </c>
      <c r="J30" s="11">
        <v>2.96</v>
      </c>
      <c r="K30" s="12">
        <f t="shared" si="3"/>
        <v>0</v>
      </c>
      <c r="Q30" s="268"/>
    </row>
    <row r="31" spans="1:17" hidden="1" x14ac:dyDescent="0.35">
      <c r="A31" s="103"/>
      <c r="B31" s="7" t="s">
        <v>2</v>
      </c>
      <c r="C31" s="14" t="s">
        <v>22</v>
      </c>
      <c r="D31" s="152"/>
      <c r="E31" s="187"/>
      <c r="F31" s="153" t="str">
        <f t="shared" si="0"/>
        <v/>
      </c>
      <c r="G31" s="256"/>
      <c r="H31" s="166">
        <f t="shared" si="1"/>
        <v>0</v>
      </c>
      <c r="I31" s="10" t="s">
        <v>20</v>
      </c>
      <c r="J31" s="11">
        <v>107.2</v>
      </c>
      <c r="K31" s="12">
        <f t="shared" si="3"/>
        <v>0</v>
      </c>
    </row>
    <row r="32" spans="1:17" hidden="1" x14ac:dyDescent="0.35">
      <c r="A32" s="103"/>
      <c r="B32" s="7" t="s">
        <v>2</v>
      </c>
      <c r="C32" s="14" t="s">
        <v>214</v>
      </c>
      <c r="D32" s="152"/>
      <c r="E32" s="187"/>
      <c r="F32" s="153" t="str">
        <f t="shared" si="0"/>
        <v/>
      </c>
      <c r="G32" s="256"/>
      <c r="H32" s="166">
        <f t="shared" si="1"/>
        <v>0</v>
      </c>
      <c r="I32" s="10" t="s">
        <v>20</v>
      </c>
      <c r="J32" s="11">
        <v>170.7</v>
      </c>
      <c r="K32" s="12">
        <f t="shared" si="3"/>
        <v>0</v>
      </c>
      <c r="M32" s="87"/>
    </row>
    <row r="33" spans="1:14" hidden="1" x14ac:dyDescent="0.35">
      <c r="A33" s="103"/>
      <c r="B33" s="12" t="s">
        <v>2</v>
      </c>
      <c r="C33" s="10" t="s">
        <v>215</v>
      </c>
      <c r="D33" s="152"/>
      <c r="E33" s="187"/>
      <c r="F33" s="153" t="str">
        <f t="shared" si="0"/>
        <v/>
      </c>
      <c r="G33" s="256"/>
      <c r="H33" s="166">
        <f t="shared" si="1"/>
        <v>0</v>
      </c>
      <c r="I33" s="10" t="s">
        <v>216</v>
      </c>
      <c r="J33" s="11">
        <v>3.77</v>
      </c>
      <c r="K33" s="12">
        <f t="shared" si="3"/>
        <v>0</v>
      </c>
    </row>
    <row r="34" spans="1:14" hidden="1" x14ac:dyDescent="0.35">
      <c r="A34" s="103"/>
      <c r="B34" s="12" t="s">
        <v>2</v>
      </c>
      <c r="C34" s="10" t="s">
        <v>217</v>
      </c>
      <c r="D34" s="152"/>
      <c r="E34" s="187"/>
      <c r="F34" s="153" t="str">
        <f t="shared" si="0"/>
        <v/>
      </c>
      <c r="G34" s="256"/>
      <c r="H34" s="166">
        <f t="shared" si="1"/>
        <v>0</v>
      </c>
      <c r="I34" s="10" t="s">
        <v>20</v>
      </c>
      <c r="J34" s="11">
        <v>2.56</v>
      </c>
      <c r="K34" s="12">
        <f t="shared" si="3"/>
        <v>0</v>
      </c>
      <c r="N34" s="87"/>
    </row>
    <row r="35" spans="1:14" hidden="1" x14ac:dyDescent="0.35">
      <c r="A35" s="103"/>
      <c r="B35" s="12" t="s">
        <v>2</v>
      </c>
      <c r="C35" s="10" t="s">
        <v>218</v>
      </c>
      <c r="D35" s="152"/>
      <c r="E35" s="187"/>
      <c r="F35" s="153" t="str">
        <f t="shared" si="0"/>
        <v/>
      </c>
      <c r="G35" s="256"/>
      <c r="H35" s="166">
        <f t="shared" si="1"/>
        <v>0</v>
      </c>
      <c r="I35" s="10" t="s">
        <v>20</v>
      </c>
      <c r="J35" s="11">
        <v>3.08</v>
      </c>
      <c r="K35" s="12">
        <f t="shared" si="3"/>
        <v>0</v>
      </c>
    </row>
    <row r="36" spans="1:14" hidden="1" x14ac:dyDescent="0.35">
      <c r="A36" s="103"/>
      <c r="B36" s="12" t="s">
        <v>2</v>
      </c>
      <c r="C36" s="10" t="s">
        <v>219</v>
      </c>
      <c r="D36" s="152"/>
      <c r="E36" s="187"/>
      <c r="F36" s="153" t="str">
        <f t="shared" si="0"/>
        <v/>
      </c>
      <c r="G36" s="256"/>
      <c r="H36" s="166">
        <f t="shared" si="1"/>
        <v>0</v>
      </c>
      <c r="I36" s="10" t="s">
        <v>20</v>
      </c>
      <c r="J36" s="11">
        <v>2.56</v>
      </c>
      <c r="K36" s="12">
        <f t="shared" si="3"/>
        <v>0</v>
      </c>
    </row>
    <row r="37" spans="1:14" hidden="1" x14ac:dyDescent="0.35">
      <c r="A37" s="103"/>
      <c r="B37" s="12" t="s">
        <v>2</v>
      </c>
      <c r="C37" s="10" t="s">
        <v>220</v>
      </c>
      <c r="D37" s="152"/>
      <c r="E37" s="187"/>
      <c r="F37" s="153" t="str">
        <f t="shared" si="0"/>
        <v/>
      </c>
      <c r="G37" s="256"/>
      <c r="H37" s="166">
        <f t="shared" si="1"/>
        <v>0</v>
      </c>
      <c r="I37" s="10" t="s">
        <v>20</v>
      </c>
      <c r="J37" s="11">
        <v>1.41</v>
      </c>
      <c r="K37" s="12">
        <f t="shared" si="3"/>
        <v>0</v>
      </c>
    </row>
    <row r="38" spans="1:14" hidden="1" x14ac:dyDescent="0.35">
      <c r="A38" s="103"/>
      <c r="B38" s="12" t="s">
        <v>2</v>
      </c>
      <c r="C38" s="10" t="s">
        <v>221</v>
      </c>
      <c r="D38" s="152"/>
      <c r="E38" s="187"/>
      <c r="F38" s="153" t="str">
        <f t="shared" si="0"/>
        <v/>
      </c>
      <c r="G38" s="256"/>
      <c r="H38" s="166">
        <f t="shared" si="1"/>
        <v>0</v>
      </c>
      <c r="I38" s="10" t="s">
        <v>20</v>
      </c>
      <c r="J38" s="11">
        <v>1.73</v>
      </c>
      <c r="K38" s="12">
        <f t="shared" si="3"/>
        <v>0</v>
      </c>
    </row>
    <row r="39" spans="1:14" hidden="1" x14ac:dyDescent="0.35">
      <c r="A39" s="103"/>
      <c r="B39" s="12" t="s">
        <v>2</v>
      </c>
      <c r="C39" s="10" t="s">
        <v>222</v>
      </c>
      <c r="D39" s="152"/>
      <c r="E39" s="187"/>
      <c r="F39" s="153" t="str">
        <f t="shared" si="0"/>
        <v/>
      </c>
      <c r="G39" s="256"/>
      <c r="H39" s="166">
        <f t="shared" si="1"/>
        <v>0</v>
      </c>
      <c r="I39" s="10" t="s">
        <v>20</v>
      </c>
      <c r="J39" s="11">
        <v>1.46</v>
      </c>
      <c r="K39" s="12">
        <f t="shared" si="3"/>
        <v>0</v>
      </c>
    </row>
    <row r="40" spans="1:14" hidden="1" x14ac:dyDescent="0.35">
      <c r="A40" s="103"/>
      <c r="B40" s="12" t="s">
        <v>2</v>
      </c>
      <c r="C40" s="10" t="s">
        <v>223</v>
      </c>
      <c r="D40" s="222"/>
      <c r="E40" s="249"/>
      <c r="F40" s="153" t="str">
        <f t="shared" si="0"/>
        <v/>
      </c>
      <c r="G40" s="256"/>
      <c r="H40" s="166">
        <f t="shared" si="1"/>
        <v>0</v>
      </c>
      <c r="I40" s="10" t="s">
        <v>20</v>
      </c>
      <c r="J40" s="77">
        <v>3.45</v>
      </c>
      <c r="K40" s="12">
        <f t="shared" si="3"/>
        <v>0</v>
      </c>
    </row>
    <row r="41" spans="1:14" ht="15.5" x14ac:dyDescent="0.35">
      <c r="A41" s="108" t="s">
        <v>119</v>
      </c>
      <c r="B41" s="108"/>
      <c r="C41" s="108"/>
      <c r="D41" s="223"/>
      <c r="E41" s="286" t="s">
        <v>421</v>
      </c>
      <c r="F41" s="165"/>
      <c r="G41" s="286"/>
      <c r="H41" s="247"/>
      <c r="I41" s="108"/>
      <c r="J41" s="106" t="s">
        <v>18</v>
      </c>
      <c r="K41" s="269">
        <f>SUM(K42:K49)</f>
        <v>0</v>
      </c>
    </row>
    <row r="42" spans="1:14" hidden="1" x14ac:dyDescent="0.35">
      <c r="A42" s="103"/>
      <c r="B42" s="12" t="s">
        <v>7</v>
      </c>
      <c r="C42" s="10" t="s">
        <v>224</v>
      </c>
      <c r="D42" s="152"/>
      <c r="E42" s="187"/>
      <c r="F42" s="153" t="str">
        <f t="shared" si="0"/>
        <v/>
      </c>
      <c r="G42" s="256"/>
      <c r="H42" s="166">
        <f t="shared" si="1"/>
        <v>0</v>
      </c>
      <c r="I42" s="10" t="s">
        <v>20</v>
      </c>
      <c r="J42" s="11">
        <v>100</v>
      </c>
      <c r="K42" s="12">
        <f>G42*J42</f>
        <v>0</v>
      </c>
    </row>
    <row r="43" spans="1:14" hidden="1" x14ac:dyDescent="0.35">
      <c r="A43" s="103"/>
      <c r="B43" s="12" t="s">
        <v>7</v>
      </c>
      <c r="C43" s="10" t="s">
        <v>225</v>
      </c>
      <c r="D43" s="152"/>
      <c r="E43" s="187"/>
      <c r="F43" s="153" t="str">
        <f t="shared" si="0"/>
        <v/>
      </c>
      <c r="G43" s="256"/>
      <c r="H43" s="166">
        <f t="shared" si="1"/>
        <v>0</v>
      </c>
      <c r="I43" s="10" t="s">
        <v>20</v>
      </c>
      <c r="J43" s="11">
        <v>12.2</v>
      </c>
      <c r="K43" s="12">
        <f>G43*J43</f>
        <v>0</v>
      </c>
    </row>
    <row r="44" spans="1:14" hidden="1" x14ac:dyDescent="0.35">
      <c r="A44" s="103"/>
      <c r="B44" s="12" t="s">
        <v>7</v>
      </c>
      <c r="C44" s="10" t="s">
        <v>226</v>
      </c>
      <c r="D44" s="152"/>
      <c r="E44" s="187"/>
      <c r="F44" s="153" t="str">
        <f t="shared" si="0"/>
        <v/>
      </c>
      <c r="G44" s="256"/>
      <c r="H44" s="166">
        <f t="shared" si="1"/>
        <v>0</v>
      </c>
      <c r="I44" s="10" t="s">
        <v>20</v>
      </c>
      <c r="J44" s="11">
        <v>11</v>
      </c>
      <c r="K44" s="12">
        <f>G44*J44</f>
        <v>0</v>
      </c>
    </row>
    <row r="45" spans="1:14" hidden="1" x14ac:dyDescent="0.35">
      <c r="A45" s="103"/>
      <c r="B45" s="12" t="s">
        <v>7</v>
      </c>
      <c r="C45" s="10" t="s">
        <v>227</v>
      </c>
      <c r="D45" s="152"/>
      <c r="E45" s="187"/>
      <c r="F45" s="153" t="str">
        <f t="shared" si="0"/>
        <v/>
      </c>
      <c r="G45" s="256"/>
      <c r="H45" s="166">
        <f t="shared" si="1"/>
        <v>0</v>
      </c>
      <c r="I45" s="10" t="s">
        <v>20</v>
      </c>
      <c r="J45" s="11">
        <v>5</v>
      </c>
      <c r="K45" s="12">
        <f>G45*J45</f>
        <v>0</v>
      </c>
    </row>
    <row r="46" spans="1:14" x14ac:dyDescent="0.35">
      <c r="A46" s="103"/>
      <c r="B46" s="12" t="s">
        <v>7</v>
      </c>
      <c r="C46" s="10" t="s">
        <v>46</v>
      </c>
      <c r="D46" s="152"/>
      <c r="E46" s="170"/>
      <c r="F46" s="153" t="str">
        <f>IF(E46="","",IF(D46-E46&gt;0,D46-E46,""))</f>
        <v/>
      </c>
      <c r="G46" s="256"/>
      <c r="H46" s="166">
        <f>IF(ISNUMBER(E46),E46,0)+IF(ISNUMBER(F46),F46,0)-IF(ISNUMBER(G46),G46,0)</f>
        <v>0</v>
      </c>
      <c r="I46" s="10" t="s">
        <v>20</v>
      </c>
      <c r="J46" s="11">
        <v>5</v>
      </c>
      <c r="K46" s="12">
        <f>H46*J46</f>
        <v>0</v>
      </c>
    </row>
    <row r="47" spans="1:14" hidden="1" x14ac:dyDescent="0.35">
      <c r="A47" s="103"/>
      <c r="B47" s="12" t="s">
        <v>7</v>
      </c>
      <c r="C47" s="10" t="s">
        <v>228</v>
      </c>
      <c r="D47" s="152"/>
      <c r="E47" s="170">
        <f>'[1]Buvette 1 (2)'!E47</f>
        <v>0</v>
      </c>
      <c r="F47" s="153" t="str">
        <f t="shared" si="0"/>
        <v/>
      </c>
      <c r="G47" s="256"/>
      <c r="H47" s="166">
        <f t="shared" ref="H47:H110" si="4">IF(ISNUMBER(E47),E47,0)+IF(ISNUMBER(F47),F47,0)-IF(ISNUMBER(G47),G47,0)</f>
        <v>0</v>
      </c>
      <c r="I47" s="10" t="s">
        <v>20</v>
      </c>
      <c r="J47" s="11">
        <v>11</v>
      </c>
      <c r="K47" s="12">
        <f t="shared" ref="K47:K48" si="5">H47*J47</f>
        <v>0</v>
      </c>
    </row>
    <row r="48" spans="1:14" x14ac:dyDescent="0.35">
      <c r="A48" s="103"/>
      <c r="B48" s="12" t="s">
        <v>7</v>
      </c>
      <c r="C48" s="10" t="s">
        <v>229</v>
      </c>
      <c r="D48" s="152"/>
      <c r="E48" s="170"/>
      <c r="F48" s="153" t="str">
        <f>IF(E48="","",IF(D48-E48&gt;0,D48-E48,""))</f>
        <v/>
      </c>
      <c r="G48" s="256"/>
      <c r="H48" s="166">
        <f t="shared" si="4"/>
        <v>0</v>
      </c>
      <c r="I48" s="10" t="s">
        <v>20</v>
      </c>
      <c r="J48" s="11">
        <v>50</v>
      </c>
      <c r="K48" s="12">
        <f t="shared" si="5"/>
        <v>0</v>
      </c>
    </row>
    <row r="49" spans="1:12" hidden="1" x14ac:dyDescent="0.35">
      <c r="A49" s="103"/>
      <c r="B49" s="12" t="s">
        <v>7</v>
      </c>
      <c r="C49" s="78" t="s">
        <v>206</v>
      </c>
      <c r="D49" s="224"/>
      <c r="E49" s="170"/>
      <c r="F49" s="153" t="str">
        <f t="shared" si="0"/>
        <v/>
      </c>
      <c r="G49" s="256"/>
      <c r="H49" s="166">
        <f t="shared" si="4"/>
        <v>0</v>
      </c>
      <c r="I49" s="10" t="s">
        <v>20</v>
      </c>
      <c r="J49" s="79">
        <v>5</v>
      </c>
      <c r="K49" s="12">
        <f>G49*J49</f>
        <v>0</v>
      </c>
    </row>
    <row r="50" spans="1:12" ht="15.5" x14ac:dyDescent="0.35">
      <c r="A50" s="103"/>
      <c r="B50" s="104" t="s">
        <v>230</v>
      </c>
      <c r="C50" s="105"/>
      <c r="D50" s="225"/>
      <c r="E50" s="250"/>
      <c r="F50" s="165" t="str">
        <f t="shared" si="0"/>
        <v/>
      </c>
      <c r="G50" s="258"/>
      <c r="H50" s="247"/>
      <c r="I50" s="105"/>
      <c r="J50" s="106" t="s">
        <v>18</v>
      </c>
      <c r="K50" s="269">
        <f>SUM(K52:K77)</f>
        <v>194.7</v>
      </c>
    </row>
    <row r="51" spans="1:12" ht="15.5" x14ac:dyDescent="0.35">
      <c r="A51" s="111"/>
      <c r="B51" s="126" t="s">
        <v>231</v>
      </c>
      <c r="C51" s="127"/>
      <c r="D51" s="226"/>
      <c r="E51" s="250"/>
      <c r="F51" s="165" t="str">
        <f t="shared" si="0"/>
        <v/>
      </c>
      <c r="G51" s="259"/>
      <c r="H51" s="247"/>
      <c r="I51" s="127"/>
      <c r="J51" s="127"/>
      <c r="K51" s="128"/>
    </row>
    <row r="52" spans="1:12" x14ac:dyDescent="0.35">
      <c r="A52" s="103"/>
      <c r="B52" s="12" t="s">
        <v>13</v>
      </c>
      <c r="C52" s="10" t="s">
        <v>78</v>
      </c>
      <c r="D52" s="152">
        <v>6</v>
      </c>
      <c r="E52" s="170">
        <v>3</v>
      </c>
      <c r="F52" s="153">
        <f t="shared" si="0"/>
        <v>3</v>
      </c>
      <c r="G52" s="256">
        <v>3</v>
      </c>
      <c r="H52" s="166">
        <f t="shared" si="4"/>
        <v>3</v>
      </c>
      <c r="I52" s="10" t="s">
        <v>20</v>
      </c>
      <c r="J52" s="11">
        <v>13</v>
      </c>
      <c r="K52" s="12">
        <f>H52*J52</f>
        <v>39</v>
      </c>
    </row>
    <row r="53" spans="1:12" hidden="1" x14ac:dyDescent="0.35">
      <c r="A53" s="103"/>
      <c r="B53" s="12" t="s">
        <v>13</v>
      </c>
      <c r="C53" s="10" t="s">
        <v>232</v>
      </c>
      <c r="D53" s="152"/>
      <c r="E53" s="170"/>
      <c r="F53" s="153" t="str">
        <f t="shared" si="0"/>
        <v/>
      </c>
      <c r="G53" s="256"/>
      <c r="H53" s="166">
        <f t="shared" si="4"/>
        <v>0</v>
      </c>
      <c r="I53" s="10" t="s">
        <v>20</v>
      </c>
      <c r="J53" s="11">
        <v>13</v>
      </c>
      <c r="K53" s="12">
        <f t="shared" ref="K53:K77" si="6">H53*J53</f>
        <v>0</v>
      </c>
      <c r="L53" s="87"/>
    </row>
    <row r="54" spans="1:12" hidden="1" x14ac:dyDescent="0.35">
      <c r="A54" s="103"/>
      <c r="B54" s="12" t="s">
        <v>13</v>
      </c>
      <c r="C54" s="10" t="s">
        <v>233</v>
      </c>
      <c r="D54" s="152"/>
      <c r="E54" s="170"/>
      <c r="F54" s="153" t="str">
        <f t="shared" si="0"/>
        <v/>
      </c>
      <c r="G54" s="256"/>
      <c r="H54" s="166">
        <f t="shared" si="4"/>
        <v>0</v>
      </c>
      <c r="I54" s="10" t="s">
        <v>20</v>
      </c>
      <c r="J54" s="11">
        <v>8.9</v>
      </c>
      <c r="K54" s="12">
        <f t="shared" si="6"/>
        <v>0</v>
      </c>
    </row>
    <row r="55" spans="1:12" x14ac:dyDescent="0.35">
      <c r="A55" s="103"/>
      <c r="B55" s="12" t="s">
        <v>13</v>
      </c>
      <c r="C55" s="10" t="s">
        <v>32</v>
      </c>
      <c r="D55" s="152">
        <v>6</v>
      </c>
      <c r="E55" s="170">
        <v>3</v>
      </c>
      <c r="F55" s="153">
        <f t="shared" si="0"/>
        <v>3</v>
      </c>
      <c r="G55" s="256">
        <v>0</v>
      </c>
      <c r="H55" s="166">
        <f t="shared" si="4"/>
        <v>6</v>
      </c>
      <c r="I55" s="10" t="s">
        <v>20</v>
      </c>
      <c r="J55" s="11">
        <v>8.35</v>
      </c>
      <c r="K55" s="12">
        <f t="shared" si="6"/>
        <v>50.099999999999994</v>
      </c>
    </row>
    <row r="56" spans="1:12" x14ac:dyDescent="0.35">
      <c r="A56" s="103"/>
      <c r="B56" s="12" t="s">
        <v>13</v>
      </c>
      <c r="C56" s="10" t="s">
        <v>33</v>
      </c>
      <c r="D56" s="152">
        <v>6</v>
      </c>
      <c r="E56" s="170">
        <v>2</v>
      </c>
      <c r="F56" s="153">
        <f t="shared" si="0"/>
        <v>4</v>
      </c>
      <c r="G56" s="256">
        <v>0</v>
      </c>
      <c r="H56" s="166">
        <f t="shared" si="4"/>
        <v>6</v>
      </c>
      <c r="I56" s="10" t="s">
        <v>20</v>
      </c>
      <c r="J56" s="11">
        <v>8.9</v>
      </c>
      <c r="K56" s="12">
        <f t="shared" si="6"/>
        <v>53.400000000000006</v>
      </c>
    </row>
    <row r="57" spans="1:12" x14ac:dyDescent="0.35">
      <c r="A57" s="103"/>
      <c r="B57" s="12" t="s">
        <v>13</v>
      </c>
      <c r="C57" s="10" t="s">
        <v>59</v>
      </c>
      <c r="D57" s="152">
        <v>6</v>
      </c>
      <c r="E57" s="170">
        <v>6</v>
      </c>
      <c r="F57" s="153" t="str">
        <f t="shared" si="0"/>
        <v/>
      </c>
      <c r="G57" s="256">
        <v>0</v>
      </c>
      <c r="H57" s="166">
        <f t="shared" si="4"/>
        <v>6</v>
      </c>
      <c r="I57" s="10" t="s">
        <v>20</v>
      </c>
      <c r="J57" s="11">
        <v>8.6999999999999993</v>
      </c>
      <c r="K57" s="12">
        <f t="shared" si="6"/>
        <v>52.199999999999996</v>
      </c>
    </row>
    <row r="58" spans="1:12" hidden="1" x14ac:dyDescent="0.35">
      <c r="A58" s="103"/>
      <c r="B58" s="12" t="s">
        <v>13</v>
      </c>
      <c r="C58" s="10" t="s">
        <v>234</v>
      </c>
      <c r="D58" s="152"/>
      <c r="E58" s="170"/>
      <c r="F58" s="153" t="str">
        <f t="shared" si="0"/>
        <v/>
      </c>
      <c r="G58" s="256"/>
      <c r="H58" s="166">
        <f t="shared" si="4"/>
        <v>0</v>
      </c>
      <c r="I58" s="10" t="s">
        <v>20</v>
      </c>
      <c r="J58" s="11">
        <v>12.15</v>
      </c>
      <c r="K58" s="12">
        <f t="shared" si="6"/>
        <v>0</v>
      </c>
    </row>
    <row r="59" spans="1:12" hidden="1" x14ac:dyDescent="0.35">
      <c r="A59" s="103"/>
      <c r="B59" s="12" t="s">
        <v>13</v>
      </c>
      <c r="C59" s="10" t="s">
        <v>235</v>
      </c>
      <c r="D59" s="152"/>
      <c r="E59" s="170"/>
      <c r="F59" s="153" t="str">
        <f t="shared" si="0"/>
        <v/>
      </c>
      <c r="G59" s="256"/>
      <c r="H59" s="166">
        <f t="shared" si="4"/>
        <v>0</v>
      </c>
      <c r="I59" s="10" t="s">
        <v>20</v>
      </c>
      <c r="J59" s="11">
        <v>11.35</v>
      </c>
      <c r="K59" s="12">
        <f t="shared" si="6"/>
        <v>0</v>
      </c>
    </row>
    <row r="60" spans="1:12" hidden="1" x14ac:dyDescent="0.35">
      <c r="A60" s="103"/>
      <c r="B60" s="12" t="s">
        <v>13</v>
      </c>
      <c r="C60" s="10" t="s">
        <v>236</v>
      </c>
      <c r="D60" s="152"/>
      <c r="E60" s="170"/>
      <c r="F60" s="153" t="str">
        <f t="shared" si="0"/>
        <v/>
      </c>
      <c r="G60" s="256"/>
      <c r="H60" s="166">
        <f t="shared" si="4"/>
        <v>0</v>
      </c>
      <c r="I60" s="10" t="s">
        <v>20</v>
      </c>
      <c r="J60" s="11">
        <v>14.65</v>
      </c>
      <c r="K60" s="12">
        <f t="shared" si="6"/>
        <v>0</v>
      </c>
    </row>
    <row r="61" spans="1:12" hidden="1" x14ac:dyDescent="0.35">
      <c r="A61" s="103"/>
      <c r="B61" s="12" t="s">
        <v>13</v>
      </c>
      <c r="C61" s="10" t="s">
        <v>237</v>
      </c>
      <c r="D61" s="152"/>
      <c r="E61" s="170"/>
      <c r="F61" s="153" t="str">
        <f t="shared" si="0"/>
        <v/>
      </c>
      <c r="G61" s="256"/>
      <c r="H61" s="166">
        <f t="shared" si="4"/>
        <v>0</v>
      </c>
      <c r="I61" s="10" t="s">
        <v>20</v>
      </c>
      <c r="J61" s="11">
        <v>16.25</v>
      </c>
      <c r="K61" s="12">
        <f t="shared" si="6"/>
        <v>0</v>
      </c>
    </row>
    <row r="62" spans="1:12" hidden="1" x14ac:dyDescent="0.35">
      <c r="A62" s="103"/>
      <c r="B62" s="12" t="s">
        <v>13</v>
      </c>
      <c r="C62" s="10" t="s">
        <v>238</v>
      </c>
      <c r="D62" s="152"/>
      <c r="E62" s="170"/>
      <c r="F62" s="153" t="str">
        <f t="shared" si="0"/>
        <v/>
      </c>
      <c r="G62" s="256"/>
      <c r="H62" s="166">
        <f t="shared" si="4"/>
        <v>0</v>
      </c>
      <c r="I62" s="10" t="s">
        <v>20</v>
      </c>
      <c r="J62" s="11">
        <v>17.899999999999999</v>
      </c>
      <c r="K62" s="12">
        <f t="shared" si="6"/>
        <v>0</v>
      </c>
    </row>
    <row r="63" spans="1:12" hidden="1" x14ac:dyDescent="0.35">
      <c r="A63" s="103"/>
      <c r="B63" s="12" t="s">
        <v>13</v>
      </c>
      <c r="C63" s="10" t="s">
        <v>239</v>
      </c>
      <c r="D63" s="152"/>
      <c r="E63" s="170"/>
      <c r="F63" s="153" t="str">
        <f t="shared" si="0"/>
        <v/>
      </c>
      <c r="G63" s="256"/>
      <c r="H63" s="166">
        <f t="shared" si="4"/>
        <v>0</v>
      </c>
      <c r="I63" s="10" t="s">
        <v>20</v>
      </c>
      <c r="J63" s="11">
        <v>15.95</v>
      </c>
      <c r="K63" s="12">
        <f t="shared" si="6"/>
        <v>0</v>
      </c>
    </row>
    <row r="64" spans="1:12" hidden="1" x14ac:dyDescent="0.35">
      <c r="A64" s="103"/>
      <c r="B64" s="12" t="s">
        <v>13</v>
      </c>
      <c r="C64" s="10" t="s">
        <v>240</v>
      </c>
      <c r="D64" s="152"/>
      <c r="E64" s="170"/>
      <c r="F64" s="153" t="str">
        <f t="shared" si="0"/>
        <v/>
      </c>
      <c r="G64" s="256"/>
      <c r="H64" s="166">
        <f t="shared" si="4"/>
        <v>0</v>
      </c>
      <c r="I64" s="10" t="s">
        <v>20</v>
      </c>
      <c r="J64" s="11">
        <v>15.45</v>
      </c>
      <c r="K64" s="12">
        <f t="shared" si="6"/>
        <v>0</v>
      </c>
    </row>
    <row r="65" spans="1:15" ht="15.5" hidden="1" x14ac:dyDescent="0.35">
      <c r="A65" s="111"/>
      <c r="B65" s="126" t="s">
        <v>241</v>
      </c>
      <c r="C65" s="127"/>
      <c r="D65" s="226"/>
      <c r="E65" s="250"/>
      <c r="F65" s="165" t="str">
        <f t="shared" si="0"/>
        <v/>
      </c>
      <c r="G65" s="259"/>
      <c r="H65" s="247"/>
      <c r="I65" s="127"/>
      <c r="J65" s="127"/>
      <c r="K65" s="270"/>
    </row>
    <row r="66" spans="1:15" hidden="1" x14ac:dyDescent="0.35">
      <c r="A66" s="103"/>
      <c r="B66" s="12" t="s">
        <v>13</v>
      </c>
      <c r="C66" s="10" t="s">
        <v>242</v>
      </c>
      <c r="D66" s="152"/>
      <c r="E66" s="170"/>
      <c r="F66" s="153" t="str">
        <f t="shared" si="0"/>
        <v/>
      </c>
      <c r="G66" s="256"/>
      <c r="H66" s="166">
        <f t="shared" si="4"/>
        <v>0</v>
      </c>
      <c r="I66" s="10" t="s">
        <v>20</v>
      </c>
      <c r="J66" s="11">
        <v>31.05</v>
      </c>
      <c r="K66" s="12">
        <f t="shared" si="6"/>
        <v>0</v>
      </c>
    </row>
    <row r="67" spans="1:15" hidden="1" x14ac:dyDescent="0.35">
      <c r="A67" s="103"/>
      <c r="B67" s="12" t="s">
        <v>13</v>
      </c>
      <c r="C67" s="10" t="s">
        <v>243</v>
      </c>
      <c r="D67" s="152"/>
      <c r="E67" s="170"/>
      <c r="F67" s="153" t="str">
        <f t="shared" si="0"/>
        <v/>
      </c>
      <c r="G67" s="256"/>
      <c r="H67" s="166">
        <f t="shared" si="4"/>
        <v>0</v>
      </c>
      <c r="I67" s="10" t="s">
        <v>20</v>
      </c>
      <c r="J67" s="11">
        <v>60.79</v>
      </c>
      <c r="K67" s="12">
        <f t="shared" si="6"/>
        <v>0</v>
      </c>
    </row>
    <row r="68" spans="1:15" hidden="1" x14ac:dyDescent="0.35">
      <c r="A68" s="103"/>
      <c r="B68" s="12" t="s">
        <v>13</v>
      </c>
      <c r="C68" s="10" t="s">
        <v>244</v>
      </c>
      <c r="D68" s="152"/>
      <c r="E68" s="170"/>
      <c r="F68" s="153" t="str">
        <f t="shared" si="0"/>
        <v/>
      </c>
      <c r="G68" s="256"/>
      <c r="H68" s="166">
        <f t="shared" si="4"/>
        <v>0</v>
      </c>
      <c r="I68" s="10" t="s">
        <v>20</v>
      </c>
      <c r="J68" s="11">
        <v>56.55</v>
      </c>
      <c r="K68" s="12">
        <f t="shared" si="6"/>
        <v>0</v>
      </c>
    </row>
    <row r="69" spans="1:15" hidden="1" x14ac:dyDescent="0.35">
      <c r="A69" s="103"/>
      <c r="B69" s="12" t="s">
        <v>13</v>
      </c>
      <c r="C69" s="10" t="s">
        <v>245</v>
      </c>
      <c r="D69" s="152"/>
      <c r="E69" s="170"/>
      <c r="F69" s="153" t="str">
        <f t="shared" si="0"/>
        <v/>
      </c>
      <c r="G69" s="256"/>
      <c r="H69" s="166">
        <f t="shared" si="4"/>
        <v>0</v>
      </c>
      <c r="I69" s="10" t="s">
        <v>20</v>
      </c>
      <c r="J69" s="11">
        <v>107.44</v>
      </c>
      <c r="K69" s="12">
        <f t="shared" si="6"/>
        <v>0</v>
      </c>
    </row>
    <row r="70" spans="1:15" hidden="1" x14ac:dyDescent="0.35">
      <c r="A70" s="103"/>
      <c r="B70" s="12" t="s">
        <v>13</v>
      </c>
      <c r="C70" s="10" t="s">
        <v>246</v>
      </c>
      <c r="D70" s="152"/>
      <c r="E70" s="170"/>
      <c r="F70" s="153" t="str">
        <f t="shared" si="0"/>
        <v/>
      </c>
      <c r="G70" s="256"/>
      <c r="H70" s="166">
        <f t="shared" si="4"/>
        <v>0</v>
      </c>
      <c r="I70" s="10" t="s">
        <v>20</v>
      </c>
      <c r="J70" s="11">
        <v>47.4</v>
      </c>
      <c r="K70" s="12">
        <f t="shared" si="6"/>
        <v>0</v>
      </c>
    </row>
    <row r="71" spans="1:15" hidden="1" x14ac:dyDescent="0.35">
      <c r="A71" s="103"/>
      <c r="B71" s="12" t="s">
        <v>13</v>
      </c>
      <c r="C71" s="10" t="s">
        <v>247</v>
      </c>
      <c r="D71" s="152"/>
      <c r="E71" s="170"/>
      <c r="F71" s="153" t="str">
        <f t="shared" si="0"/>
        <v/>
      </c>
      <c r="G71" s="256"/>
      <c r="H71" s="166">
        <f t="shared" si="4"/>
        <v>0</v>
      </c>
      <c r="I71" s="10" t="s">
        <v>20</v>
      </c>
      <c r="J71" s="11">
        <v>87.63</v>
      </c>
      <c r="K71" s="12">
        <f t="shared" si="6"/>
        <v>0</v>
      </c>
    </row>
    <row r="72" spans="1:15" hidden="1" x14ac:dyDescent="0.35">
      <c r="A72" s="103"/>
      <c r="B72" s="12" t="s">
        <v>13</v>
      </c>
      <c r="C72" s="10" t="s">
        <v>248</v>
      </c>
      <c r="D72" s="152"/>
      <c r="E72" s="170"/>
      <c r="F72" s="153" t="str">
        <f t="shared" si="0"/>
        <v/>
      </c>
      <c r="G72" s="256"/>
      <c r="H72" s="166">
        <f t="shared" si="4"/>
        <v>0</v>
      </c>
      <c r="I72" s="10" t="s">
        <v>20</v>
      </c>
      <c r="J72" s="11">
        <v>52.31</v>
      </c>
      <c r="K72" s="12">
        <f t="shared" si="6"/>
        <v>0</v>
      </c>
    </row>
    <row r="73" spans="1:15" ht="15.5" hidden="1" x14ac:dyDescent="0.35">
      <c r="A73" s="111"/>
      <c r="B73" s="126" t="s">
        <v>249</v>
      </c>
      <c r="C73" s="127"/>
      <c r="D73" s="226"/>
      <c r="E73" s="170"/>
      <c r="F73" s="153" t="str">
        <f t="shared" si="0"/>
        <v/>
      </c>
      <c r="G73" s="259"/>
      <c r="H73" s="166">
        <f t="shared" si="4"/>
        <v>0</v>
      </c>
      <c r="I73" s="127"/>
      <c r="J73" s="127"/>
      <c r="K73" s="271"/>
    </row>
    <row r="74" spans="1:15" hidden="1" x14ac:dyDescent="0.35">
      <c r="A74" s="103"/>
      <c r="B74" s="12" t="s">
        <v>13</v>
      </c>
      <c r="C74" s="10" t="s">
        <v>250</v>
      </c>
      <c r="D74" s="152"/>
      <c r="E74" s="170"/>
      <c r="F74" s="153" t="str">
        <f t="shared" si="0"/>
        <v/>
      </c>
      <c r="G74" s="256"/>
      <c r="H74" s="166">
        <f t="shared" si="4"/>
        <v>0</v>
      </c>
      <c r="I74" s="10" t="s">
        <v>20</v>
      </c>
      <c r="J74" s="11">
        <v>10.8</v>
      </c>
      <c r="K74" s="12">
        <f t="shared" si="6"/>
        <v>0</v>
      </c>
    </row>
    <row r="75" spans="1:15" hidden="1" x14ac:dyDescent="0.35">
      <c r="A75" s="103"/>
      <c r="B75" s="12" t="s">
        <v>13</v>
      </c>
      <c r="C75" s="10" t="s">
        <v>251</v>
      </c>
      <c r="D75" s="152"/>
      <c r="E75" s="170"/>
      <c r="F75" s="153" t="str">
        <f t="shared" si="0"/>
        <v/>
      </c>
      <c r="G75" s="256"/>
      <c r="H75" s="166">
        <f t="shared" si="4"/>
        <v>0</v>
      </c>
      <c r="I75" s="10" t="s">
        <v>20</v>
      </c>
      <c r="J75" s="11">
        <v>11.2</v>
      </c>
      <c r="K75" s="12">
        <f t="shared" si="6"/>
        <v>0</v>
      </c>
    </row>
    <row r="76" spans="1:15" x14ac:dyDescent="0.35">
      <c r="A76" s="103"/>
      <c r="B76" s="12" t="s">
        <v>13</v>
      </c>
      <c r="C76" s="10" t="s">
        <v>252</v>
      </c>
      <c r="D76" s="152"/>
      <c r="E76" s="170"/>
      <c r="F76" s="153" t="str">
        <f t="shared" si="0"/>
        <v/>
      </c>
      <c r="G76" s="256"/>
      <c r="H76" s="166">
        <f t="shared" si="4"/>
        <v>0</v>
      </c>
      <c r="I76" s="10" t="s">
        <v>23</v>
      </c>
      <c r="J76" s="11">
        <v>4.5599999999999996</v>
      </c>
      <c r="K76" s="12">
        <f t="shared" si="6"/>
        <v>0</v>
      </c>
    </row>
    <row r="77" spans="1:15" x14ac:dyDescent="0.35">
      <c r="A77" s="103"/>
      <c r="B77" s="12" t="s">
        <v>13</v>
      </c>
      <c r="C77" s="10" t="s">
        <v>253</v>
      </c>
      <c r="D77" s="152"/>
      <c r="E77" s="170"/>
      <c r="F77" s="153" t="str">
        <f t="shared" si="0"/>
        <v/>
      </c>
      <c r="G77" s="256"/>
      <c r="H77" s="166">
        <f t="shared" si="4"/>
        <v>0</v>
      </c>
      <c r="I77" s="10" t="s">
        <v>23</v>
      </c>
      <c r="J77" s="11">
        <v>37.700000000000003</v>
      </c>
      <c r="K77" s="12">
        <f t="shared" si="6"/>
        <v>0</v>
      </c>
      <c r="O77" s="87"/>
    </row>
    <row r="78" spans="1:15" ht="15.5" hidden="1" x14ac:dyDescent="0.35">
      <c r="A78" s="108" t="s">
        <v>254</v>
      </c>
      <c r="B78" s="108"/>
      <c r="C78" s="108"/>
      <c r="D78" s="223"/>
      <c r="E78" s="170"/>
      <c r="F78" s="153" t="str">
        <f t="shared" si="0"/>
        <v/>
      </c>
      <c r="G78" s="186"/>
      <c r="H78" s="247"/>
      <c r="I78" s="108"/>
      <c r="J78" s="110" t="s">
        <v>18</v>
      </c>
      <c r="K78" s="269">
        <f>SUM(K80:K121)</f>
        <v>0</v>
      </c>
    </row>
    <row r="79" spans="1:15" ht="15.5" hidden="1" x14ac:dyDescent="0.35">
      <c r="A79" s="111"/>
      <c r="B79" s="126" t="s">
        <v>255</v>
      </c>
      <c r="C79" s="127"/>
      <c r="D79" s="226"/>
      <c r="E79" s="170"/>
      <c r="F79" s="153" t="str">
        <f t="shared" si="0"/>
        <v/>
      </c>
      <c r="G79" s="259"/>
      <c r="H79" s="247"/>
      <c r="I79" s="127"/>
      <c r="J79" s="127"/>
      <c r="K79" s="128"/>
    </row>
    <row r="80" spans="1:15" hidden="1" x14ac:dyDescent="0.35">
      <c r="A80" s="103"/>
      <c r="B80" s="12" t="s">
        <v>3</v>
      </c>
      <c r="C80" s="10" t="s">
        <v>256</v>
      </c>
      <c r="D80" s="152"/>
      <c r="E80" s="170"/>
      <c r="F80" s="153" t="str">
        <f t="shared" si="0"/>
        <v/>
      </c>
      <c r="G80" s="256"/>
      <c r="H80" s="166">
        <f t="shared" si="4"/>
        <v>0</v>
      </c>
      <c r="I80" s="10" t="s">
        <v>20</v>
      </c>
      <c r="J80" s="11">
        <v>32.950000000000003</v>
      </c>
      <c r="K80" s="12">
        <f t="shared" ref="K80:K86" si="7">G80*J80</f>
        <v>0</v>
      </c>
    </row>
    <row r="81" spans="1:11" hidden="1" x14ac:dyDescent="0.35">
      <c r="A81" s="103"/>
      <c r="B81" s="12" t="s">
        <v>3</v>
      </c>
      <c r="C81" s="10" t="s">
        <v>257</v>
      </c>
      <c r="D81" s="152"/>
      <c r="E81" s="170"/>
      <c r="F81" s="153" t="str">
        <f t="shared" si="0"/>
        <v/>
      </c>
      <c r="G81" s="256"/>
      <c r="H81" s="166">
        <f t="shared" si="4"/>
        <v>0</v>
      </c>
      <c r="I81" s="10" t="s">
        <v>20</v>
      </c>
      <c r="J81" s="11">
        <v>56.95</v>
      </c>
      <c r="K81" s="12">
        <f t="shared" si="7"/>
        <v>0</v>
      </c>
    </row>
    <row r="82" spans="1:11" hidden="1" x14ac:dyDescent="0.35">
      <c r="A82" s="103"/>
      <c r="B82" s="12" t="s">
        <v>3</v>
      </c>
      <c r="C82" s="10" t="s">
        <v>258</v>
      </c>
      <c r="D82" s="152"/>
      <c r="E82" s="170"/>
      <c r="F82" s="153" t="str">
        <f t="shared" si="0"/>
        <v/>
      </c>
      <c r="G82" s="256"/>
      <c r="H82" s="166">
        <f t="shared" si="4"/>
        <v>0</v>
      </c>
      <c r="I82" s="10" t="s">
        <v>20</v>
      </c>
      <c r="J82" s="11">
        <v>15.95</v>
      </c>
      <c r="K82" s="12">
        <f t="shared" si="7"/>
        <v>0</v>
      </c>
    </row>
    <row r="83" spans="1:11" hidden="1" x14ac:dyDescent="0.35">
      <c r="A83" s="103"/>
      <c r="B83" s="12" t="s">
        <v>3</v>
      </c>
      <c r="C83" s="10" t="s">
        <v>259</v>
      </c>
      <c r="D83" s="152"/>
      <c r="E83" s="170"/>
      <c r="F83" s="153" t="str">
        <f t="shared" si="0"/>
        <v/>
      </c>
      <c r="G83" s="256"/>
      <c r="H83" s="166">
        <f t="shared" si="4"/>
        <v>0</v>
      </c>
      <c r="I83" s="10" t="s">
        <v>20</v>
      </c>
      <c r="J83" s="11">
        <v>19.95</v>
      </c>
      <c r="K83" s="12">
        <f t="shared" si="7"/>
        <v>0</v>
      </c>
    </row>
    <row r="84" spans="1:11" hidden="1" x14ac:dyDescent="0.35">
      <c r="A84" s="103"/>
      <c r="B84" s="12" t="s">
        <v>3</v>
      </c>
      <c r="C84" s="10" t="s">
        <v>260</v>
      </c>
      <c r="D84" s="152"/>
      <c r="E84" s="170"/>
      <c r="F84" s="153" t="str">
        <f t="shared" si="0"/>
        <v/>
      </c>
      <c r="G84" s="256"/>
      <c r="H84" s="166">
        <f t="shared" si="4"/>
        <v>0</v>
      </c>
      <c r="I84" s="10" t="s">
        <v>20</v>
      </c>
      <c r="J84" s="11">
        <v>46.95</v>
      </c>
      <c r="K84" s="12">
        <f t="shared" si="7"/>
        <v>0</v>
      </c>
    </row>
    <row r="85" spans="1:11" hidden="1" x14ac:dyDescent="0.35">
      <c r="A85" s="103"/>
      <c r="B85" s="12" t="s">
        <v>3</v>
      </c>
      <c r="C85" s="10" t="s">
        <v>261</v>
      </c>
      <c r="D85" s="152"/>
      <c r="E85" s="170"/>
      <c r="F85" s="153" t="str">
        <f t="shared" si="0"/>
        <v/>
      </c>
      <c r="G85" s="256"/>
      <c r="H85" s="166">
        <f t="shared" si="4"/>
        <v>0</v>
      </c>
      <c r="I85" s="10" t="s">
        <v>20</v>
      </c>
      <c r="J85" s="11">
        <v>34.950000000000003</v>
      </c>
      <c r="K85" s="12">
        <f t="shared" si="7"/>
        <v>0</v>
      </c>
    </row>
    <row r="86" spans="1:11" hidden="1" x14ac:dyDescent="0.35">
      <c r="A86" s="103"/>
      <c r="B86" s="12" t="s">
        <v>3</v>
      </c>
      <c r="C86" s="10" t="s">
        <v>262</v>
      </c>
      <c r="D86" s="152"/>
      <c r="E86" s="170"/>
      <c r="F86" s="153" t="str">
        <f t="shared" si="0"/>
        <v/>
      </c>
      <c r="G86" s="256"/>
      <c r="H86" s="166">
        <f t="shared" si="4"/>
        <v>0</v>
      </c>
      <c r="I86" s="10" t="s">
        <v>20</v>
      </c>
      <c r="J86" s="11">
        <v>24.95</v>
      </c>
      <c r="K86" s="12">
        <f t="shared" si="7"/>
        <v>0</v>
      </c>
    </row>
    <row r="87" spans="1:11" ht="15.5" hidden="1" x14ac:dyDescent="0.35">
      <c r="A87" s="111"/>
      <c r="B87" s="126" t="s">
        <v>263</v>
      </c>
      <c r="C87" s="127"/>
      <c r="D87" s="226"/>
      <c r="E87" s="170"/>
      <c r="F87" s="153" t="str">
        <f t="shared" si="0"/>
        <v/>
      </c>
      <c r="G87" s="259"/>
      <c r="H87" s="247"/>
      <c r="I87" s="127"/>
      <c r="J87" s="127"/>
      <c r="K87" s="272"/>
    </row>
    <row r="88" spans="1:11" hidden="1" x14ac:dyDescent="0.35">
      <c r="A88" s="103"/>
      <c r="B88" s="12" t="s">
        <v>3</v>
      </c>
      <c r="C88" s="10" t="s">
        <v>264</v>
      </c>
      <c r="D88" s="152"/>
      <c r="E88" s="170"/>
      <c r="F88" s="153" t="str">
        <f t="shared" si="0"/>
        <v/>
      </c>
      <c r="G88" s="256"/>
      <c r="H88" s="166">
        <f t="shared" si="4"/>
        <v>0</v>
      </c>
      <c r="I88" s="10" t="s">
        <v>20</v>
      </c>
      <c r="J88" s="11">
        <v>19.5</v>
      </c>
      <c r="K88" s="12">
        <f t="shared" ref="K88:K94" si="8">G88*J88</f>
        <v>0</v>
      </c>
    </row>
    <row r="89" spans="1:11" hidden="1" x14ac:dyDescent="0.35">
      <c r="A89" s="103"/>
      <c r="B89" s="12" t="s">
        <v>3</v>
      </c>
      <c r="C89" s="10" t="s">
        <v>265</v>
      </c>
      <c r="D89" s="152"/>
      <c r="E89" s="170"/>
      <c r="F89" s="153" t="str">
        <f t="shared" ref="F89:F152" si="9">IF(E89="","",IF(D89-E89&gt;0,D89-E89,""))</f>
        <v/>
      </c>
      <c r="G89" s="256"/>
      <c r="H89" s="166">
        <f t="shared" si="4"/>
        <v>0</v>
      </c>
      <c r="I89" s="10" t="s">
        <v>20</v>
      </c>
      <c r="J89" s="11">
        <v>16.95</v>
      </c>
      <c r="K89" s="12">
        <f t="shared" si="8"/>
        <v>0</v>
      </c>
    </row>
    <row r="90" spans="1:11" hidden="1" x14ac:dyDescent="0.35">
      <c r="A90" s="103"/>
      <c r="B90" s="12" t="s">
        <v>3</v>
      </c>
      <c r="C90" s="10" t="s">
        <v>266</v>
      </c>
      <c r="D90" s="152"/>
      <c r="E90" s="170"/>
      <c r="F90" s="153" t="str">
        <f t="shared" si="9"/>
        <v/>
      </c>
      <c r="G90" s="256"/>
      <c r="H90" s="166">
        <f t="shared" si="4"/>
        <v>0</v>
      </c>
      <c r="I90" s="10" t="s">
        <v>20</v>
      </c>
      <c r="J90" s="11">
        <v>17.95</v>
      </c>
      <c r="K90" s="12">
        <f t="shared" si="8"/>
        <v>0</v>
      </c>
    </row>
    <row r="91" spans="1:11" hidden="1" x14ac:dyDescent="0.35">
      <c r="A91" s="103"/>
      <c r="B91" s="12" t="s">
        <v>3</v>
      </c>
      <c r="C91" s="10" t="s">
        <v>267</v>
      </c>
      <c r="D91" s="152"/>
      <c r="E91" s="170"/>
      <c r="F91" s="153" t="str">
        <f t="shared" si="9"/>
        <v/>
      </c>
      <c r="G91" s="256"/>
      <c r="H91" s="166">
        <f t="shared" si="4"/>
        <v>0</v>
      </c>
      <c r="I91" s="10" t="s">
        <v>20</v>
      </c>
      <c r="J91" s="11">
        <v>15.95</v>
      </c>
      <c r="K91" s="12">
        <f t="shared" si="8"/>
        <v>0</v>
      </c>
    </row>
    <row r="92" spans="1:11" hidden="1" x14ac:dyDescent="0.35">
      <c r="A92" s="103"/>
      <c r="B92" s="12" t="s">
        <v>3</v>
      </c>
      <c r="C92" s="10" t="s">
        <v>268</v>
      </c>
      <c r="D92" s="152"/>
      <c r="E92" s="170"/>
      <c r="F92" s="153" t="str">
        <f t="shared" si="9"/>
        <v/>
      </c>
      <c r="G92" s="256"/>
      <c r="H92" s="166">
        <f t="shared" si="4"/>
        <v>0</v>
      </c>
      <c r="I92" s="10" t="s">
        <v>20</v>
      </c>
      <c r="J92" s="11">
        <v>20.95</v>
      </c>
      <c r="K92" s="12">
        <f t="shared" si="8"/>
        <v>0</v>
      </c>
    </row>
    <row r="93" spans="1:11" hidden="1" x14ac:dyDescent="0.35">
      <c r="A93" s="103"/>
      <c r="B93" s="12" t="s">
        <v>3</v>
      </c>
      <c r="C93" s="10" t="s">
        <v>269</v>
      </c>
      <c r="D93" s="152"/>
      <c r="E93" s="170"/>
      <c r="F93" s="153" t="str">
        <f t="shared" si="9"/>
        <v/>
      </c>
      <c r="G93" s="256"/>
      <c r="H93" s="166">
        <f t="shared" si="4"/>
        <v>0</v>
      </c>
      <c r="I93" s="10" t="s">
        <v>20</v>
      </c>
      <c r="J93" s="11">
        <v>26.95</v>
      </c>
      <c r="K93" s="12">
        <f t="shared" si="8"/>
        <v>0</v>
      </c>
    </row>
    <row r="94" spans="1:11" hidden="1" x14ac:dyDescent="0.35">
      <c r="A94" s="103"/>
      <c r="B94" s="12" t="s">
        <v>3</v>
      </c>
      <c r="C94" s="10" t="s">
        <v>270</v>
      </c>
      <c r="D94" s="152"/>
      <c r="E94" s="170"/>
      <c r="F94" s="153" t="str">
        <f t="shared" si="9"/>
        <v/>
      </c>
      <c r="G94" s="256"/>
      <c r="H94" s="166">
        <f t="shared" si="4"/>
        <v>0</v>
      </c>
      <c r="I94" s="10" t="s">
        <v>20</v>
      </c>
      <c r="J94" s="11">
        <v>26.95</v>
      </c>
      <c r="K94" s="12">
        <f t="shared" si="8"/>
        <v>0</v>
      </c>
    </row>
    <row r="95" spans="1:11" ht="15.5" hidden="1" x14ac:dyDescent="0.35">
      <c r="A95" s="111"/>
      <c r="B95" s="126" t="s">
        <v>271</v>
      </c>
      <c r="C95" s="127"/>
      <c r="D95" s="226"/>
      <c r="E95" s="170"/>
      <c r="F95" s="153" t="str">
        <f t="shared" si="9"/>
        <v/>
      </c>
      <c r="G95" s="259"/>
      <c r="H95" s="247"/>
      <c r="I95" s="127"/>
      <c r="J95" s="127"/>
      <c r="K95" s="272"/>
    </row>
    <row r="96" spans="1:11" hidden="1" x14ac:dyDescent="0.35">
      <c r="A96" s="103"/>
      <c r="B96" s="12" t="s">
        <v>3</v>
      </c>
      <c r="C96" s="10" t="s">
        <v>272</v>
      </c>
      <c r="D96" s="152"/>
      <c r="E96" s="170"/>
      <c r="F96" s="153" t="str">
        <f t="shared" si="9"/>
        <v/>
      </c>
      <c r="G96" s="256"/>
      <c r="H96" s="166">
        <f t="shared" si="4"/>
        <v>0</v>
      </c>
      <c r="I96" s="10" t="s">
        <v>20</v>
      </c>
      <c r="J96" s="11">
        <v>20.95</v>
      </c>
      <c r="K96" s="12">
        <f>G96*J96</f>
        <v>0</v>
      </c>
    </row>
    <row r="97" spans="1:11" hidden="1" x14ac:dyDescent="0.35">
      <c r="A97" s="103"/>
      <c r="B97" s="12" t="s">
        <v>3</v>
      </c>
      <c r="C97" s="10" t="s">
        <v>273</v>
      </c>
      <c r="D97" s="152"/>
      <c r="E97" s="170"/>
      <c r="F97" s="153" t="str">
        <f t="shared" si="9"/>
        <v/>
      </c>
      <c r="G97" s="256"/>
      <c r="H97" s="166">
        <f t="shared" si="4"/>
        <v>0</v>
      </c>
      <c r="I97" s="10" t="s">
        <v>20</v>
      </c>
      <c r="J97" s="11">
        <v>23.95</v>
      </c>
      <c r="K97" s="12">
        <f>G97*J97</f>
        <v>0</v>
      </c>
    </row>
    <row r="98" spans="1:11" hidden="1" x14ac:dyDescent="0.35">
      <c r="A98" s="103"/>
      <c r="B98" s="12" t="s">
        <v>3</v>
      </c>
      <c r="C98" s="10" t="s">
        <v>274</v>
      </c>
      <c r="D98" s="152"/>
      <c r="E98" s="170"/>
      <c r="F98" s="153" t="str">
        <f t="shared" si="9"/>
        <v/>
      </c>
      <c r="G98" s="256"/>
      <c r="H98" s="166">
        <f t="shared" si="4"/>
        <v>0</v>
      </c>
      <c r="I98" s="10" t="s">
        <v>20</v>
      </c>
      <c r="J98" s="11">
        <v>22.5</v>
      </c>
      <c r="K98" s="12">
        <f>G98*J98</f>
        <v>0</v>
      </c>
    </row>
    <row r="99" spans="1:11" hidden="1" x14ac:dyDescent="0.35">
      <c r="A99" s="103"/>
      <c r="B99" s="12" t="s">
        <v>3</v>
      </c>
      <c r="C99" s="10" t="s">
        <v>275</v>
      </c>
      <c r="D99" s="152"/>
      <c r="E99" s="170"/>
      <c r="F99" s="153" t="str">
        <f t="shared" si="9"/>
        <v/>
      </c>
      <c r="G99" s="256"/>
      <c r="H99" s="166">
        <f t="shared" si="4"/>
        <v>0</v>
      </c>
      <c r="I99" s="10" t="s">
        <v>20</v>
      </c>
      <c r="J99" s="11">
        <v>29.95</v>
      </c>
      <c r="K99" s="12">
        <f>G99*J99</f>
        <v>0</v>
      </c>
    </row>
    <row r="100" spans="1:11" ht="15.5" hidden="1" x14ac:dyDescent="0.35">
      <c r="A100" s="111"/>
      <c r="B100" s="126" t="s">
        <v>276</v>
      </c>
      <c r="C100" s="127"/>
      <c r="D100" s="226"/>
      <c r="E100" s="170"/>
      <c r="F100" s="153" t="str">
        <f t="shared" si="9"/>
        <v/>
      </c>
      <c r="G100" s="259"/>
      <c r="H100" s="247"/>
      <c r="I100" s="127"/>
      <c r="J100" s="127"/>
      <c r="K100" s="272"/>
    </row>
    <row r="101" spans="1:11" hidden="1" x14ac:dyDescent="0.35">
      <c r="A101" s="103"/>
      <c r="B101" s="12" t="s">
        <v>3</v>
      </c>
      <c r="C101" s="10" t="s">
        <v>277</v>
      </c>
      <c r="D101" s="152"/>
      <c r="E101" s="170"/>
      <c r="F101" s="153" t="str">
        <f t="shared" si="9"/>
        <v/>
      </c>
      <c r="G101" s="256"/>
      <c r="H101" s="166">
        <f t="shared" si="4"/>
        <v>0</v>
      </c>
      <c r="I101" s="10" t="s">
        <v>20</v>
      </c>
      <c r="J101" s="11">
        <v>17.95</v>
      </c>
      <c r="K101" s="12">
        <f>G101*J101</f>
        <v>0</v>
      </c>
    </row>
    <row r="102" spans="1:11" hidden="1" x14ac:dyDescent="0.35">
      <c r="A102" s="103"/>
      <c r="B102" s="12" t="s">
        <v>3</v>
      </c>
      <c r="C102" s="10" t="s">
        <v>278</v>
      </c>
      <c r="D102" s="152"/>
      <c r="E102" s="170"/>
      <c r="F102" s="153" t="str">
        <f t="shared" si="9"/>
        <v/>
      </c>
      <c r="G102" s="256"/>
      <c r="H102" s="166">
        <f t="shared" si="4"/>
        <v>0</v>
      </c>
      <c r="I102" s="10" t="s">
        <v>20</v>
      </c>
      <c r="J102" s="11">
        <v>20.95</v>
      </c>
      <c r="K102" s="12">
        <f>G102*J102</f>
        <v>0</v>
      </c>
    </row>
    <row r="103" spans="1:11" hidden="1" x14ac:dyDescent="0.35">
      <c r="A103" s="103"/>
      <c r="B103" s="12" t="s">
        <v>3</v>
      </c>
      <c r="C103" s="10" t="s">
        <v>279</v>
      </c>
      <c r="D103" s="152"/>
      <c r="E103" s="170"/>
      <c r="F103" s="153" t="str">
        <f t="shared" si="9"/>
        <v/>
      </c>
      <c r="G103" s="256"/>
      <c r="H103" s="166">
        <f t="shared" si="4"/>
        <v>0</v>
      </c>
      <c r="I103" s="10" t="s">
        <v>20</v>
      </c>
      <c r="J103" s="11">
        <v>19.95</v>
      </c>
      <c r="K103" s="12">
        <f>G103*J103</f>
        <v>0</v>
      </c>
    </row>
    <row r="104" spans="1:11" hidden="1" x14ac:dyDescent="0.35">
      <c r="A104" s="103"/>
      <c r="B104" s="40" t="s">
        <v>3</v>
      </c>
      <c r="C104" s="41" t="s">
        <v>280</v>
      </c>
      <c r="D104" s="227"/>
      <c r="E104" s="170"/>
      <c r="F104" s="153" t="str">
        <f t="shared" si="9"/>
        <v/>
      </c>
      <c r="G104" s="256"/>
      <c r="H104" s="166">
        <f t="shared" si="4"/>
        <v>0</v>
      </c>
      <c r="I104" s="41" t="s">
        <v>20</v>
      </c>
      <c r="J104" s="42">
        <v>59.95</v>
      </c>
      <c r="K104" s="40">
        <f>G104*J104</f>
        <v>0</v>
      </c>
    </row>
    <row r="105" spans="1:11" ht="15.5" hidden="1" x14ac:dyDescent="0.35">
      <c r="A105" s="111"/>
      <c r="B105" s="126" t="s">
        <v>281</v>
      </c>
      <c r="C105" s="127"/>
      <c r="D105" s="226"/>
      <c r="E105" s="170"/>
      <c r="F105" s="153" t="str">
        <f t="shared" si="9"/>
        <v/>
      </c>
      <c r="G105" s="259"/>
      <c r="H105" s="166">
        <f t="shared" si="4"/>
        <v>0</v>
      </c>
      <c r="I105" s="127"/>
      <c r="J105" s="127"/>
      <c r="K105" s="272"/>
    </row>
    <row r="106" spans="1:11" hidden="1" x14ac:dyDescent="0.35">
      <c r="A106" s="103"/>
      <c r="B106" s="12" t="s">
        <v>3</v>
      </c>
      <c r="C106" s="10" t="s">
        <v>282</v>
      </c>
      <c r="D106" s="152"/>
      <c r="E106" s="170"/>
      <c r="F106" s="153" t="str">
        <f t="shared" si="9"/>
        <v/>
      </c>
      <c r="G106" s="256"/>
      <c r="H106" s="166">
        <f t="shared" si="4"/>
        <v>0</v>
      </c>
      <c r="I106" s="10" t="s">
        <v>20</v>
      </c>
      <c r="J106" s="11">
        <v>54.95</v>
      </c>
      <c r="K106" s="12">
        <f>G106*J106</f>
        <v>0</v>
      </c>
    </row>
    <row r="107" spans="1:11" hidden="1" x14ac:dyDescent="0.35">
      <c r="A107" s="103"/>
      <c r="B107" s="12" t="s">
        <v>3</v>
      </c>
      <c r="C107" s="10" t="s">
        <v>283</v>
      </c>
      <c r="D107" s="152"/>
      <c r="E107" s="170"/>
      <c r="F107" s="153" t="str">
        <f t="shared" si="9"/>
        <v/>
      </c>
      <c r="G107" s="256"/>
      <c r="H107" s="166">
        <f t="shared" si="4"/>
        <v>0</v>
      </c>
      <c r="I107" s="10" t="s">
        <v>20</v>
      </c>
      <c r="J107" s="11">
        <v>49.95</v>
      </c>
      <c r="K107" s="12">
        <f>G107*J107</f>
        <v>0</v>
      </c>
    </row>
    <row r="108" spans="1:11" ht="15.5" hidden="1" x14ac:dyDescent="0.35">
      <c r="A108" s="111"/>
      <c r="B108" s="126" t="s">
        <v>284</v>
      </c>
      <c r="C108" s="127"/>
      <c r="D108" s="226"/>
      <c r="E108" s="170"/>
      <c r="F108" s="153" t="str">
        <f t="shared" si="9"/>
        <v/>
      </c>
      <c r="G108" s="259"/>
      <c r="H108" s="247"/>
      <c r="I108" s="127"/>
      <c r="J108" s="127"/>
      <c r="K108" s="272"/>
    </row>
    <row r="109" spans="1:11" hidden="1" x14ac:dyDescent="0.35">
      <c r="A109" s="103"/>
      <c r="B109" s="12" t="s">
        <v>3</v>
      </c>
      <c r="C109" s="10" t="s">
        <v>285</v>
      </c>
      <c r="D109" s="152"/>
      <c r="E109" s="170"/>
      <c r="F109" s="153" t="str">
        <f t="shared" si="9"/>
        <v/>
      </c>
      <c r="G109" s="256"/>
      <c r="H109" s="166">
        <f t="shared" si="4"/>
        <v>0</v>
      </c>
      <c r="I109" s="10" t="s">
        <v>20</v>
      </c>
      <c r="J109" s="11">
        <v>41.5</v>
      </c>
      <c r="K109" s="12">
        <f t="shared" ref="K109:K114" si="10">G109*J109</f>
        <v>0</v>
      </c>
    </row>
    <row r="110" spans="1:11" hidden="1" x14ac:dyDescent="0.35">
      <c r="A110" s="103"/>
      <c r="B110" s="12" t="s">
        <v>3</v>
      </c>
      <c r="C110" s="10" t="s">
        <v>286</v>
      </c>
      <c r="D110" s="152"/>
      <c r="E110" s="170"/>
      <c r="F110" s="153" t="str">
        <f t="shared" si="9"/>
        <v/>
      </c>
      <c r="G110" s="256"/>
      <c r="H110" s="166">
        <f t="shared" si="4"/>
        <v>0</v>
      </c>
      <c r="I110" s="10" t="s">
        <v>20</v>
      </c>
      <c r="J110" s="11">
        <v>36.200000000000003</v>
      </c>
      <c r="K110" s="12">
        <f t="shared" si="10"/>
        <v>0</v>
      </c>
    </row>
    <row r="111" spans="1:11" hidden="1" x14ac:dyDescent="0.35">
      <c r="A111" s="103"/>
      <c r="B111" s="12" t="s">
        <v>3</v>
      </c>
      <c r="C111" s="10" t="s">
        <v>287</v>
      </c>
      <c r="D111" s="152"/>
      <c r="E111" s="170"/>
      <c r="F111" s="153" t="str">
        <f t="shared" si="9"/>
        <v/>
      </c>
      <c r="G111" s="256"/>
      <c r="H111" s="166">
        <f t="shared" ref="H111:H174" si="11">IF(ISNUMBER(E111),E111,0)+IF(ISNUMBER(F111),F111,0)-IF(ISNUMBER(G111),G111,0)</f>
        <v>0</v>
      </c>
      <c r="I111" s="10" t="s">
        <v>20</v>
      </c>
      <c r="J111" s="11">
        <v>25.95</v>
      </c>
      <c r="K111" s="12">
        <f t="shared" si="10"/>
        <v>0</v>
      </c>
    </row>
    <row r="112" spans="1:11" hidden="1" x14ac:dyDescent="0.35">
      <c r="A112" s="103"/>
      <c r="B112" s="12" t="s">
        <v>3</v>
      </c>
      <c r="C112" s="10" t="s">
        <v>288</v>
      </c>
      <c r="D112" s="152"/>
      <c r="E112" s="170"/>
      <c r="F112" s="153" t="str">
        <f t="shared" si="9"/>
        <v/>
      </c>
      <c r="G112" s="256"/>
      <c r="H112" s="166">
        <f t="shared" si="11"/>
        <v>0</v>
      </c>
      <c r="I112" s="10" t="s">
        <v>20</v>
      </c>
      <c r="J112" s="11">
        <v>32.799999999999997</v>
      </c>
      <c r="K112" s="12">
        <f t="shared" si="10"/>
        <v>0</v>
      </c>
    </row>
    <row r="113" spans="1:11" hidden="1" x14ac:dyDescent="0.35">
      <c r="A113" s="103"/>
      <c r="B113" s="12" t="s">
        <v>3</v>
      </c>
      <c r="C113" s="10" t="s">
        <v>289</v>
      </c>
      <c r="D113" s="152"/>
      <c r="E113" s="170"/>
      <c r="F113" s="153" t="str">
        <f t="shared" si="9"/>
        <v/>
      </c>
      <c r="G113" s="256"/>
      <c r="H113" s="166">
        <f t="shared" si="11"/>
        <v>0</v>
      </c>
      <c r="I113" s="10" t="s">
        <v>20</v>
      </c>
      <c r="J113" s="11">
        <v>29.2</v>
      </c>
      <c r="K113" s="12">
        <f t="shared" si="10"/>
        <v>0</v>
      </c>
    </row>
    <row r="114" spans="1:11" hidden="1" x14ac:dyDescent="0.35">
      <c r="A114" s="103"/>
      <c r="B114" s="12" t="s">
        <v>3</v>
      </c>
      <c r="C114" s="10" t="s">
        <v>290</v>
      </c>
      <c r="D114" s="152"/>
      <c r="E114" s="170"/>
      <c r="F114" s="153" t="str">
        <f t="shared" si="9"/>
        <v/>
      </c>
      <c r="G114" s="256"/>
      <c r="H114" s="166">
        <f t="shared" si="11"/>
        <v>0</v>
      </c>
      <c r="I114" s="10" t="s">
        <v>20</v>
      </c>
      <c r="J114" s="11">
        <v>22.95</v>
      </c>
      <c r="K114" s="12">
        <f t="shared" si="10"/>
        <v>0</v>
      </c>
    </row>
    <row r="115" spans="1:11" ht="15.5" hidden="1" x14ac:dyDescent="0.35">
      <c r="A115" s="111"/>
      <c r="B115" s="126" t="s">
        <v>291</v>
      </c>
      <c r="C115" s="127"/>
      <c r="D115" s="226"/>
      <c r="E115" s="170"/>
      <c r="F115" s="153" t="str">
        <f t="shared" si="9"/>
        <v/>
      </c>
      <c r="G115" s="259"/>
      <c r="H115" s="247"/>
      <c r="I115" s="127"/>
      <c r="J115" s="127"/>
      <c r="K115" s="272"/>
    </row>
    <row r="116" spans="1:11" hidden="1" x14ac:dyDescent="0.35">
      <c r="A116" s="103"/>
      <c r="B116" s="12" t="s">
        <v>3</v>
      </c>
      <c r="C116" s="10" t="s">
        <v>292</v>
      </c>
      <c r="D116" s="152"/>
      <c r="E116" s="170"/>
      <c r="F116" s="153" t="str">
        <f t="shared" si="9"/>
        <v/>
      </c>
      <c r="G116" s="256"/>
      <c r="H116" s="166">
        <f t="shared" si="11"/>
        <v>0</v>
      </c>
      <c r="I116" s="10" t="s">
        <v>20</v>
      </c>
      <c r="J116" s="11">
        <v>17.95</v>
      </c>
      <c r="K116" s="12">
        <f t="shared" ref="K116:K121" si="12">G116*J116</f>
        <v>0</v>
      </c>
    </row>
    <row r="117" spans="1:11" hidden="1" x14ac:dyDescent="0.35">
      <c r="A117" s="103"/>
      <c r="B117" s="12" t="s">
        <v>3</v>
      </c>
      <c r="C117" s="10" t="s">
        <v>293</v>
      </c>
      <c r="D117" s="152"/>
      <c r="E117" s="170"/>
      <c r="F117" s="153" t="str">
        <f t="shared" si="9"/>
        <v/>
      </c>
      <c r="G117" s="256"/>
      <c r="H117" s="166">
        <f t="shared" si="11"/>
        <v>0</v>
      </c>
      <c r="I117" s="10" t="s">
        <v>20</v>
      </c>
      <c r="J117" s="11">
        <v>12.95</v>
      </c>
      <c r="K117" s="12">
        <f t="shared" si="12"/>
        <v>0</v>
      </c>
    </row>
    <row r="118" spans="1:11" hidden="1" x14ac:dyDescent="0.35">
      <c r="A118" s="103"/>
      <c r="B118" s="12" t="s">
        <v>3</v>
      </c>
      <c r="C118" s="10" t="s">
        <v>294</v>
      </c>
      <c r="D118" s="152"/>
      <c r="E118" s="170"/>
      <c r="F118" s="153" t="str">
        <f t="shared" si="9"/>
        <v/>
      </c>
      <c r="G118" s="256"/>
      <c r="H118" s="166">
        <f t="shared" si="11"/>
        <v>0</v>
      </c>
      <c r="I118" s="10" t="s">
        <v>20</v>
      </c>
      <c r="J118" s="11">
        <v>21.95</v>
      </c>
      <c r="K118" s="12">
        <f t="shared" si="12"/>
        <v>0</v>
      </c>
    </row>
    <row r="119" spans="1:11" hidden="1" x14ac:dyDescent="0.35">
      <c r="A119" s="103"/>
      <c r="B119" s="12" t="s">
        <v>3</v>
      </c>
      <c r="C119" s="10" t="s">
        <v>295</v>
      </c>
      <c r="D119" s="152"/>
      <c r="E119" s="170"/>
      <c r="F119" s="153" t="str">
        <f t="shared" si="9"/>
        <v/>
      </c>
      <c r="G119" s="256"/>
      <c r="H119" s="166">
        <f t="shared" si="11"/>
        <v>0</v>
      </c>
      <c r="I119" s="10" t="s">
        <v>20</v>
      </c>
      <c r="J119" s="11"/>
      <c r="K119" s="12">
        <f t="shared" si="12"/>
        <v>0</v>
      </c>
    </row>
    <row r="120" spans="1:11" hidden="1" x14ac:dyDescent="0.35">
      <c r="A120" s="103"/>
      <c r="B120" s="12" t="s">
        <v>3</v>
      </c>
      <c r="C120" s="10" t="s">
        <v>296</v>
      </c>
      <c r="D120" s="152"/>
      <c r="E120" s="170"/>
      <c r="F120" s="153" t="str">
        <f t="shared" si="9"/>
        <v/>
      </c>
      <c r="G120" s="256"/>
      <c r="H120" s="166">
        <f t="shared" si="11"/>
        <v>0</v>
      </c>
      <c r="I120" s="10" t="s">
        <v>20</v>
      </c>
      <c r="J120" s="11"/>
      <c r="K120" s="12">
        <f t="shared" si="12"/>
        <v>0</v>
      </c>
    </row>
    <row r="121" spans="1:11" hidden="1" x14ac:dyDescent="0.35">
      <c r="A121" s="103"/>
      <c r="B121" s="12" t="s">
        <v>3</v>
      </c>
      <c r="C121" s="10" t="s">
        <v>297</v>
      </c>
      <c r="D121" s="152"/>
      <c r="E121" s="170"/>
      <c r="F121" s="153" t="str">
        <f t="shared" si="9"/>
        <v/>
      </c>
      <c r="G121" s="256"/>
      <c r="H121" s="166">
        <f t="shared" si="11"/>
        <v>0</v>
      </c>
      <c r="I121" s="10" t="s">
        <v>20</v>
      </c>
      <c r="J121" s="11">
        <v>22.95</v>
      </c>
      <c r="K121" s="12">
        <f t="shared" si="12"/>
        <v>0</v>
      </c>
    </row>
    <row r="122" spans="1:11" ht="15.5" x14ac:dyDescent="0.35">
      <c r="A122" s="112" t="s">
        <v>298</v>
      </c>
      <c r="B122" s="116"/>
      <c r="C122" s="116"/>
      <c r="D122" s="228"/>
      <c r="E122" s="250"/>
      <c r="F122" s="165" t="str">
        <f t="shared" si="9"/>
        <v/>
      </c>
      <c r="G122" s="260"/>
      <c r="H122" s="247"/>
      <c r="I122" s="117"/>
      <c r="J122" s="106" t="s">
        <v>18</v>
      </c>
      <c r="K122" s="269">
        <f>SUM(K123:K175)</f>
        <v>832.45</v>
      </c>
    </row>
    <row r="123" spans="1:11" hidden="1" x14ac:dyDescent="0.35">
      <c r="A123" s="103"/>
      <c r="B123" s="20" t="s">
        <v>4</v>
      </c>
      <c r="C123" s="18" t="s">
        <v>62</v>
      </c>
      <c r="D123" s="229"/>
      <c r="E123" s="250"/>
      <c r="F123" s="165" t="str">
        <f t="shared" si="9"/>
        <v/>
      </c>
      <c r="G123" s="256"/>
      <c r="H123" s="166">
        <f t="shared" si="11"/>
        <v>0</v>
      </c>
      <c r="I123" s="18" t="s">
        <v>20</v>
      </c>
      <c r="J123" s="19">
        <v>7.35</v>
      </c>
      <c r="K123" s="20">
        <f>G123*J123</f>
        <v>0</v>
      </c>
    </row>
    <row r="124" spans="1:11" hidden="1" x14ac:dyDescent="0.35">
      <c r="A124" s="103"/>
      <c r="B124" s="20" t="s">
        <v>4</v>
      </c>
      <c r="C124" s="18" t="s">
        <v>60</v>
      </c>
      <c r="D124" s="229"/>
      <c r="E124" s="250"/>
      <c r="F124" s="165" t="str">
        <f t="shared" si="9"/>
        <v/>
      </c>
      <c r="G124" s="256"/>
      <c r="H124" s="166">
        <f t="shared" si="11"/>
        <v>0</v>
      </c>
      <c r="I124" s="18" t="s">
        <v>20</v>
      </c>
      <c r="J124" s="19">
        <v>10.65</v>
      </c>
      <c r="K124" s="20">
        <f>G124*J124</f>
        <v>0</v>
      </c>
    </row>
    <row r="125" spans="1:11" hidden="1" x14ac:dyDescent="0.35">
      <c r="A125" s="113" t="s">
        <v>40</v>
      </c>
      <c r="B125" s="124"/>
      <c r="C125" s="124"/>
      <c r="D125" s="230"/>
      <c r="E125" s="250"/>
      <c r="F125" s="165" t="str">
        <f t="shared" si="9"/>
        <v/>
      </c>
      <c r="G125" s="261"/>
      <c r="H125" s="166">
        <f t="shared" si="11"/>
        <v>0</v>
      </c>
      <c r="I125" s="124"/>
      <c r="J125" s="124"/>
      <c r="K125" s="273"/>
    </row>
    <row r="126" spans="1:11" hidden="1" x14ac:dyDescent="0.35">
      <c r="A126" s="103"/>
      <c r="B126" s="20" t="s">
        <v>4</v>
      </c>
      <c r="C126" s="18" t="s">
        <v>299</v>
      </c>
      <c r="D126" s="229"/>
      <c r="E126" s="250"/>
      <c r="F126" s="165" t="str">
        <f t="shared" si="9"/>
        <v/>
      </c>
      <c r="G126" s="256"/>
      <c r="H126" s="166">
        <f t="shared" si="11"/>
        <v>0</v>
      </c>
      <c r="I126" s="18" t="s">
        <v>20</v>
      </c>
      <c r="J126" s="19">
        <v>1.31</v>
      </c>
      <c r="K126" s="12">
        <f t="shared" ref="K126:K137" si="13">G126*J126</f>
        <v>0</v>
      </c>
    </row>
    <row r="127" spans="1:11" hidden="1" x14ac:dyDescent="0.35">
      <c r="A127" s="103"/>
      <c r="B127" s="12" t="s">
        <v>4</v>
      </c>
      <c r="C127" s="10" t="s">
        <v>300</v>
      </c>
      <c r="D127" s="152"/>
      <c r="E127" s="250"/>
      <c r="F127" s="165" t="str">
        <f t="shared" si="9"/>
        <v/>
      </c>
      <c r="G127" s="256"/>
      <c r="H127" s="166">
        <f t="shared" si="11"/>
        <v>0</v>
      </c>
      <c r="I127" s="10" t="s">
        <v>20</v>
      </c>
      <c r="J127" s="11">
        <v>1.31</v>
      </c>
      <c r="K127" s="12">
        <f t="shared" si="13"/>
        <v>0</v>
      </c>
    </row>
    <row r="128" spans="1:11" hidden="1" x14ac:dyDescent="0.35">
      <c r="A128" s="103"/>
      <c r="B128" s="20" t="s">
        <v>4</v>
      </c>
      <c r="C128" s="18" t="s">
        <v>301</v>
      </c>
      <c r="D128" s="229"/>
      <c r="E128" s="250"/>
      <c r="F128" s="165" t="str">
        <f t="shared" si="9"/>
        <v/>
      </c>
      <c r="G128" s="256"/>
      <c r="H128" s="166">
        <f t="shared" si="11"/>
        <v>0</v>
      </c>
      <c r="I128" s="18" t="s">
        <v>20</v>
      </c>
      <c r="J128" s="19">
        <v>1.4039999999999999</v>
      </c>
      <c r="K128" s="12">
        <f t="shared" si="13"/>
        <v>0</v>
      </c>
    </row>
    <row r="129" spans="1:11" hidden="1" x14ac:dyDescent="0.35">
      <c r="A129" s="103"/>
      <c r="B129" s="12" t="s">
        <v>4</v>
      </c>
      <c r="C129" s="10" t="s">
        <v>302</v>
      </c>
      <c r="D129" s="152"/>
      <c r="E129" s="250"/>
      <c r="F129" s="165" t="str">
        <f t="shared" si="9"/>
        <v/>
      </c>
      <c r="G129" s="256"/>
      <c r="H129" s="166">
        <f t="shared" si="11"/>
        <v>0</v>
      </c>
      <c r="I129" s="10" t="s">
        <v>20</v>
      </c>
      <c r="J129" s="11">
        <v>1.4039999999999999</v>
      </c>
      <c r="K129" s="12">
        <f t="shared" si="13"/>
        <v>0</v>
      </c>
    </row>
    <row r="130" spans="1:11" hidden="1" x14ac:dyDescent="0.35">
      <c r="A130" s="103"/>
      <c r="B130" s="12" t="s">
        <v>4</v>
      </c>
      <c r="C130" s="10" t="s">
        <v>303</v>
      </c>
      <c r="D130" s="152"/>
      <c r="E130" s="250"/>
      <c r="F130" s="165" t="str">
        <f t="shared" si="9"/>
        <v/>
      </c>
      <c r="G130" s="256"/>
      <c r="H130" s="166">
        <f t="shared" si="11"/>
        <v>0</v>
      </c>
      <c r="I130" s="10" t="s">
        <v>20</v>
      </c>
      <c r="J130" s="11">
        <v>1.53</v>
      </c>
      <c r="K130" s="12">
        <f t="shared" si="13"/>
        <v>0</v>
      </c>
    </row>
    <row r="131" spans="1:11" hidden="1" x14ac:dyDescent="0.35">
      <c r="A131" s="103"/>
      <c r="B131" s="12" t="s">
        <v>4</v>
      </c>
      <c r="C131" s="10" t="s">
        <v>304</v>
      </c>
      <c r="D131" s="152"/>
      <c r="E131" s="250"/>
      <c r="F131" s="165" t="str">
        <f t="shared" si="9"/>
        <v/>
      </c>
      <c r="G131" s="256"/>
      <c r="H131" s="166">
        <f t="shared" si="11"/>
        <v>0</v>
      </c>
      <c r="I131" s="10" t="s">
        <v>20</v>
      </c>
      <c r="J131" s="11">
        <v>1.65</v>
      </c>
      <c r="K131" s="12">
        <f t="shared" si="13"/>
        <v>0</v>
      </c>
    </row>
    <row r="132" spans="1:11" hidden="1" x14ac:dyDescent="0.35">
      <c r="A132" s="103"/>
      <c r="B132" s="12" t="s">
        <v>4</v>
      </c>
      <c r="C132" s="10" t="s">
        <v>83</v>
      </c>
      <c r="D132" s="152"/>
      <c r="E132" s="250"/>
      <c r="F132" s="165" t="str">
        <f t="shared" si="9"/>
        <v/>
      </c>
      <c r="G132" s="256"/>
      <c r="H132" s="166">
        <f t="shared" si="11"/>
        <v>0</v>
      </c>
      <c r="I132" s="10" t="s">
        <v>20</v>
      </c>
      <c r="J132" s="11">
        <v>1.04</v>
      </c>
      <c r="K132" s="12">
        <f t="shared" si="13"/>
        <v>0</v>
      </c>
    </row>
    <row r="133" spans="1:11" hidden="1" x14ac:dyDescent="0.35">
      <c r="A133" s="103"/>
      <c r="B133" s="12" t="s">
        <v>4</v>
      </c>
      <c r="C133" s="10" t="s">
        <v>305</v>
      </c>
      <c r="D133" s="152"/>
      <c r="E133" s="250"/>
      <c r="F133" s="165" t="str">
        <f t="shared" si="9"/>
        <v/>
      </c>
      <c r="G133" s="256"/>
      <c r="H133" s="166">
        <f t="shared" si="11"/>
        <v>0</v>
      </c>
      <c r="I133" s="10" t="s">
        <v>20</v>
      </c>
      <c r="J133" s="11">
        <v>1.04</v>
      </c>
      <c r="K133" s="12">
        <f t="shared" si="13"/>
        <v>0</v>
      </c>
    </row>
    <row r="134" spans="1:11" hidden="1" x14ac:dyDescent="0.35">
      <c r="A134" s="103"/>
      <c r="B134" s="12" t="s">
        <v>4</v>
      </c>
      <c r="C134" s="10" t="s">
        <v>306</v>
      </c>
      <c r="D134" s="152"/>
      <c r="E134" s="250"/>
      <c r="F134" s="165" t="str">
        <f t="shared" si="9"/>
        <v/>
      </c>
      <c r="G134" s="256"/>
      <c r="H134" s="166">
        <f t="shared" si="11"/>
        <v>0</v>
      </c>
      <c r="I134" s="10" t="s">
        <v>20</v>
      </c>
      <c r="J134" s="11">
        <v>1.06</v>
      </c>
      <c r="K134" s="12">
        <f t="shared" si="13"/>
        <v>0</v>
      </c>
    </row>
    <row r="135" spans="1:11" hidden="1" x14ac:dyDescent="0.35">
      <c r="A135" s="103"/>
      <c r="B135" s="12" t="s">
        <v>4</v>
      </c>
      <c r="C135" s="10" t="s">
        <v>307</v>
      </c>
      <c r="D135" s="152"/>
      <c r="E135" s="250"/>
      <c r="F135" s="165" t="str">
        <f t="shared" si="9"/>
        <v/>
      </c>
      <c r="G135" s="256"/>
      <c r="H135" s="166">
        <f t="shared" si="11"/>
        <v>0</v>
      </c>
      <c r="I135" s="10" t="s">
        <v>20</v>
      </c>
      <c r="J135" s="11">
        <v>1.06</v>
      </c>
      <c r="K135" s="12">
        <f t="shared" si="13"/>
        <v>0</v>
      </c>
    </row>
    <row r="136" spans="1:11" hidden="1" x14ac:dyDescent="0.35">
      <c r="A136" s="103"/>
      <c r="B136" s="12" t="s">
        <v>4</v>
      </c>
      <c r="C136" s="10" t="s">
        <v>308</v>
      </c>
      <c r="D136" s="152"/>
      <c r="E136" s="250"/>
      <c r="F136" s="165" t="str">
        <f t="shared" si="9"/>
        <v/>
      </c>
      <c r="G136" s="256"/>
      <c r="H136" s="166">
        <f t="shared" si="11"/>
        <v>0</v>
      </c>
      <c r="I136" s="10" t="s">
        <v>20</v>
      </c>
      <c r="J136" s="11">
        <v>1.2869999999999999</v>
      </c>
      <c r="K136" s="12">
        <f t="shared" si="13"/>
        <v>0</v>
      </c>
    </row>
    <row r="137" spans="1:11" hidden="1" x14ac:dyDescent="0.35">
      <c r="A137" s="103"/>
      <c r="B137" s="12" t="s">
        <v>4</v>
      </c>
      <c r="C137" s="10" t="s">
        <v>309</v>
      </c>
      <c r="D137" s="152"/>
      <c r="E137" s="250"/>
      <c r="F137" s="165" t="str">
        <f t="shared" si="9"/>
        <v/>
      </c>
      <c r="G137" s="256"/>
      <c r="H137" s="166">
        <f t="shared" si="11"/>
        <v>0</v>
      </c>
      <c r="I137" s="10" t="s">
        <v>20</v>
      </c>
      <c r="J137" s="11">
        <v>1.59</v>
      </c>
      <c r="K137" s="12">
        <f t="shared" si="13"/>
        <v>0</v>
      </c>
    </row>
    <row r="138" spans="1:11" hidden="1" x14ac:dyDescent="0.35">
      <c r="A138" s="113" t="s">
        <v>310</v>
      </c>
      <c r="B138" s="124"/>
      <c r="C138" s="124"/>
      <c r="D138" s="230"/>
      <c r="E138" s="250"/>
      <c r="F138" s="165" t="str">
        <f t="shared" si="9"/>
        <v/>
      </c>
      <c r="G138" s="261"/>
      <c r="H138" s="166">
        <f t="shared" si="11"/>
        <v>0</v>
      </c>
      <c r="I138" s="124"/>
      <c r="J138" s="124"/>
      <c r="K138" s="273"/>
    </row>
    <row r="139" spans="1:11" hidden="1" x14ac:dyDescent="0.35">
      <c r="A139" s="103"/>
      <c r="B139" s="12" t="s">
        <v>4</v>
      </c>
      <c r="C139" s="10" t="s">
        <v>311</v>
      </c>
      <c r="D139" s="152"/>
      <c r="E139" s="250"/>
      <c r="F139" s="165" t="str">
        <f t="shared" si="9"/>
        <v/>
      </c>
      <c r="G139" s="256"/>
      <c r="H139" s="166">
        <f t="shared" si="11"/>
        <v>0</v>
      </c>
      <c r="I139" s="10" t="s">
        <v>20</v>
      </c>
      <c r="J139" s="11">
        <v>1.1000000000000001</v>
      </c>
      <c r="K139" s="12">
        <f t="shared" ref="K139:K149" si="14">G139*J139</f>
        <v>0</v>
      </c>
    </row>
    <row r="140" spans="1:11" hidden="1" x14ac:dyDescent="0.35">
      <c r="A140" s="103"/>
      <c r="B140" s="12" t="s">
        <v>4</v>
      </c>
      <c r="C140" s="10" t="s">
        <v>312</v>
      </c>
      <c r="D140" s="152"/>
      <c r="E140" s="250"/>
      <c r="F140" s="165" t="str">
        <f t="shared" si="9"/>
        <v/>
      </c>
      <c r="G140" s="256"/>
      <c r="H140" s="166">
        <f t="shared" si="11"/>
        <v>0</v>
      </c>
      <c r="I140" s="10" t="s">
        <v>20</v>
      </c>
      <c r="J140" s="11">
        <v>1.1000000000000001</v>
      </c>
      <c r="K140" s="12">
        <f t="shared" si="14"/>
        <v>0</v>
      </c>
    </row>
    <row r="141" spans="1:11" hidden="1" x14ac:dyDescent="0.35">
      <c r="A141" s="103"/>
      <c r="B141" s="12" t="s">
        <v>4</v>
      </c>
      <c r="C141" s="10" t="s">
        <v>313</v>
      </c>
      <c r="D141" s="152"/>
      <c r="E141" s="250"/>
      <c r="F141" s="165" t="str">
        <f t="shared" si="9"/>
        <v/>
      </c>
      <c r="G141" s="256"/>
      <c r="H141" s="166">
        <f t="shared" si="11"/>
        <v>0</v>
      </c>
      <c r="I141" s="10" t="s">
        <v>20</v>
      </c>
      <c r="J141" s="11">
        <v>1.3</v>
      </c>
      <c r="K141" s="12">
        <f t="shared" si="14"/>
        <v>0</v>
      </c>
    </row>
    <row r="142" spans="1:11" hidden="1" x14ac:dyDescent="0.35">
      <c r="A142" s="103"/>
      <c r="B142" s="12" t="s">
        <v>4</v>
      </c>
      <c r="C142" s="10" t="s">
        <v>314</v>
      </c>
      <c r="D142" s="152"/>
      <c r="E142" s="250"/>
      <c r="F142" s="165" t="str">
        <f t="shared" si="9"/>
        <v/>
      </c>
      <c r="G142" s="256"/>
      <c r="H142" s="166">
        <f t="shared" si="11"/>
        <v>0</v>
      </c>
      <c r="I142" s="10" t="s">
        <v>20</v>
      </c>
      <c r="J142" s="11">
        <v>1.36</v>
      </c>
      <c r="K142" s="12">
        <f t="shared" si="14"/>
        <v>0</v>
      </c>
    </row>
    <row r="143" spans="1:11" hidden="1" x14ac:dyDescent="0.35">
      <c r="A143" s="103"/>
      <c r="B143" s="12" t="s">
        <v>4</v>
      </c>
      <c r="C143" s="10" t="s">
        <v>315</v>
      </c>
      <c r="D143" s="152"/>
      <c r="E143" s="250"/>
      <c r="F143" s="165" t="str">
        <f t="shared" si="9"/>
        <v/>
      </c>
      <c r="G143" s="256"/>
      <c r="H143" s="166">
        <f t="shared" si="11"/>
        <v>0</v>
      </c>
      <c r="I143" s="10" t="s">
        <v>20</v>
      </c>
      <c r="J143" s="11">
        <v>1.3</v>
      </c>
      <c r="K143" s="12">
        <f t="shared" si="14"/>
        <v>0</v>
      </c>
    </row>
    <row r="144" spans="1:11" hidden="1" x14ac:dyDescent="0.35">
      <c r="A144" s="103"/>
      <c r="B144" s="12" t="s">
        <v>4</v>
      </c>
      <c r="C144" s="10" t="s">
        <v>316</v>
      </c>
      <c r="D144" s="152"/>
      <c r="E144" s="250"/>
      <c r="F144" s="165" t="str">
        <f t="shared" si="9"/>
        <v/>
      </c>
      <c r="G144" s="256"/>
      <c r="H144" s="166">
        <f t="shared" si="11"/>
        <v>0</v>
      </c>
      <c r="I144" s="10" t="s">
        <v>20</v>
      </c>
      <c r="J144" s="11">
        <v>1.35</v>
      </c>
      <c r="K144" s="12">
        <f t="shared" si="14"/>
        <v>0</v>
      </c>
    </row>
    <row r="145" spans="1:11" hidden="1" x14ac:dyDescent="0.35">
      <c r="A145" s="103"/>
      <c r="B145" s="12" t="s">
        <v>4</v>
      </c>
      <c r="C145" s="10" t="s">
        <v>317</v>
      </c>
      <c r="D145" s="152"/>
      <c r="E145" s="250"/>
      <c r="F145" s="165" t="str">
        <f t="shared" si="9"/>
        <v/>
      </c>
      <c r="G145" s="256"/>
      <c r="H145" s="166">
        <f t="shared" si="11"/>
        <v>0</v>
      </c>
      <c r="I145" s="10" t="s">
        <v>20</v>
      </c>
      <c r="J145" s="11">
        <v>1.28</v>
      </c>
      <c r="K145" s="12">
        <f t="shared" si="14"/>
        <v>0</v>
      </c>
    </row>
    <row r="146" spans="1:11" hidden="1" x14ac:dyDescent="0.35">
      <c r="A146" s="103"/>
      <c r="B146" s="12" t="s">
        <v>4</v>
      </c>
      <c r="C146" s="10" t="s">
        <v>318</v>
      </c>
      <c r="D146" s="152"/>
      <c r="E146" s="250"/>
      <c r="F146" s="165" t="str">
        <f t="shared" si="9"/>
        <v/>
      </c>
      <c r="G146" s="256"/>
      <c r="H146" s="166">
        <f t="shared" si="11"/>
        <v>0</v>
      </c>
      <c r="I146" s="10" t="s">
        <v>20</v>
      </c>
      <c r="J146" s="11">
        <v>1.1000000000000001</v>
      </c>
      <c r="K146" s="12">
        <f t="shared" si="14"/>
        <v>0</v>
      </c>
    </row>
    <row r="147" spans="1:11" hidden="1" x14ac:dyDescent="0.35">
      <c r="A147" s="103"/>
      <c r="B147" s="12" t="s">
        <v>4</v>
      </c>
      <c r="C147" s="10" t="s">
        <v>319</v>
      </c>
      <c r="D147" s="152"/>
      <c r="E147" s="250"/>
      <c r="F147" s="165" t="str">
        <f t="shared" si="9"/>
        <v/>
      </c>
      <c r="G147" s="256"/>
      <c r="H147" s="166">
        <f t="shared" si="11"/>
        <v>0</v>
      </c>
      <c r="I147" s="10" t="s">
        <v>20</v>
      </c>
      <c r="J147" s="11">
        <v>1.1000000000000001</v>
      </c>
      <c r="K147" s="12">
        <f t="shared" si="14"/>
        <v>0</v>
      </c>
    </row>
    <row r="148" spans="1:11" hidden="1" x14ac:dyDescent="0.35">
      <c r="A148" s="103"/>
      <c r="B148" s="12" t="s">
        <v>4</v>
      </c>
      <c r="C148" s="10" t="s">
        <v>320</v>
      </c>
      <c r="D148" s="152"/>
      <c r="E148" s="250"/>
      <c r="F148" s="165" t="str">
        <f t="shared" si="9"/>
        <v/>
      </c>
      <c r="G148" s="256"/>
      <c r="H148" s="166">
        <f t="shared" si="11"/>
        <v>0</v>
      </c>
      <c r="I148" s="10" t="s">
        <v>20</v>
      </c>
      <c r="J148" s="11">
        <v>1.1000000000000001</v>
      </c>
      <c r="K148" s="12">
        <f t="shared" si="14"/>
        <v>0</v>
      </c>
    </row>
    <row r="149" spans="1:11" hidden="1" x14ac:dyDescent="0.35">
      <c r="A149" s="103"/>
      <c r="B149" s="12" t="s">
        <v>4</v>
      </c>
      <c r="C149" s="10" t="s">
        <v>321</v>
      </c>
      <c r="D149" s="152"/>
      <c r="E149" s="250"/>
      <c r="F149" s="165" t="str">
        <f t="shared" si="9"/>
        <v/>
      </c>
      <c r="G149" s="256"/>
      <c r="H149" s="166">
        <f t="shared" si="11"/>
        <v>0</v>
      </c>
      <c r="I149" s="10" t="s">
        <v>20</v>
      </c>
      <c r="J149" s="11">
        <v>1.1000000000000001</v>
      </c>
      <c r="K149" s="12">
        <f t="shared" si="14"/>
        <v>0</v>
      </c>
    </row>
    <row r="150" spans="1:11" x14ac:dyDescent="0.35">
      <c r="A150" s="113" t="s">
        <v>41</v>
      </c>
      <c r="B150" s="124"/>
      <c r="C150" s="124"/>
      <c r="D150" s="230"/>
      <c r="E150" s="250"/>
      <c r="F150" s="165" t="str">
        <f t="shared" si="9"/>
        <v/>
      </c>
      <c r="G150" s="261"/>
      <c r="H150" s="247"/>
      <c r="I150" s="124"/>
      <c r="J150" s="124"/>
      <c r="K150" s="273"/>
    </row>
    <row r="151" spans="1:11" x14ac:dyDescent="0.35">
      <c r="A151" s="103"/>
      <c r="B151" s="12" t="s">
        <v>4</v>
      </c>
      <c r="C151" s="10" t="s">
        <v>24</v>
      </c>
      <c r="D151" s="152">
        <v>30</v>
      </c>
      <c r="E151" s="170">
        <v>40</v>
      </c>
      <c r="F151" s="153" t="str">
        <f t="shared" si="9"/>
        <v/>
      </c>
      <c r="G151" s="256"/>
      <c r="H151" s="166">
        <f t="shared" si="11"/>
        <v>40</v>
      </c>
      <c r="I151" s="10" t="s">
        <v>20</v>
      </c>
      <c r="J151" s="11">
        <v>3.04</v>
      </c>
      <c r="K151" s="12">
        <f>H151*J151</f>
        <v>121.6</v>
      </c>
    </row>
    <row r="152" spans="1:11" x14ac:dyDescent="0.35">
      <c r="A152" s="103"/>
      <c r="B152" s="12" t="s">
        <v>4</v>
      </c>
      <c r="C152" s="10" t="s">
        <v>80</v>
      </c>
      <c r="D152" s="152">
        <v>60</v>
      </c>
      <c r="E152" s="170">
        <v>35</v>
      </c>
      <c r="F152" s="153">
        <f t="shared" si="9"/>
        <v>25</v>
      </c>
      <c r="G152" s="256">
        <v>0</v>
      </c>
      <c r="H152" s="166">
        <f t="shared" si="11"/>
        <v>60</v>
      </c>
      <c r="I152" s="10" t="s">
        <v>20</v>
      </c>
      <c r="J152" s="11">
        <v>2.31</v>
      </c>
      <c r="K152" s="12">
        <f t="shared" ref="K152:K168" si="15">H152*J152</f>
        <v>138.6</v>
      </c>
    </row>
    <row r="153" spans="1:11" x14ac:dyDescent="0.35">
      <c r="A153" s="103"/>
      <c r="B153" s="12" t="s">
        <v>4</v>
      </c>
      <c r="C153" s="10" t="s">
        <v>84</v>
      </c>
      <c r="D153" s="152">
        <v>30</v>
      </c>
      <c r="E153" s="170">
        <v>33</v>
      </c>
      <c r="F153" s="153" t="str">
        <f t="shared" ref="F153:F219" si="16">IF(E153="","",IF(D153-E153&gt;0,D153-E153,""))</f>
        <v/>
      </c>
      <c r="G153" s="256"/>
      <c r="H153" s="166">
        <f t="shared" si="11"/>
        <v>33</v>
      </c>
      <c r="I153" s="10" t="s">
        <v>20</v>
      </c>
      <c r="J153" s="11">
        <v>2.31</v>
      </c>
      <c r="K153" s="12">
        <f t="shared" si="15"/>
        <v>76.23</v>
      </c>
    </row>
    <row r="154" spans="1:11" hidden="1" x14ac:dyDescent="0.35">
      <c r="A154" s="103"/>
      <c r="B154" s="12" t="s">
        <v>4</v>
      </c>
      <c r="C154" s="10" t="s">
        <v>394</v>
      </c>
      <c r="D154" s="152"/>
      <c r="E154" s="170"/>
      <c r="F154" s="153" t="str">
        <f t="shared" si="16"/>
        <v/>
      </c>
      <c r="G154" s="256"/>
      <c r="H154" s="166">
        <f t="shared" si="11"/>
        <v>0</v>
      </c>
      <c r="I154" s="10" t="s">
        <v>20</v>
      </c>
      <c r="J154" s="11">
        <v>2.54</v>
      </c>
      <c r="K154" s="12">
        <f t="shared" si="15"/>
        <v>0</v>
      </c>
    </row>
    <row r="155" spans="1:11" hidden="1" x14ac:dyDescent="0.35">
      <c r="A155" s="103"/>
      <c r="B155" s="12" t="s">
        <v>4</v>
      </c>
      <c r="C155" s="10" t="s">
        <v>394</v>
      </c>
      <c r="D155" s="152"/>
      <c r="E155" s="170"/>
      <c r="F155" s="153" t="str">
        <f t="shared" si="16"/>
        <v/>
      </c>
      <c r="G155" s="256"/>
      <c r="H155" s="166">
        <f t="shared" si="11"/>
        <v>0</v>
      </c>
      <c r="I155" s="10" t="s">
        <v>20</v>
      </c>
      <c r="J155" s="11">
        <v>2.54</v>
      </c>
      <c r="K155" s="12">
        <f t="shared" si="15"/>
        <v>0</v>
      </c>
    </row>
    <row r="156" spans="1:11" x14ac:dyDescent="0.35">
      <c r="A156" s="103"/>
      <c r="B156" s="12" t="s">
        <v>4</v>
      </c>
      <c r="C156" s="10" t="s">
        <v>25</v>
      </c>
      <c r="D156" s="152">
        <v>30</v>
      </c>
      <c r="E156" s="170">
        <v>15</v>
      </c>
      <c r="F156" s="153">
        <f t="shared" si="16"/>
        <v>15</v>
      </c>
      <c r="G156" s="256">
        <v>0</v>
      </c>
      <c r="H156" s="166">
        <f t="shared" si="11"/>
        <v>30</v>
      </c>
      <c r="I156" s="10" t="s">
        <v>20</v>
      </c>
      <c r="J156" s="11">
        <v>1.79</v>
      </c>
      <c r="K156" s="12">
        <f t="shared" si="15"/>
        <v>53.7</v>
      </c>
    </row>
    <row r="157" spans="1:11" hidden="1" x14ac:dyDescent="0.35">
      <c r="A157" s="103"/>
      <c r="B157" s="12" t="s">
        <v>4</v>
      </c>
      <c r="C157" s="10" t="s">
        <v>322</v>
      </c>
      <c r="D157" s="152"/>
      <c r="E157" s="170"/>
      <c r="F157" s="153" t="str">
        <f t="shared" si="16"/>
        <v/>
      </c>
      <c r="G157" s="256"/>
      <c r="H157" s="166">
        <f t="shared" si="11"/>
        <v>0</v>
      </c>
      <c r="I157" s="10" t="s">
        <v>20</v>
      </c>
      <c r="J157" s="11">
        <v>2.46</v>
      </c>
      <c r="K157" s="12">
        <f t="shared" si="15"/>
        <v>0</v>
      </c>
    </row>
    <row r="158" spans="1:11" x14ac:dyDescent="0.35">
      <c r="A158" s="103"/>
      <c r="B158" s="12" t="s">
        <v>4</v>
      </c>
      <c r="C158" s="10" t="s">
        <v>393</v>
      </c>
      <c r="D158" s="152">
        <v>60</v>
      </c>
      <c r="E158" s="170">
        <v>42</v>
      </c>
      <c r="F158" s="153">
        <f t="shared" si="16"/>
        <v>18</v>
      </c>
      <c r="G158" s="256">
        <v>18</v>
      </c>
      <c r="H158" s="166">
        <f t="shared" si="11"/>
        <v>42</v>
      </c>
      <c r="I158" s="10" t="s">
        <v>20</v>
      </c>
      <c r="J158" s="11">
        <v>2.46</v>
      </c>
      <c r="K158" s="12">
        <f t="shared" si="15"/>
        <v>103.32</v>
      </c>
    </row>
    <row r="159" spans="1:11" hidden="1" x14ac:dyDescent="0.35">
      <c r="A159" s="103"/>
      <c r="B159" s="12" t="s">
        <v>4</v>
      </c>
      <c r="C159" s="10" t="s">
        <v>43</v>
      </c>
      <c r="D159" s="152"/>
      <c r="E159" s="170"/>
      <c r="F159" s="153" t="str">
        <f t="shared" si="16"/>
        <v/>
      </c>
      <c r="G159" s="256"/>
      <c r="H159" s="166">
        <f t="shared" si="11"/>
        <v>0</v>
      </c>
      <c r="I159" s="10" t="s">
        <v>20</v>
      </c>
      <c r="J159" s="11">
        <v>2.5499999999999998</v>
      </c>
      <c r="K159" s="12">
        <f t="shared" si="15"/>
        <v>0</v>
      </c>
    </row>
    <row r="160" spans="1:11" x14ac:dyDescent="0.35">
      <c r="A160" s="103"/>
      <c r="B160" s="12" t="s">
        <v>4</v>
      </c>
      <c r="C160" s="10" t="s">
        <v>81</v>
      </c>
      <c r="D160" s="152">
        <v>60</v>
      </c>
      <c r="E160" s="170">
        <v>60</v>
      </c>
      <c r="F160" s="153" t="str">
        <f t="shared" si="16"/>
        <v/>
      </c>
      <c r="G160" s="256"/>
      <c r="H160" s="166">
        <f t="shared" si="11"/>
        <v>60</v>
      </c>
      <c r="I160" s="10" t="s">
        <v>20</v>
      </c>
      <c r="J160" s="11">
        <v>1.51</v>
      </c>
      <c r="K160" s="12">
        <f t="shared" si="15"/>
        <v>90.6</v>
      </c>
    </row>
    <row r="161" spans="1:11" x14ac:dyDescent="0.35">
      <c r="A161" s="103"/>
      <c r="B161" s="12" t="s">
        <v>4</v>
      </c>
      <c r="C161" s="10" t="s">
        <v>82</v>
      </c>
      <c r="D161" s="152">
        <v>72</v>
      </c>
      <c r="E161" s="170">
        <v>54</v>
      </c>
      <c r="F161" s="153">
        <f t="shared" si="16"/>
        <v>18</v>
      </c>
      <c r="G161" s="256">
        <v>0</v>
      </c>
      <c r="H161" s="166">
        <f t="shared" si="11"/>
        <v>72</v>
      </c>
      <c r="I161" s="10" t="s">
        <v>20</v>
      </c>
      <c r="J161" s="11">
        <v>1.51</v>
      </c>
      <c r="K161" s="12">
        <f t="shared" si="15"/>
        <v>108.72</v>
      </c>
    </row>
    <row r="162" spans="1:11" hidden="1" x14ac:dyDescent="0.35">
      <c r="A162" s="103"/>
      <c r="B162" s="12" t="s">
        <v>4</v>
      </c>
      <c r="C162" s="10" t="s">
        <v>323</v>
      </c>
      <c r="D162" s="152"/>
      <c r="E162" s="170"/>
      <c r="F162" s="153" t="str">
        <f t="shared" si="16"/>
        <v/>
      </c>
      <c r="G162" s="256"/>
      <c r="H162" s="166">
        <f t="shared" si="11"/>
        <v>0</v>
      </c>
      <c r="I162" s="10" t="s">
        <v>20</v>
      </c>
      <c r="J162" s="11">
        <v>1.54</v>
      </c>
      <c r="K162" s="12">
        <f t="shared" si="15"/>
        <v>0</v>
      </c>
    </row>
    <row r="163" spans="1:11" hidden="1" x14ac:dyDescent="0.35">
      <c r="A163" s="103"/>
      <c r="B163" s="12" t="s">
        <v>4</v>
      </c>
      <c r="C163" s="10" t="s">
        <v>324</v>
      </c>
      <c r="D163" s="152"/>
      <c r="E163" s="170"/>
      <c r="F163" s="153" t="str">
        <f t="shared" si="16"/>
        <v/>
      </c>
      <c r="G163" s="256"/>
      <c r="H163" s="166">
        <f t="shared" si="11"/>
        <v>0</v>
      </c>
      <c r="I163" s="10" t="s">
        <v>20</v>
      </c>
      <c r="J163" s="11">
        <v>1.6</v>
      </c>
      <c r="K163" s="12">
        <f t="shared" si="15"/>
        <v>0</v>
      </c>
    </row>
    <row r="164" spans="1:11" hidden="1" x14ac:dyDescent="0.35">
      <c r="A164" s="103"/>
      <c r="B164" s="12" t="s">
        <v>4</v>
      </c>
      <c r="C164" s="78" t="s">
        <v>325</v>
      </c>
      <c r="D164" s="224"/>
      <c r="E164" s="170"/>
      <c r="F164" s="153" t="str">
        <f t="shared" si="16"/>
        <v/>
      </c>
      <c r="G164" s="256"/>
      <c r="H164" s="166">
        <f t="shared" si="11"/>
        <v>0</v>
      </c>
      <c r="I164" s="10" t="s">
        <v>20</v>
      </c>
      <c r="J164" s="79">
        <v>49.95</v>
      </c>
      <c r="K164" s="12">
        <f t="shared" si="15"/>
        <v>0</v>
      </c>
    </row>
    <row r="165" spans="1:11" x14ac:dyDescent="0.35">
      <c r="A165" s="113" t="s">
        <v>44</v>
      </c>
      <c r="B165" s="124"/>
      <c r="C165" s="124"/>
      <c r="D165" s="230"/>
      <c r="E165" s="250"/>
      <c r="F165" s="165" t="str">
        <f t="shared" si="16"/>
        <v/>
      </c>
      <c r="G165" s="261"/>
      <c r="H165" s="247"/>
      <c r="I165" s="124"/>
      <c r="J165" s="124"/>
      <c r="K165" s="270"/>
    </row>
    <row r="166" spans="1:11" x14ac:dyDescent="0.35">
      <c r="A166" s="103"/>
      <c r="B166" s="12" t="s">
        <v>4</v>
      </c>
      <c r="C166" s="10" t="s">
        <v>48</v>
      </c>
      <c r="D166" s="152">
        <v>24</v>
      </c>
      <c r="E166" s="170">
        <v>28</v>
      </c>
      <c r="F166" s="153" t="str">
        <f t="shared" si="16"/>
        <v/>
      </c>
      <c r="G166" s="256"/>
      <c r="H166" s="166">
        <f t="shared" si="11"/>
        <v>28</v>
      </c>
      <c r="I166" s="10" t="s">
        <v>20</v>
      </c>
      <c r="J166" s="11">
        <v>1.94</v>
      </c>
      <c r="K166" s="12">
        <f t="shared" si="15"/>
        <v>54.32</v>
      </c>
    </row>
    <row r="167" spans="1:11" x14ac:dyDescent="0.35">
      <c r="A167" s="103"/>
      <c r="B167" s="12" t="s">
        <v>4</v>
      </c>
      <c r="C167" s="10" t="s">
        <v>49</v>
      </c>
      <c r="D167" s="152">
        <v>24</v>
      </c>
      <c r="E167" s="170">
        <v>32</v>
      </c>
      <c r="F167" s="153" t="str">
        <f t="shared" si="16"/>
        <v/>
      </c>
      <c r="G167" s="256">
        <v>0</v>
      </c>
      <c r="H167" s="166">
        <f t="shared" si="11"/>
        <v>32</v>
      </c>
      <c r="I167" s="10" t="s">
        <v>20</v>
      </c>
      <c r="J167" s="11">
        <v>1.94</v>
      </c>
      <c r="K167" s="12">
        <f t="shared" si="15"/>
        <v>62.08</v>
      </c>
    </row>
    <row r="168" spans="1:11" x14ac:dyDescent="0.35">
      <c r="A168" s="103"/>
      <c r="B168" s="12" t="s">
        <v>4</v>
      </c>
      <c r="C168" s="10" t="s">
        <v>50</v>
      </c>
      <c r="D168" s="152">
        <v>24</v>
      </c>
      <c r="E168" s="170">
        <v>12</v>
      </c>
      <c r="F168" s="153">
        <f t="shared" si="16"/>
        <v>12</v>
      </c>
      <c r="G168" s="256">
        <v>12</v>
      </c>
      <c r="H168" s="166">
        <f t="shared" si="11"/>
        <v>12</v>
      </c>
      <c r="I168" s="10" t="s">
        <v>20</v>
      </c>
      <c r="J168" s="11">
        <v>1.94</v>
      </c>
      <c r="K168" s="12">
        <f t="shared" si="15"/>
        <v>23.28</v>
      </c>
    </row>
    <row r="169" spans="1:11" hidden="1" x14ac:dyDescent="0.35">
      <c r="A169" s="103"/>
      <c r="B169" s="12" t="s">
        <v>4</v>
      </c>
      <c r="C169" s="10" t="s">
        <v>415</v>
      </c>
      <c r="D169" s="152"/>
      <c r="E169" s="170"/>
      <c r="F169" s="153" t="str">
        <f t="shared" si="16"/>
        <v/>
      </c>
      <c r="G169" s="256"/>
      <c r="H169" s="166">
        <f t="shared" si="11"/>
        <v>0</v>
      </c>
      <c r="I169" s="10" t="s">
        <v>20</v>
      </c>
      <c r="J169" s="11">
        <v>1.98</v>
      </c>
      <c r="K169" s="12">
        <f t="shared" ref="K169:K175" si="17">G169*J169</f>
        <v>0</v>
      </c>
    </row>
    <row r="170" spans="1:11" hidden="1" x14ac:dyDescent="0.35">
      <c r="A170" s="103"/>
      <c r="B170" s="12" t="s">
        <v>4</v>
      </c>
      <c r="C170" s="10" t="s">
        <v>414</v>
      </c>
      <c r="D170" s="152"/>
      <c r="E170" s="170"/>
      <c r="F170" s="153" t="str">
        <f t="shared" si="16"/>
        <v/>
      </c>
      <c r="G170" s="256"/>
      <c r="H170" s="166">
        <f t="shared" si="11"/>
        <v>0</v>
      </c>
      <c r="I170" s="10" t="s">
        <v>20</v>
      </c>
      <c r="J170" s="11">
        <v>1.98</v>
      </c>
      <c r="K170" s="12">
        <f t="shared" si="17"/>
        <v>0</v>
      </c>
    </row>
    <row r="171" spans="1:11" hidden="1" x14ac:dyDescent="0.35">
      <c r="A171" s="103"/>
      <c r="B171" s="12" t="s">
        <v>4</v>
      </c>
      <c r="C171" s="10" t="s">
        <v>415</v>
      </c>
      <c r="D171" s="152"/>
      <c r="E171" s="170"/>
      <c r="F171" s="153" t="str">
        <f t="shared" si="16"/>
        <v/>
      </c>
      <c r="G171" s="256"/>
      <c r="H171" s="166">
        <f t="shared" si="11"/>
        <v>0</v>
      </c>
      <c r="I171" s="10" t="s">
        <v>20</v>
      </c>
      <c r="J171" s="11">
        <v>1.98</v>
      </c>
      <c r="K171" s="12">
        <f t="shared" si="17"/>
        <v>0</v>
      </c>
    </row>
    <row r="172" spans="1:11" hidden="1" x14ac:dyDescent="0.35">
      <c r="A172" s="103"/>
      <c r="B172" s="12" t="s">
        <v>4</v>
      </c>
      <c r="C172" s="10" t="s">
        <v>432</v>
      </c>
      <c r="D172" s="152"/>
      <c r="E172" s="170"/>
      <c r="F172" s="153" t="str">
        <f t="shared" si="16"/>
        <v/>
      </c>
      <c r="G172" s="256"/>
      <c r="H172" s="166">
        <f t="shared" si="11"/>
        <v>0</v>
      </c>
      <c r="I172" s="10" t="s">
        <v>20</v>
      </c>
      <c r="J172" s="11">
        <v>1.98</v>
      </c>
      <c r="K172" s="12">
        <f t="shared" si="17"/>
        <v>0</v>
      </c>
    </row>
    <row r="173" spans="1:11" hidden="1" x14ac:dyDescent="0.35">
      <c r="A173" s="103"/>
      <c r="B173" s="40" t="s">
        <v>4</v>
      </c>
      <c r="C173" s="41" t="s">
        <v>330</v>
      </c>
      <c r="D173" s="227"/>
      <c r="E173" s="170"/>
      <c r="F173" s="153" t="str">
        <f t="shared" si="16"/>
        <v/>
      </c>
      <c r="G173" s="256"/>
      <c r="H173" s="166">
        <f t="shared" si="11"/>
        <v>0</v>
      </c>
      <c r="I173" s="10" t="s">
        <v>20</v>
      </c>
      <c r="J173" s="11">
        <v>1.98</v>
      </c>
      <c r="K173" s="12">
        <f t="shared" si="17"/>
        <v>0</v>
      </c>
    </row>
    <row r="174" spans="1:11" hidden="1" x14ac:dyDescent="0.35">
      <c r="A174" s="103"/>
      <c r="B174" s="40" t="s">
        <v>4</v>
      </c>
      <c r="C174" s="41" t="s">
        <v>331</v>
      </c>
      <c r="D174" s="227"/>
      <c r="E174" s="170"/>
      <c r="F174" s="153" t="str">
        <f t="shared" si="16"/>
        <v/>
      </c>
      <c r="G174" s="256"/>
      <c r="H174" s="166">
        <f t="shared" si="11"/>
        <v>0</v>
      </c>
      <c r="I174" s="10" t="s">
        <v>20</v>
      </c>
      <c r="J174" s="11">
        <v>1.98</v>
      </c>
      <c r="K174" s="12">
        <f t="shared" si="17"/>
        <v>0</v>
      </c>
    </row>
    <row r="175" spans="1:11" hidden="1" x14ac:dyDescent="0.35">
      <c r="A175" s="103"/>
      <c r="B175" s="40" t="s">
        <v>4</v>
      </c>
      <c r="C175" s="41" t="s">
        <v>413</v>
      </c>
      <c r="D175" s="227"/>
      <c r="E175" s="170"/>
      <c r="F175" s="153" t="str">
        <f t="shared" si="16"/>
        <v/>
      </c>
      <c r="G175" s="256"/>
      <c r="H175" s="166">
        <f t="shared" ref="H175:H240" si="18">IF(ISNUMBER(E175),E175,0)+IF(ISNUMBER(F175),F175,0)-IF(ISNUMBER(G175),G175,0)</f>
        <v>0</v>
      </c>
      <c r="I175" s="41" t="s">
        <v>20</v>
      </c>
      <c r="J175" s="42">
        <v>1.98</v>
      </c>
      <c r="K175" s="12">
        <f t="shared" si="17"/>
        <v>0</v>
      </c>
    </row>
    <row r="176" spans="1:11" ht="15.5" hidden="1" x14ac:dyDescent="0.35">
      <c r="A176" s="114" t="s">
        <v>333</v>
      </c>
      <c r="B176" s="120"/>
      <c r="C176" s="120"/>
      <c r="D176" s="228"/>
      <c r="E176" s="170"/>
      <c r="F176" s="153" t="str">
        <f t="shared" si="16"/>
        <v/>
      </c>
      <c r="G176" s="292"/>
      <c r="H176" s="166">
        <f t="shared" si="18"/>
        <v>0</v>
      </c>
      <c r="I176" s="121"/>
      <c r="J176" s="122" t="s">
        <v>18</v>
      </c>
      <c r="K176" s="274">
        <f>SUM(K177:K186)</f>
        <v>0</v>
      </c>
    </row>
    <row r="177" spans="1:11" hidden="1" x14ac:dyDescent="0.35">
      <c r="A177" s="103"/>
      <c r="B177" s="12" t="s">
        <v>26</v>
      </c>
      <c r="C177" s="10" t="s">
        <v>334</v>
      </c>
      <c r="D177" s="152"/>
      <c r="E177" s="170"/>
      <c r="F177" s="153" t="str">
        <f t="shared" si="16"/>
        <v/>
      </c>
      <c r="G177" s="256"/>
      <c r="H177" s="166">
        <f t="shared" si="18"/>
        <v>0</v>
      </c>
      <c r="I177" s="10" t="s">
        <v>335</v>
      </c>
      <c r="J177" s="11">
        <v>20</v>
      </c>
      <c r="K177" s="12">
        <f t="shared" ref="K177:K186" si="19">G177*J177</f>
        <v>0</v>
      </c>
    </row>
    <row r="178" spans="1:11" hidden="1" x14ac:dyDescent="0.35">
      <c r="A178" s="103"/>
      <c r="B178" s="20" t="s">
        <v>26</v>
      </c>
      <c r="C178" s="18" t="s">
        <v>53</v>
      </c>
      <c r="D178" s="229"/>
      <c r="E178" s="170"/>
      <c r="F178" s="153" t="str">
        <f t="shared" si="16"/>
        <v/>
      </c>
      <c r="G178" s="256"/>
      <c r="H178" s="166">
        <f t="shared" si="18"/>
        <v>0</v>
      </c>
      <c r="I178" s="18" t="s">
        <v>20</v>
      </c>
      <c r="J178" s="19">
        <v>0.43</v>
      </c>
      <c r="K178" s="20">
        <f t="shared" si="19"/>
        <v>0</v>
      </c>
    </row>
    <row r="179" spans="1:11" hidden="1" x14ac:dyDescent="0.35">
      <c r="A179" s="103"/>
      <c r="B179" s="20" t="s">
        <v>26</v>
      </c>
      <c r="C179" s="18" t="s">
        <v>336</v>
      </c>
      <c r="D179" s="229"/>
      <c r="E179" s="170"/>
      <c r="F179" s="153" t="str">
        <f t="shared" si="16"/>
        <v/>
      </c>
      <c r="G179" s="256"/>
      <c r="H179" s="166">
        <f t="shared" si="18"/>
        <v>0</v>
      </c>
      <c r="I179" s="18" t="s">
        <v>20</v>
      </c>
      <c r="J179" s="19">
        <v>0.43</v>
      </c>
      <c r="K179" s="20">
        <f t="shared" si="19"/>
        <v>0</v>
      </c>
    </row>
    <row r="180" spans="1:11" hidden="1" x14ac:dyDescent="0.35">
      <c r="A180" s="103"/>
      <c r="B180" s="12" t="s">
        <v>26</v>
      </c>
      <c r="C180" s="10" t="s">
        <v>337</v>
      </c>
      <c r="D180" s="152"/>
      <c r="E180" s="170"/>
      <c r="F180" s="153" t="str">
        <f t="shared" si="16"/>
        <v/>
      </c>
      <c r="G180" s="256"/>
      <c r="H180" s="166">
        <f t="shared" si="18"/>
        <v>0</v>
      </c>
      <c r="I180" s="10" t="s">
        <v>20</v>
      </c>
      <c r="J180" s="11">
        <v>0.43</v>
      </c>
      <c r="K180" s="12">
        <f t="shared" si="19"/>
        <v>0</v>
      </c>
    </row>
    <row r="181" spans="1:11" hidden="1" x14ac:dyDescent="0.35">
      <c r="A181" s="103"/>
      <c r="B181" s="12" t="s">
        <v>26</v>
      </c>
      <c r="C181" s="10" t="s">
        <v>51</v>
      </c>
      <c r="D181" s="152"/>
      <c r="E181" s="170"/>
      <c r="F181" s="153" t="str">
        <f t="shared" si="16"/>
        <v/>
      </c>
      <c r="G181" s="256"/>
      <c r="H181" s="166">
        <f t="shared" si="18"/>
        <v>0</v>
      </c>
      <c r="I181" s="10" t="s">
        <v>61</v>
      </c>
      <c r="J181" s="11">
        <v>14</v>
      </c>
      <c r="K181" s="12">
        <f t="shared" si="19"/>
        <v>0</v>
      </c>
    </row>
    <row r="182" spans="1:11" hidden="1" x14ac:dyDescent="0.35">
      <c r="A182" s="103"/>
      <c r="B182" s="12" t="s">
        <v>26</v>
      </c>
      <c r="C182" s="10" t="s">
        <v>338</v>
      </c>
      <c r="D182" s="152"/>
      <c r="E182" s="170"/>
      <c r="F182" s="153" t="str">
        <f t="shared" si="16"/>
        <v/>
      </c>
      <c r="G182" s="256"/>
      <c r="H182" s="166">
        <f t="shared" si="18"/>
        <v>0</v>
      </c>
      <c r="I182" s="10" t="s">
        <v>61</v>
      </c>
      <c r="J182" s="11">
        <v>14.78</v>
      </c>
      <c r="K182" s="12">
        <f t="shared" si="19"/>
        <v>0</v>
      </c>
    </row>
    <row r="183" spans="1:11" hidden="1" x14ac:dyDescent="0.35">
      <c r="A183" s="103"/>
      <c r="B183" s="12" t="s">
        <v>26</v>
      </c>
      <c r="C183" s="10" t="s">
        <v>339</v>
      </c>
      <c r="D183" s="152"/>
      <c r="E183" s="170"/>
      <c r="F183" s="153" t="str">
        <f t="shared" si="16"/>
        <v/>
      </c>
      <c r="G183" s="256"/>
      <c r="H183" s="166">
        <f t="shared" si="18"/>
        <v>0</v>
      </c>
      <c r="I183" s="10" t="s">
        <v>61</v>
      </c>
      <c r="J183" s="11">
        <v>14.78</v>
      </c>
      <c r="K183" s="12">
        <f t="shared" si="19"/>
        <v>0</v>
      </c>
    </row>
    <row r="184" spans="1:11" hidden="1" x14ac:dyDescent="0.35">
      <c r="A184" s="103"/>
      <c r="B184" s="12" t="s">
        <v>26</v>
      </c>
      <c r="C184" s="10" t="s">
        <v>340</v>
      </c>
      <c r="D184" s="152"/>
      <c r="E184" s="170"/>
      <c r="F184" s="153" t="str">
        <f t="shared" si="16"/>
        <v/>
      </c>
      <c r="G184" s="256"/>
      <c r="H184" s="166">
        <f t="shared" si="18"/>
        <v>0</v>
      </c>
      <c r="I184" s="10" t="s">
        <v>61</v>
      </c>
      <c r="J184" s="11">
        <v>14.78</v>
      </c>
      <c r="K184" s="12">
        <f t="shared" si="19"/>
        <v>0</v>
      </c>
    </row>
    <row r="185" spans="1:11" hidden="1" x14ac:dyDescent="0.35">
      <c r="A185" s="103"/>
      <c r="B185" s="12" t="s">
        <v>26</v>
      </c>
      <c r="C185" s="10" t="s">
        <v>341</v>
      </c>
      <c r="D185" s="152"/>
      <c r="E185" s="170"/>
      <c r="F185" s="153" t="str">
        <f t="shared" si="16"/>
        <v/>
      </c>
      <c r="G185" s="256"/>
      <c r="H185" s="166">
        <f t="shared" si="18"/>
        <v>0</v>
      </c>
      <c r="I185" s="10" t="s">
        <v>61</v>
      </c>
      <c r="J185" s="11">
        <v>14.78</v>
      </c>
      <c r="K185" s="12">
        <f t="shared" si="19"/>
        <v>0</v>
      </c>
    </row>
    <row r="186" spans="1:11" hidden="1" x14ac:dyDescent="0.35">
      <c r="A186" s="103"/>
      <c r="B186" s="12" t="s">
        <v>26</v>
      </c>
      <c r="C186" s="10" t="s">
        <v>342</v>
      </c>
      <c r="D186" s="152"/>
      <c r="E186" s="170"/>
      <c r="F186" s="153" t="str">
        <f t="shared" si="16"/>
        <v/>
      </c>
      <c r="G186" s="256"/>
      <c r="H186" s="166">
        <f t="shared" si="18"/>
        <v>0</v>
      </c>
      <c r="I186" s="10" t="s">
        <v>61</v>
      </c>
      <c r="J186" s="11">
        <v>14.78</v>
      </c>
      <c r="K186" s="10">
        <f t="shared" si="19"/>
        <v>0</v>
      </c>
    </row>
    <row r="187" spans="1:11" ht="15.5" x14ac:dyDescent="0.35">
      <c r="A187" s="108" t="s">
        <v>343</v>
      </c>
      <c r="B187" s="108"/>
      <c r="C187" s="108"/>
      <c r="D187" s="223"/>
      <c r="E187" s="250"/>
      <c r="F187" s="165" t="str">
        <f t="shared" si="16"/>
        <v/>
      </c>
      <c r="G187" s="186"/>
      <c r="H187" s="247"/>
      <c r="I187" s="108"/>
      <c r="J187" s="106" t="s">
        <v>18</v>
      </c>
      <c r="K187" s="269">
        <f>SUM(K188:K192)</f>
        <v>226.8</v>
      </c>
    </row>
    <row r="188" spans="1:11" hidden="1" x14ac:dyDescent="0.35">
      <c r="A188" s="103"/>
      <c r="B188" s="7" t="s">
        <v>6</v>
      </c>
      <c r="C188" s="14" t="s">
        <v>344</v>
      </c>
      <c r="D188" s="152"/>
      <c r="E188" s="170"/>
      <c r="F188" s="153" t="str">
        <f t="shared" si="16"/>
        <v/>
      </c>
      <c r="G188" s="256"/>
      <c r="H188" s="166">
        <f t="shared" si="18"/>
        <v>0</v>
      </c>
      <c r="I188" s="14" t="s">
        <v>20</v>
      </c>
      <c r="J188" s="35">
        <v>0.79</v>
      </c>
      <c r="K188" s="7">
        <f>G188*J188</f>
        <v>0</v>
      </c>
    </row>
    <row r="189" spans="1:11" x14ac:dyDescent="0.35">
      <c r="A189" s="103"/>
      <c r="B189" s="7" t="s">
        <v>6</v>
      </c>
      <c r="C189" s="14" t="s">
        <v>345</v>
      </c>
      <c r="D189" s="152">
        <v>30</v>
      </c>
      <c r="E189" s="170">
        <v>27</v>
      </c>
      <c r="F189" s="153">
        <f t="shared" si="16"/>
        <v>3</v>
      </c>
      <c r="G189" s="256">
        <v>0</v>
      </c>
      <c r="H189" s="166">
        <f t="shared" si="18"/>
        <v>30</v>
      </c>
      <c r="I189" s="14" t="s">
        <v>20</v>
      </c>
      <c r="J189" s="35">
        <v>2.76</v>
      </c>
      <c r="K189" s="7">
        <f>H189*J189</f>
        <v>82.8</v>
      </c>
    </row>
    <row r="190" spans="1:11" x14ac:dyDescent="0.35">
      <c r="A190" s="103"/>
      <c r="B190" s="7" t="s">
        <v>6</v>
      </c>
      <c r="C190" s="14" t="s">
        <v>346</v>
      </c>
      <c r="D190" s="152"/>
      <c r="E190" s="170">
        <v>0</v>
      </c>
      <c r="F190" s="153" t="str">
        <f t="shared" si="16"/>
        <v/>
      </c>
      <c r="G190" s="256">
        <v>0</v>
      </c>
      <c r="H190" s="166">
        <f t="shared" si="18"/>
        <v>0</v>
      </c>
      <c r="I190" s="14" t="s">
        <v>20</v>
      </c>
      <c r="J190" s="35">
        <v>1</v>
      </c>
      <c r="K190" s="7">
        <f t="shared" ref="K190:K192" si="20">H190*J190</f>
        <v>0</v>
      </c>
    </row>
    <row r="191" spans="1:11" x14ac:dyDescent="0.35">
      <c r="A191" s="103"/>
      <c r="B191" s="7" t="s">
        <v>6</v>
      </c>
      <c r="C191" s="14" t="s">
        <v>34</v>
      </c>
      <c r="D191" s="152">
        <v>40</v>
      </c>
      <c r="E191" s="170">
        <v>30</v>
      </c>
      <c r="F191" s="153">
        <f t="shared" si="16"/>
        <v>10</v>
      </c>
      <c r="G191" s="256">
        <v>0</v>
      </c>
      <c r="H191" s="166">
        <f t="shared" si="18"/>
        <v>40</v>
      </c>
      <c r="I191" s="14" t="s">
        <v>20</v>
      </c>
      <c r="J191" s="35">
        <v>1.8</v>
      </c>
      <c r="K191" s="7">
        <f t="shared" si="20"/>
        <v>72</v>
      </c>
    </row>
    <row r="192" spans="1:11" x14ac:dyDescent="0.35">
      <c r="A192" s="103"/>
      <c r="B192" s="7" t="s">
        <v>6</v>
      </c>
      <c r="C192" s="14" t="s">
        <v>35</v>
      </c>
      <c r="D192" s="152">
        <v>40</v>
      </c>
      <c r="E192" s="170">
        <v>15</v>
      </c>
      <c r="F192" s="153">
        <f t="shared" si="16"/>
        <v>25</v>
      </c>
      <c r="G192" s="256">
        <v>0</v>
      </c>
      <c r="H192" s="166">
        <f t="shared" si="18"/>
        <v>40</v>
      </c>
      <c r="I192" s="14" t="s">
        <v>20</v>
      </c>
      <c r="J192" s="35">
        <v>1.8</v>
      </c>
      <c r="K192" s="7">
        <f t="shared" si="20"/>
        <v>72</v>
      </c>
    </row>
    <row r="193" spans="1:11" ht="15.5" x14ac:dyDescent="0.35">
      <c r="A193" s="112" t="s">
        <v>347</v>
      </c>
      <c r="B193" s="116"/>
      <c r="C193" s="116"/>
      <c r="D193" s="228"/>
      <c r="E193" s="250"/>
      <c r="F193" s="165" t="str">
        <f t="shared" si="16"/>
        <v/>
      </c>
      <c r="G193" s="260"/>
      <c r="H193" s="247"/>
      <c r="I193" s="117"/>
      <c r="J193" s="118" t="s">
        <v>18</v>
      </c>
      <c r="K193" s="275">
        <f>SUM(K194:K194)</f>
        <v>0</v>
      </c>
    </row>
    <row r="194" spans="1:11" x14ac:dyDescent="0.35">
      <c r="A194" s="103"/>
      <c r="B194" s="12" t="s">
        <v>5</v>
      </c>
      <c r="C194" s="10" t="s">
        <v>55</v>
      </c>
      <c r="D194" s="152"/>
      <c r="E194" s="170"/>
      <c r="F194" s="153" t="str">
        <f t="shared" si="16"/>
        <v/>
      </c>
      <c r="G194" s="256"/>
      <c r="H194" s="166">
        <f t="shared" si="18"/>
        <v>0</v>
      </c>
      <c r="I194" s="10" t="s">
        <v>20</v>
      </c>
      <c r="J194" s="11">
        <v>1.01</v>
      </c>
      <c r="K194" s="12">
        <f>H194*J194</f>
        <v>0</v>
      </c>
    </row>
    <row r="195" spans="1:11" ht="15.5" x14ac:dyDescent="0.35">
      <c r="A195" s="112" t="s">
        <v>348</v>
      </c>
      <c r="B195" s="116"/>
      <c r="C195" s="116"/>
      <c r="D195" s="228"/>
      <c r="E195" s="250"/>
      <c r="F195" s="165" t="str">
        <f t="shared" si="16"/>
        <v/>
      </c>
      <c r="G195" s="260"/>
      <c r="H195" s="247"/>
      <c r="I195" s="117"/>
      <c r="J195" s="118" t="s">
        <v>18</v>
      </c>
      <c r="K195" s="275">
        <f>SUM(K196:K207)</f>
        <v>0</v>
      </c>
    </row>
    <row r="196" spans="1:11" hidden="1" x14ac:dyDescent="0.35">
      <c r="A196" s="103"/>
      <c r="B196" s="20" t="s">
        <v>8</v>
      </c>
      <c r="C196" s="18" t="s">
        <v>349</v>
      </c>
      <c r="D196" s="229"/>
      <c r="E196" s="170"/>
      <c r="F196" s="153" t="str">
        <f t="shared" si="16"/>
        <v/>
      </c>
      <c r="G196" s="256"/>
      <c r="H196" s="166">
        <f t="shared" si="18"/>
        <v>0</v>
      </c>
      <c r="I196" s="18" t="s">
        <v>27</v>
      </c>
      <c r="J196" s="20">
        <v>28.62</v>
      </c>
      <c r="K196" s="12">
        <f t="shared" ref="K196:K207" si="21">G196*J196</f>
        <v>0</v>
      </c>
    </row>
    <row r="197" spans="1:11" hidden="1" x14ac:dyDescent="0.35">
      <c r="A197" s="103"/>
      <c r="B197" s="12" t="s">
        <v>8</v>
      </c>
      <c r="C197" s="10" t="s">
        <v>350</v>
      </c>
      <c r="D197" s="152"/>
      <c r="E197" s="170"/>
      <c r="F197" s="153" t="str">
        <f t="shared" si="16"/>
        <v/>
      </c>
      <c r="G197" s="256"/>
      <c r="H197" s="166">
        <f t="shared" si="18"/>
        <v>0</v>
      </c>
      <c r="I197" s="10" t="s">
        <v>335</v>
      </c>
      <c r="J197" s="12">
        <v>30</v>
      </c>
      <c r="K197" s="12">
        <f t="shared" si="21"/>
        <v>0</v>
      </c>
    </row>
    <row r="198" spans="1:11" hidden="1" x14ac:dyDescent="0.35">
      <c r="A198" s="103"/>
      <c r="B198" s="12" t="s">
        <v>8</v>
      </c>
      <c r="C198" s="10" t="s">
        <v>351</v>
      </c>
      <c r="D198" s="152"/>
      <c r="E198" s="170"/>
      <c r="F198" s="153" t="str">
        <f t="shared" si="16"/>
        <v/>
      </c>
      <c r="G198" s="256"/>
      <c r="H198" s="166">
        <f t="shared" si="18"/>
        <v>0</v>
      </c>
      <c r="I198" s="10" t="s">
        <v>335</v>
      </c>
      <c r="J198" s="11">
        <v>1.1499999999999999</v>
      </c>
      <c r="K198" s="12">
        <f t="shared" si="21"/>
        <v>0</v>
      </c>
    </row>
    <row r="199" spans="1:11" x14ac:dyDescent="0.35">
      <c r="A199" s="103"/>
      <c r="B199" s="12" t="s">
        <v>8</v>
      </c>
      <c r="C199" s="10" t="s">
        <v>352</v>
      </c>
      <c r="D199" s="152">
        <v>3</v>
      </c>
      <c r="E199" s="170"/>
      <c r="F199" s="153" t="str">
        <f t="shared" si="16"/>
        <v/>
      </c>
      <c r="G199" s="256"/>
      <c r="H199" s="166">
        <f t="shared" si="18"/>
        <v>0</v>
      </c>
      <c r="I199" s="10">
        <v>23.83</v>
      </c>
      <c r="J199" s="11">
        <v>30.95</v>
      </c>
      <c r="K199" s="12">
        <f>H199*J199</f>
        <v>0</v>
      </c>
    </row>
    <row r="200" spans="1:11" x14ac:dyDescent="0.35">
      <c r="A200" s="103"/>
      <c r="B200" s="12" t="s">
        <v>8</v>
      </c>
      <c r="C200" s="10" t="s">
        <v>353</v>
      </c>
      <c r="D200" s="152">
        <v>3</v>
      </c>
      <c r="E200" s="170"/>
      <c r="F200" s="153" t="str">
        <f t="shared" si="16"/>
        <v/>
      </c>
      <c r="G200" s="256"/>
      <c r="H200" s="166">
        <f t="shared" si="18"/>
        <v>0</v>
      </c>
      <c r="I200" s="10" t="s">
        <v>27</v>
      </c>
      <c r="J200" s="11">
        <v>28.89</v>
      </c>
      <c r="K200" s="12">
        <f t="shared" ref="K200" si="22">H200*J200</f>
        <v>0</v>
      </c>
    </row>
    <row r="201" spans="1:11" x14ac:dyDescent="0.35">
      <c r="A201" s="103"/>
      <c r="B201" s="12" t="s">
        <v>8</v>
      </c>
      <c r="C201" s="10" t="s">
        <v>354</v>
      </c>
      <c r="D201" s="152">
        <v>3</v>
      </c>
      <c r="E201" s="170"/>
      <c r="F201" s="153" t="str">
        <f>IF(E201="","",IF(D201-E201&gt;0,D201-E201,""))</f>
        <v/>
      </c>
      <c r="G201" s="256"/>
      <c r="H201" s="166">
        <f>IF(ISNUMBER(E201),E201,0)+IF(ISNUMBER(F201),F201,0)-IF(ISNUMBER(G201),G201,0)</f>
        <v>0</v>
      </c>
      <c r="I201" s="10" t="s">
        <v>27</v>
      </c>
      <c r="J201" s="11">
        <v>19.37</v>
      </c>
      <c r="K201" s="12">
        <f>H201*J201</f>
        <v>0</v>
      </c>
    </row>
    <row r="202" spans="1:11" x14ac:dyDescent="0.35">
      <c r="A202" s="103"/>
      <c r="B202" s="12" t="s">
        <v>8</v>
      </c>
      <c r="C202" s="10" t="s">
        <v>429</v>
      </c>
      <c r="D202" s="152"/>
      <c r="E202" s="170"/>
      <c r="F202" s="153"/>
      <c r="G202" s="256"/>
      <c r="H202" s="166">
        <f t="shared" ref="H202:H204" si="23">IF(ISNUMBER(E202),E202,0)+IF(ISNUMBER(F202),F202,0)-IF(ISNUMBER(G202),G202,0)</f>
        <v>0</v>
      </c>
      <c r="I202" s="10">
        <v>14.07</v>
      </c>
      <c r="J202" s="11"/>
      <c r="K202" s="12"/>
    </row>
    <row r="203" spans="1:11" x14ac:dyDescent="0.35">
      <c r="A203" s="103"/>
      <c r="B203" s="12" t="s">
        <v>8</v>
      </c>
      <c r="C203" s="10" t="s">
        <v>430</v>
      </c>
      <c r="D203" s="152"/>
      <c r="E203" s="170"/>
      <c r="F203" s="153"/>
      <c r="G203" s="256"/>
      <c r="H203" s="166">
        <f t="shared" si="23"/>
        <v>0</v>
      </c>
      <c r="I203" s="10">
        <v>16.07</v>
      </c>
      <c r="J203" s="11"/>
      <c r="K203" s="12"/>
    </row>
    <row r="204" spans="1:11" x14ac:dyDescent="0.35">
      <c r="A204" s="103"/>
      <c r="B204" s="12" t="s">
        <v>8</v>
      </c>
      <c r="C204" s="10" t="s">
        <v>431</v>
      </c>
      <c r="D204" s="152"/>
      <c r="G204" s="256"/>
      <c r="H204" s="166">
        <f t="shared" si="23"/>
        <v>0</v>
      </c>
      <c r="I204" s="289">
        <v>14.62</v>
      </c>
      <c r="J204" s="11"/>
    </row>
    <row r="205" spans="1:11" hidden="1" x14ac:dyDescent="0.35">
      <c r="A205" s="103"/>
      <c r="B205" s="12" t="s">
        <v>8</v>
      </c>
      <c r="C205" s="10" t="s">
        <v>355</v>
      </c>
      <c r="D205" s="152"/>
      <c r="E205" s="170"/>
      <c r="F205" s="153" t="str">
        <f t="shared" si="16"/>
        <v/>
      </c>
      <c r="G205" s="256"/>
      <c r="H205" s="166">
        <f t="shared" si="18"/>
        <v>0</v>
      </c>
      <c r="I205" s="10" t="s">
        <v>61</v>
      </c>
      <c r="J205" s="11">
        <v>17.11</v>
      </c>
      <c r="K205" s="12">
        <f t="shared" si="21"/>
        <v>0</v>
      </c>
    </row>
    <row r="206" spans="1:11" hidden="1" x14ac:dyDescent="0.35">
      <c r="A206" s="103"/>
      <c r="B206" s="12" t="s">
        <v>8</v>
      </c>
      <c r="C206" s="10" t="s">
        <v>356</v>
      </c>
      <c r="D206" s="152"/>
      <c r="E206" s="170"/>
      <c r="F206" s="153" t="str">
        <f t="shared" si="16"/>
        <v/>
      </c>
      <c r="G206" s="256"/>
      <c r="H206" s="166">
        <f t="shared" si="18"/>
        <v>0</v>
      </c>
      <c r="I206" s="10" t="s">
        <v>61</v>
      </c>
      <c r="J206" s="11">
        <v>22.13</v>
      </c>
      <c r="K206" s="12">
        <f t="shared" si="21"/>
        <v>0</v>
      </c>
    </row>
    <row r="207" spans="1:11" hidden="1" x14ac:dyDescent="0.35">
      <c r="A207" s="103"/>
      <c r="B207" s="40" t="s">
        <v>8</v>
      </c>
      <c r="C207" s="41" t="s">
        <v>357</v>
      </c>
      <c r="D207" s="227"/>
      <c r="E207" s="170"/>
      <c r="F207" s="153" t="str">
        <f t="shared" si="16"/>
        <v/>
      </c>
      <c r="G207" s="256"/>
      <c r="H207" s="166">
        <f t="shared" si="18"/>
        <v>0</v>
      </c>
      <c r="I207" s="41" t="s">
        <v>61</v>
      </c>
      <c r="J207" s="42">
        <v>18.8</v>
      </c>
      <c r="K207" s="40">
        <f t="shared" si="21"/>
        <v>0</v>
      </c>
    </row>
    <row r="208" spans="1:11" ht="15.5" hidden="1" x14ac:dyDescent="0.35">
      <c r="A208" s="112" t="s">
        <v>358</v>
      </c>
      <c r="B208" s="116"/>
      <c r="C208" s="116"/>
      <c r="D208" s="228"/>
      <c r="E208" s="170"/>
      <c r="F208" s="153" t="str">
        <f t="shared" si="16"/>
        <v/>
      </c>
      <c r="G208" s="260"/>
      <c r="H208" s="247"/>
      <c r="I208" s="117"/>
      <c r="J208" s="118" t="s">
        <v>18</v>
      </c>
      <c r="K208" s="275">
        <f>SUM(K209)</f>
        <v>0</v>
      </c>
    </row>
    <row r="209" spans="1:11" hidden="1" x14ac:dyDescent="0.35">
      <c r="A209" s="103"/>
      <c r="B209" s="13" t="s">
        <v>11</v>
      </c>
      <c r="C209" s="18" t="s">
        <v>359</v>
      </c>
      <c r="D209" s="229"/>
      <c r="E209" s="170"/>
      <c r="F209" s="153" t="str">
        <f t="shared" si="16"/>
        <v/>
      </c>
      <c r="G209" s="256"/>
      <c r="H209" s="166">
        <f t="shared" si="18"/>
        <v>0</v>
      </c>
      <c r="I209" s="10" t="s">
        <v>52</v>
      </c>
      <c r="J209" s="11">
        <v>11.63</v>
      </c>
      <c r="K209" s="12">
        <f>G209*J209</f>
        <v>0</v>
      </c>
    </row>
    <row r="210" spans="1:11" ht="15.5" x14ac:dyDescent="0.35">
      <c r="A210" s="108" t="s">
        <v>360</v>
      </c>
      <c r="B210" s="108"/>
      <c r="C210" s="108"/>
      <c r="D210" s="223"/>
      <c r="E210" s="250"/>
      <c r="F210" s="165" t="str">
        <f t="shared" si="16"/>
        <v/>
      </c>
      <c r="G210" s="186"/>
      <c r="H210" s="247"/>
      <c r="I210" s="108"/>
      <c r="J210" s="106" t="s">
        <v>18</v>
      </c>
      <c r="K210" s="269">
        <f>SUM(K211:K212)</f>
        <v>0</v>
      </c>
    </row>
    <row r="211" spans="1:11" x14ac:dyDescent="0.35">
      <c r="A211" s="103"/>
      <c r="B211" s="12" t="s">
        <v>12</v>
      </c>
      <c r="C211" s="10" t="s">
        <v>70</v>
      </c>
      <c r="D211" s="152"/>
      <c r="E211" s="170"/>
      <c r="F211" s="153" t="str">
        <f t="shared" si="16"/>
        <v/>
      </c>
      <c r="G211" s="256"/>
      <c r="H211" s="166">
        <f t="shared" si="18"/>
        <v>0</v>
      </c>
      <c r="I211" s="10" t="s">
        <v>27</v>
      </c>
      <c r="J211" s="11">
        <v>20.7</v>
      </c>
      <c r="K211" s="12">
        <f>H211*J211</f>
        <v>0</v>
      </c>
    </row>
    <row r="212" spans="1:11" x14ac:dyDescent="0.35">
      <c r="A212" s="103"/>
      <c r="B212" s="12" t="s">
        <v>12</v>
      </c>
      <c r="C212" s="10" t="s">
        <v>71</v>
      </c>
      <c r="D212" s="152"/>
      <c r="E212" s="170"/>
      <c r="F212" s="153" t="str">
        <f t="shared" si="16"/>
        <v/>
      </c>
      <c r="G212" s="256"/>
      <c r="H212" s="166">
        <f t="shared" si="18"/>
        <v>0</v>
      </c>
      <c r="I212" s="10" t="s">
        <v>27</v>
      </c>
      <c r="J212" s="11">
        <v>13.7</v>
      </c>
      <c r="K212" s="12">
        <f>H212*J212</f>
        <v>0</v>
      </c>
    </row>
    <row r="213" spans="1:11" ht="15.5" hidden="1" x14ac:dyDescent="0.35">
      <c r="A213" s="108" t="s">
        <v>361</v>
      </c>
      <c r="B213" s="108"/>
      <c r="C213" s="108"/>
      <c r="D213" s="223"/>
      <c r="E213" s="250"/>
      <c r="F213" s="165" t="str">
        <f t="shared" si="16"/>
        <v/>
      </c>
      <c r="G213" s="186"/>
      <c r="H213" s="247"/>
      <c r="I213" s="108"/>
      <c r="J213" s="106" t="s">
        <v>18</v>
      </c>
      <c r="K213" s="269">
        <f>SUM(K214:K217)</f>
        <v>0</v>
      </c>
    </row>
    <row r="214" spans="1:11" hidden="1" x14ac:dyDescent="0.35">
      <c r="A214" s="103"/>
      <c r="B214" s="12" t="s">
        <v>10</v>
      </c>
      <c r="C214" s="10" t="s">
        <v>362</v>
      </c>
      <c r="D214" s="152"/>
      <c r="E214" s="170"/>
      <c r="F214" s="153" t="str">
        <f t="shared" si="16"/>
        <v/>
      </c>
      <c r="G214" s="256"/>
      <c r="H214" s="166">
        <f t="shared" si="18"/>
        <v>0</v>
      </c>
      <c r="I214" s="10" t="s">
        <v>20</v>
      </c>
      <c r="J214" s="11">
        <v>11.08</v>
      </c>
      <c r="K214" s="12">
        <f>H214*J214</f>
        <v>0</v>
      </c>
    </row>
    <row r="215" spans="1:11" hidden="1" x14ac:dyDescent="0.35">
      <c r="A215" s="103"/>
      <c r="B215" s="12" t="s">
        <v>10</v>
      </c>
      <c r="C215" s="10" t="s">
        <v>363</v>
      </c>
      <c r="D215" s="152"/>
      <c r="E215" s="170"/>
      <c r="F215" s="153" t="str">
        <f t="shared" si="16"/>
        <v/>
      </c>
      <c r="G215" s="256"/>
      <c r="H215" s="166">
        <f t="shared" si="18"/>
        <v>0</v>
      </c>
      <c r="I215" s="10" t="s">
        <v>27</v>
      </c>
      <c r="J215" s="11">
        <v>16.21</v>
      </c>
      <c r="K215" s="12">
        <f t="shared" ref="K215:K217" si="24">H215*J215</f>
        <v>0</v>
      </c>
    </row>
    <row r="216" spans="1:11" hidden="1" x14ac:dyDescent="0.35">
      <c r="A216" s="103"/>
      <c r="B216" s="12" t="s">
        <v>10</v>
      </c>
      <c r="C216" s="10" t="s">
        <v>364</v>
      </c>
      <c r="D216" s="152"/>
      <c r="E216" s="170"/>
      <c r="F216" s="153" t="str">
        <f t="shared" si="16"/>
        <v/>
      </c>
      <c r="G216" s="256"/>
      <c r="H216" s="166">
        <f t="shared" si="18"/>
        <v>0</v>
      </c>
      <c r="I216" s="10" t="s">
        <v>27</v>
      </c>
      <c r="J216" s="11">
        <v>19.350000000000001</v>
      </c>
      <c r="K216" s="12">
        <f t="shared" si="24"/>
        <v>0</v>
      </c>
    </row>
    <row r="217" spans="1:11" hidden="1" x14ac:dyDescent="0.35">
      <c r="A217" s="103"/>
      <c r="B217" s="12" t="s">
        <v>10</v>
      </c>
      <c r="C217" s="10" t="s">
        <v>365</v>
      </c>
      <c r="D217" s="152"/>
      <c r="E217" s="170"/>
      <c r="F217" s="153" t="str">
        <f t="shared" si="16"/>
        <v/>
      </c>
      <c r="G217" s="256"/>
      <c r="H217" s="166">
        <f t="shared" si="18"/>
        <v>0</v>
      </c>
      <c r="I217" s="10" t="s">
        <v>27</v>
      </c>
      <c r="J217" s="11">
        <v>19.809999999999999</v>
      </c>
      <c r="K217" s="12">
        <f t="shared" si="24"/>
        <v>0</v>
      </c>
    </row>
    <row r="218" spans="1:11" ht="15.5" hidden="1" x14ac:dyDescent="0.35">
      <c r="A218" s="108" t="s">
        <v>366</v>
      </c>
      <c r="B218" s="108"/>
      <c r="C218" s="108"/>
      <c r="D218" s="223"/>
      <c r="E218" s="170"/>
      <c r="F218" s="153" t="str">
        <f t="shared" si="16"/>
        <v/>
      </c>
      <c r="G218" s="186"/>
      <c r="H218" s="247"/>
      <c r="I218" s="108"/>
      <c r="J218" s="106" t="s">
        <v>18</v>
      </c>
      <c r="K218" s="269">
        <f>SUM(K219:K219)</f>
        <v>0</v>
      </c>
    </row>
    <row r="219" spans="1:11" hidden="1" x14ac:dyDescent="0.35">
      <c r="A219" s="103"/>
      <c r="B219" s="12" t="s">
        <v>28</v>
      </c>
      <c r="C219" s="10" t="s">
        <v>29</v>
      </c>
      <c r="D219" s="152"/>
      <c r="E219" s="170"/>
      <c r="F219" s="153" t="str">
        <f t="shared" si="16"/>
        <v/>
      </c>
      <c r="G219" s="256"/>
      <c r="H219" s="166">
        <f t="shared" si="18"/>
        <v>0</v>
      </c>
      <c r="I219" s="10" t="s">
        <v>54</v>
      </c>
      <c r="J219" s="11">
        <v>104</v>
      </c>
      <c r="K219" s="12">
        <f>+J219*G219</f>
        <v>0</v>
      </c>
    </row>
    <row r="220" spans="1:11" ht="15.5" x14ac:dyDescent="0.35">
      <c r="A220" s="108" t="s">
        <v>367</v>
      </c>
      <c r="B220" s="108"/>
      <c r="C220" s="108"/>
      <c r="D220" s="223"/>
      <c r="E220" s="250"/>
      <c r="F220" s="165" t="str">
        <f t="shared" ref="F220:F255" si="25">IF(E220="","",IF(D220-E220&gt;0,D220-E220,""))</f>
        <v/>
      </c>
      <c r="G220" s="186"/>
      <c r="H220" s="247"/>
      <c r="I220" s="108"/>
      <c r="J220" s="106" t="s">
        <v>18</v>
      </c>
      <c r="K220" s="269">
        <f>SUM(K224:K239)</f>
        <v>0</v>
      </c>
    </row>
    <row r="221" spans="1:11" x14ac:dyDescent="0.35">
      <c r="A221" s="103"/>
      <c r="B221" s="12" t="s">
        <v>9</v>
      </c>
      <c r="C221" s="10" t="s">
        <v>423</v>
      </c>
      <c r="D221" s="152"/>
      <c r="E221" s="170"/>
      <c r="F221" s="153" t="str">
        <f t="shared" si="25"/>
        <v/>
      </c>
      <c r="G221" s="256"/>
      <c r="H221" s="166">
        <f t="shared" si="18"/>
        <v>0</v>
      </c>
      <c r="I221" s="10" t="s">
        <v>20</v>
      </c>
      <c r="J221" s="11">
        <v>78</v>
      </c>
      <c r="K221" s="50">
        <f t="shared" ref="K221:K240" si="26">G221*J221</f>
        <v>0</v>
      </c>
    </row>
    <row r="222" spans="1:11" x14ac:dyDescent="0.35">
      <c r="A222" s="103"/>
      <c r="B222" s="12" t="s">
        <v>9</v>
      </c>
      <c r="C222" s="10" t="s">
        <v>424</v>
      </c>
      <c r="D222" s="152"/>
      <c r="E222" s="170"/>
      <c r="F222" s="153" t="str">
        <f t="shared" si="25"/>
        <v/>
      </c>
      <c r="G222" s="256"/>
      <c r="H222" s="166">
        <f t="shared" si="18"/>
        <v>0</v>
      </c>
      <c r="I222" s="10" t="s">
        <v>61</v>
      </c>
      <c r="J222" s="51">
        <v>107.12</v>
      </c>
      <c r="K222" s="50">
        <f t="shared" si="26"/>
        <v>0</v>
      </c>
    </row>
    <row r="223" spans="1:11" x14ac:dyDescent="0.35">
      <c r="A223" s="103"/>
      <c r="B223" s="12" t="s">
        <v>9</v>
      </c>
      <c r="C223" s="10" t="s">
        <v>369</v>
      </c>
      <c r="D223" s="152"/>
      <c r="E223" s="170"/>
      <c r="F223" s="153" t="str">
        <f t="shared" si="25"/>
        <v/>
      </c>
      <c r="G223" s="256"/>
      <c r="H223" s="166">
        <f t="shared" si="18"/>
        <v>0</v>
      </c>
      <c r="I223" s="10" t="s">
        <v>20</v>
      </c>
      <c r="J223" s="11">
        <v>0.04</v>
      </c>
      <c r="K223" s="50">
        <f t="shared" si="26"/>
        <v>0</v>
      </c>
    </row>
    <row r="224" spans="1:11" x14ac:dyDescent="0.35">
      <c r="A224" s="103"/>
      <c r="B224" s="12" t="s">
        <v>9</v>
      </c>
      <c r="C224" s="10" t="s">
        <v>370</v>
      </c>
      <c r="D224" s="152"/>
      <c r="E224" s="170"/>
      <c r="F224" s="153" t="str">
        <f t="shared" si="25"/>
        <v/>
      </c>
      <c r="G224" s="256"/>
      <c r="H224" s="166">
        <f t="shared" si="18"/>
        <v>0</v>
      </c>
      <c r="I224" s="10" t="s">
        <v>20</v>
      </c>
      <c r="J224" s="11">
        <v>7.0999999999999994E-2</v>
      </c>
      <c r="K224" s="233">
        <f>H224*J224</f>
        <v>0</v>
      </c>
    </row>
    <row r="225" spans="1:11" x14ac:dyDescent="0.35">
      <c r="A225" s="103"/>
      <c r="B225" s="12" t="s">
        <v>9</v>
      </c>
      <c r="C225" s="10" t="s">
        <v>411</v>
      </c>
      <c r="D225" s="152"/>
      <c r="E225" s="170"/>
      <c r="F225" s="153" t="str">
        <f t="shared" si="25"/>
        <v/>
      </c>
      <c r="G225" s="256"/>
      <c r="H225" s="166">
        <f t="shared" si="18"/>
        <v>0</v>
      </c>
      <c r="I225" s="10" t="s">
        <v>20</v>
      </c>
      <c r="J225" s="11">
        <v>1.97</v>
      </c>
      <c r="K225" s="233">
        <f>H225*J225</f>
        <v>0</v>
      </c>
    </row>
    <row r="226" spans="1:11" x14ac:dyDescent="0.35">
      <c r="A226" s="103"/>
      <c r="B226" s="12" t="s">
        <v>9</v>
      </c>
      <c r="C226" s="10" t="s">
        <v>371</v>
      </c>
      <c r="D226" s="152"/>
      <c r="E226" s="170"/>
      <c r="F226" s="153" t="str">
        <f t="shared" si="25"/>
        <v/>
      </c>
      <c r="G226" s="256"/>
      <c r="H226" s="166">
        <f t="shared" si="18"/>
        <v>0</v>
      </c>
      <c r="I226" s="10" t="s">
        <v>61</v>
      </c>
      <c r="J226" s="11">
        <v>163.80000000000001</v>
      </c>
      <c r="K226" s="233">
        <f t="shared" ref="K226:K239" si="27">H226*J226</f>
        <v>0</v>
      </c>
    </row>
    <row r="227" spans="1:11" x14ac:dyDescent="0.35">
      <c r="A227" s="103"/>
      <c r="B227" s="12" t="s">
        <v>9</v>
      </c>
      <c r="C227" s="10" t="s">
        <v>410</v>
      </c>
      <c r="D227" s="152"/>
      <c r="E227" s="170"/>
      <c r="F227" s="153" t="str">
        <f t="shared" si="25"/>
        <v/>
      </c>
      <c r="G227" s="256"/>
      <c r="H227" s="166">
        <f t="shared" si="18"/>
        <v>0</v>
      </c>
      <c r="I227" s="10" t="s">
        <v>61</v>
      </c>
      <c r="J227" s="11">
        <v>49.33</v>
      </c>
      <c r="K227" s="233">
        <f t="shared" si="27"/>
        <v>0</v>
      </c>
    </row>
    <row r="228" spans="1:11" x14ac:dyDescent="0.35">
      <c r="A228" s="103"/>
      <c r="B228" s="12" t="s">
        <v>9</v>
      </c>
      <c r="C228" s="10" t="s">
        <v>373</v>
      </c>
      <c r="D228" s="152"/>
      <c r="E228" s="170"/>
      <c r="F228" s="153" t="str">
        <f t="shared" si="25"/>
        <v/>
      </c>
      <c r="G228" s="256"/>
      <c r="H228" s="166">
        <f t="shared" si="18"/>
        <v>0</v>
      </c>
      <c r="I228" s="10" t="s">
        <v>61</v>
      </c>
      <c r="J228" s="11">
        <v>105.6</v>
      </c>
      <c r="K228" s="233">
        <f t="shared" si="27"/>
        <v>0</v>
      </c>
    </row>
    <row r="229" spans="1:11" x14ac:dyDescent="0.35">
      <c r="A229" s="103"/>
      <c r="B229" s="12" t="s">
        <v>9</v>
      </c>
      <c r="C229" s="10" t="s">
        <v>374</v>
      </c>
      <c r="D229" s="152"/>
      <c r="E229" s="170"/>
      <c r="F229" s="153" t="str">
        <f t="shared" si="25"/>
        <v/>
      </c>
      <c r="G229" s="256"/>
      <c r="H229" s="166">
        <f t="shared" si="18"/>
        <v>0</v>
      </c>
      <c r="I229" s="10" t="s">
        <v>61</v>
      </c>
      <c r="J229" s="11">
        <v>114.75</v>
      </c>
      <c r="K229" s="233">
        <f t="shared" si="27"/>
        <v>0</v>
      </c>
    </row>
    <row r="230" spans="1:11" x14ac:dyDescent="0.35">
      <c r="A230" s="103"/>
      <c r="B230" s="12" t="s">
        <v>9</v>
      </c>
      <c r="C230" s="10" t="s">
        <v>375</v>
      </c>
      <c r="D230" s="152"/>
      <c r="E230" s="170"/>
      <c r="F230" s="153" t="str">
        <f t="shared" si="25"/>
        <v/>
      </c>
      <c r="G230" s="256"/>
      <c r="H230" s="166">
        <f t="shared" si="18"/>
        <v>0</v>
      </c>
      <c r="I230" s="10" t="s">
        <v>61</v>
      </c>
      <c r="J230" s="11">
        <v>105.55</v>
      </c>
      <c r="K230" s="233">
        <f t="shared" si="27"/>
        <v>0</v>
      </c>
    </row>
    <row r="231" spans="1:11" x14ac:dyDescent="0.35">
      <c r="A231" s="103"/>
      <c r="B231" s="12" t="s">
        <v>9</v>
      </c>
      <c r="C231" s="10" t="s">
        <v>376</v>
      </c>
      <c r="D231" s="152"/>
      <c r="E231" s="170"/>
      <c r="F231" s="153" t="str">
        <f t="shared" si="25"/>
        <v/>
      </c>
      <c r="G231" s="256"/>
      <c r="H231" s="166">
        <f t="shared" si="18"/>
        <v>0</v>
      </c>
      <c r="I231" s="10" t="s">
        <v>61</v>
      </c>
      <c r="J231" s="11">
        <v>33.25</v>
      </c>
      <c r="K231" s="233">
        <f t="shared" si="27"/>
        <v>0</v>
      </c>
    </row>
    <row r="232" spans="1:11" x14ac:dyDescent="0.35">
      <c r="A232" s="103"/>
      <c r="B232" s="12" t="s">
        <v>9</v>
      </c>
      <c r="C232" s="10" t="s">
        <v>377</v>
      </c>
      <c r="D232" s="152"/>
      <c r="E232" s="170"/>
      <c r="F232" s="153" t="str">
        <f t="shared" si="25"/>
        <v/>
      </c>
      <c r="G232" s="256"/>
      <c r="H232" s="166">
        <f t="shared" si="18"/>
        <v>0</v>
      </c>
      <c r="I232" s="10" t="s">
        <v>20</v>
      </c>
      <c r="J232" s="11">
        <v>0.28999999999999998</v>
      </c>
      <c r="K232" s="233">
        <f t="shared" si="27"/>
        <v>0</v>
      </c>
    </row>
    <row r="233" spans="1:11" x14ac:dyDescent="0.35">
      <c r="A233" s="103"/>
      <c r="B233" s="12" t="s">
        <v>9</v>
      </c>
      <c r="C233" s="10" t="s">
        <v>378</v>
      </c>
      <c r="D233" s="152"/>
      <c r="E233" s="170"/>
      <c r="F233" s="153" t="str">
        <f t="shared" si="25"/>
        <v/>
      </c>
      <c r="G233" s="256"/>
      <c r="H233" s="166">
        <f t="shared" si="18"/>
        <v>0</v>
      </c>
      <c r="I233" s="10" t="s">
        <v>61</v>
      </c>
      <c r="J233" s="35">
        <v>37.85</v>
      </c>
      <c r="K233" s="233">
        <f t="shared" si="27"/>
        <v>0</v>
      </c>
    </row>
    <row r="234" spans="1:11" x14ac:dyDescent="0.35">
      <c r="A234" s="103"/>
      <c r="B234" s="12" t="s">
        <v>9</v>
      </c>
      <c r="C234" s="10" t="s">
        <v>425</v>
      </c>
      <c r="D234" s="152">
        <v>1</v>
      </c>
      <c r="E234" s="170">
        <v>0</v>
      </c>
      <c r="F234" s="153">
        <f t="shared" si="25"/>
        <v>1</v>
      </c>
      <c r="G234" s="256">
        <v>1</v>
      </c>
      <c r="H234" s="166">
        <f t="shared" si="18"/>
        <v>0</v>
      </c>
      <c r="I234" s="10" t="s">
        <v>61</v>
      </c>
      <c r="J234" s="35">
        <v>111.47</v>
      </c>
      <c r="K234" s="233">
        <f t="shared" si="27"/>
        <v>0</v>
      </c>
    </row>
    <row r="235" spans="1:11" x14ac:dyDescent="0.35">
      <c r="A235" s="103"/>
      <c r="B235" s="12" t="s">
        <v>9</v>
      </c>
      <c r="C235" s="10" t="s">
        <v>379</v>
      </c>
      <c r="D235" s="152"/>
      <c r="E235" s="170"/>
      <c r="F235" s="153" t="str">
        <f t="shared" si="25"/>
        <v/>
      </c>
      <c r="G235" s="256"/>
      <c r="H235" s="166">
        <f t="shared" si="18"/>
        <v>0</v>
      </c>
      <c r="I235" s="10" t="s">
        <v>61</v>
      </c>
      <c r="J235" s="35">
        <v>174.97</v>
      </c>
      <c r="K235" s="233">
        <f t="shared" si="27"/>
        <v>0</v>
      </c>
    </row>
    <row r="236" spans="1:11" x14ac:dyDescent="0.35">
      <c r="A236" s="103"/>
      <c r="B236" s="12" t="s">
        <v>9</v>
      </c>
      <c r="C236" s="10" t="s">
        <v>380</v>
      </c>
      <c r="D236" s="152"/>
      <c r="E236" s="170"/>
      <c r="F236" s="153" t="str">
        <f t="shared" si="25"/>
        <v/>
      </c>
      <c r="G236" s="256"/>
      <c r="H236" s="166">
        <f t="shared" si="18"/>
        <v>0</v>
      </c>
      <c r="I236" s="10" t="s">
        <v>61</v>
      </c>
      <c r="J236" s="35">
        <v>44.93</v>
      </c>
      <c r="K236" s="233">
        <f t="shared" si="27"/>
        <v>0</v>
      </c>
    </row>
    <row r="237" spans="1:11" x14ac:dyDescent="0.35">
      <c r="A237" s="103"/>
      <c r="B237" s="12" t="s">
        <v>9</v>
      </c>
      <c r="C237" s="10" t="s">
        <v>426</v>
      </c>
      <c r="D237" s="152">
        <v>1</v>
      </c>
      <c r="E237" s="170"/>
      <c r="F237" s="153" t="str">
        <f t="shared" si="25"/>
        <v/>
      </c>
      <c r="G237" s="256"/>
      <c r="H237" s="166">
        <f t="shared" si="18"/>
        <v>0</v>
      </c>
      <c r="I237" s="10" t="s">
        <v>61</v>
      </c>
      <c r="J237" s="35"/>
      <c r="K237" s="233">
        <f t="shared" si="27"/>
        <v>0</v>
      </c>
    </row>
    <row r="238" spans="1:11" x14ac:dyDescent="0.35">
      <c r="A238" s="103"/>
      <c r="B238" s="12" t="s">
        <v>9</v>
      </c>
      <c r="C238" s="10" t="s">
        <v>427</v>
      </c>
      <c r="D238" s="152">
        <v>1</v>
      </c>
      <c r="E238" s="170"/>
      <c r="F238" s="153" t="str">
        <f t="shared" si="25"/>
        <v/>
      </c>
      <c r="G238" s="256"/>
      <c r="H238" s="166">
        <f t="shared" si="18"/>
        <v>0</v>
      </c>
      <c r="I238" s="10" t="s">
        <v>61</v>
      </c>
      <c r="J238" s="35"/>
      <c r="K238" s="233">
        <f>H238*J238</f>
        <v>0</v>
      </c>
    </row>
    <row r="239" spans="1:11" x14ac:dyDescent="0.35">
      <c r="A239" s="103"/>
      <c r="B239" s="12" t="s">
        <v>9</v>
      </c>
      <c r="C239" s="10" t="s">
        <v>428</v>
      </c>
      <c r="D239" s="152"/>
      <c r="E239" s="170"/>
      <c r="F239" s="153" t="str">
        <f t="shared" si="25"/>
        <v/>
      </c>
      <c r="G239" s="256"/>
      <c r="H239" s="166">
        <f t="shared" si="18"/>
        <v>0</v>
      </c>
      <c r="I239" s="10" t="s">
        <v>61</v>
      </c>
      <c r="J239" s="35"/>
      <c r="K239" s="233">
        <f t="shared" si="27"/>
        <v>0</v>
      </c>
    </row>
    <row r="240" spans="1:11" x14ac:dyDescent="0.35">
      <c r="A240" s="103"/>
      <c r="B240" s="12" t="s">
        <v>9</v>
      </c>
      <c r="C240" s="10" t="s">
        <v>381</v>
      </c>
      <c r="D240" s="152"/>
      <c r="E240" s="170"/>
      <c r="F240" s="153" t="str">
        <f t="shared" si="25"/>
        <v/>
      </c>
      <c r="G240" s="256"/>
      <c r="H240" s="166">
        <f t="shared" si="18"/>
        <v>0</v>
      </c>
      <c r="I240" s="10" t="s">
        <v>61</v>
      </c>
      <c r="J240" s="35">
        <v>0.02</v>
      </c>
      <c r="K240" s="50">
        <f t="shared" si="26"/>
        <v>0</v>
      </c>
    </row>
    <row r="241" spans="1:18" ht="15.5" x14ac:dyDescent="0.35">
      <c r="A241" s="108" t="s">
        <v>382</v>
      </c>
      <c r="B241" s="108"/>
      <c r="C241" s="108"/>
      <c r="D241" s="223"/>
      <c r="E241" s="250"/>
      <c r="F241" s="165" t="str">
        <f t="shared" si="25"/>
        <v/>
      </c>
      <c r="G241" s="186"/>
      <c r="H241" s="247"/>
      <c r="I241" s="108">
        <v>29.2</v>
      </c>
      <c r="J241" s="106" t="s">
        <v>18</v>
      </c>
      <c r="K241" s="269">
        <f>SUM(K242:K252)</f>
        <v>26.33</v>
      </c>
    </row>
    <row r="242" spans="1:18" hidden="1" x14ac:dyDescent="0.35">
      <c r="A242" s="103"/>
      <c r="B242" s="12" t="s">
        <v>31</v>
      </c>
      <c r="C242" s="10" t="s">
        <v>383</v>
      </c>
      <c r="D242" s="152"/>
      <c r="E242" s="170"/>
      <c r="F242" s="153" t="str">
        <f t="shared" si="25"/>
        <v/>
      </c>
      <c r="G242" s="256"/>
      <c r="H242" s="166">
        <f t="shared" ref="H242:H255" si="28">IF(ISNUMBER(E242),E242,0)+IF(ISNUMBER(F242),F242,0)-IF(ISNUMBER(G242),G242,0)</f>
        <v>0</v>
      </c>
      <c r="I242" s="10">
        <v>19.03</v>
      </c>
      <c r="J242" s="11">
        <v>5.5</v>
      </c>
      <c r="K242" s="12">
        <f t="shared" ref="K242" si="29">G242*J242</f>
        <v>0</v>
      </c>
    </row>
    <row r="243" spans="1:18" x14ac:dyDescent="0.35">
      <c r="A243" s="103"/>
      <c r="B243" s="12" t="s">
        <v>31</v>
      </c>
      <c r="C243" s="10" t="s">
        <v>39</v>
      </c>
      <c r="D243" s="152">
        <v>2</v>
      </c>
      <c r="E243" s="170">
        <v>1</v>
      </c>
      <c r="F243" s="153">
        <f t="shared" si="25"/>
        <v>1</v>
      </c>
      <c r="G243" s="256"/>
      <c r="H243" s="166">
        <f t="shared" si="28"/>
        <v>2</v>
      </c>
      <c r="I243" s="10">
        <v>8.4600000000000009</v>
      </c>
      <c r="J243" s="11">
        <v>4.55</v>
      </c>
      <c r="K243" s="12">
        <f>H243*J243</f>
        <v>9.1</v>
      </c>
      <c r="R243" s="87"/>
    </row>
    <row r="244" spans="1:18" x14ac:dyDescent="0.35">
      <c r="A244" s="103"/>
      <c r="B244" s="12" t="s">
        <v>31</v>
      </c>
      <c r="C244" s="10" t="s">
        <v>422</v>
      </c>
      <c r="D244" s="152">
        <v>1</v>
      </c>
      <c r="E244" s="170"/>
      <c r="F244" s="153" t="str">
        <f t="shared" si="25"/>
        <v/>
      </c>
      <c r="G244" s="256"/>
      <c r="H244" s="166">
        <f t="shared" si="28"/>
        <v>0</v>
      </c>
      <c r="I244" s="10" t="s">
        <v>20</v>
      </c>
      <c r="J244" s="11">
        <v>3.7</v>
      </c>
      <c r="K244" s="12">
        <f t="shared" ref="K244:K255" si="30">H244*J244</f>
        <v>0</v>
      </c>
    </row>
    <row r="245" spans="1:18" x14ac:dyDescent="0.35">
      <c r="A245" s="103"/>
      <c r="B245" s="12" t="s">
        <v>31</v>
      </c>
      <c r="C245" s="10" t="s">
        <v>67</v>
      </c>
      <c r="D245" s="152">
        <v>1</v>
      </c>
      <c r="E245" s="170"/>
      <c r="F245" s="153" t="str">
        <f t="shared" si="25"/>
        <v/>
      </c>
      <c r="G245" s="256"/>
      <c r="H245" s="166">
        <f t="shared" si="28"/>
        <v>0</v>
      </c>
      <c r="I245" s="10" t="s">
        <v>20</v>
      </c>
      <c r="J245" s="11">
        <v>15.56</v>
      </c>
      <c r="K245" s="12">
        <f t="shared" si="30"/>
        <v>0</v>
      </c>
    </row>
    <row r="246" spans="1:18" hidden="1" x14ac:dyDescent="0.35">
      <c r="A246" s="103"/>
      <c r="B246" s="12" t="s">
        <v>31</v>
      </c>
      <c r="C246" s="10" t="s">
        <v>384</v>
      </c>
      <c r="D246" s="152"/>
      <c r="E246" s="170"/>
      <c r="F246" s="153" t="str">
        <f t="shared" si="25"/>
        <v/>
      </c>
      <c r="G246" s="256"/>
      <c r="H246" s="166">
        <f t="shared" si="28"/>
        <v>0</v>
      </c>
      <c r="I246" s="10" t="s">
        <v>20</v>
      </c>
      <c r="J246" s="11">
        <v>0.8</v>
      </c>
      <c r="K246" s="12">
        <f t="shared" si="30"/>
        <v>0</v>
      </c>
    </row>
    <row r="247" spans="1:18" hidden="1" x14ac:dyDescent="0.35">
      <c r="A247" s="103"/>
      <c r="B247" s="12" t="s">
        <v>31</v>
      </c>
      <c r="C247" s="10" t="s">
        <v>385</v>
      </c>
      <c r="D247" s="152"/>
      <c r="E247" s="170"/>
      <c r="F247" s="153" t="str">
        <f t="shared" si="25"/>
        <v/>
      </c>
      <c r="G247" s="256"/>
      <c r="H247" s="166">
        <f t="shared" si="28"/>
        <v>0</v>
      </c>
      <c r="I247" s="10" t="s">
        <v>20</v>
      </c>
      <c r="J247" s="11">
        <v>1.83</v>
      </c>
      <c r="K247" s="12">
        <f t="shared" si="30"/>
        <v>0</v>
      </c>
    </row>
    <row r="248" spans="1:18" x14ac:dyDescent="0.35">
      <c r="A248" s="103"/>
      <c r="B248" s="12" t="s">
        <v>31</v>
      </c>
      <c r="C248" s="10" t="s">
        <v>386</v>
      </c>
      <c r="D248" s="152">
        <v>2</v>
      </c>
      <c r="E248" s="170">
        <v>2</v>
      </c>
      <c r="F248" s="153" t="str">
        <f t="shared" si="25"/>
        <v/>
      </c>
      <c r="G248" s="256"/>
      <c r="H248" s="166">
        <f t="shared" si="28"/>
        <v>2</v>
      </c>
      <c r="I248" s="10" t="s">
        <v>20</v>
      </c>
      <c r="J248" s="11">
        <v>2.65</v>
      </c>
      <c r="K248" s="12">
        <f t="shared" si="30"/>
        <v>5.3</v>
      </c>
    </row>
    <row r="249" spans="1:18" x14ac:dyDescent="0.35">
      <c r="A249" s="103"/>
      <c r="B249" s="12" t="s">
        <v>31</v>
      </c>
      <c r="C249" s="10" t="s">
        <v>65</v>
      </c>
      <c r="D249" s="152">
        <v>1</v>
      </c>
      <c r="E249" s="170"/>
      <c r="F249" s="153" t="str">
        <f t="shared" si="25"/>
        <v/>
      </c>
      <c r="G249" s="256"/>
      <c r="H249" s="166">
        <f t="shared" si="28"/>
        <v>0</v>
      </c>
      <c r="I249" s="10" t="s">
        <v>20</v>
      </c>
      <c r="J249" s="11">
        <v>13.43</v>
      </c>
      <c r="K249" s="12">
        <f t="shared" si="30"/>
        <v>0</v>
      </c>
    </row>
    <row r="250" spans="1:18" hidden="1" x14ac:dyDescent="0.35">
      <c r="A250" s="103"/>
      <c r="B250" s="12" t="s">
        <v>31</v>
      </c>
      <c r="C250" s="10" t="s">
        <v>66</v>
      </c>
      <c r="D250" s="152"/>
      <c r="E250" s="170"/>
      <c r="F250" s="153" t="str">
        <f t="shared" si="25"/>
        <v/>
      </c>
      <c r="G250" s="256"/>
      <c r="H250" s="166">
        <f t="shared" si="28"/>
        <v>0</v>
      </c>
      <c r="I250" s="10" t="s">
        <v>20</v>
      </c>
      <c r="J250" s="11">
        <v>75.38</v>
      </c>
      <c r="K250" s="12">
        <f t="shared" si="30"/>
        <v>0</v>
      </c>
    </row>
    <row r="251" spans="1:18" x14ac:dyDescent="0.35">
      <c r="A251" s="103"/>
      <c r="B251" s="12" t="s">
        <v>31</v>
      </c>
      <c r="C251" s="10" t="s">
        <v>412</v>
      </c>
      <c r="D251" s="152">
        <v>1</v>
      </c>
      <c r="E251" s="170">
        <v>1</v>
      </c>
      <c r="F251" s="153" t="str">
        <f t="shared" si="25"/>
        <v/>
      </c>
      <c r="G251" s="256"/>
      <c r="H251" s="166">
        <f t="shared" si="28"/>
        <v>1</v>
      </c>
      <c r="I251" s="10" t="s">
        <v>20</v>
      </c>
      <c r="J251" s="11">
        <v>8.43</v>
      </c>
      <c r="K251" s="12">
        <f t="shared" si="30"/>
        <v>8.43</v>
      </c>
    </row>
    <row r="252" spans="1:18" x14ac:dyDescent="0.35">
      <c r="A252" s="103"/>
      <c r="B252" s="12" t="s">
        <v>31</v>
      </c>
      <c r="C252" s="10" t="s">
        <v>69</v>
      </c>
      <c r="D252" s="152">
        <v>1</v>
      </c>
      <c r="E252" s="170">
        <v>1</v>
      </c>
      <c r="F252" s="153" t="str">
        <f t="shared" si="25"/>
        <v/>
      </c>
      <c r="G252" s="256"/>
      <c r="H252" s="166">
        <f t="shared" si="28"/>
        <v>1</v>
      </c>
      <c r="I252" s="10" t="s">
        <v>63</v>
      </c>
      <c r="J252" s="11">
        <v>3.5</v>
      </c>
      <c r="K252" s="12">
        <f t="shared" si="30"/>
        <v>3.5</v>
      </c>
    </row>
    <row r="253" spans="1:18" ht="15.5" hidden="1" x14ac:dyDescent="0.35">
      <c r="A253" s="108" t="s">
        <v>57</v>
      </c>
      <c r="B253" s="108"/>
      <c r="C253" s="108"/>
      <c r="D253" s="111"/>
      <c r="E253" s="162"/>
      <c r="F253" s="153" t="str">
        <f t="shared" si="25"/>
        <v/>
      </c>
      <c r="G253" s="186"/>
      <c r="H253" s="247"/>
      <c r="I253" s="108"/>
      <c r="J253" s="106" t="s">
        <v>18</v>
      </c>
      <c r="K253" s="270">
        <f>K254+K255</f>
        <v>0</v>
      </c>
    </row>
    <row r="254" spans="1:18" hidden="1" x14ac:dyDescent="0.35">
      <c r="A254" s="103"/>
      <c r="B254" s="12" t="s">
        <v>56</v>
      </c>
      <c r="C254" s="10" t="s">
        <v>58</v>
      </c>
      <c r="D254" s="135"/>
      <c r="E254" s="187"/>
      <c r="F254" s="153" t="str">
        <f t="shared" si="25"/>
        <v/>
      </c>
      <c r="G254" s="256"/>
      <c r="H254" s="166">
        <f t="shared" si="28"/>
        <v>0</v>
      </c>
      <c r="I254" s="10" t="s">
        <v>20</v>
      </c>
      <c r="J254" s="11">
        <v>54.05</v>
      </c>
      <c r="K254" s="12">
        <f t="shared" si="30"/>
        <v>0</v>
      </c>
    </row>
    <row r="255" spans="1:18" hidden="1" x14ac:dyDescent="0.35">
      <c r="A255" s="103"/>
      <c r="B255" s="12" t="s">
        <v>56</v>
      </c>
      <c r="C255" s="10" t="s">
        <v>388</v>
      </c>
      <c r="D255" s="135"/>
      <c r="E255" s="187"/>
      <c r="F255" s="153" t="str">
        <f t="shared" si="25"/>
        <v/>
      </c>
      <c r="G255" s="256"/>
      <c r="H255" s="166">
        <f t="shared" si="28"/>
        <v>0</v>
      </c>
      <c r="I255" s="10" t="s">
        <v>20</v>
      </c>
      <c r="J255" s="11">
        <v>0</v>
      </c>
      <c r="K255" s="12">
        <f t="shared" si="30"/>
        <v>0</v>
      </c>
    </row>
  </sheetData>
  <mergeCells count="2">
    <mergeCell ref="B1:C1"/>
    <mergeCell ref="B2:C2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987F9-F281-4FC4-B7CA-D9751389DB3C}">
  <sheetPr codeName="Feuil31">
    <tabColor rgb="FFFF5050"/>
  </sheetPr>
  <dimension ref="A1:R255"/>
  <sheetViews>
    <sheetView topLeftCell="A158" zoomScale="112" zoomScaleNormal="112" workbookViewId="0">
      <selection activeCell="M244" sqref="M244"/>
    </sheetView>
  </sheetViews>
  <sheetFormatPr baseColWidth="10" defaultColWidth="10.7265625" defaultRowHeight="14.5" x14ac:dyDescent="0.35"/>
  <cols>
    <col min="1" max="1" width="2.81640625" customWidth="1"/>
    <col min="2" max="2" width="30.1796875" bestFit="1" customWidth="1"/>
    <col min="3" max="3" width="44.54296875" bestFit="1" customWidth="1"/>
    <col min="4" max="4" width="14.26953125" style="13" bestFit="1" customWidth="1"/>
    <col min="5" max="5" width="17.1796875" style="251" bestFit="1" customWidth="1"/>
    <col min="6" max="6" width="17" bestFit="1" customWidth="1"/>
    <col min="7" max="7" width="15.26953125" style="253" bestFit="1" customWidth="1"/>
    <col min="8" max="8" width="10.26953125" style="16" customWidth="1"/>
    <col min="9" max="9" width="6.81640625" bestFit="1" customWidth="1"/>
    <col min="10" max="10" width="10.26953125" customWidth="1"/>
    <col min="11" max="11" width="19.54296875" bestFit="1" customWidth="1"/>
  </cols>
  <sheetData>
    <row r="1" spans="2:6" ht="15" thickBot="1" x14ac:dyDescent="0.4">
      <c r="B1" s="321" t="s">
        <v>198</v>
      </c>
      <c r="C1" s="322"/>
      <c r="E1" s="154"/>
      <c r="F1" s="89"/>
    </row>
    <row r="2" spans="2:6" ht="15" thickBot="1" x14ac:dyDescent="0.4">
      <c r="B2" s="319"/>
      <c r="C2" s="320"/>
      <c r="E2" s="154"/>
      <c r="F2" s="90"/>
    </row>
    <row r="3" spans="2:6" x14ac:dyDescent="0.35">
      <c r="B3" s="75"/>
      <c r="C3" s="75"/>
      <c r="E3" s="156"/>
      <c r="F3" s="75"/>
    </row>
    <row r="4" spans="2:6" ht="15.5" x14ac:dyDescent="0.35">
      <c r="B4" s="70" t="s">
        <v>0</v>
      </c>
      <c r="C4" s="70" t="s">
        <v>1</v>
      </c>
      <c r="E4" s="157"/>
      <c r="F4" s="91"/>
    </row>
    <row r="5" spans="2:6" x14ac:dyDescent="0.35">
      <c r="B5" s="71" t="s">
        <v>2</v>
      </c>
      <c r="C5" s="72">
        <f>K23</f>
        <v>0</v>
      </c>
      <c r="E5" s="156"/>
      <c r="F5" s="75"/>
    </row>
    <row r="6" spans="2:6" x14ac:dyDescent="0.35">
      <c r="B6" s="71" t="s">
        <v>7</v>
      </c>
      <c r="C6" s="72">
        <f>K41</f>
        <v>0</v>
      </c>
      <c r="E6" s="156"/>
      <c r="F6" s="75"/>
    </row>
    <row r="7" spans="2:6" x14ac:dyDescent="0.35">
      <c r="B7" s="71" t="s">
        <v>13</v>
      </c>
      <c r="C7" s="72">
        <f>K50</f>
        <v>233.7</v>
      </c>
      <c r="E7" s="156"/>
      <c r="F7" s="75"/>
    </row>
    <row r="8" spans="2:6" x14ac:dyDescent="0.35">
      <c r="B8" s="71" t="s">
        <v>3</v>
      </c>
      <c r="C8" s="72">
        <f>K78</f>
        <v>0</v>
      </c>
      <c r="E8" s="156"/>
      <c r="F8" s="75"/>
    </row>
    <row r="9" spans="2:6" x14ac:dyDescent="0.35">
      <c r="B9" s="71" t="s">
        <v>4</v>
      </c>
      <c r="C9" s="72">
        <f>K122</f>
        <v>827.75999999999988</v>
      </c>
      <c r="E9" s="156"/>
      <c r="F9" s="75"/>
    </row>
    <row r="10" spans="2:6" x14ac:dyDescent="0.35">
      <c r="B10" s="71" t="s">
        <v>199</v>
      </c>
      <c r="C10" s="72">
        <f>K176</f>
        <v>0</v>
      </c>
      <c r="E10" s="156"/>
      <c r="F10" s="75"/>
    </row>
    <row r="11" spans="2:6" x14ac:dyDescent="0.35">
      <c r="B11" s="71" t="s">
        <v>200</v>
      </c>
      <c r="C11" s="72">
        <f>K187</f>
        <v>226.8</v>
      </c>
      <c r="E11" s="156"/>
      <c r="F11" s="75"/>
    </row>
    <row r="12" spans="2:6" x14ac:dyDescent="0.35">
      <c r="B12" s="71" t="s">
        <v>201</v>
      </c>
      <c r="C12" s="72">
        <f>K193</f>
        <v>0</v>
      </c>
      <c r="E12" s="156"/>
      <c r="F12" s="75"/>
    </row>
    <row r="13" spans="2:6" x14ac:dyDescent="0.35">
      <c r="B13" s="71" t="s">
        <v>202</v>
      </c>
      <c r="C13" s="72">
        <f>K195</f>
        <v>237.63</v>
      </c>
      <c r="E13" s="156"/>
      <c r="F13" s="75"/>
    </row>
    <row r="14" spans="2:6" x14ac:dyDescent="0.35">
      <c r="B14" s="71" t="s">
        <v>203</v>
      </c>
      <c r="C14" s="72">
        <f>K208</f>
        <v>0</v>
      </c>
      <c r="E14" s="285"/>
      <c r="F14" s="75"/>
    </row>
    <row r="15" spans="2:6" ht="15" hidden="1" customHeight="1" x14ac:dyDescent="0.35">
      <c r="B15" s="71" t="s">
        <v>416</v>
      </c>
      <c r="C15" s="72">
        <f>K213</f>
        <v>0</v>
      </c>
      <c r="E15" s="156"/>
      <c r="F15" s="75"/>
    </row>
    <row r="16" spans="2:6" x14ac:dyDescent="0.35">
      <c r="B16" s="71" t="s">
        <v>204</v>
      </c>
      <c r="C16" s="72">
        <f>K218</f>
        <v>0</v>
      </c>
      <c r="E16" s="156"/>
      <c r="F16" s="75"/>
    </row>
    <row r="17" spans="1:17" x14ac:dyDescent="0.35">
      <c r="B17" s="71" t="s">
        <v>9</v>
      </c>
      <c r="C17" s="72">
        <f>K210</f>
        <v>0</v>
      </c>
      <c r="E17" s="156"/>
      <c r="F17" s="75"/>
    </row>
    <row r="18" spans="1:17" x14ac:dyDescent="0.35">
      <c r="B18" s="71" t="s">
        <v>205</v>
      </c>
      <c r="C18" s="72">
        <f>K241</f>
        <v>49.29</v>
      </c>
      <c r="E18" s="156"/>
      <c r="F18" s="75"/>
    </row>
    <row r="19" spans="1:17" x14ac:dyDescent="0.35">
      <c r="B19" s="71" t="s">
        <v>56</v>
      </c>
      <c r="C19" s="72">
        <f>K253</f>
        <v>0</v>
      </c>
      <c r="E19" s="156"/>
      <c r="F19" s="75"/>
    </row>
    <row r="20" spans="1:17" x14ac:dyDescent="0.35">
      <c r="B20" s="73" t="s">
        <v>14</v>
      </c>
      <c r="C20" s="74">
        <f>C5+C6+C7+C8+C9+C10+C11+C12+C13+C14+C15+C16+C17+C18+C19</f>
        <v>1575.1799999999998</v>
      </c>
      <c r="E20" s="248"/>
      <c r="F20" s="243"/>
    </row>
    <row r="21" spans="1:17" ht="18.5" x14ac:dyDescent="0.45">
      <c r="A21" s="76" t="s">
        <v>397</v>
      </c>
      <c r="B21" s="76"/>
      <c r="C21" s="76"/>
      <c r="D21" s="234"/>
      <c r="E21" s="167"/>
      <c r="F21" s="76"/>
      <c r="G21" s="254"/>
      <c r="H21" s="69"/>
      <c r="I21" s="76"/>
      <c r="J21" s="76"/>
      <c r="K21" s="76"/>
    </row>
    <row r="22" spans="1:17" x14ac:dyDescent="0.35">
      <c r="A22" s="129"/>
      <c r="B22" s="129" t="s">
        <v>15</v>
      </c>
      <c r="C22" s="129" t="s">
        <v>16</v>
      </c>
      <c r="D22" s="235" t="s">
        <v>398</v>
      </c>
      <c r="E22" s="185" t="s">
        <v>404</v>
      </c>
      <c r="F22" s="130" t="s">
        <v>399</v>
      </c>
      <c r="G22" s="255" t="s">
        <v>405</v>
      </c>
      <c r="H22" s="131" t="s">
        <v>408</v>
      </c>
      <c r="I22" s="129" t="s">
        <v>406</v>
      </c>
      <c r="J22" s="133" t="s">
        <v>45</v>
      </c>
      <c r="K22" s="129" t="s">
        <v>1</v>
      </c>
    </row>
    <row r="23" spans="1:17" ht="15.5" hidden="1" x14ac:dyDescent="0.35">
      <c r="A23" s="108" t="s">
        <v>208</v>
      </c>
      <c r="B23" s="108"/>
      <c r="C23" s="108"/>
      <c r="D23" s="111"/>
      <c r="E23" s="169"/>
      <c r="F23" s="108"/>
      <c r="G23" s="186"/>
      <c r="H23" s="109"/>
      <c r="I23" s="108"/>
      <c r="J23" s="110" t="s">
        <v>18</v>
      </c>
      <c r="K23" s="269">
        <f>SUM(K24:K40)</f>
        <v>0</v>
      </c>
    </row>
    <row r="24" spans="1:17" hidden="1" x14ac:dyDescent="0.35">
      <c r="A24" s="103"/>
      <c r="B24" s="7" t="s">
        <v>2</v>
      </c>
      <c r="C24" s="14" t="s">
        <v>19</v>
      </c>
      <c r="D24" s="152"/>
      <c r="E24" s="170"/>
      <c r="F24" s="153" t="str">
        <f t="shared" ref="F24:F88" si="0">IF(E24="","",IF(D24-E24&gt;0,D24-E24,""))</f>
        <v/>
      </c>
      <c r="G24" s="256"/>
      <c r="H24" s="166">
        <f t="shared" ref="H24:H45" si="1">IF(ISNUMBER(E24),E24,0)+IF(ISNUMBER(F24),F24,0)-IF(ISNUMBER(G24),G24,0)</f>
        <v>0</v>
      </c>
      <c r="I24" s="10" t="s">
        <v>20</v>
      </c>
      <c r="J24" s="11">
        <v>55.95</v>
      </c>
      <c r="K24" s="12">
        <f t="shared" ref="K24:K27" si="2">G24*J24</f>
        <v>0</v>
      </c>
    </row>
    <row r="25" spans="1:17" hidden="1" x14ac:dyDescent="0.35">
      <c r="A25" s="103"/>
      <c r="B25" s="7" t="s">
        <v>2</v>
      </c>
      <c r="C25" s="14" t="s">
        <v>209</v>
      </c>
      <c r="D25" s="152"/>
      <c r="E25" s="170"/>
      <c r="F25" s="153" t="str">
        <f t="shared" si="0"/>
        <v/>
      </c>
      <c r="G25" s="256"/>
      <c r="H25" s="166">
        <f t="shared" si="1"/>
        <v>0</v>
      </c>
      <c r="I25" s="10" t="s">
        <v>20</v>
      </c>
      <c r="J25" s="11">
        <v>173.1</v>
      </c>
      <c r="K25" s="12">
        <f t="shared" si="2"/>
        <v>0</v>
      </c>
    </row>
    <row r="26" spans="1:17" hidden="1" x14ac:dyDescent="0.35">
      <c r="A26" s="103"/>
      <c r="B26" s="12" t="s">
        <v>2</v>
      </c>
      <c r="C26" s="10" t="s">
        <v>21</v>
      </c>
      <c r="D26" s="152"/>
      <c r="E26" s="170"/>
      <c r="F26" s="153" t="str">
        <f t="shared" si="0"/>
        <v/>
      </c>
      <c r="G26" s="256"/>
      <c r="H26" s="166">
        <f t="shared" si="1"/>
        <v>0</v>
      </c>
      <c r="I26" s="10" t="s">
        <v>20</v>
      </c>
      <c r="J26" s="11">
        <v>75.400000000000006</v>
      </c>
      <c r="K26" s="12">
        <f t="shared" si="2"/>
        <v>0</v>
      </c>
    </row>
    <row r="27" spans="1:17" hidden="1" x14ac:dyDescent="0.35">
      <c r="A27" s="103"/>
      <c r="B27" s="12" t="s">
        <v>2</v>
      </c>
      <c r="C27" s="10" t="s">
        <v>210</v>
      </c>
      <c r="D27" s="152"/>
      <c r="E27" s="170"/>
      <c r="F27" s="153" t="str">
        <f t="shared" si="0"/>
        <v/>
      </c>
      <c r="G27" s="257"/>
      <c r="H27" s="166">
        <f t="shared" si="1"/>
        <v>0</v>
      </c>
      <c r="I27" s="10" t="s">
        <v>20</v>
      </c>
      <c r="J27" s="11">
        <v>84.9</v>
      </c>
      <c r="K27" s="12">
        <f t="shared" si="2"/>
        <v>0</v>
      </c>
    </row>
    <row r="28" spans="1:17" hidden="1" x14ac:dyDescent="0.35">
      <c r="A28" s="103"/>
      <c r="B28" s="12" t="s">
        <v>2</v>
      </c>
      <c r="C28" s="10" t="s">
        <v>211</v>
      </c>
      <c r="D28" s="152"/>
      <c r="E28" s="170"/>
      <c r="F28" s="153" t="str">
        <f t="shared" si="0"/>
        <v/>
      </c>
      <c r="G28" s="256"/>
      <c r="H28" s="166">
        <f t="shared" si="1"/>
        <v>0</v>
      </c>
      <c r="I28" s="10" t="s">
        <v>20</v>
      </c>
      <c r="J28" s="11">
        <v>2.96</v>
      </c>
      <c r="K28" s="12">
        <f>H28*J28</f>
        <v>0</v>
      </c>
    </row>
    <row r="29" spans="1:17" hidden="1" x14ac:dyDescent="0.35">
      <c r="A29" s="103"/>
      <c r="B29" s="12" t="s">
        <v>2</v>
      </c>
      <c r="C29" s="10" t="s">
        <v>212</v>
      </c>
      <c r="D29" s="152"/>
      <c r="E29" s="170"/>
      <c r="F29" s="153" t="str">
        <f t="shared" si="0"/>
        <v/>
      </c>
      <c r="G29" s="256"/>
      <c r="H29" s="166">
        <f t="shared" si="1"/>
        <v>0</v>
      </c>
      <c r="I29" s="10" t="s">
        <v>20</v>
      </c>
      <c r="J29" s="11">
        <v>2.96</v>
      </c>
      <c r="K29" s="12">
        <f t="shared" ref="K29:K40" si="3">H29*J29</f>
        <v>0</v>
      </c>
    </row>
    <row r="30" spans="1:17" hidden="1" x14ac:dyDescent="0.35">
      <c r="A30" s="103"/>
      <c r="B30" s="12" t="s">
        <v>2</v>
      </c>
      <c r="C30" s="10" t="s">
        <v>213</v>
      </c>
      <c r="D30" s="152"/>
      <c r="E30" s="170"/>
      <c r="F30" s="153" t="str">
        <f t="shared" si="0"/>
        <v/>
      </c>
      <c r="G30" s="256"/>
      <c r="H30" s="166">
        <f t="shared" si="1"/>
        <v>0</v>
      </c>
      <c r="I30" s="10" t="s">
        <v>20</v>
      </c>
      <c r="J30" s="11">
        <v>2.96</v>
      </c>
      <c r="K30" s="12">
        <f t="shared" si="3"/>
        <v>0</v>
      </c>
      <c r="Q30" s="268"/>
    </row>
    <row r="31" spans="1:17" hidden="1" x14ac:dyDescent="0.35">
      <c r="A31" s="103"/>
      <c r="B31" s="7" t="s">
        <v>2</v>
      </c>
      <c r="C31" s="14" t="s">
        <v>22</v>
      </c>
      <c r="D31" s="152"/>
      <c r="E31" s="170"/>
      <c r="F31" s="153" t="str">
        <f t="shared" si="0"/>
        <v/>
      </c>
      <c r="G31" s="256"/>
      <c r="H31" s="166">
        <f t="shared" si="1"/>
        <v>0</v>
      </c>
      <c r="I31" s="10" t="s">
        <v>20</v>
      </c>
      <c r="J31" s="11">
        <v>107.2</v>
      </c>
      <c r="K31" s="12">
        <f t="shared" si="3"/>
        <v>0</v>
      </c>
    </row>
    <row r="32" spans="1:17" hidden="1" x14ac:dyDescent="0.35">
      <c r="A32" s="103"/>
      <c r="B32" s="7" t="s">
        <v>2</v>
      </c>
      <c r="C32" s="14" t="s">
        <v>214</v>
      </c>
      <c r="D32" s="152"/>
      <c r="E32" s="170"/>
      <c r="F32" s="153" t="str">
        <f t="shared" si="0"/>
        <v/>
      </c>
      <c r="G32" s="256"/>
      <c r="H32" s="166">
        <f t="shared" si="1"/>
        <v>0</v>
      </c>
      <c r="I32" s="10" t="s">
        <v>20</v>
      </c>
      <c r="J32" s="11">
        <v>170.7</v>
      </c>
      <c r="K32" s="12">
        <f t="shared" si="3"/>
        <v>0</v>
      </c>
      <c r="M32" s="87"/>
    </row>
    <row r="33" spans="1:14" hidden="1" x14ac:dyDescent="0.35">
      <c r="A33" s="103"/>
      <c r="B33" s="12" t="s">
        <v>2</v>
      </c>
      <c r="C33" s="10" t="s">
        <v>215</v>
      </c>
      <c r="D33" s="152"/>
      <c r="E33" s="170"/>
      <c r="F33" s="153" t="str">
        <f t="shared" si="0"/>
        <v/>
      </c>
      <c r="G33" s="256"/>
      <c r="H33" s="166">
        <f t="shared" si="1"/>
        <v>0</v>
      </c>
      <c r="I33" s="10" t="s">
        <v>216</v>
      </c>
      <c r="J33" s="11">
        <v>3.77</v>
      </c>
      <c r="K33" s="12">
        <f t="shared" si="3"/>
        <v>0</v>
      </c>
    </row>
    <row r="34" spans="1:14" hidden="1" x14ac:dyDescent="0.35">
      <c r="A34" s="103"/>
      <c r="B34" s="12" t="s">
        <v>2</v>
      </c>
      <c r="C34" s="10" t="s">
        <v>217</v>
      </c>
      <c r="D34" s="152"/>
      <c r="E34" s="170"/>
      <c r="F34" s="153" t="str">
        <f t="shared" si="0"/>
        <v/>
      </c>
      <c r="G34" s="256"/>
      <c r="H34" s="166">
        <f t="shared" si="1"/>
        <v>0</v>
      </c>
      <c r="I34" s="10" t="s">
        <v>20</v>
      </c>
      <c r="J34" s="11">
        <v>2.56</v>
      </c>
      <c r="K34" s="12">
        <f t="shared" si="3"/>
        <v>0</v>
      </c>
      <c r="N34" s="87"/>
    </row>
    <row r="35" spans="1:14" hidden="1" x14ac:dyDescent="0.35">
      <c r="A35" s="103"/>
      <c r="B35" s="12" t="s">
        <v>2</v>
      </c>
      <c r="C35" s="10" t="s">
        <v>218</v>
      </c>
      <c r="D35" s="152"/>
      <c r="E35" s="170"/>
      <c r="F35" s="153" t="str">
        <f t="shared" si="0"/>
        <v/>
      </c>
      <c r="G35" s="256"/>
      <c r="H35" s="166">
        <f t="shared" si="1"/>
        <v>0</v>
      </c>
      <c r="I35" s="10" t="s">
        <v>20</v>
      </c>
      <c r="J35" s="11">
        <v>3.08</v>
      </c>
      <c r="K35" s="12">
        <f t="shared" si="3"/>
        <v>0</v>
      </c>
    </row>
    <row r="36" spans="1:14" hidden="1" x14ac:dyDescent="0.35">
      <c r="A36" s="103"/>
      <c r="B36" s="12" t="s">
        <v>2</v>
      </c>
      <c r="C36" s="10" t="s">
        <v>219</v>
      </c>
      <c r="D36" s="152"/>
      <c r="E36" s="170"/>
      <c r="F36" s="153" t="str">
        <f t="shared" si="0"/>
        <v/>
      </c>
      <c r="G36" s="256"/>
      <c r="H36" s="166">
        <f t="shared" si="1"/>
        <v>0</v>
      </c>
      <c r="I36" s="10" t="s">
        <v>20</v>
      </c>
      <c r="J36" s="11">
        <v>2.56</v>
      </c>
      <c r="K36" s="12">
        <f t="shared" si="3"/>
        <v>0</v>
      </c>
    </row>
    <row r="37" spans="1:14" hidden="1" x14ac:dyDescent="0.35">
      <c r="A37" s="103"/>
      <c r="B37" s="12" t="s">
        <v>2</v>
      </c>
      <c r="C37" s="10" t="s">
        <v>220</v>
      </c>
      <c r="D37" s="152"/>
      <c r="E37" s="170"/>
      <c r="F37" s="153" t="str">
        <f t="shared" si="0"/>
        <v/>
      </c>
      <c r="G37" s="256"/>
      <c r="H37" s="166">
        <f t="shared" si="1"/>
        <v>0</v>
      </c>
      <c r="I37" s="10" t="s">
        <v>20</v>
      </c>
      <c r="J37" s="11">
        <v>1.41</v>
      </c>
      <c r="K37" s="12">
        <f t="shared" si="3"/>
        <v>0</v>
      </c>
    </row>
    <row r="38" spans="1:14" hidden="1" x14ac:dyDescent="0.35">
      <c r="A38" s="103"/>
      <c r="B38" s="12" t="s">
        <v>2</v>
      </c>
      <c r="C38" s="10" t="s">
        <v>221</v>
      </c>
      <c r="D38" s="152"/>
      <c r="E38" s="170"/>
      <c r="F38" s="153" t="str">
        <f t="shared" si="0"/>
        <v/>
      </c>
      <c r="G38" s="256"/>
      <c r="H38" s="166">
        <f t="shared" si="1"/>
        <v>0</v>
      </c>
      <c r="I38" s="10" t="s">
        <v>20</v>
      </c>
      <c r="J38" s="11">
        <v>1.73</v>
      </c>
      <c r="K38" s="12">
        <f t="shared" si="3"/>
        <v>0</v>
      </c>
    </row>
    <row r="39" spans="1:14" hidden="1" x14ac:dyDescent="0.35">
      <c r="A39" s="103"/>
      <c r="B39" s="12" t="s">
        <v>2</v>
      </c>
      <c r="C39" s="10" t="s">
        <v>222</v>
      </c>
      <c r="D39" s="152"/>
      <c r="E39" s="170"/>
      <c r="F39" s="153" t="str">
        <f t="shared" si="0"/>
        <v/>
      </c>
      <c r="G39" s="256"/>
      <c r="H39" s="166">
        <f t="shared" si="1"/>
        <v>0</v>
      </c>
      <c r="I39" s="10" t="s">
        <v>20</v>
      </c>
      <c r="J39" s="11">
        <v>1.46</v>
      </c>
      <c r="K39" s="12">
        <f t="shared" si="3"/>
        <v>0</v>
      </c>
    </row>
    <row r="40" spans="1:14" hidden="1" x14ac:dyDescent="0.35">
      <c r="A40" s="103"/>
      <c r="B40" s="12" t="s">
        <v>2</v>
      </c>
      <c r="C40" s="10" t="s">
        <v>223</v>
      </c>
      <c r="D40" s="222"/>
      <c r="E40" s="252"/>
      <c r="F40" s="153" t="str">
        <f t="shared" si="0"/>
        <v/>
      </c>
      <c r="G40" s="256"/>
      <c r="H40" s="166">
        <f t="shared" si="1"/>
        <v>0</v>
      </c>
      <c r="I40" s="10" t="s">
        <v>20</v>
      </c>
      <c r="J40" s="77">
        <v>3.45</v>
      </c>
      <c r="K40" s="12">
        <f t="shared" si="3"/>
        <v>0</v>
      </c>
    </row>
    <row r="41" spans="1:14" ht="15.5" x14ac:dyDescent="0.35">
      <c r="A41" s="108" t="s">
        <v>119</v>
      </c>
      <c r="B41" s="108"/>
      <c r="C41" s="108"/>
      <c r="D41" s="223"/>
      <c r="E41" s="286" t="s">
        <v>421</v>
      </c>
      <c r="F41" s="165"/>
      <c r="G41" s="286"/>
      <c r="H41" s="247"/>
      <c r="I41" s="108"/>
      <c r="J41" s="106" t="s">
        <v>18</v>
      </c>
      <c r="K41" s="269">
        <f>SUM(K42:K49)</f>
        <v>0</v>
      </c>
    </row>
    <row r="42" spans="1:14" hidden="1" x14ac:dyDescent="0.35">
      <c r="A42" s="103"/>
      <c r="B42" s="12" t="s">
        <v>7</v>
      </c>
      <c r="C42" s="10" t="s">
        <v>224</v>
      </c>
      <c r="D42" s="152"/>
      <c r="E42" s="170"/>
      <c r="F42" s="153" t="str">
        <f t="shared" si="0"/>
        <v/>
      </c>
      <c r="G42" s="256"/>
      <c r="H42" s="166">
        <f t="shared" si="1"/>
        <v>0</v>
      </c>
      <c r="I42" s="10" t="s">
        <v>20</v>
      </c>
      <c r="J42" s="11">
        <v>100</v>
      </c>
      <c r="K42" s="12">
        <f t="shared" ref="K42:K49" si="4">G42*J42</f>
        <v>0</v>
      </c>
    </row>
    <row r="43" spans="1:14" hidden="1" x14ac:dyDescent="0.35">
      <c r="A43" s="103"/>
      <c r="B43" s="12" t="s">
        <v>7</v>
      </c>
      <c r="C43" s="10" t="s">
        <v>225</v>
      </c>
      <c r="D43" s="152"/>
      <c r="E43" s="170"/>
      <c r="F43" s="153" t="str">
        <f t="shared" si="0"/>
        <v/>
      </c>
      <c r="G43" s="256"/>
      <c r="H43" s="166">
        <f t="shared" si="1"/>
        <v>0</v>
      </c>
      <c r="I43" s="10" t="s">
        <v>20</v>
      </c>
      <c r="J43" s="11">
        <v>12.2</v>
      </c>
      <c r="K43" s="12">
        <f t="shared" si="4"/>
        <v>0</v>
      </c>
    </row>
    <row r="44" spans="1:14" hidden="1" x14ac:dyDescent="0.35">
      <c r="A44" s="103"/>
      <c r="B44" s="12" t="s">
        <v>7</v>
      </c>
      <c r="C44" s="10" t="s">
        <v>226</v>
      </c>
      <c r="D44" s="152"/>
      <c r="E44" s="170"/>
      <c r="F44" s="153" t="str">
        <f t="shared" si="0"/>
        <v/>
      </c>
      <c r="G44" s="256"/>
      <c r="H44" s="166">
        <f t="shared" si="1"/>
        <v>0</v>
      </c>
      <c r="I44" s="10" t="s">
        <v>20</v>
      </c>
      <c r="J44" s="11">
        <v>11</v>
      </c>
      <c r="K44" s="12">
        <f t="shared" si="4"/>
        <v>0</v>
      </c>
    </row>
    <row r="45" spans="1:14" hidden="1" x14ac:dyDescent="0.35">
      <c r="A45" s="103"/>
      <c r="B45" s="12" t="s">
        <v>7</v>
      </c>
      <c r="C45" s="10" t="s">
        <v>227</v>
      </c>
      <c r="D45" s="152"/>
      <c r="E45" s="170"/>
      <c r="F45" s="153" t="str">
        <f t="shared" si="0"/>
        <v/>
      </c>
      <c r="G45" s="256"/>
      <c r="H45" s="166">
        <f t="shared" si="1"/>
        <v>0</v>
      </c>
      <c r="I45" s="10" t="s">
        <v>20</v>
      </c>
      <c r="J45" s="11">
        <v>5</v>
      </c>
      <c r="K45" s="12">
        <f t="shared" si="4"/>
        <v>0</v>
      </c>
    </row>
    <row r="46" spans="1:14" x14ac:dyDescent="0.35">
      <c r="A46" s="103"/>
      <c r="B46" s="12" t="s">
        <v>7</v>
      </c>
      <c r="C46" s="10" t="s">
        <v>46</v>
      </c>
      <c r="D46" s="152"/>
      <c r="E46" s="170"/>
      <c r="F46" s="153" t="str">
        <f t="shared" si="0"/>
        <v/>
      </c>
      <c r="G46" s="256"/>
      <c r="H46" s="166">
        <f>IF(ISNUMBER(E46),E46,0)+IF(ISNUMBER(F46),F46,0)-IF(ISNUMBER(G46),G46,0)</f>
        <v>0</v>
      </c>
      <c r="I46" s="10" t="s">
        <v>20</v>
      </c>
      <c r="J46" s="11">
        <v>5</v>
      </c>
      <c r="K46" s="12">
        <f>H46*J46</f>
        <v>0</v>
      </c>
    </row>
    <row r="47" spans="1:14" hidden="1" x14ac:dyDescent="0.35">
      <c r="A47" s="103"/>
      <c r="B47" s="12" t="s">
        <v>7</v>
      </c>
      <c r="C47" s="10" t="s">
        <v>228</v>
      </c>
      <c r="D47" s="152"/>
      <c r="E47" s="170"/>
      <c r="F47" s="153" t="str">
        <f t="shared" si="0"/>
        <v/>
      </c>
      <c r="G47" s="256"/>
      <c r="H47" s="166">
        <f t="shared" ref="H47:H110" si="5">IF(ISNUMBER(E47),E47,0)+IF(ISNUMBER(F47),F47,0)-IF(ISNUMBER(G47),G47,0)</f>
        <v>0</v>
      </c>
      <c r="I47" s="10" t="s">
        <v>20</v>
      </c>
      <c r="J47" s="11">
        <v>11</v>
      </c>
      <c r="K47" s="12">
        <f t="shared" ref="K47:K48" si="6">H47*J47</f>
        <v>0</v>
      </c>
    </row>
    <row r="48" spans="1:14" x14ac:dyDescent="0.35">
      <c r="A48" s="103"/>
      <c r="B48" s="12" t="s">
        <v>7</v>
      </c>
      <c r="C48" s="10" t="s">
        <v>229</v>
      </c>
      <c r="D48" s="152"/>
      <c r="E48" s="170"/>
      <c r="F48" s="153" t="str">
        <f t="shared" si="0"/>
        <v/>
      </c>
      <c r="G48" s="256"/>
      <c r="H48" s="166">
        <f t="shared" si="5"/>
        <v>0</v>
      </c>
      <c r="I48" s="10" t="s">
        <v>20</v>
      </c>
      <c r="J48" s="11">
        <v>50</v>
      </c>
      <c r="K48" s="12">
        <f t="shared" si="6"/>
        <v>0</v>
      </c>
    </row>
    <row r="49" spans="1:12" hidden="1" x14ac:dyDescent="0.35">
      <c r="A49" s="103"/>
      <c r="B49" s="12" t="s">
        <v>7</v>
      </c>
      <c r="C49" s="78" t="s">
        <v>206</v>
      </c>
      <c r="D49" s="224"/>
      <c r="E49" s="170"/>
      <c r="F49" s="153" t="str">
        <f t="shared" si="0"/>
        <v/>
      </c>
      <c r="G49" s="256"/>
      <c r="H49" s="166">
        <f t="shared" si="5"/>
        <v>0</v>
      </c>
      <c r="I49" s="10" t="s">
        <v>20</v>
      </c>
      <c r="J49" s="79">
        <v>5</v>
      </c>
      <c r="K49" s="12">
        <f t="shared" si="4"/>
        <v>0</v>
      </c>
    </row>
    <row r="50" spans="1:12" ht="15.5" x14ac:dyDescent="0.35">
      <c r="A50" s="103"/>
      <c r="B50" s="104" t="s">
        <v>230</v>
      </c>
      <c r="C50" s="105"/>
      <c r="D50" s="225"/>
      <c r="E50" s="250"/>
      <c r="F50" s="165" t="str">
        <f t="shared" si="0"/>
        <v/>
      </c>
      <c r="G50" s="258"/>
      <c r="H50" s="247"/>
      <c r="I50" s="105"/>
      <c r="J50" s="106" t="s">
        <v>18</v>
      </c>
      <c r="K50" s="269">
        <f>SUM(K52:K77)</f>
        <v>233.7</v>
      </c>
    </row>
    <row r="51" spans="1:12" ht="15.5" x14ac:dyDescent="0.35">
      <c r="A51" s="111"/>
      <c r="B51" s="126" t="s">
        <v>231</v>
      </c>
      <c r="C51" s="127"/>
      <c r="D51" s="226"/>
      <c r="E51" s="250"/>
      <c r="F51" s="165" t="str">
        <f t="shared" si="0"/>
        <v/>
      </c>
      <c r="G51" s="259"/>
      <c r="H51" s="247"/>
      <c r="I51" s="127"/>
      <c r="J51" s="127"/>
      <c r="K51" s="128"/>
    </row>
    <row r="52" spans="1:12" x14ac:dyDescent="0.35">
      <c r="A52" s="103"/>
      <c r="B52" s="12" t="s">
        <v>13</v>
      </c>
      <c r="C52" s="10" t="s">
        <v>78</v>
      </c>
      <c r="D52" s="152">
        <v>6</v>
      </c>
      <c r="E52" s="170">
        <v>6</v>
      </c>
      <c r="F52" s="153" t="str">
        <f t="shared" si="0"/>
        <v/>
      </c>
      <c r="G52" s="256"/>
      <c r="H52" s="166">
        <f t="shared" si="5"/>
        <v>6</v>
      </c>
      <c r="I52" s="10" t="s">
        <v>20</v>
      </c>
      <c r="J52" s="11">
        <v>13</v>
      </c>
      <c r="K52" s="12">
        <f>H52*J52</f>
        <v>78</v>
      </c>
    </row>
    <row r="53" spans="1:12" hidden="1" x14ac:dyDescent="0.35">
      <c r="A53" s="103"/>
      <c r="B53" s="12" t="s">
        <v>13</v>
      </c>
      <c r="C53" s="10" t="s">
        <v>232</v>
      </c>
      <c r="D53" s="152"/>
      <c r="E53" s="170"/>
      <c r="F53" s="153" t="str">
        <f t="shared" si="0"/>
        <v/>
      </c>
      <c r="G53" s="256"/>
      <c r="H53" s="166">
        <f t="shared" si="5"/>
        <v>0</v>
      </c>
      <c r="I53" s="10" t="s">
        <v>20</v>
      </c>
      <c r="J53" s="11">
        <v>13</v>
      </c>
      <c r="K53" s="12">
        <f t="shared" ref="K53:K77" si="7">H53*J53</f>
        <v>0</v>
      </c>
      <c r="L53" s="87"/>
    </row>
    <row r="54" spans="1:12" hidden="1" x14ac:dyDescent="0.35">
      <c r="A54" s="103"/>
      <c r="B54" s="12" t="s">
        <v>13</v>
      </c>
      <c r="C54" s="10" t="s">
        <v>233</v>
      </c>
      <c r="D54" s="152"/>
      <c r="E54" s="170"/>
      <c r="F54" s="153" t="str">
        <f t="shared" si="0"/>
        <v/>
      </c>
      <c r="G54" s="256"/>
      <c r="H54" s="166">
        <f t="shared" si="5"/>
        <v>0</v>
      </c>
      <c r="I54" s="10" t="s">
        <v>20</v>
      </c>
      <c r="J54" s="11">
        <v>8.9</v>
      </c>
      <c r="K54" s="12">
        <f t="shared" si="7"/>
        <v>0</v>
      </c>
    </row>
    <row r="55" spans="1:12" x14ac:dyDescent="0.35">
      <c r="A55" s="103"/>
      <c r="B55" s="12" t="s">
        <v>13</v>
      </c>
      <c r="C55" s="10" t="s">
        <v>32</v>
      </c>
      <c r="D55" s="152">
        <v>6</v>
      </c>
      <c r="E55" s="170">
        <v>1</v>
      </c>
      <c r="F55" s="153">
        <f t="shared" si="0"/>
        <v>5</v>
      </c>
      <c r="G55" s="256"/>
      <c r="H55" s="166">
        <f t="shared" si="5"/>
        <v>6</v>
      </c>
      <c r="I55" s="10" t="s">
        <v>20</v>
      </c>
      <c r="J55" s="11">
        <v>8.35</v>
      </c>
      <c r="K55" s="12">
        <f t="shared" si="7"/>
        <v>50.099999999999994</v>
      </c>
    </row>
    <row r="56" spans="1:12" x14ac:dyDescent="0.35">
      <c r="A56" s="103"/>
      <c r="B56" s="12" t="s">
        <v>13</v>
      </c>
      <c r="C56" s="10" t="s">
        <v>33</v>
      </c>
      <c r="D56" s="152">
        <v>6</v>
      </c>
      <c r="E56" s="170">
        <v>1</v>
      </c>
      <c r="F56" s="153">
        <f t="shared" si="0"/>
        <v>5</v>
      </c>
      <c r="G56" s="256"/>
      <c r="H56" s="166">
        <f t="shared" si="5"/>
        <v>6</v>
      </c>
      <c r="I56" s="10" t="s">
        <v>20</v>
      </c>
      <c r="J56" s="11">
        <v>8.9</v>
      </c>
      <c r="K56" s="12">
        <f t="shared" si="7"/>
        <v>53.400000000000006</v>
      </c>
    </row>
    <row r="57" spans="1:12" x14ac:dyDescent="0.35">
      <c r="A57" s="103"/>
      <c r="B57" s="12" t="s">
        <v>13</v>
      </c>
      <c r="C57" s="10" t="s">
        <v>59</v>
      </c>
      <c r="D57" s="152">
        <v>6</v>
      </c>
      <c r="E57" s="170">
        <v>6</v>
      </c>
      <c r="F57" s="153" t="str">
        <f t="shared" si="0"/>
        <v/>
      </c>
      <c r="G57" s="256"/>
      <c r="H57" s="166">
        <f t="shared" si="5"/>
        <v>6</v>
      </c>
      <c r="I57" s="10" t="s">
        <v>20</v>
      </c>
      <c r="J57" s="11">
        <v>8.6999999999999993</v>
      </c>
      <c r="K57" s="12">
        <f t="shared" si="7"/>
        <v>52.199999999999996</v>
      </c>
    </row>
    <row r="58" spans="1:12" hidden="1" x14ac:dyDescent="0.35">
      <c r="A58" s="103"/>
      <c r="B58" s="12" t="s">
        <v>13</v>
      </c>
      <c r="C58" s="10" t="s">
        <v>234</v>
      </c>
      <c r="D58" s="152"/>
      <c r="E58" s="170"/>
      <c r="F58" s="153" t="str">
        <f t="shared" si="0"/>
        <v/>
      </c>
      <c r="G58" s="256"/>
      <c r="H58" s="166">
        <f t="shared" si="5"/>
        <v>0</v>
      </c>
      <c r="I58" s="10" t="s">
        <v>20</v>
      </c>
      <c r="J58" s="11">
        <v>12.15</v>
      </c>
      <c r="K58" s="12">
        <f t="shared" si="7"/>
        <v>0</v>
      </c>
    </row>
    <row r="59" spans="1:12" hidden="1" x14ac:dyDescent="0.35">
      <c r="A59" s="103"/>
      <c r="B59" s="12" t="s">
        <v>13</v>
      </c>
      <c r="C59" s="10" t="s">
        <v>235</v>
      </c>
      <c r="D59" s="152"/>
      <c r="E59" s="170"/>
      <c r="F59" s="153" t="str">
        <f t="shared" si="0"/>
        <v/>
      </c>
      <c r="G59" s="256"/>
      <c r="H59" s="166">
        <f t="shared" si="5"/>
        <v>0</v>
      </c>
      <c r="I59" s="10" t="s">
        <v>20</v>
      </c>
      <c r="J59" s="11">
        <v>11.35</v>
      </c>
      <c r="K59" s="12">
        <f t="shared" si="7"/>
        <v>0</v>
      </c>
    </row>
    <row r="60" spans="1:12" hidden="1" x14ac:dyDescent="0.35">
      <c r="A60" s="103"/>
      <c r="B60" s="12" t="s">
        <v>13</v>
      </c>
      <c r="C60" s="10" t="s">
        <v>236</v>
      </c>
      <c r="D60" s="152"/>
      <c r="E60" s="170"/>
      <c r="F60" s="153" t="str">
        <f t="shared" si="0"/>
        <v/>
      </c>
      <c r="G60" s="256"/>
      <c r="H60" s="166">
        <f t="shared" si="5"/>
        <v>0</v>
      </c>
      <c r="I60" s="10" t="s">
        <v>20</v>
      </c>
      <c r="J60" s="11">
        <v>14.65</v>
      </c>
      <c r="K60" s="12">
        <f t="shared" si="7"/>
        <v>0</v>
      </c>
    </row>
    <row r="61" spans="1:12" hidden="1" x14ac:dyDescent="0.35">
      <c r="A61" s="103"/>
      <c r="B61" s="12" t="s">
        <v>13</v>
      </c>
      <c r="C61" s="10" t="s">
        <v>237</v>
      </c>
      <c r="D61" s="152"/>
      <c r="E61" s="170"/>
      <c r="F61" s="153" t="str">
        <f t="shared" si="0"/>
        <v/>
      </c>
      <c r="G61" s="256"/>
      <c r="H61" s="166">
        <f t="shared" si="5"/>
        <v>0</v>
      </c>
      <c r="I61" s="10" t="s">
        <v>20</v>
      </c>
      <c r="J61" s="11">
        <v>16.25</v>
      </c>
      <c r="K61" s="12">
        <f t="shared" si="7"/>
        <v>0</v>
      </c>
    </row>
    <row r="62" spans="1:12" hidden="1" x14ac:dyDescent="0.35">
      <c r="A62" s="103"/>
      <c r="B62" s="12" t="s">
        <v>13</v>
      </c>
      <c r="C62" s="10" t="s">
        <v>238</v>
      </c>
      <c r="D62" s="152"/>
      <c r="E62" s="170"/>
      <c r="F62" s="153" t="str">
        <f t="shared" si="0"/>
        <v/>
      </c>
      <c r="G62" s="256"/>
      <c r="H62" s="166">
        <f t="shared" si="5"/>
        <v>0</v>
      </c>
      <c r="I62" s="10" t="s">
        <v>20</v>
      </c>
      <c r="J62" s="11">
        <v>17.899999999999999</v>
      </c>
      <c r="K62" s="12">
        <f t="shared" si="7"/>
        <v>0</v>
      </c>
    </row>
    <row r="63" spans="1:12" hidden="1" x14ac:dyDescent="0.35">
      <c r="A63" s="103"/>
      <c r="B63" s="12" t="s">
        <v>13</v>
      </c>
      <c r="C63" s="10" t="s">
        <v>239</v>
      </c>
      <c r="D63" s="152"/>
      <c r="E63" s="170"/>
      <c r="F63" s="153" t="str">
        <f t="shared" si="0"/>
        <v/>
      </c>
      <c r="G63" s="256"/>
      <c r="H63" s="166">
        <f t="shared" si="5"/>
        <v>0</v>
      </c>
      <c r="I63" s="10" t="s">
        <v>20</v>
      </c>
      <c r="J63" s="11">
        <v>15.95</v>
      </c>
      <c r="K63" s="12">
        <f t="shared" si="7"/>
        <v>0</v>
      </c>
    </row>
    <row r="64" spans="1:12" hidden="1" x14ac:dyDescent="0.35">
      <c r="A64" s="103"/>
      <c r="B64" s="12" t="s">
        <v>13</v>
      </c>
      <c r="C64" s="10" t="s">
        <v>240</v>
      </c>
      <c r="D64" s="152"/>
      <c r="E64" s="170"/>
      <c r="F64" s="153" t="str">
        <f t="shared" si="0"/>
        <v/>
      </c>
      <c r="G64" s="256"/>
      <c r="H64" s="166">
        <f t="shared" si="5"/>
        <v>0</v>
      </c>
      <c r="I64" s="10" t="s">
        <v>20</v>
      </c>
      <c r="J64" s="11">
        <v>15.45</v>
      </c>
      <c r="K64" s="12">
        <f t="shared" si="7"/>
        <v>0</v>
      </c>
    </row>
    <row r="65" spans="1:15" ht="15.5" hidden="1" x14ac:dyDescent="0.35">
      <c r="A65" s="111"/>
      <c r="B65" s="126" t="s">
        <v>241</v>
      </c>
      <c r="C65" s="127"/>
      <c r="D65" s="226"/>
      <c r="E65" s="250"/>
      <c r="F65" s="165" t="str">
        <f t="shared" si="0"/>
        <v/>
      </c>
      <c r="G65" s="259"/>
      <c r="H65" s="247"/>
      <c r="I65" s="127"/>
      <c r="J65" s="127"/>
      <c r="K65" s="270"/>
    </row>
    <row r="66" spans="1:15" hidden="1" x14ac:dyDescent="0.35">
      <c r="A66" s="103"/>
      <c r="B66" s="12" t="s">
        <v>13</v>
      </c>
      <c r="C66" s="10" t="s">
        <v>242</v>
      </c>
      <c r="D66" s="152"/>
      <c r="E66" s="170"/>
      <c r="F66" s="153" t="str">
        <f t="shared" si="0"/>
        <v/>
      </c>
      <c r="G66" s="256"/>
      <c r="H66" s="166">
        <f t="shared" si="5"/>
        <v>0</v>
      </c>
      <c r="I66" s="10" t="s">
        <v>20</v>
      </c>
      <c r="J66" s="11">
        <v>31.05</v>
      </c>
      <c r="K66" s="12">
        <f t="shared" si="7"/>
        <v>0</v>
      </c>
    </row>
    <row r="67" spans="1:15" hidden="1" x14ac:dyDescent="0.35">
      <c r="A67" s="103"/>
      <c r="B67" s="12" t="s">
        <v>13</v>
      </c>
      <c r="C67" s="10" t="s">
        <v>243</v>
      </c>
      <c r="D67" s="152"/>
      <c r="E67" s="170"/>
      <c r="F67" s="153" t="str">
        <f t="shared" si="0"/>
        <v/>
      </c>
      <c r="G67" s="256"/>
      <c r="H67" s="166">
        <f t="shared" si="5"/>
        <v>0</v>
      </c>
      <c r="I67" s="10" t="s">
        <v>20</v>
      </c>
      <c r="J67" s="11">
        <v>60.79</v>
      </c>
      <c r="K67" s="12">
        <f t="shared" si="7"/>
        <v>0</v>
      </c>
    </row>
    <row r="68" spans="1:15" hidden="1" x14ac:dyDescent="0.35">
      <c r="A68" s="103"/>
      <c r="B68" s="12" t="s">
        <v>13</v>
      </c>
      <c r="C68" s="10" t="s">
        <v>244</v>
      </c>
      <c r="D68" s="152"/>
      <c r="E68" s="170"/>
      <c r="F68" s="153" t="str">
        <f t="shared" si="0"/>
        <v/>
      </c>
      <c r="G68" s="256"/>
      <c r="H68" s="166">
        <f t="shared" si="5"/>
        <v>0</v>
      </c>
      <c r="I68" s="10" t="s">
        <v>20</v>
      </c>
      <c r="J68" s="11">
        <v>56.55</v>
      </c>
      <c r="K68" s="12">
        <f t="shared" si="7"/>
        <v>0</v>
      </c>
    </row>
    <row r="69" spans="1:15" hidden="1" x14ac:dyDescent="0.35">
      <c r="A69" s="103"/>
      <c r="B69" s="12" t="s">
        <v>13</v>
      </c>
      <c r="C69" s="10" t="s">
        <v>245</v>
      </c>
      <c r="D69" s="152"/>
      <c r="E69" s="170"/>
      <c r="F69" s="153" t="str">
        <f t="shared" si="0"/>
        <v/>
      </c>
      <c r="G69" s="256"/>
      <c r="H69" s="166">
        <f t="shared" si="5"/>
        <v>0</v>
      </c>
      <c r="I69" s="10" t="s">
        <v>20</v>
      </c>
      <c r="J69" s="11">
        <v>107.44</v>
      </c>
      <c r="K69" s="12">
        <f t="shared" si="7"/>
        <v>0</v>
      </c>
    </row>
    <row r="70" spans="1:15" hidden="1" x14ac:dyDescent="0.35">
      <c r="A70" s="103"/>
      <c r="B70" s="12" t="s">
        <v>13</v>
      </c>
      <c r="C70" s="10" t="s">
        <v>246</v>
      </c>
      <c r="D70" s="152"/>
      <c r="E70" s="170"/>
      <c r="F70" s="153" t="str">
        <f t="shared" si="0"/>
        <v/>
      </c>
      <c r="G70" s="256"/>
      <c r="H70" s="166">
        <f t="shared" si="5"/>
        <v>0</v>
      </c>
      <c r="I70" s="10" t="s">
        <v>20</v>
      </c>
      <c r="J70" s="11">
        <v>47.4</v>
      </c>
      <c r="K70" s="12">
        <f t="shared" si="7"/>
        <v>0</v>
      </c>
    </row>
    <row r="71" spans="1:15" hidden="1" x14ac:dyDescent="0.35">
      <c r="A71" s="103"/>
      <c r="B71" s="12" t="s">
        <v>13</v>
      </c>
      <c r="C71" s="10" t="s">
        <v>247</v>
      </c>
      <c r="D71" s="152"/>
      <c r="E71" s="170"/>
      <c r="F71" s="153" t="str">
        <f t="shared" si="0"/>
        <v/>
      </c>
      <c r="G71" s="256"/>
      <c r="H71" s="166">
        <f t="shared" si="5"/>
        <v>0</v>
      </c>
      <c r="I71" s="10" t="s">
        <v>20</v>
      </c>
      <c r="J71" s="11">
        <v>87.63</v>
      </c>
      <c r="K71" s="12">
        <f t="shared" si="7"/>
        <v>0</v>
      </c>
    </row>
    <row r="72" spans="1:15" hidden="1" x14ac:dyDescent="0.35">
      <c r="A72" s="103"/>
      <c r="B72" s="12" t="s">
        <v>13</v>
      </c>
      <c r="C72" s="10" t="s">
        <v>248</v>
      </c>
      <c r="D72" s="152"/>
      <c r="E72" s="170"/>
      <c r="F72" s="153" t="str">
        <f t="shared" si="0"/>
        <v/>
      </c>
      <c r="G72" s="256"/>
      <c r="H72" s="166">
        <f t="shared" si="5"/>
        <v>0</v>
      </c>
      <c r="I72" s="10" t="s">
        <v>20</v>
      </c>
      <c r="J72" s="11">
        <v>52.31</v>
      </c>
      <c r="K72" s="12">
        <f t="shared" si="7"/>
        <v>0</v>
      </c>
    </row>
    <row r="73" spans="1:15" ht="15.5" hidden="1" x14ac:dyDescent="0.35">
      <c r="A73" s="111"/>
      <c r="B73" s="126" t="s">
        <v>249</v>
      </c>
      <c r="C73" s="127"/>
      <c r="D73" s="226"/>
      <c r="E73" s="170"/>
      <c r="F73" s="153" t="str">
        <f t="shared" si="0"/>
        <v/>
      </c>
      <c r="G73" s="259"/>
      <c r="H73" s="166">
        <f t="shared" si="5"/>
        <v>0</v>
      </c>
      <c r="I73" s="127"/>
      <c r="J73" s="127"/>
      <c r="K73" s="271"/>
    </row>
    <row r="74" spans="1:15" hidden="1" x14ac:dyDescent="0.35">
      <c r="A74" s="103"/>
      <c r="B74" s="12" t="s">
        <v>13</v>
      </c>
      <c r="C74" s="10" t="s">
        <v>250</v>
      </c>
      <c r="D74" s="152"/>
      <c r="E74" s="170"/>
      <c r="F74" s="153" t="str">
        <f t="shared" si="0"/>
        <v/>
      </c>
      <c r="G74" s="256"/>
      <c r="H74" s="166">
        <f t="shared" si="5"/>
        <v>0</v>
      </c>
      <c r="I74" s="10" t="s">
        <v>20</v>
      </c>
      <c r="J74" s="11">
        <v>10.8</v>
      </c>
      <c r="K74" s="12">
        <f t="shared" si="7"/>
        <v>0</v>
      </c>
    </row>
    <row r="75" spans="1:15" hidden="1" x14ac:dyDescent="0.35">
      <c r="A75" s="103"/>
      <c r="B75" s="12" t="s">
        <v>13</v>
      </c>
      <c r="C75" s="10" t="s">
        <v>251</v>
      </c>
      <c r="D75" s="152"/>
      <c r="E75" s="170"/>
      <c r="F75" s="153" t="str">
        <f t="shared" si="0"/>
        <v/>
      </c>
      <c r="G75" s="256"/>
      <c r="H75" s="166">
        <f t="shared" si="5"/>
        <v>0</v>
      </c>
      <c r="I75" s="10" t="s">
        <v>20</v>
      </c>
      <c r="J75" s="11">
        <v>11.2</v>
      </c>
      <c r="K75" s="12">
        <f t="shared" si="7"/>
        <v>0</v>
      </c>
    </row>
    <row r="76" spans="1:15" x14ac:dyDescent="0.35">
      <c r="A76" s="103"/>
      <c r="B76" s="12" t="s">
        <v>13</v>
      </c>
      <c r="C76" s="10" t="s">
        <v>252</v>
      </c>
      <c r="D76" s="152"/>
      <c r="E76" s="170"/>
      <c r="F76" s="153" t="str">
        <f t="shared" si="0"/>
        <v/>
      </c>
      <c r="G76" s="256"/>
      <c r="H76" s="166">
        <f t="shared" si="5"/>
        <v>0</v>
      </c>
      <c r="I76" s="10" t="s">
        <v>23</v>
      </c>
      <c r="J76" s="11">
        <v>4.5599999999999996</v>
      </c>
      <c r="K76" s="12">
        <f t="shared" si="7"/>
        <v>0</v>
      </c>
    </row>
    <row r="77" spans="1:15" x14ac:dyDescent="0.35">
      <c r="A77" s="103"/>
      <c r="B77" s="12" t="s">
        <v>13</v>
      </c>
      <c r="C77" s="10" t="s">
        <v>253</v>
      </c>
      <c r="D77" s="152"/>
      <c r="E77" s="170"/>
      <c r="F77" s="153" t="str">
        <f t="shared" si="0"/>
        <v/>
      </c>
      <c r="G77" s="256"/>
      <c r="H77" s="166">
        <f t="shared" si="5"/>
        <v>0</v>
      </c>
      <c r="I77" s="10" t="s">
        <v>23</v>
      </c>
      <c r="J77" s="11">
        <v>37.700000000000003</v>
      </c>
      <c r="K77" s="12">
        <f t="shared" si="7"/>
        <v>0</v>
      </c>
      <c r="O77" s="87"/>
    </row>
    <row r="78" spans="1:15" ht="15.5" hidden="1" x14ac:dyDescent="0.35">
      <c r="A78" s="108" t="s">
        <v>254</v>
      </c>
      <c r="B78" s="108"/>
      <c r="C78" s="108"/>
      <c r="D78" s="223"/>
      <c r="E78" s="250"/>
      <c r="F78" s="165" t="str">
        <f t="shared" si="0"/>
        <v/>
      </c>
      <c r="G78" s="186"/>
      <c r="H78" s="247"/>
      <c r="I78" s="108"/>
      <c r="J78" s="110" t="s">
        <v>18</v>
      </c>
      <c r="K78" s="269">
        <f>SUM(K80:K121)</f>
        <v>0</v>
      </c>
    </row>
    <row r="79" spans="1:15" ht="15.5" hidden="1" x14ac:dyDescent="0.35">
      <c r="A79" s="111"/>
      <c r="B79" s="126" t="s">
        <v>255</v>
      </c>
      <c r="C79" s="127"/>
      <c r="D79" s="226"/>
      <c r="E79" s="250"/>
      <c r="F79" s="153" t="str">
        <f t="shared" si="0"/>
        <v/>
      </c>
      <c r="G79" s="259"/>
      <c r="H79" s="247"/>
      <c r="I79" s="127"/>
      <c r="J79" s="127"/>
      <c r="K79" s="128"/>
    </row>
    <row r="80" spans="1:15" hidden="1" x14ac:dyDescent="0.35">
      <c r="A80" s="103"/>
      <c r="B80" s="12" t="s">
        <v>3</v>
      </c>
      <c r="C80" s="10" t="s">
        <v>256</v>
      </c>
      <c r="D80" s="152"/>
      <c r="E80" s="170"/>
      <c r="F80" s="153" t="str">
        <f t="shared" si="0"/>
        <v/>
      </c>
      <c r="G80" s="256"/>
      <c r="H80" s="166">
        <f t="shared" si="5"/>
        <v>0</v>
      </c>
      <c r="I80" s="10" t="s">
        <v>20</v>
      </c>
      <c r="J80" s="11">
        <v>32.950000000000003</v>
      </c>
      <c r="K80" s="12">
        <f t="shared" ref="K80:K86" si="8">G80*J80</f>
        <v>0</v>
      </c>
    </row>
    <row r="81" spans="1:11" hidden="1" x14ac:dyDescent="0.35">
      <c r="A81" s="103"/>
      <c r="B81" s="12" t="s">
        <v>3</v>
      </c>
      <c r="C81" s="10" t="s">
        <v>257</v>
      </c>
      <c r="D81" s="152"/>
      <c r="E81" s="170"/>
      <c r="F81" s="153" t="str">
        <f t="shared" si="0"/>
        <v/>
      </c>
      <c r="G81" s="256"/>
      <c r="H81" s="166">
        <f t="shared" si="5"/>
        <v>0</v>
      </c>
      <c r="I81" s="10" t="s">
        <v>20</v>
      </c>
      <c r="J81" s="11">
        <v>56.95</v>
      </c>
      <c r="K81" s="12">
        <f t="shared" si="8"/>
        <v>0</v>
      </c>
    </row>
    <row r="82" spans="1:11" hidden="1" x14ac:dyDescent="0.35">
      <c r="A82" s="103"/>
      <c r="B82" s="12" t="s">
        <v>3</v>
      </c>
      <c r="C82" s="10" t="s">
        <v>258</v>
      </c>
      <c r="D82" s="152"/>
      <c r="E82" s="170"/>
      <c r="F82" s="153" t="str">
        <f t="shared" si="0"/>
        <v/>
      </c>
      <c r="G82" s="256"/>
      <c r="H82" s="166">
        <f t="shared" si="5"/>
        <v>0</v>
      </c>
      <c r="I82" s="10" t="s">
        <v>20</v>
      </c>
      <c r="J82" s="11">
        <v>15.95</v>
      </c>
      <c r="K82" s="12">
        <f t="shared" si="8"/>
        <v>0</v>
      </c>
    </row>
    <row r="83" spans="1:11" hidden="1" x14ac:dyDescent="0.35">
      <c r="A83" s="103"/>
      <c r="B83" s="12" t="s">
        <v>3</v>
      </c>
      <c r="C83" s="10" t="s">
        <v>259</v>
      </c>
      <c r="D83" s="152"/>
      <c r="E83" s="170"/>
      <c r="F83" s="153" t="str">
        <f t="shared" si="0"/>
        <v/>
      </c>
      <c r="G83" s="256"/>
      <c r="H83" s="166">
        <f t="shared" si="5"/>
        <v>0</v>
      </c>
      <c r="I83" s="10" t="s">
        <v>20</v>
      </c>
      <c r="J83" s="11">
        <v>19.95</v>
      </c>
      <c r="K83" s="12">
        <f t="shared" si="8"/>
        <v>0</v>
      </c>
    </row>
    <row r="84" spans="1:11" hidden="1" x14ac:dyDescent="0.35">
      <c r="A84" s="103"/>
      <c r="B84" s="12" t="s">
        <v>3</v>
      </c>
      <c r="C84" s="10" t="s">
        <v>260</v>
      </c>
      <c r="D84" s="152"/>
      <c r="E84" s="170"/>
      <c r="F84" s="153" t="str">
        <f t="shared" si="0"/>
        <v/>
      </c>
      <c r="G84" s="256"/>
      <c r="H84" s="166">
        <f t="shared" si="5"/>
        <v>0</v>
      </c>
      <c r="I84" s="10" t="s">
        <v>20</v>
      </c>
      <c r="J84" s="11">
        <v>46.95</v>
      </c>
      <c r="K84" s="12">
        <f t="shared" si="8"/>
        <v>0</v>
      </c>
    </row>
    <row r="85" spans="1:11" hidden="1" x14ac:dyDescent="0.35">
      <c r="A85" s="103"/>
      <c r="B85" s="12" t="s">
        <v>3</v>
      </c>
      <c r="C85" s="10" t="s">
        <v>261</v>
      </c>
      <c r="D85" s="152"/>
      <c r="E85" s="170"/>
      <c r="F85" s="153" t="str">
        <f t="shared" si="0"/>
        <v/>
      </c>
      <c r="G85" s="256"/>
      <c r="H85" s="166">
        <f t="shared" si="5"/>
        <v>0</v>
      </c>
      <c r="I85" s="10" t="s">
        <v>20</v>
      </c>
      <c r="J85" s="11">
        <v>34.950000000000003</v>
      </c>
      <c r="K85" s="12">
        <f t="shared" si="8"/>
        <v>0</v>
      </c>
    </row>
    <row r="86" spans="1:11" hidden="1" x14ac:dyDescent="0.35">
      <c r="A86" s="103"/>
      <c r="B86" s="12" t="s">
        <v>3</v>
      </c>
      <c r="C86" s="10" t="s">
        <v>262</v>
      </c>
      <c r="D86" s="152"/>
      <c r="E86" s="170"/>
      <c r="F86" s="153" t="str">
        <f t="shared" si="0"/>
        <v/>
      </c>
      <c r="G86" s="256"/>
      <c r="H86" s="166">
        <f t="shared" si="5"/>
        <v>0</v>
      </c>
      <c r="I86" s="10" t="s">
        <v>20</v>
      </c>
      <c r="J86" s="11">
        <v>24.95</v>
      </c>
      <c r="K86" s="12">
        <f t="shared" si="8"/>
        <v>0</v>
      </c>
    </row>
    <row r="87" spans="1:11" ht="15.5" hidden="1" x14ac:dyDescent="0.35">
      <c r="A87" s="111"/>
      <c r="B87" s="126" t="s">
        <v>263</v>
      </c>
      <c r="C87" s="127"/>
      <c r="D87" s="226"/>
      <c r="E87" s="250"/>
      <c r="F87" s="165" t="str">
        <f t="shared" si="0"/>
        <v/>
      </c>
      <c r="G87" s="259"/>
      <c r="H87" s="247"/>
      <c r="I87" s="127"/>
      <c r="J87" s="127"/>
      <c r="K87" s="272"/>
    </row>
    <row r="88" spans="1:11" hidden="1" x14ac:dyDescent="0.35">
      <c r="A88" s="103"/>
      <c r="B88" s="12" t="s">
        <v>3</v>
      </c>
      <c r="C88" s="10" t="s">
        <v>264</v>
      </c>
      <c r="D88" s="152"/>
      <c r="E88" s="170"/>
      <c r="F88" s="153" t="str">
        <f t="shared" si="0"/>
        <v/>
      </c>
      <c r="G88" s="256"/>
      <c r="H88" s="166">
        <f t="shared" si="5"/>
        <v>0</v>
      </c>
      <c r="I88" s="10" t="s">
        <v>20</v>
      </c>
      <c r="J88" s="11">
        <v>19.5</v>
      </c>
      <c r="K88" s="12">
        <f t="shared" ref="K88:K94" si="9">G88*J88</f>
        <v>0</v>
      </c>
    </row>
    <row r="89" spans="1:11" hidden="1" x14ac:dyDescent="0.35">
      <c r="A89" s="103"/>
      <c r="B89" s="12" t="s">
        <v>3</v>
      </c>
      <c r="C89" s="10" t="s">
        <v>265</v>
      </c>
      <c r="D89" s="152"/>
      <c r="E89" s="170"/>
      <c r="F89" s="153" t="str">
        <f t="shared" ref="F89:F152" si="10">IF(E89="","",IF(D89-E89&gt;0,D89-E89,""))</f>
        <v/>
      </c>
      <c r="G89" s="256"/>
      <c r="H89" s="166">
        <f t="shared" si="5"/>
        <v>0</v>
      </c>
      <c r="I89" s="10" t="s">
        <v>20</v>
      </c>
      <c r="J89" s="11">
        <v>16.95</v>
      </c>
      <c r="K89" s="12">
        <f t="shared" si="9"/>
        <v>0</v>
      </c>
    </row>
    <row r="90" spans="1:11" hidden="1" x14ac:dyDescent="0.35">
      <c r="A90" s="103"/>
      <c r="B90" s="12" t="s">
        <v>3</v>
      </c>
      <c r="C90" s="10" t="s">
        <v>266</v>
      </c>
      <c r="D90" s="152"/>
      <c r="E90" s="170"/>
      <c r="F90" s="153" t="str">
        <f t="shared" si="10"/>
        <v/>
      </c>
      <c r="G90" s="256"/>
      <c r="H90" s="166">
        <f t="shared" si="5"/>
        <v>0</v>
      </c>
      <c r="I90" s="10" t="s">
        <v>20</v>
      </c>
      <c r="J90" s="11">
        <v>17.95</v>
      </c>
      <c r="K90" s="12">
        <f t="shared" si="9"/>
        <v>0</v>
      </c>
    </row>
    <row r="91" spans="1:11" hidden="1" x14ac:dyDescent="0.35">
      <c r="A91" s="103"/>
      <c r="B91" s="12" t="s">
        <v>3</v>
      </c>
      <c r="C91" s="10" t="s">
        <v>267</v>
      </c>
      <c r="D91" s="152"/>
      <c r="E91" s="170"/>
      <c r="F91" s="153" t="str">
        <f t="shared" si="10"/>
        <v/>
      </c>
      <c r="G91" s="256"/>
      <c r="H91" s="166">
        <f t="shared" si="5"/>
        <v>0</v>
      </c>
      <c r="I91" s="10" t="s">
        <v>20</v>
      </c>
      <c r="J91" s="11">
        <v>15.95</v>
      </c>
      <c r="K91" s="12">
        <f t="shared" si="9"/>
        <v>0</v>
      </c>
    </row>
    <row r="92" spans="1:11" hidden="1" x14ac:dyDescent="0.35">
      <c r="A92" s="103"/>
      <c r="B92" s="12" t="s">
        <v>3</v>
      </c>
      <c r="C92" s="10" t="s">
        <v>268</v>
      </c>
      <c r="D92" s="152"/>
      <c r="E92" s="170"/>
      <c r="F92" s="153" t="str">
        <f t="shared" si="10"/>
        <v/>
      </c>
      <c r="G92" s="256"/>
      <c r="H92" s="166">
        <f t="shared" si="5"/>
        <v>0</v>
      </c>
      <c r="I92" s="10" t="s">
        <v>20</v>
      </c>
      <c r="J92" s="11">
        <v>20.95</v>
      </c>
      <c r="K92" s="12">
        <f t="shared" si="9"/>
        <v>0</v>
      </c>
    </row>
    <row r="93" spans="1:11" hidden="1" x14ac:dyDescent="0.35">
      <c r="A93" s="103"/>
      <c r="B93" s="12" t="s">
        <v>3</v>
      </c>
      <c r="C93" s="10" t="s">
        <v>269</v>
      </c>
      <c r="D93" s="152"/>
      <c r="E93" s="170"/>
      <c r="F93" s="153" t="str">
        <f t="shared" si="10"/>
        <v/>
      </c>
      <c r="G93" s="256"/>
      <c r="H93" s="166">
        <f t="shared" si="5"/>
        <v>0</v>
      </c>
      <c r="I93" s="10" t="s">
        <v>20</v>
      </c>
      <c r="J93" s="11">
        <v>26.95</v>
      </c>
      <c r="K93" s="12">
        <f t="shared" si="9"/>
        <v>0</v>
      </c>
    </row>
    <row r="94" spans="1:11" hidden="1" x14ac:dyDescent="0.35">
      <c r="A94" s="103"/>
      <c r="B94" s="12" t="s">
        <v>3</v>
      </c>
      <c r="C94" s="10" t="s">
        <v>270</v>
      </c>
      <c r="D94" s="152"/>
      <c r="E94" s="170"/>
      <c r="F94" s="153" t="str">
        <f t="shared" si="10"/>
        <v/>
      </c>
      <c r="G94" s="256"/>
      <c r="H94" s="166">
        <f t="shared" si="5"/>
        <v>0</v>
      </c>
      <c r="I94" s="10" t="s">
        <v>20</v>
      </c>
      <c r="J94" s="11">
        <v>26.95</v>
      </c>
      <c r="K94" s="12">
        <f t="shared" si="9"/>
        <v>0</v>
      </c>
    </row>
    <row r="95" spans="1:11" ht="15.5" hidden="1" x14ac:dyDescent="0.35">
      <c r="A95" s="111"/>
      <c r="B95" s="126" t="s">
        <v>271</v>
      </c>
      <c r="C95" s="127"/>
      <c r="D95" s="226"/>
      <c r="E95" s="250"/>
      <c r="F95" s="165" t="str">
        <f t="shared" si="10"/>
        <v/>
      </c>
      <c r="G95" s="259"/>
      <c r="H95" s="247"/>
      <c r="I95" s="127"/>
      <c r="J95" s="127"/>
      <c r="K95" s="272"/>
    </row>
    <row r="96" spans="1:11" hidden="1" x14ac:dyDescent="0.35">
      <c r="A96" s="103"/>
      <c r="B96" s="12" t="s">
        <v>3</v>
      </c>
      <c r="C96" s="10" t="s">
        <v>272</v>
      </c>
      <c r="D96" s="152"/>
      <c r="E96" s="170"/>
      <c r="F96" s="153" t="str">
        <f t="shared" si="10"/>
        <v/>
      </c>
      <c r="G96" s="256"/>
      <c r="H96" s="166">
        <f t="shared" si="5"/>
        <v>0</v>
      </c>
      <c r="I96" s="10" t="s">
        <v>20</v>
      </c>
      <c r="J96" s="11">
        <v>20.95</v>
      </c>
      <c r="K96" s="12">
        <f>G96*J96</f>
        <v>0</v>
      </c>
    </row>
    <row r="97" spans="1:11" hidden="1" x14ac:dyDescent="0.35">
      <c r="A97" s="103"/>
      <c r="B97" s="12" t="s">
        <v>3</v>
      </c>
      <c r="C97" s="10" t="s">
        <v>273</v>
      </c>
      <c r="D97" s="152"/>
      <c r="E97" s="170"/>
      <c r="F97" s="153" t="str">
        <f t="shared" si="10"/>
        <v/>
      </c>
      <c r="G97" s="256"/>
      <c r="H97" s="166">
        <f t="shared" si="5"/>
        <v>0</v>
      </c>
      <c r="I97" s="10" t="s">
        <v>20</v>
      </c>
      <c r="J97" s="11">
        <v>23.95</v>
      </c>
      <c r="K97" s="12">
        <f>G97*J97</f>
        <v>0</v>
      </c>
    </row>
    <row r="98" spans="1:11" hidden="1" x14ac:dyDescent="0.35">
      <c r="A98" s="103"/>
      <c r="B98" s="12" t="s">
        <v>3</v>
      </c>
      <c r="C98" s="10" t="s">
        <v>274</v>
      </c>
      <c r="D98" s="152"/>
      <c r="E98" s="170"/>
      <c r="F98" s="153" t="str">
        <f t="shared" si="10"/>
        <v/>
      </c>
      <c r="G98" s="256"/>
      <c r="H98" s="166">
        <f t="shared" si="5"/>
        <v>0</v>
      </c>
      <c r="I98" s="10" t="s">
        <v>20</v>
      </c>
      <c r="J98" s="11">
        <v>22.5</v>
      </c>
      <c r="K98" s="12">
        <f>G98*J98</f>
        <v>0</v>
      </c>
    </row>
    <row r="99" spans="1:11" hidden="1" x14ac:dyDescent="0.35">
      <c r="A99" s="103"/>
      <c r="B99" s="12" t="s">
        <v>3</v>
      </c>
      <c r="C99" s="10" t="s">
        <v>275</v>
      </c>
      <c r="D99" s="152"/>
      <c r="E99" s="170"/>
      <c r="F99" s="153" t="str">
        <f t="shared" si="10"/>
        <v/>
      </c>
      <c r="G99" s="256"/>
      <c r="H99" s="166">
        <f t="shared" si="5"/>
        <v>0</v>
      </c>
      <c r="I99" s="10" t="s">
        <v>20</v>
      </c>
      <c r="J99" s="11">
        <v>29.95</v>
      </c>
      <c r="K99" s="12">
        <f>G99*J99</f>
        <v>0</v>
      </c>
    </row>
    <row r="100" spans="1:11" ht="15.5" hidden="1" x14ac:dyDescent="0.35">
      <c r="A100" s="111"/>
      <c r="B100" s="126" t="s">
        <v>276</v>
      </c>
      <c r="C100" s="127"/>
      <c r="D100" s="226"/>
      <c r="E100" s="250"/>
      <c r="F100" s="165" t="str">
        <f t="shared" si="10"/>
        <v/>
      </c>
      <c r="G100" s="259"/>
      <c r="H100" s="247"/>
      <c r="I100" s="127"/>
      <c r="J100" s="127"/>
      <c r="K100" s="272"/>
    </row>
    <row r="101" spans="1:11" hidden="1" x14ac:dyDescent="0.35">
      <c r="A101" s="103"/>
      <c r="B101" s="12" t="s">
        <v>3</v>
      </c>
      <c r="C101" s="10" t="s">
        <v>277</v>
      </c>
      <c r="D101" s="152"/>
      <c r="E101" s="170"/>
      <c r="F101" s="153" t="str">
        <f t="shared" si="10"/>
        <v/>
      </c>
      <c r="G101" s="256"/>
      <c r="H101" s="166">
        <f t="shared" si="5"/>
        <v>0</v>
      </c>
      <c r="I101" s="10" t="s">
        <v>20</v>
      </c>
      <c r="J101" s="11">
        <v>17.95</v>
      </c>
      <c r="K101" s="12">
        <f>G101*J101</f>
        <v>0</v>
      </c>
    </row>
    <row r="102" spans="1:11" hidden="1" x14ac:dyDescent="0.35">
      <c r="A102" s="103"/>
      <c r="B102" s="12" t="s">
        <v>3</v>
      </c>
      <c r="C102" s="10" t="s">
        <v>278</v>
      </c>
      <c r="D102" s="152"/>
      <c r="E102" s="170"/>
      <c r="F102" s="153" t="str">
        <f t="shared" si="10"/>
        <v/>
      </c>
      <c r="G102" s="256"/>
      <c r="H102" s="166">
        <f t="shared" si="5"/>
        <v>0</v>
      </c>
      <c r="I102" s="10" t="s">
        <v>20</v>
      </c>
      <c r="J102" s="11">
        <v>20.95</v>
      </c>
      <c r="K102" s="12">
        <f>G102*J102</f>
        <v>0</v>
      </c>
    </row>
    <row r="103" spans="1:11" hidden="1" x14ac:dyDescent="0.35">
      <c r="A103" s="103"/>
      <c r="B103" s="12" t="s">
        <v>3</v>
      </c>
      <c r="C103" s="10" t="s">
        <v>279</v>
      </c>
      <c r="D103" s="152"/>
      <c r="E103" s="170"/>
      <c r="F103" s="153" t="str">
        <f t="shared" si="10"/>
        <v/>
      </c>
      <c r="G103" s="256"/>
      <c r="H103" s="166">
        <f t="shared" si="5"/>
        <v>0</v>
      </c>
      <c r="I103" s="10" t="s">
        <v>20</v>
      </c>
      <c r="J103" s="11">
        <v>19.95</v>
      </c>
      <c r="K103" s="12">
        <f>G103*J103</f>
        <v>0</v>
      </c>
    </row>
    <row r="104" spans="1:11" hidden="1" x14ac:dyDescent="0.35">
      <c r="A104" s="103"/>
      <c r="B104" s="40" t="s">
        <v>3</v>
      </c>
      <c r="C104" s="41" t="s">
        <v>280</v>
      </c>
      <c r="D104" s="227"/>
      <c r="E104" s="170"/>
      <c r="F104" s="153" t="str">
        <f t="shared" si="10"/>
        <v/>
      </c>
      <c r="G104" s="256"/>
      <c r="H104" s="166">
        <f t="shared" si="5"/>
        <v>0</v>
      </c>
      <c r="I104" s="41" t="s">
        <v>20</v>
      </c>
      <c r="J104" s="42">
        <v>59.95</v>
      </c>
      <c r="K104" s="40">
        <f>G104*J104</f>
        <v>0</v>
      </c>
    </row>
    <row r="105" spans="1:11" ht="15.5" hidden="1" x14ac:dyDescent="0.35">
      <c r="A105" s="111"/>
      <c r="B105" s="126" t="s">
        <v>281</v>
      </c>
      <c r="C105" s="127"/>
      <c r="D105" s="226"/>
      <c r="E105" s="170"/>
      <c r="F105" s="153" t="str">
        <f t="shared" si="10"/>
        <v/>
      </c>
      <c r="G105" s="259"/>
      <c r="H105" s="166">
        <f t="shared" si="5"/>
        <v>0</v>
      </c>
      <c r="I105" s="127"/>
      <c r="J105" s="127"/>
      <c r="K105" s="272"/>
    </row>
    <row r="106" spans="1:11" hidden="1" x14ac:dyDescent="0.35">
      <c r="A106" s="103"/>
      <c r="B106" s="12" t="s">
        <v>3</v>
      </c>
      <c r="C106" s="10" t="s">
        <v>282</v>
      </c>
      <c r="D106" s="152"/>
      <c r="E106" s="170"/>
      <c r="F106" s="153" t="str">
        <f t="shared" si="10"/>
        <v/>
      </c>
      <c r="G106" s="256"/>
      <c r="H106" s="166">
        <f t="shared" si="5"/>
        <v>0</v>
      </c>
      <c r="I106" s="10" t="s">
        <v>20</v>
      </c>
      <c r="J106" s="11">
        <v>54.95</v>
      </c>
      <c r="K106" s="12">
        <f>G106*J106</f>
        <v>0</v>
      </c>
    </row>
    <row r="107" spans="1:11" hidden="1" x14ac:dyDescent="0.35">
      <c r="A107" s="103"/>
      <c r="B107" s="12" t="s">
        <v>3</v>
      </c>
      <c r="C107" s="10" t="s">
        <v>283</v>
      </c>
      <c r="D107" s="152"/>
      <c r="E107" s="170"/>
      <c r="F107" s="153" t="str">
        <f t="shared" si="10"/>
        <v/>
      </c>
      <c r="G107" s="256"/>
      <c r="H107" s="166">
        <f t="shared" si="5"/>
        <v>0</v>
      </c>
      <c r="I107" s="10" t="s">
        <v>20</v>
      </c>
      <c r="J107" s="11">
        <v>49.95</v>
      </c>
      <c r="K107" s="12">
        <f>G107*J107</f>
        <v>0</v>
      </c>
    </row>
    <row r="108" spans="1:11" ht="15.5" hidden="1" x14ac:dyDescent="0.35">
      <c r="A108" s="111"/>
      <c r="B108" s="126" t="s">
        <v>284</v>
      </c>
      <c r="C108" s="127"/>
      <c r="D108" s="226"/>
      <c r="E108" s="250"/>
      <c r="F108" s="165" t="str">
        <f t="shared" si="10"/>
        <v/>
      </c>
      <c r="G108" s="259"/>
      <c r="H108" s="247"/>
      <c r="I108" s="127"/>
      <c r="J108" s="127"/>
      <c r="K108" s="272"/>
    </row>
    <row r="109" spans="1:11" hidden="1" x14ac:dyDescent="0.35">
      <c r="A109" s="103"/>
      <c r="B109" s="12" t="s">
        <v>3</v>
      </c>
      <c r="C109" s="10" t="s">
        <v>285</v>
      </c>
      <c r="D109" s="152"/>
      <c r="E109" s="170"/>
      <c r="F109" s="153" t="str">
        <f t="shared" si="10"/>
        <v/>
      </c>
      <c r="G109" s="256"/>
      <c r="H109" s="166">
        <f t="shared" si="5"/>
        <v>0</v>
      </c>
      <c r="I109" s="10" t="s">
        <v>20</v>
      </c>
      <c r="J109" s="11">
        <v>41.5</v>
      </c>
      <c r="K109" s="12">
        <f t="shared" ref="K109:K114" si="11">G109*J109</f>
        <v>0</v>
      </c>
    </row>
    <row r="110" spans="1:11" hidden="1" x14ac:dyDescent="0.35">
      <c r="A110" s="103"/>
      <c r="B110" s="12" t="s">
        <v>3</v>
      </c>
      <c r="C110" s="10" t="s">
        <v>286</v>
      </c>
      <c r="D110" s="152"/>
      <c r="E110" s="170"/>
      <c r="F110" s="153" t="str">
        <f t="shared" si="10"/>
        <v/>
      </c>
      <c r="G110" s="256"/>
      <c r="H110" s="166">
        <f t="shared" si="5"/>
        <v>0</v>
      </c>
      <c r="I110" s="10" t="s">
        <v>20</v>
      </c>
      <c r="J110" s="11">
        <v>36.200000000000003</v>
      </c>
      <c r="K110" s="12">
        <f t="shared" si="11"/>
        <v>0</v>
      </c>
    </row>
    <row r="111" spans="1:11" hidden="1" x14ac:dyDescent="0.35">
      <c r="A111" s="103"/>
      <c r="B111" s="12" t="s">
        <v>3</v>
      </c>
      <c r="C111" s="10" t="s">
        <v>287</v>
      </c>
      <c r="D111" s="152"/>
      <c r="E111" s="170"/>
      <c r="F111" s="153" t="str">
        <f t="shared" si="10"/>
        <v/>
      </c>
      <c r="G111" s="256"/>
      <c r="H111" s="166">
        <f t="shared" ref="H111:H174" si="12">IF(ISNUMBER(E111),E111,0)+IF(ISNUMBER(F111),F111,0)-IF(ISNUMBER(G111),G111,0)</f>
        <v>0</v>
      </c>
      <c r="I111" s="10" t="s">
        <v>20</v>
      </c>
      <c r="J111" s="11">
        <v>25.95</v>
      </c>
      <c r="K111" s="12">
        <f t="shared" si="11"/>
        <v>0</v>
      </c>
    </row>
    <row r="112" spans="1:11" hidden="1" x14ac:dyDescent="0.35">
      <c r="A112" s="103"/>
      <c r="B112" s="12" t="s">
        <v>3</v>
      </c>
      <c r="C112" s="10" t="s">
        <v>288</v>
      </c>
      <c r="D112" s="152"/>
      <c r="E112" s="170"/>
      <c r="F112" s="153" t="str">
        <f t="shared" si="10"/>
        <v/>
      </c>
      <c r="G112" s="256"/>
      <c r="H112" s="166">
        <f t="shared" si="12"/>
        <v>0</v>
      </c>
      <c r="I112" s="10" t="s">
        <v>20</v>
      </c>
      <c r="J112" s="11">
        <v>32.799999999999997</v>
      </c>
      <c r="K112" s="12">
        <f t="shared" si="11"/>
        <v>0</v>
      </c>
    </row>
    <row r="113" spans="1:11" hidden="1" x14ac:dyDescent="0.35">
      <c r="A113" s="103"/>
      <c r="B113" s="12" t="s">
        <v>3</v>
      </c>
      <c r="C113" s="10" t="s">
        <v>289</v>
      </c>
      <c r="D113" s="152"/>
      <c r="E113" s="170"/>
      <c r="F113" s="153" t="str">
        <f t="shared" si="10"/>
        <v/>
      </c>
      <c r="G113" s="256"/>
      <c r="H113" s="166">
        <f t="shared" si="12"/>
        <v>0</v>
      </c>
      <c r="I113" s="10" t="s">
        <v>20</v>
      </c>
      <c r="J113" s="11">
        <v>29.2</v>
      </c>
      <c r="K113" s="12">
        <f t="shared" si="11"/>
        <v>0</v>
      </c>
    </row>
    <row r="114" spans="1:11" hidden="1" x14ac:dyDescent="0.35">
      <c r="A114" s="103"/>
      <c r="B114" s="12" t="s">
        <v>3</v>
      </c>
      <c r="C114" s="10" t="s">
        <v>290</v>
      </c>
      <c r="D114" s="152"/>
      <c r="E114" s="170"/>
      <c r="F114" s="153" t="str">
        <f t="shared" si="10"/>
        <v/>
      </c>
      <c r="G114" s="256"/>
      <c r="H114" s="166">
        <f t="shared" si="12"/>
        <v>0</v>
      </c>
      <c r="I114" s="10" t="s">
        <v>20</v>
      </c>
      <c r="J114" s="11">
        <v>22.95</v>
      </c>
      <c r="K114" s="12">
        <f t="shared" si="11"/>
        <v>0</v>
      </c>
    </row>
    <row r="115" spans="1:11" ht="15.5" hidden="1" x14ac:dyDescent="0.35">
      <c r="A115" s="111"/>
      <c r="B115" s="126" t="s">
        <v>291</v>
      </c>
      <c r="C115" s="127"/>
      <c r="D115" s="226"/>
      <c r="E115" s="250"/>
      <c r="F115" s="165" t="str">
        <f t="shared" si="10"/>
        <v/>
      </c>
      <c r="G115" s="259"/>
      <c r="H115" s="247"/>
      <c r="I115" s="127"/>
      <c r="J115" s="127"/>
      <c r="K115" s="272"/>
    </row>
    <row r="116" spans="1:11" hidden="1" x14ac:dyDescent="0.35">
      <c r="A116" s="103"/>
      <c r="B116" s="12" t="s">
        <v>3</v>
      </c>
      <c r="C116" s="10" t="s">
        <v>292</v>
      </c>
      <c r="D116" s="152"/>
      <c r="E116" s="170"/>
      <c r="F116" s="153" t="str">
        <f t="shared" si="10"/>
        <v/>
      </c>
      <c r="G116" s="256"/>
      <c r="H116" s="166">
        <f t="shared" si="12"/>
        <v>0</v>
      </c>
      <c r="I116" s="10" t="s">
        <v>20</v>
      </c>
      <c r="J116" s="11">
        <v>17.95</v>
      </c>
      <c r="K116" s="12">
        <f t="shared" ref="K116:K121" si="13">G116*J116</f>
        <v>0</v>
      </c>
    </row>
    <row r="117" spans="1:11" hidden="1" x14ac:dyDescent="0.35">
      <c r="A117" s="103"/>
      <c r="B117" s="12" t="s">
        <v>3</v>
      </c>
      <c r="C117" s="10" t="s">
        <v>293</v>
      </c>
      <c r="D117" s="152"/>
      <c r="E117" s="170"/>
      <c r="F117" s="153" t="str">
        <f t="shared" si="10"/>
        <v/>
      </c>
      <c r="G117" s="256"/>
      <c r="H117" s="166">
        <f t="shared" si="12"/>
        <v>0</v>
      </c>
      <c r="I117" s="10" t="s">
        <v>20</v>
      </c>
      <c r="J117" s="11">
        <v>12.95</v>
      </c>
      <c r="K117" s="12">
        <f t="shared" si="13"/>
        <v>0</v>
      </c>
    </row>
    <row r="118" spans="1:11" hidden="1" x14ac:dyDescent="0.35">
      <c r="A118" s="103"/>
      <c r="B118" s="12" t="s">
        <v>3</v>
      </c>
      <c r="C118" s="10" t="s">
        <v>294</v>
      </c>
      <c r="D118" s="152"/>
      <c r="E118" s="170"/>
      <c r="F118" s="153" t="str">
        <f t="shared" si="10"/>
        <v/>
      </c>
      <c r="G118" s="256"/>
      <c r="H118" s="166">
        <f t="shared" si="12"/>
        <v>0</v>
      </c>
      <c r="I118" s="10" t="s">
        <v>20</v>
      </c>
      <c r="J118" s="11">
        <v>21.95</v>
      </c>
      <c r="K118" s="12">
        <f t="shared" si="13"/>
        <v>0</v>
      </c>
    </row>
    <row r="119" spans="1:11" hidden="1" x14ac:dyDescent="0.35">
      <c r="A119" s="103"/>
      <c r="B119" s="12" t="s">
        <v>3</v>
      </c>
      <c r="C119" s="10" t="s">
        <v>295</v>
      </c>
      <c r="D119" s="152"/>
      <c r="E119" s="170"/>
      <c r="F119" s="153" t="str">
        <f t="shared" si="10"/>
        <v/>
      </c>
      <c r="G119" s="256"/>
      <c r="H119" s="166">
        <f t="shared" si="12"/>
        <v>0</v>
      </c>
      <c r="I119" s="10" t="s">
        <v>20</v>
      </c>
      <c r="J119" s="11"/>
      <c r="K119" s="12">
        <f t="shared" si="13"/>
        <v>0</v>
      </c>
    </row>
    <row r="120" spans="1:11" hidden="1" x14ac:dyDescent="0.35">
      <c r="A120" s="103"/>
      <c r="B120" s="12" t="s">
        <v>3</v>
      </c>
      <c r="C120" s="10" t="s">
        <v>296</v>
      </c>
      <c r="D120" s="152"/>
      <c r="E120" s="170"/>
      <c r="F120" s="153" t="str">
        <f t="shared" si="10"/>
        <v/>
      </c>
      <c r="G120" s="256"/>
      <c r="H120" s="166">
        <f t="shared" si="12"/>
        <v>0</v>
      </c>
      <c r="I120" s="10" t="s">
        <v>20</v>
      </c>
      <c r="J120" s="11"/>
      <c r="K120" s="12">
        <f t="shared" si="13"/>
        <v>0</v>
      </c>
    </row>
    <row r="121" spans="1:11" hidden="1" x14ac:dyDescent="0.35">
      <c r="A121" s="103"/>
      <c r="B121" s="12" t="s">
        <v>3</v>
      </c>
      <c r="C121" s="10" t="s">
        <v>297</v>
      </c>
      <c r="D121" s="152"/>
      <c r="E121" s="170"/>
      <c r="F121" s="153" t="str">
        <f t="shared" si="10"/>
        <v/>
      </c>
      <c r="G121" s="256"/>
      <c r="H121" s="166">
        <f t="shared" si="12"/>
        <v>0</v>
      </c>
      <c r="I121" s="10" t="s">
        <v>20</v>
      </c>
      <c r="J121" s="11">
        <v>22.95</v>
      </c>
      <c r="K121" s="12">
        <f t="shared" si="13"/>
        <v>0</v>
      </c>
    </row>
    <row r="122" spans="1:11" ht="15.5" x14ac:dyDescent="0.35">
      <c r="A122" s="112" t="s">
        <v>298</v>
      </c>
      <c r="B122" s="116"/>
      <c r="C122" s="116"/>
      <c r="D122" s="228"/>
      <c r="E122" s="250"/>
      <c r="F122" s="165" t="str">
        <f t="shared" si="10"/>
        <v/>
      </c>
      <c r="G122" s="260"/>
      <c r="H122" s="247"/>
      <c r="I122" s="117"/>
      <c r="J122" s="106" t="s">
        <v>18</v>
      </c>
      <c r="K122" s="269">
        <f>SUM(K123:K175)</f>
        <v>827.75999999999988</v>
      </c>
    </row>
    <row r="123" spans="1:11" hidden="1" x14ac:dyDescent="0.35">
      <c r="A123" s="103"/>
      <c r="B123" s="20" t="s">
        <v>4</v>
      </c>
      <c r="C123" s="18" t="s">
        <v>62</v>
      </c>
      <c r="D123" s="229"/>
      <c r="E123" s="250"/>
      <c r="F123" s="153" t="str">
        <f t="shared" si="10"/>
        <v/>
      </c>
      <c r="G123" s="256"/>
      <c r="H123" s="166">
        <f t="shared" si="12"/>
        <v>0</v>
      </c>
      <c r="I123" s="18" t="s">
        <v>20</v>
      </c>
      <c r="J123" s="19">
        <v>7.35</v>
      </c>
      <c r="K123" s="20">
        <f>G123*J123</f>
        <v>0</v>
      </c>
    </row>
    <row r="124" spans="1:11" hidden="1" x14ac:dyDescent="0.35">
      <c r="A124" s="103"/>
      <c r="B124" s="20" t="s">
        <v>4</v>
      </c>
      <c r="C124" s="18" t="s">
        <v>60</v>
      </c>
      <c r="D124" s="229"/>
      <c r="E124" s="250"/>
      <c r="F124" s="153" t="str">
        <f t="shared" si="10"/>
        <v/>
      </c>
      <c r="G124" s="256"/>
      <c r="H124" s="166">
        <f t="shared" si="12"/>
        <v>0</v>
      </c>
      <c r="I124" s="18" t="s">
        <v>20</v>
      </c>
      <c r="J124" s="19">
        <v>10.65</v>
      </c>
      <c r="K124" s="20">
        <f>G124*J124</f>
        <v>0</v>
      </c>
    </row>
    <row r="125" spans="1:11" hidden="1" x14ac:dyDescent="0.35">
      <c r="A125" s="113" t="s">
        <v>40</v>
      </c>
      <c r="B125" s="124"/>
      <c r="C125" s="124"/>
      <c r="D125" s="230"/>
      <c r="E125" s="250"/>
      <c r="F125" s="153" t="str">
        <f t="shared" si="10"/>
        <v/>
      </c>
      <c r="G125" s="261"/>
      <c r="H125" s="166">
        <f t="shared" si="12"/>
        <v>0</v>
      </c>
      <c r="I125" s="124"/>
      <c r="J125" s="124"/>
      <c r="K125" s="273"/>
    </row>
    <row r="126" spans="1:11" hidden="1" x14ac:dyDescent="0.35">
      <c r="A126" s="103"/>
      <c r="B126" s="20" t="s">
        <v>4</v>
      </c>
      <c r="C126" s="18" t="s">
        <v>299</v>
      </c>
      <c r="D126" s="229"/>
      <c r="E126" s="250"/>
      <c r="F126" s="153" t="str">
        <f t="shared" si="10"/>
        <v/>
      </c>
      <c r="G126" s="256"/>
      <c r="H126" s="166">
        <f t="shared" si="12"/>
        <v>0</v>
      </c>
      <c r="I126" s="18" t="s">
        <v>20</v>
      </c>
      <c r="J126" s="19">
        <v>1.31</v>
      </c>
      <c r="K126" s="12">
        <f t="shared" ref="K126:K137" si="14">G126*J126</f>
        <v>0</v>
      </c>
    </row>
    <row r="127" spans="1:11" hidden="1" x14ac:dyDescent="0.35">
      <c r="A127" s="103"/>
      <c r="B127" s="12" t="s">
        <v>4</v>
      </c>
      <c r="C127" s="10" t="s">
        <v>300</v>
      </c>
      <c r="D127" s="152"/>
      <c r="E127" s="250"/>
      <c r="F127" s="153" t="str">
        <f t="shared" si="10"/>
        <v/>
      </c>
      <c r="G127" s="256"/>
      <c r="H127" s="166">
        <f t="shared" si="12"/>
        <v>0</v>
      </c>
      <c r="I127" s="10" t="s">
        <v>20</v>
      </c>
      <c r="J127" s="11">
        <v>1.31</v>
      </c>
      <c r="K127" s="12">
        <f t="shared" si="14"/>
        <v>0</v>
      </c>
    </row>
    <row r="128" spans="1:11" hidden="1" x14ac:dyDescent="0.35">
      <c r="A128" s="103"/>
      <c r="B128" s="20" t="s">
        <v>4</v>
      </c>
      <c r="C128" s="18" t="s">
        <v>301</v>
      </c>
      <c r="D128" s="229"/>
      <c r="E128" s="250"/>
      <c r="F128" s="153" t="str">
        <f t="shared" si="10"/>
        <v/>
      </c>
      <c r="G128" s="256"/>
      <c r="H128" s="166">
        <f t="shared" si="12"/>
        <v>0</v>
      </c>
      <c r="I128" s="18" t="s">
        <v>20</v>
      </c>
      <c r="J128" s="19">
        <v>1.4039999999999999</v>
      </c>
      <c r="K128" s="12">
        <f t="shared" si="14"/>
        <v>0</v>
      </c>
    </row>
    <row r="129" spans="1:11" hidden="1" x14ac:dyDescent="0.35">
      <c r="A129" s="103"/>
      <c r="B129" s="12" t="s">
        <v>4</v>
      </c>
      <c r="C129" s="10" t="s">
        <v>302</v>
      </c>
      <c r="D129" s="152"/>
      <c r="E129" s="250"/>
      <c r="F129" s="153" t="str">
        <f t="shared" si="10"/>
        <v/>
      </c>
      <c r="G129" s="256"/>
      <c r="H129" s="166">
        <f t="shared" si="12"/>
        <v>0</v>
      </c>
      <c r="I129" s="10" t="s">
        <v>20</v>
      </c>
      <c r="J129" s="11">
        <v>1.4039999999999999</v>
      </c>
      <c r="K129" s="12">
        <f t="shared" si="14"/>
        <v>0</v>
      </c>
    </row>
    <row r="130" spans="1:11" hidden="1" x14ac:dyDescent="0.35">
      <c r="A130" s="103"/>
      <c r="B130" s="12" t="s">
        <v>4</v>
      </c>
      <c r="C130" s="10" t="s">
        <v>303</v>
      </c>
      <c r="D130" s="152"/>
      <c r="E130" s="250"/>
      <c r="F130" s="153" t="str">
        <f t="shared" si="10"/>
        <v/>
      </c>
      <c r="G130" s="256"/>
      <c r="H130" s="166">
        <f t="shared" si="12"/>
        <v>0</v>
      </c>
      <c r="I130" s="10" t="s">
        <v>20</v>
      </c>
      <c r="J130" s="11">
        <v>1.53</v>
      </c>
      <c r="K130" s="12">
        <f t="shared" si="14"/>
        <v>0</v>
      </c>
    </row>
    <row r="131" spans="1:11" hidden="1" x14ac:dyDescent="0.35">
      <c r="A131" s="103"/>
      <c r="B131" s="12" t="s">
        <v>4</v>
      </c>
      <c r="C131" s="10" t="s">
        <v>304</v>
      </c>
      <c r="D131" s="152"/>
      <c r="E131" s="250"/>
      <c r="F131" s="153" t="str">
        <f t="shared" si="10"/>
        <v/>
      </c>
      <c r="G131" s="256"/>
      <c r="H131" s="166">
        <f t="shared" si="12"/>
        <v>0</v>
      </c>
      <c r="I131" s="10" t="s">
        <v>20</v>
      </c>
      <c r="J131" s="11">
        <v>1.65</v>
      </c>
      <c r="K131" s="12">
        <f t="shared" si="14"/>
        <v>0</v>
      </c>
    </row>
    <row r="132" spans="1:11" hidden="1" x14ac:dyDescent="0.35">
      <c r="A132" s="103"/>
      <c r="B132" s="12" t="s">
        <v>4</v>
      </c>
      <c r="C132" s="10" t="s">
        <v>83</v>
      </c>
      <c r="D132" s="152"/>
      <c r="E132" s="250"/>
      <c r="F132" s="153" t="str">
        <f t="shared" si="10"/>
        <v/>
      </c>
      <c r="G132" s="256"/>
      <c r="H132" s="166">
        <f t="shared" si="12"/>
        <v>0</v>
      </c>
      <c r="I132" s="10" t="s">
        <v>20</v>
      </c>
      <c r="J132" s="11">
        <v>1.04</v>
      </c>
      <c r="K132" s="12">
        <f t="shared" si="14"/>
        <v>0</v>
      </c>
    </row>
    <row r="133" spans="1:11" hidden="1" x14ac:dyDescent="0.35">
      <c r="A133" s="103"/>
      <c r="B133" s="12" t="s">
        <v>4</v>
      </c>
      <c r="C133" s="10" t="s">
        <v>305</v>
      </c>
      <c r="D133" s="152"/>
      <c r="E133" s="250"/>
      <c r="F133" s="153" t="str">
        <f t="shared" si="10"/>
        <v/>
      </c>
      <c r="G133" s="256"/>
      <c r="H133" s="166">
        <f t="shared" si="12"/>
        <v>0</v>
      </c>
      <c r="I133" s="10" t="s">
        <v>20</v>
      </c>
      <c r="J133" s="11">
        <v>1.04</v>
      </c>
      <c r="K133" s="12">
        <f t="shared" si="14"/>
        <v>0</v>
      </c>
    </row>
    <row r="134" spans="1:11" hidden="1" x14ac:dyDescent="0.35">
      <c r="A134" s="103"/>
      <c r="B134" s="12" t="s">
        <v>4</v>
      </c>
      <c r="C134" s="10" t="s">
        <v>306</v>
      </c>
      <c r="D134" s="152"/>
      <c r="E134" s="250"/>
      <c r="F134" s="153" t="str">
        <f t="shared" si="10"/>
        <v/>
      </c>
      <c r="G134" s="256"/>
      <c r="H134" s="166">
        <f t="shared" si="12"/>
        <v>0</v>
      </c>
      <c r="I134" s="10" t="s">
        <v>20</v>
      </c>
      <c r="J134" s="11">
        <v>1.06</v>
      </c>
      <c r="K134" s="12">
        <f t="shared" si="14"/>
        <v>0</v>
      </c>
    </row>
    <row r="135" spans="1:11" hidden="1" x14ac:dyDescent="0.35">
      <c r="A135" s="103"/>
      <c r="B135" s="12" t="s">
        <v>4</v>
      </c>
      <c r="C135" s="10" t="s">
        <v>307</v>
      </c>
      <c r="D135" s="152"/>
      <c r="E135" s="250"/>
      <c r="F135" s="153" t="str">
        <f t="shared" si="10"/>
        <v/>
      </c>
      <c r="G135" s="256"/>
      <c r="H135" s="166">
        <f t="shared" si="12"/>
        <v>0</v>
      </c>
      <c r="I135" s="10" t="s">
        <v>20</v>
      </c>
      <c r="J135" s="11">
        <v>1.06</v>
      </c>
      <c r="K135" s="12">
        <f t="shared" si="14"/>
        <v>0</v>
      </c>
    </row>
    <row r="136" spans="1:11" hidden="1" x14ac:dyDescent="0.35">
      <c r="A136" s="103"/>
      <c r="B136" s="12" t="s">
        <v>4</v>
      </c>
      <c r="C136" s="10" t="s">
        <v>308</v>
      </c>
      <c r="D136" s="152"/>
      <c r="E136" s="250"/>
      <c r="F136" s="153" t="str">
        <f t="shared" si="10"/>
        <v/>
      </c>
      <c r="G136" s="256"/>
      <c r="H136" s="166">
        <f t="shared" si="12"/>
        <v>0</v>
      </c>
      <c r="I136" s="10" t="s">
        <v>20</v>
      </c>
      <c r="J136" s="11">
        <v>1.2869999999999999</v>
      </c>
      <c r="K136" s="12">
        <f t="shared" si="14"/>
        <v>0</v>
      </c>
    </row>
    <row r="137" spans="1:11" hidden="1" x14ac:dyDescent="0.35">
      <c r="A137" s="103"/>
      <c r="B137" s="12" t="s">
        <v>4</v>
      </c>
      <c r="C137" s="10" t="s">
        <v>309</v>
      </c>
      <c r="D137" s="152"/>
      <c r="E137" s="250"/>
      <c r="F137" s="153" t="str">
        <f t="shared" si="10"/>
        <v/>
      </c>
      <c r="G137" s="256"/>
      <c r="H137" s="166">
        <f t="shared" si="12"/>
        <v>0</v>
      </c>
      <c r="I137" s="10" t="s">
        <v>20</v>
      </c>
      <c r="J137" s="11">
        <v>1.59</v>
      </c>
      <c r="K137" s="12">
        <f t="shared" si="14"/>
        <v>0</v>
      </c>
    </row>
    <row r="138" spans="1:11" hidden="1" x14ac:dyDescent="0.35">
      <c r="A138" s="113" t="s">
        <v>310</v>
      </c>
      <c r="B138" s="124"/>
      <c r="C138" s="124"/>
      <c r="D138" s="230"/>
      <c r="E138" s="250"/>
      <c r="F138" s="153" t="str">
        <f t="shared" si="10"/>
        <v/>
      </c>
      <c r="G138" s="261"/>
      <c r="H138" s="166">
        <f t="shared" si="12"/>
        <v>0</v>
      </c>
      <c r="I138" s="124"/>
      <c r="J138" s="124"/>
      <c r="K138" s="273"/>
    </row>
    <row r="139" spans="1:11" hidden="1" x14ac:dyDescent="0.35">
      <c r="A139" s="103"/>
      <c r="B139" s="12" t="s">
        <v>4</v>
      </c>
      <c r="C139" s="10" t="s">
        <v>311</v>
      </c>
      <c r="D139" s="152"/>
      <c r="E139" s="250"/>
      <c r="F139" s="153" t="str">
        <f t="shared" si="10"/>
        <v/>
      </c>
      <c r="G139" s="256"/>
      <c r="H139" s="166">
        <f t="shared" si="12"/>
        <v>0</v>
      </c>
      <c r="I139" s="10" t="s">
        <v>20</v>
      </c>
      <c r="J139" s="11">
        <v>1.1000000000000001</v>
      </c>
      <c r="K139" s="12">
        <f t="shared" ref="K139:K149" si="15">G139*J139</f>
        <v>0</v>
      </c>
    </row>
    <row r="140" spans="1:11" hidden="1" x14ac:dyDescent="0.35">
      <c r="A140" s="103"/>
      <c r="B140" s="12" t="s">
        <v>4</v>
      </c>
      <c r="C140" s="10" t="s">
        <v>312</v>
      </c>
      <c r="D140" s="152"/>
      <c r="E140" s="250"/>
      <c r="F140" s="153" t="str">
        <f t="shared" si="10"/>
        <v/>
      </c>
      <c r="G140" s="256"/>
      <c r="H140" s="166">
        <f t="shared" si="12"/>
        <v>0</v>
      </c>
      <c r="I140" s="10" t="s">
        <v>20</v>
      </c>
      <c r="J140" s="11">
        <v>1.1000000000000001</v>
      </c>
      <c r="K140" s="12">
        <f t="shared" si="15"/>
        <v>0</v>
      </c>
    </row>
    <row r="141" spans="1:11" hidden="1" x14ac:dyDescent="0.35">
      <c r="A141" s="103"/>
      <c r="B141" s="12" t="s">
        <v>4</v>
      </c>
      <c r="C141" s="10" t="s">
        <v>313</v>
      </c>
      <c r="D141" s="152"/>
      <c r="E141" s="250"/>
      <c r="F141" s="153" t="str">
        <f t="shared" si="10"/>
        <v/>
      </c>
      <c r="G141" s="256"/>
      <c r="H141" s="166">
        <f t="shared" si="12"/>
        <v>0</v>
      </c>
      <c r="I141" s="10" t="s">
        <v>20</v>
      </c>
      <c r="J141" s="11">
        <v>1.3</v>
      </c>
      <c r="K141" s="12">
        <f t="shared" si="15"/>
        <v>0</v>
      </c>
    </row>
    <row r="142" spans="1:11" hidden="1" x14ac:dyDescent="0.35">
      <c r="A142" s="103"/>
      <c r="B142" s="12" t="s">
        <v>4</v>
      </c>
      <c r="C142" s="10" t="s">
        <v>314</v>
      </c>
      <c r="D142" s="152"/>
      <c r="E142" s="250"/>
      <c r="F142" s="153" t="str">
        <f t="shared" si="10"/>
        <v/>
      </c>
      <c r="G142" s="256"/>
      <c r="H142" s="166">
        <f t="shared" si="12"/>
        <v>0</v>
      </c>
      <c r="I142" s="10" t="s">
        <v>20</v>
      </c>
      <c r="J142" s="11">
        <v>1.36</v>
      </c>
      <c r="K142" s="12">
        <f t="shared" si="15"/>
        <v>0</v>
      </c>
    </row>
    <row r="143" spans="1:11" hidden="1" x14ac:dyDescent="0.35">
      <c r="A143" s="103"/>
      <c r="B143" s="12" t="s">
        <v>4</v>
      </c>
      <c r="C143" s="10" t="s">
        <v>315</v>
      </c>
      <c r="D143" s="152"/>
      <c r="E143" s="250"/>
      <c r="F143" s="153" t="str">
        <f t="shared" si="10"/>
        <v/>
      </c>
      <c r="G143" s="256"/>
      <c r="H143" s="166">
        <f t="shared" si="12"/>
        <v>0</v>
      </c>
      <c r="I143" s="10" t="s">
        <v>20</v>
      </c>
      <c r="J143" s="11">
        <v>1.3</v>
      </c>
      <c r="K143" s="12">
        <f t="shared" si="15"/>
        <v>0</v>
      </c>
    </row>
    <row r="144" spans="1:11" hidden="1" x14ac:dyDescent="0.35">
      <c r="A144" s="103"/>
      <c r="B144" s="12" t="s">
        <v>4</v>
      </c>
      <c r="C144" s="10" t="s">
        <v>316</v>
      </c>
      <c r="D144" s="152"/>
      <c r="E144" s="250"/>
      <c r="F144" s="153" t="str">
        <f t="shared" si="10"/>
        <v/>
      </c>
      <c r="G144" s="256"/>
      <c r="H144" s="166">
        <f t="shared" si="12"/>
        <v>0</v>
      </c>
      <c r="I144" s="10" t="s">
        <v>20</v>
      </c>
      <c r="J144" s="11">
        <v>1.35</v>
      </c>
      <c r="K144" s="12">
        <f t="shared" si="15"/>
        <v>0</v>
      </c>
    </row>
    <row r="145" spans="1:11" hidden="1" x14ac:dyDescent="0.35">
      <c r="A145" s="103"/>
      <c r="B145" s="12" t="s">
        <v>4</v>
      </c>
      <c r="C145" s="10" t="s">
        <v>317</v>
      </c>
      <c r="D145" s="152"/>
      <c r="E145" s="250"/>
      <c r="F145" s="153" t="str">
        <f t="shared" si="10"/>
        <v/>
      </c>
      <c r="G145" s="256"/>
      <c r="H145" s="166">
        <f t="shared" si="12"/>
        <v>0</v>
      </c>
      <c r="I145" s="10" t="s">
        <v>20</v>
      </c>
      <c r="J145" s="11">
        <v>1.28</v>
      </c>
      <c r="K145" s="12">
        <f t="shared" si="15"/>
        <v>0</v>
      </c>
    </row>
    <row r="146" spans="1:11" hidden="1" x14ac:dyDescent="0.35">
      <c r="A146" s="103"/>
      <c r="B146" s="12" t="s">
        <v>4</v>
      </c>
      <c r="C146" s="10" t="s">
        <v>318</v>
      </c>
      <c r="D146" s="152"/>
      <c r="E146" s="250"/>
      <c r="F146" s="153" t="str">
        <f t="shared" si="10"/>
        <v/>
      </c>
      <c r="G146" s="256"/>
      <c r="H146" s="166">
        <f t="shared" si="12"/>
        <v>0</v>
      </c>
      <c r="I146" s="10" t="s">
        <v>20</v>
      </c>
      <c r="J146" s="11">
        <v>1.1000000000000001</v>
      </c>
      <c r="K146" s="12">
        <f t="shared" si="15"/>
        <v>0</v>
      </c>
    </row>
    <row r="147" spans="1:11" hidden="1" x14ac:dyDescent="0.35">
      <c r="A147" s="103"/>
      <c r="B147" s="12" t="s">
        <v>4</v>
      </c>
      <c r="C147" s="10" t="s">
        <v>319</v>
      </c>
      <c r="D147" s="152"/>
      <c r="E147" s="250"/>
      <c r="F147" s="153" t="str">
        <f t="shared" si="10"/>
        <v/>
      </c>
      <c r="G147" s="256"/>
      <c r="H147" s="166">
        <f t="shared" si="12"/>
        <v>0</v>
      </c>
      <c r="I147" s="10" t="s">
        <v>20</v>
      </c>
      <c r="J147" s="11">
        <v>1.1000000000000001</v>
      </c>
      <c r="K147" s="12">
        <f t="shared" si="15"/>
        <v>0</v>
      </c>
    </row>
    <row r="148" spans="1:11" hidden="1" x14ac:dyDescent="0.35">
      <c r="A148" s="103"/>
      <c r="B148" s="12" t="s">
        <v>4</v>
      </c>
      <c r="C148" s="10" t="s">
        <v>320</v>
      </c>
      <c r="D148" s="152"/>
      <c r="E148" s="250"/>
      <c r="F148" s="153" t="str">
        <f t="shared" si="10"/>
        <v/>
      </c>
      <c r="G148" s="256"/>
      <c r="H148" s="166">
        <f t="shared" si="12"/>
        <v>0</v>
      </c>
      <c r="I148" s="10" t="s">
        <v>20</v>
      </c>
      <c r="J148" s="11">
        <v>1.1000000000000001</v>
      </c>
      <c r="K148" s="12">
        <f t="shared" si="15"/>
        <v>0</v>
      </c>
    </row>
    <row r="149" spans="1:11" hidden="1" x14ac:dyDescent="0.35">
      <c r="A149" s="103"/>
      <c r="B149" s="12" t="s">
        <v>4</v>
      </c>
      <c r="C149" s="10" t="s">
        <v>321</v>
      </c>
      <c r="D149" s="152"/>
      <c r="E149" s="250"/>
      <c r="F149" s="153" t="str">
        <f t="shared" si="10"/>
        <v/>
      </c>
      <c r="G149" s="256"/>
      <c r="H149" s="166">
        <f t="shared" si="12"/>
        <v>0</v>
      </c>
      <c r="I149" s="10" t="s">
        <v>20</v>
      </c>
      <c r="J149" s="11">
        <v>1.1000000000000001</v>
      </c>
      <c r="K149" s="12">
        <f t="shared" si="15"/>
        <v>0</v>
      </c>
    </row>
    <row r="150" spans="1:11" x14ac:dyDescent="0.35">
      <c r="A150" s="113" t="s">
        <v>41</v>
      </c>
      <c r="B150" s="124"/>
      <c r="C150" s="124"/>
      <c r="D150" s="230"/>
      <c r="E150" s="250"/>
      <c r="F150" s="165" t="str">
        <f t="shared" si="10"/>
        <v/>
      </c>
      <c r="G150" s="261"/>
      <c r="H150" s="247"/>
      <c r="I150" s="124"/>
      <c r="J150" s="124"/>
      <c r="K150" s="273"/>
    </row>
    <row r="151" spans="1:11" x14ac:dyDescent="0.35">
      <c r="A151" s="103"/>
      <c r="B151" s="12" t="s">
        <v>4</v>
      </c>
      <c r="C151" s="10" t="s">
        <v>24</v>
      </c>
      <c r="D151" s="152">
        <v>30</v>
      </c>
      <c r="E151" s="170">
        <v>26</v>
      </c>
      <c r="F151" s="153">
        <f t="shared" si="10"/>
        <v>4</v>
      </c>
      <c r="G151" s="256"/>
      <c r="H151" s="166">
        <f t="shared" si="12"/>
        <v>30</v>
      </c>
      <c r="I151" s="10" t="s">
        <v>20</v>
      </c>
      <c r="J151" s="11">
        <v>3.04</v>
      </c>
      <c r="K151" s="12">
        <f>H151*J151</f>
        <v>91.2</v>
      </c>
    </row>
    <row r="152" spans="1:11" x14ac:dyDescent="0.35">
      <c r="A152" s="103"/>
      <c r="B152" s="12" t="s">
        <v>4</v>
      </c>
      <c r="C152" s="10" t="s">
        <v>80</v>
      </c>
      <c r="D152" s="152">
        <v>60</v>
      </c>
      <c r="E152" s="170">
        <v>51</v>
      </c>
      <c r="F152" s="153">
        <f t="shared" si="10"/>
        <v>9</v>
      </c>
      <c r="G152" s="256"/>
      <c r="H152" s="166">
        <f t="shared" si="12"/>
        <v>60</v>
      </c>
      <c r="I152" s="10" t="s">
        <v>20</v>
      </c>
      <c r="J152" s="11">
        <v>2.31</v>
      </c>
      <c r="K152" s="12">
        <f t="shared" ref="K152:K168" si="16">H152*J152</f>
        <v>138.6</v>
      </c>
    </row>
    <row r="153" spans="1:11" x14ac:dyDescent="0.35">
      <c r="A153" s="103"/>
      <c r="B153" s="12" t="s">
        <v>4</v>
      </c>
      <c r="C153" s="10" t="s">
        <v>84</v>
      </c>
      <c r="D153" s="152">
        <v>30</v>
      </c>
      <c r="E153" s="170">
        <v>28</v>
      </c>
      <c r="F153" s="153">
        <f t="shared" ref="F153:F184" si="17">IF(E153="","",IF(D153-E153&gt;0,D153-E153,""))</f>
        <v>2</v>
      </c>
      <c r="G153" s="256"/>
      <c r="H153" s="166">
        <f t="shared" si="12"/>
        <v>30</v>
      </c>
      <c r="I153" s="10" t="s">
        <v>20</v>
      </c>
      <c r="J153" s="11">
        <v>2.31</v>
      </c>
      <c r="K153" s="12">
        <f t="shared" si="16"/>
        <v>69.3</v>
      </c>
    </row>
    <row r="154" spans="1:11" hidden="1" x14ac:dyDescent="0.35">
      <c r="A154" s="103"/>
      <c r="B154" s="12" t="s">
        <v>4</v>
      </c>
      <c r="C154" s="10" t="s">
        <v>394</v>
      </c>
      <c r="D154" s="152"/>
      <c r="E154" s="170"/>
      <c r="F154" s="153" t="str">
        <f t="shared" si="17"/>
        <v/>
      </c>
      <c r="G154" s="256"/>
      <c r="H154" s="166">
        <f t="shared" si="12"/>
        <v>0</v>
      </c>
      <c r="I154" s="10" t="s">
        <v>20</v>
      </c>
      <c r="J154" s="11">
        <v>2.54</v>
      </c>
      <c r="K154" s="12">
        <f t="shared" si="16"/>
        <v>0</v>
      </c>
    </row>
    <row r="155" spans="1:11" hidden="1" x14ac:dyDescent="0.35">
      <c r="A155" s="103"/>
      <c r="B155" s="12" t="s">
        <v>4</v>
      </c>
      <c r="C155" s="10" t="s">
        <v>394</v>
      </c>
      <c r="D155" s="152"/>
      <c r="E155" s="170"/>
      <c r="F155" s="153" t="str">
        <f t="shared" si="17"/>
        <v/>
      </c>
      <c r="G155" s="256"/>
      <c r="H155" s="166">
        <f t="shared" si="12"/>
        <v>0</v>
      </c>
      <c r="I155" s="10" t="s">
        <v>20</v>
      </c>
      <c r="J155" s="11">
        <v>2.54</v>
      </c>
      <c r="K155" s="12">
        <f t="shared" si="16"/>
        <v>0</v>
      </c>
    </row>
    <row r="156" spans="1:11" x14ac:dyDescent="0.35">
      <c r="A156" s="103"/>
      <c r="B156" s="12" t="s">
        <v>4</v>
      </c>
      <c r="C156" s="10" t="s">
        <v>25</v>
      </c>
      <c r="D156" s="152">
        <v>30</v>
      </c>
      <c r="E156" s="170">
        <v>25</v>
      </c>
      <c r="F156" s="153">
        <f t="shared" si="17"/>
        <v>5</v>
      </c>
      <c r="G156" s="256"/>
      <c r="H156" s="166">
        <f t="shared" si="12"/>
        <v>30</v>
      </c>
      <c r="I156" s="10" t="s">
        <v>20</v>
      </c>
      <c r="J156" s="11">
        <v>1.79</v>
      </c>
      <c r="K156" s="12">
        <f t="shared" si="16"/>
        <v>53.7</v>
      </c>
    </row>
    <row r="157" spans="1:11" hidden="1" x14ac:dyDescent="0.35">
      <c r="A157" s="103"/>
      <c r="B157" s="12" t="s">
        <v>4</v>
      </c>
      <c r="C157" s="10" t="s">
        <v>322</v>
      </c>
      <c r="D157" s="152"/>
      <c r="E157" s="170"/>
      <c r="F157" s="153" t="str">
        <f t="shared" si="17"/>
        <v/>
      </c>
      <c r="G157" s="256"/>
      <c r="H157" s="166">
        <f t="shared" si="12"/>
        <v>0</v>
      </c>
      <c r="I157" s="10" t="s">
        <v>20</v>
      </c>
      <c r="J157" s="11">
        <v>2.46</v>
      </c>
      <c r="K157" s="12">
        <f t="shared" si="16"/>
        <v>0</v>
      </c>
    </row>
    <row r="158" spans="1:11" x14ac:dyDescent="0.35">
      <c r="A158" s="103"/>
      <c r="B158" s="12" t="s">
        <v>4</v>
      </c>
      <c r="C158" s="10" t="s">
        <v>393</v>
      </c>
      <c r="D158" s="152">
        <v>60</v>
      </c>
      <c r="E158" s="170">
        <v>54</v>
      </c>
      <c r="F158" s="153">
        <f t="shared" si="17"/>
        <v>6</v>
      </c>
      <c r="G158" s="256"/>
      <c r="H158" s="166">
        <f t="shared" si="12"/>
        <v>60</v>
      </c>
      <c r="I158" s="10" t="s">
        <v>20</v>
      </c>
      <c r="J158" s="11">
        <v>2.46</v>
      </c>
      <c r="K158" s="12">
        <f t="shared" si="16"/>
        <v>147.6</v>
      </c>
    </row>
    <row r="159" spans="1:11" hidden="1" x14ac:dyDescent="0.35">
      <c r="A159" s="103"/>
      <c r="B159" s="12" t="s">
        <v>4</v>
      </c>
      <c r="C159" s="10" t="s">
        <v>43</v>
      </c>
      <c r="D159" s="152"/>
      <c r="E159" s="170"/>
      <c r="F159" s="153" t="str">
        <f t="shared" si="17"/>
        <v/>
      </c>
      <c r="G159" s="256"/>
      <c r="H159" s="166">
        <f t="shared" si="12"/>
        <v>0</v>
      </c>
      <c r="I159" s="10" t="s">
        <v>20</v>
      </c>
      <c r="J159" s="11">
        <v>2.5499999999999998</v>
      </c>
      <c r="K159" s="12">
        <f t="shared" si="16"/>
        <v>0</v>
      </c>
    </row>
    <row r="160" spans="1:11" x14ac:dyDescent="0.35">
      <c r="A160" s="103"/>
      <c r="B160" s="12" t="s">
        <v>4</v>
      </c>
      <c r="C160" s="10" t="s">
        <v>81</v>
      </c>
      <c r="D160" s="152">
        <v>60</v>
      </c>
      <c r="E160" s="170">
        <v>45</v>
      </c>
      <c r="F160" s="153">
        <f t="shared" si="17"/>
        <v>15</v>
      </c>
      <c r="G160" s="256"/>
      <c r="H160" s="166">
        <f t="shared" si="12"/>
        <v>60</v>
      </c>
      <c r="I160" s="10" t="s">
        <v>20</v>
      </c>
      <c r="J160" s="11">
        <v>1.51</v>
      </c>
      <c r="K160" s="12">
        <f t="shared" si="16"/>
        <v>90.6</v>
      </c>
    </row>
    <row r="161" spans="1:11" x14ac:dyDescent="0.35">
      <c r="A161" s="103"/>
      <c r="B161" s="12" t="s">
        <v>4</v>
      </c>
      <c r="C161" s="10" t="s">
        <v>82</v>
      </c>
      <c r="D161" s="152">
        <v>72</v>
      </c>
      <c r="E161" s="170">
        <v>59</v>
      </c>
      <c r="F161" s="153">
        <f t="shared" si="17"/>
        <v>13</v>
      </c>
      <c r="G161" s="256"/>
      <c r="H161" s="166">
        <f t="shared" si="12"/>
        <v>72</v>
      </c>
      <c r="I161" s="10" t="s">
        <v>20</v>
      </c>
      <c r="J161" s="11">
        <v>1.51</v>
      </c>
      <c r="K161" s="12">
        <f t="shared" si="16"/>
        <v>108.72</v>
      </c>
    </row>
    <row r="162" spans="1:11" hidden="1" x14ac:dyDescent="0.35">
      <c r="A162" s="103"/>
      <c r="B162" s="12" t="s">
        <v>4</v>
      </c>
      <c r="C162" s="10" t="s">
        <v>323</v>
      </c>
      <c r="D162" s="152"/>
      <c r="E162" s="170"/>
      <c r="F162" s="153" t="str">
        <f t="shared" si="17"/>
        <v/>
      </c>
      <c r="G162" s="256"/>
      <c r="H162" s="166">
        <f t="shared" si="12"/>
        <v>0</v>
      </c>
      <c r="I162" s="10" t="s">
        <v>20</v>
      </c>
      <c r="J162" s="11">
        <v>1.54</v>
      </c>
      <c r="K162" s="12">
        <f t="shared" si="16"/>
        <v>0</v>
      </c>
    </row>
    <row r="163" spans="1:11" hidden="1" x14ac:dyDescent="0.35">
      <c r="A163" s="103"/>
      <c r="B163" s="12" t="s">
        <v>4</v>
      </c>
      <c r="C163" s="10" t="s">
        <v>324</v>
      </c>
      <c r="D163" s="152"/>
      <c r="E163" s="170"/>
      <c r="F163" s="153" t="str">
        <f t="shared" si="17"/>
        <v/>
      </c>
      <c r="G163" s="256"/>
      <c r="H163" s="166">
        <f t="shared" si="12"/>
        <v>0</v>
      </c>
      <c r="I163" s="10" t="s">
        <v>20</v>
      </c>
      <c r="J163" s="11">
        <v>1.6</v>
      </c>
      <c r="K163" s="12">
        <f t="shared" si="16"/>
        <v>0</v>
      </c>
    </row>
    <row r="164" spans="1:11" hidden="1" x14ac:dyDescent="0.35">
      <c r="A164" s="103"/>
      <c r="B164" s="12" t="s">
        <v>4</v>
      </c>
      <c r="C164" s="78" t="s">
        <v>325</v>
      </c>
      <c r="D164" s="224"/>
      <c r="E164" s="170"/>
      <c r="F164" s="153" t="str">
        <f t="shared" si="17"/>
        <v/>
      </c>
      <c r="G164" s="256"/>
      <c r="H164" s="166">
        <f t="shared" si="12"/>
        <v>0</v>
      </c>
      <c r="I164" s="10" t="s">
        <v>20</v>
      </c>
      <c r="J164" s="79">
        <v>49.95</v>
      </c>
      <c r="K164" s="12">
        <f t="shared" si="16"/>
        <v>0</v>
      </c>
    </row>
    <row r="165" spans="1:11" x14ac:dyDescent="0.35">
      <c r="A165" s="113" t="s">
        <v>44</v>
      </c>
      <c r="B165" s="124"/>
      <c r="C165" s="124"/>
      <c r="D165" s="230"/>
      <c r="E165" s="250"/>
      <c r="F165" s="165" t="str">
        <f t="shared" si="17"/>
        <v/>
      </c>
      <c r="G165" s="261"/>
      <c r="H165" s="247"/>
      <c r="I165" s="124"/>
      <c r="J165" s="124"/>
      <c r="K165" s="270"/>
    </row>
    <row r="166" spans="1:11" x14ac:dyDescent="0.35">
      <c r="A166" s="103"/>
      <c r="B166" s="12" t="s">
        <v>4</v>
      </c>
      <c r="C166" s="10" t="s">
        <v>48</v>
      </c>
      <c r="D166" s="152">
        <v>24</v>
      </c>
      <c r="E166" s="170">
        <v>15</v>
      </c>
      <c r="F166" s="153">
        <f t="shared" si="17"/>
        <v>9</v>
      </c>
      <c r="G166" s="256">
        <v>4</v>
      </c>
      <c r="H166" s="166">
        <f t="shared" si="12"/>
        <v>20</v>
      </c>
      <c r="I166" s="10" t="s">
        <v>20</v>
      </c>
      <c r="J166" s="11">
        <v>1.94</v>
      </c>
      <c r="K166" s="12">
        <f t="shared" si="16"/>
        <v>38.799999999999997</v>
      </c>
    </row>
    <row r="167" spans="1:11" x14ac:dyDescent="0.35">
      <c r="A167" s="103"/>
      <c r="B167" s="12" t="s">
        <v>4</v>
      </c>
      <c r="C167" s="10" t="s">
        <v>49</v>
      </c>
      <c r="D167" s="152">
        <v>24</v>
      </c>
      <c r="E167" s="170">
        <v>23</v>
      </c>
      <c r="F167" s="153">
        <f t="shared" si="17"/>
        <v>1</v>
      </c>
      <c r="G167" s="256"/>
      <c r="H167" s="166">
        <f t="shared" si="12"/>
        <v>24</v>
      </c>
      <c r="I167" s="10" t="s">
        <v>20</v>
      </c>
      <c r="J167" s="11">
        <v>1.94</v>
      </c>
      <c r="K167" s="12">
        <f t="shared" si="16"/>
        <v>46.56</v>
      </c>
    </row>
    <row r="168" spans="1:11" x14ac:dyDescent="0.35">
      <c r="A168" s="103"/>
      <c r="B168" s="12" t="s">
        <v>4</v>
      </c>
      <c r="C168" s="10" t="s">
        <v>50</v>
      </c>
      <c r="D168" s="152">
        <v>24</v>
      </c>
      <c r="E168" s="170">
        <v>22</v>
      </c>
      <c r="F168" s="153">
        <f t="shared" si="17"/>
        <v>2</v>
      </c>
      <c r="G168" s="256">
        <v>2</v>
      </c>
      <c r="H168" s="166">
        <f t="shared" si="12"/>
        <v>22</v>
      </c>
      <c r="I168" s="10" t="s">
        <v>20</v>
      </c>
      <c r="J168" s="11">
        <v>1.94</v>
      </c>
      <c r="K168" s="12">
        <f t="shared" si="16"/>
        <v>42.68</v>
      </c>
    </row>
    <row r="169" spans="1:11" hidden="1" x14ac:dyDescent="0.35">
      <c r="A169" s="103"/>
      <c r="B169" s="12" t="s">
        <v>4</v>
      </c>
      <c r="C169" s="10" t="s">
        <v>415</v>
      </c>
      <c r="D169" s="152"/>
      <c r="E169" s="170"/>
      <c r="F169" s="153" t="str">
        <f t="shared" si="17"/>
        <v/>
      </c>
      <c r="G169" s="256"/>
      <c r="H169" s="166">
        <f t="shared" si="12"/>
        <v>0</v>
      </c>
      <c r="I169" s="10" t="s">
        <v>20</v>
      </c>
      <c r="J169" s="11">
        <v>1.98</v>
      </c>
      <c r="K169" s="12">
        <f t="shared" ref="K169:K175" si="18">G169*J169</f>
        <v>0</v>
      </c>
    </row>
    <row r="170" spans="1:11" hidden="1" x14ac:dyDescent="0.35">
      <c r="A170" s="103"/>
      <c r="B170" s="12" t="s">
        <v>4</v>
      </c>
      <c r="C170" s="10" t="s">
        <v>414</v>
      </c>
      <c r="D170" s="152"/>
      <c r="E170" s="170"/>
      <c r="F170" s="153" t="str">
        <f t="shared" si="17"/>
        <v/>
      </c>
      <c r="G170" s="256"/>
      <c r="H170" s="166">
        <f t="shared" si="12"/>
        <v>0</v>
      </c>
      <c r="I170" s="10" t="s">
        <v>20</v>
      </c>
      <c r="J170" s="11">
        <v>1.98</v>
      </c>
      <c r="K170" s="12">
        <f t="shared" si="18"/>
        <v>0</v>
      </c>
    </row>
    <row r="171" spans="1:11" hidden="1" x14ac:dyDescent="0.35">
      <c r="A171" s="103"/>
      <c r="B171" s="12" t="s">
        <v>4</v>
      </c>
      <c r="C171" s="10" t="s">
        <v>415</v>
      </c>
      <c r="D171" s="152"/>
      <c r="E171" s="170"/>
      <c r="F171" s="153" t="str">
        <f t="shared" si="17"/>
        <v/>
      </c>
      <c r="G171" s="256"/>
      <c r="H171" s="166">
        <f t="shared" si="12"/>
        <v>0</v>
      </c>
      <c r="I171" s="10" t="s">
        <v>20</v>
      </c>
      <c r="J171" s="11">
        <v>1.98</v>
      </c>
      <c r="K171" s="12">
        <f t="shared" si="18"/>
        <v>0</v>
      </c>
    </row>
    <row r="172" spans="1:11" hidden="1" x14ac:dyDescent="0.35">
      <c r="A172" s="103"/>
      <c r="B172" s="12" t="s">
        <v>4</v>
      </c>
      <c r="C172" s="10" t="s">
        <v>432</v>
      </c>
      <c r="D172" s="152"/>
      <c r="E172" s="170"/>
      <c r="F172" s="153" t="str">
        <f t="shared" si="17"/>
        <v/>
      </c>
      <c r="G172" s="256"/>
      <c r="H172" s="166">
        <f t="shared" si="12"/>
        <v>0</v>
      </c>
      <c r="I172" s="10" t="s">
        <v>20</v>
      </c>
      <c r="J172" s="11">
        <v>1.98</v>
      </c>
      <c r="K172" s="12">
        <f t="shared" si="18"/>
        <v>0</v>
      </c>
    </row>
    <row r="173" spans="1:11" hidden="1" x14ac:dyDescent="0.35">
      <c r="A173" s="103"/>
      <c r="B173" s="40" t="s">
        <v>4</v>
      </c>
      <c r="C173" s="41" t="s">
        <v>330</v>
      </c>
      <c r="D173" s="227"/>
      <c r="E173" s="170"/>
      <c r="F173" s="153" t="str">
        <f t="shared" si="17"/>
        <v/>
      </c>
      <c r="G173" s="256"/>
      <c r="H173" s="166">
        <f t="shared" si="12"/>
        <v>0</v>
      </c>
      <c r="I173" s="10" t="s">
        <v>20</v>
      </c>
      <c r="J173" s="11">
        <v>1.98</v>
      </c>
      <c r="K173" s="12">
        <f t="shared" si="18"/>
        <v>0</v>
      </c>
    </row>
    <row r="174" spans="1:11" hidden="1" x14ac:dyDescent="0.35">
      <c r="A174" s="103"/>
      <c r="B174" s="40" t="s">
        <v>4</v>
      </c>
      <c r="C174" s="41" t="s">
        <v>331</v>
      </c>
      <c r="D174" s="227"/>
      <c r="E174" s="170"/>
      <c r="F174" s="153" t="str">
        <f t="shared" si="17"/>
        <v/>
      </c>
      <c r="G174" s="256"/>
      <c r="H174" s="166">
        <f t="shared" si="12"/>
        <v>0</v>
      </c>
      <c r="I174" s="10" t="s">
        <v>20</v>
      </c>
      <c r="J174" s="11">
        <v>1.98</v>
      </c>
      <c r="K174" s="12">
        <f t="shared" si="18"/>
        <v>0</v>
      </c>
    </row>
    <row r="175" spans="1:11" hidden="1" x14ac:dyDescent="0.35">
      <c r="A175" s="103"/>
      <c r="B175" s="40" t="s">
        <v>4</v>
      </c>
      <c r="C175" s="41" t="s">
        <v>413</v>
      </c>
      <c r="D175" s="227"/>
      <c r="E175" s="170"/>
      <c r="F175" s="153" t="str">
        <f t="shared" si="17"/>
        <v/>
      </c>
      <c r="G175" s="256"/>
      <c r="H175" s="166">
        <f t="shared" ref="H175:H186" si="19">IF(ISNUMBER(E175),E175,0)+IF(ISNUMBER(F175),F175,0)-IF(ISNUMBER(G175),G175,0)</f>
        <v>0</v>
      </c>
      <c r="I175" s="41" t="s">
        <v>20</v>
      </c>
      <c r="J175" s="42">
        <v>1.98</v>
      </c>
      <c r="K175" s="12">
        <f t="shared" si="18"/>
        <v>0</v>
      </c>
    </row>
    <row r="176" spans="1:11" ht="15.5" hidden="1" x14ac:dyDescent="0.35">
      <c r="A176" s="114" t="s">
        <v>333</v>
      </c>
      <c r="B176" s="120"/>
      <c r="C176" s="120"/>
      <c r="D176" s="228"/>
      <c r="E176" s="170"/>
      <c r="F176" s="153" t="str">
        <f t="shared" si="17"/>
        <v/>
      </c>
      <c r="G176" s="292"/>
      <c r="H176" s="166">
        <f t="shared" si="19"/>
        <v>0</v>
      </c>
      <c r="I176" s="121"/>
      <c r="J176" s="122" t="s">
        <v>18</v>
      </c>
      <c r="K176" s="274">
        <f>SUM(K177:K186)</f>
        <v>0</v>
      </c>
    </row>
    <row r="177" spans="1:11" hidden="1" x14ac:dyDescent="0.35">
      <c r="A177" s="103"/>
      <c r="B177" s="12" t="s">
        <v>26</v>
      </c>
      <c r="C177" s="10" t="s">
        <v>334</v>
      </c>
      <c r="D177" s="152"/>
      <c r="E177" s="170"/>
      <c r="F177" s="153" t="str">
        <f t="shared" si="17"/>
        <v/>
      </c>
      <c r="G177" s="256"/>
      <c r="H177" s="166">
        <f t="shared" si="19"/>
        <v>0</v>
      </c>
      <c r="I177" s="10" t="s">
        <v>335</v>
      </c>
      <c r="J177" s="11">
        <v>20</v>
      </c>
      <c r="K177" s="12">
        <f t="shared" ref="K177:K186" si="20">G177*J177</f>
        <v>0</v>
      </c>
    </row>
    <row r="178" spans="1:11" hidden="1" x14ac:dyDescent="0.35">
      <c r="A178" s="103"/>
      <c r="B178" s="20" t="s">
        <v>26</v>
      </c>
      <c r="C178" s="18" t="s">
        <v>53</v>
      </c>
      <c r="D178" s="229"/>
      <c r="E178" s="170"/>
      <c r="F178" s="153" t="str">
        <f t="shared" si="17"/>
        <v/>
      </c>
      <c r="G178" s="256"/>
      <c r="H178" s="166">
        <f t="shared" si="19"/>
        <v>0</v>
      </c>
      <c r="I178" s="18" t="s">
        <v>20</v>
      </c>
      <c r="J178" s="19">
        <v>0.43</v>
      </c>
      <c r="K178" s="20">
        <f t="shared" si="20"/>
        <v>0</v>
      </c>
    </row>
    <row r="179" spans="1:11" hidden="1" x14ac:dyDescent="0.35">
      <c r="A179" s="103"/>
      <c r="B179" s="20" t="s">
        <v>26</v>
      </c>
      <c r="C179" s="18" t="s">
        <v>336</v>
      </c>
      <c r="D179" s="229"/>
      <c r="E179" s="170"/>
      <c r="F179" s="153" t="str">
        <f t="shared" si="17"/>
        <v/>
      </c>
      <c r="G179" s="256"/>
      <c r="H179" s="166">
        <f t="shared" si="19"/>
        <v>0</v>
      </c>
      <c r="I179" s="18" t="s">
        <v>20</v>
      </c>
      <c r="J179" s="19">
        <v>0.43</v>
      </c>
      <c r="K179" s="20">
        <f t="shared" si="20"/>
        <v>0</v>
      </c>
    </row>
    <row r="180" spans="1:11" hidden="1" x14ac:dyDescent="0.35">
      <c r="A180" s="103"/>
      <c r="B180" s="12" t="s">
        <v>26</v>
      </c>
      <c r="C180" s="10" t="s">
        <v>337</v>
      </c>
      <c r="D180" s="152"/>
      <c r="E180" s="170"/>
      <c r="F180" s="153" t="str">
        <f t="shared" si="17"/>
        <v/>
      </c>
      <c r="G180" s="256"/>
      <c r="H180" s="166">
        <f t="shared" si="19"/>
        <v>0</v>
      </c>
      <c r="I180" s="10" t="s">
        <v>20</v>
      </c>
      <c r="J180" s="11">
        <v>0.43</v>
      </c>
      <c r="K180" s="12">
        <f t="shared" si="20"/>
        <v>0</v>
      </c>
    </row>
    <row r="181" spans="1:11" hidden="1" x14ac:dyDescent="0.35">
      <c r="A181" s="103"/>
      <c r="B181" s="12" t="s">
        <v>26</v>
      </c>
      <c r="C181" s="10" t="s">
        <v>51</v>
      </c>
      <c r="D181" s="152"/>
      <c r="E181" s="170"/>
      <c r="F181" s="153" t="str">
        <f t="shared" si="17"/>
        <v/>
      </c>
      <c r="G181" s="256"/>
      <c r="H181" s="166">
        <f t="shared" si="19"/>
        <v>0</v>
      </c>
      <c r="I181" s="10" t="s">
        <v>61</v>
      </c>
      <c r="J181" s="11">
        <v>14</v>
      </c>
      <c r="K181" s="12">
        <f t="shared" si="20"/>
        <v>0</v>
      </c>
    </row>
    <row r="182" spans="1:11" hidden="1" x14ac:dyDescent="0.35">
      <c r="A182" s="103"/>
      <c r="B182" s="12" t="s">
        <v>26</v>
      </c>
      <c r="C182" s="10" t="s">
        <v>338</v>
      </c>
      <c r="D182" s="152"/>
      <c r="E182" s="170"/>
      <c r="F182" s="153" t="str">
        <f t="shared" si="17"/>
        <v/>
      </c>
      <c r="G182" s="256"/>
      <c r="H182" s="166">
        <f t="shared" si="19"/>
        <v>0</v>
      </c>
      <c r="I182" s="10" t="s">
        <v>61</v>
      </c>
      <c r="J182" s="11">
        <v>14.78</v>
      </c>
      <c r="K182" s="12">
        <f t="shared" si="20"/>
        <v>0</v>
      </c>
    </row>
    <row r="183" spans="1:11" hidden="1" x14ac:dyDescent="0.35">
      <c r="A183" s="103"/>
      <c r="B183" s="12" t="s">
        <v>26</v>
      </c>
      <c r="C183" s="10" t="s">
        <v>339</v>
      </c>
      <c r="D183" s="152"/>
      <c r="E183" s="170"/>
      <c r="F183" s="153" t="str">
        <f t="shared" si="17"/>
        <v/>
      </c>
      <c r="G183" s="256"/>
      <c r="H183" s="166">
        <f t="shared" si="19"/>
        <v>0</v>
      </c>
      <c r="I183" s="10" t="s">
        <v>61</v>
      </c>
      <c r="J183" s="11">
        <v>14.78</v>
      </c>
      <c r="K183" s="12">
        <f t="shared" si="20"/>
        <v>0</v>
      </c>
    </row>
    <row r="184" spans="1:11" hidden="1" x14ac:dyDescent="0.35">
      <c r="A184" s="103"/>
      <c r="B184" s="12" t="s">
        <v>26</v>
      </c>
      <c r="C184" s="10" t="s">
        <v>340</v>
      </c>
      <c r="D184" s="152"/>
      <c r="E184" s="170"/>
      <c r="F184" s="153" t="str">
        <f t="shared" si="17"/>
        <v/>
      </c>
      <c r="G184" s="256"/>
      <c r="H184" s="166">
        <f t="shared" si="19"/>
        <v>0</v>
      </c>
      <c r="I184" s="10" t="s">
        <v>61</v>
      </c>
      <c r="J184" s="11">
        <v>14.78</v>
      </c>
      <c r="K184" s="12">
        <f t="shared" si="20"/>
        <v>0</v>
      </c>
    </row>
    <row r="185" spans="1:11" hidden="1" x14ac:dyDescent="0.35">
      <c r="A185" s="103"/>
      <c r="B185" s="12" t="s">
        <v>26</v>
      </c>
      <c r="C185" s="10" t="s">
        <v>341</v>
      </c>
      <c r="D185" s="152"/>
      <c r="E185" s="170"/>
      <c r="F185" s="153" t="str">
        <f t="shared" ref="F185:F219" si="21">IF(E185="","",IF(D185-E185&gt;0,D185-E185,""))</f>
        <v/>
      </c>
      <c r="G185" s="256"/>
      <c r="H185" s="166">
        <f t="shared" si="19"/>
        <v>0</v>
      </c>
      <c r="I185" s="10" t="s">
        <v>61</v>
      </c>
      <c r="J185" s="11">
        <v>14.78</v>
      </c>
      <c r="K185" s="12">
        <f t="shared" si="20"/>
        <v>0</v>
      </c>
    </row>
    <row r="186" spans="1:11" hidden="1" x14ac:dyDescent="0.35">
      <c r="A186" s="103"/>
      <c r="B186" s="12" t="s">
        <v>26</v>
      </c>
      <c r="C186" s="10" t="s">
        <v>342</v>
      </c>
      <c r="D186" s="152"/>
      <c r="E186" s="170"/>
      <c r="F186" s="153" t="str">
        <f t="shared" si="21"/>
        <v/>
      </c>
      <c r="G186" s="256"/>
      <c r="H186" s="166">
        <f t="shared" si="19"/>
        <v>0</v>
      </c>
      <c r="I186" s="10" t="s">
        <v>61</v>
      </c>
      <c r="J186" s="11">
        <v>14.78</v>
      </c>
      <c r="K186" s="10">
        <f t="shared" si="20"/>
        <v>0</v>
      </c>
    </row>
    <row r="187" spans="1:11" ht="15.5" x14ac:dyDescent="0.35">
      <c r="A187" s="108" t="s">
        <v>343</v>
      </c>
      <c r="B187" s="108"/>
      <c r="C187" s="108"/>
      <c r="D187" s="223"/>
      <c r="E187" s="250"/>
      <c r="F187" s="165" t="str">
        <f t="shared" si="21"/>
        <v/>
      </c>
      <c r="G187" s="186"/>
      <c r="H187" s="247"/>
      <c r="I187" s="108"/>
      <c r="J187" s="106" t="s">
        <v>18</v>
      </c>
      <c r="K187" s="269">
        <f>SUM(K188:K192)</f>
        <v>226.8</v>
      </c>
    </row>
    <row r="188" spans="1:11" hidden="1" x14ac:dyDescent="0.35">
      <c r="A188" s="103"/>
      <c r="B188" s="7" t="s">
        <v>6</v>
      </c>
      <c r="C188" s="14" t="s">
        <v>344</v>
      </c>
      <c r="D188" s="152"/>
      <c r="E188" s="170"/>
      <c r="F188" s="153" t="str">
        <f t="shared" si="21"/>
        <v/>
      </c>
      <c r="G188" s="256"/>
      <c r="H188" s="166">
        <f>IF(ISNUMBER(E188),E188,0)+IF(ISNUMBER(F188),F188,0)-IF(ISNUMBER(G188),G188,0)</f>
        <v>0</v>
      </c>
      <c r="I188" s="14" t="s">
        <v>20</v>
      </c>
      <c r="J188" s="35">
        <v>0.79</v>
      </c>
      <c r="K188" s="7">
        <f>G188*J188</f>
        <v>0</v>
      </c>
    </row>
    <row r="189" spans="1:11" x14ac:dyDescent="0.35">
      <c r="A189" s="103"/>
      <c r="B189" s="7" t="s">
        <v>6</v>
      </c>
      <c r="C189" s="14" t="s">
        <v>345</v>
      </c>
      <c r="D189" s="152">
        <v>30</v>
      </c>
      <c r="E189" s="170">
        <v>25</v>
      </c>
      <c r="F189" s="153">
        <f t="shared" si="21"/>
        <v>5</v>
      </c>
      <c r="G189" s="256"/>
      <c r="H189" s="166">
        <f>IF(ISNUMBER(E189),E189,0)+IF(ISNUMBER(F189),F189,0)-IF(ISNUMBER(G189),G189,0)</f>
        <v>30</v>
      </c>
      <c r="I189" s="14" t="s">
        <v>20</v>
      </c>
      <c r="J189" s="35">
        <v>2.76</v>
      </c>
      <c r="K189" s="7">
        <f>H189*J189</f>
        <v>82.8</v>
      </c>
    </row>
    <row r="190" spans="1:11" x14ac:dyDescent="0.35">
      <c r="A190" s="103"/>
      <c r="B190" s="7" t="s">
        <v>6</v>
      </c>
      <c r="C190" s="14" t="s">
        <v>346</v>
      </c>
      <c r="D190" s="152"/>
      <c r="E190" s="170"/>
      <c r="F190" s="153" t="str">
        <f t="shared" si="21"/>
        <v/>
      </c>
      <c r="G190" s="256"/>
      <c r="H190" s="166">
        <f>IF(ISNUMBER(E190),E190,0)+IF(ISNUMBER(F190),F190,0)-IF(ISNUMBER(G190),G190,0)</f>
        <v>0</v>
      </c>
      <c r="I190" s="14" t="s">
        <v>20</v>
      </c>
      <c r="J190" s="35">
        <v>1</v>
      </c>
      <c r="K190" s="7">
        <f t="shared" ref="K190:K192" si="22">H190*J190</f>
        <v>0</v>
      </c>
    </row>
    <row r="191" spans="1:11" x14ac:dyDescent="0.35">
      <c r="A191" s="103"/>
      <c r="B191" s="7" t="s">
        <v>6</v>
      </c>
      <c r="C191" s="14" t="s">
        <v>34</v>
      </c>
      <c r="D191" s="152">
        <v>40</v>
      </c>
      <c r="E191" s="170">
        <v>34</v>
      </c>
      <c r="F191" s="153">
        <f t="shared" si="21"/>
        <v>6</v>
      </c>
      <c r="G191" s="256"/>
      <c r="H191" s="166">
        <f>IF(ISNUMBER(E191),E191,0)+IF(ISNUMBER(F191),F191,0)-IF(ISNUMBER(G191),G191,0)</f>
        <v>40</v>
      </c>
      <c r="I191" s="14" t="s">
        <v>20</v>
      </c>
      <c r="J191" s="35">
        <v>1.8</v>
      </c>
      <c r="K191" s="7">
        <f t="shared" si="22"/>
        <v>72</v>
      </c>
    </row>
    <row r="192" spans="1:11" x14ac:dyDescent="0.35">
      <c r="A192" s="103"/>
      <c r="B192" s="7" t="s">
        <v>6</v>
      </c>
      <c r="C192" s="14" t="s">
        <v>35</v>
      </c>
      <c r="D192" s="152">
        <v>40</v>
      </c>
      <c r="E192" s="170">
        <v>18</v>
      </c>
      <c r="F192" s="153">
        <f t="shared" si="21"/>
        <v>22</v>
      </c>
      <c r="G192" s="256"/>
      <c r="H192" s="166">
        <f>IF(ISNUMBER(E192),E192,0)+IF(ISNUMBER(F192),F192,0)-IF(ISNUMBER(G192),G192,0)</f>
        <v>40</v>
      </c>
      <c r="I192" s="14" t="s">
        <v>20</v>
      </c>
      <c r="J192" s="35">
        <v>1.8</v>
      </c>
      <c r="K192" s="7">
        <f t="shared" si="22"/>
        <v>72</v>
      </c>
    </row>
    <row r="193" spans="1:11" ht="15.5" x14ac:dyDescent="0.35">
      <c r="A193" s="112" t="s">
        <v>347</v>
      </c>
      <c r="B193" s="116"/>
      <c r="C193" s="116"/>
      <c r="D193" s="228"/>
      <c r="E193" s="250"/>
      <c r="F193" s="165" t="str">
        <f t="shared" si="21"/>
        <v/>
      </c>
      <c r="G193" s="260"/>
      <c r="H193" s="247"/>
      <c r="I193" s="117"/>
      <c r="J193" s="118" t="s">
        <v>18</v>
      </c>
      <c r="K193" s="275">
        <f>SUM(K194:K194)</f>
        <v>0</v>
      </c>
    </row>
    <row r="194" spans="1:11" x14ac:dyDescent="0.35">
      <c r="A194" s="103"/>
      <c r="B194" s="12" t="s">
        <v>5</v>
      </c>
      <c r="C194" s="10" t="s">
        <v>55</v>
      </c>
      <c r="D194" s="152"/>
      <c r="E194" s="170"/>
      <c r="F194" s="153" t="str">
        <f t="shared" si="21"/>
        <v/>
      </c>
      <c r="G194" s="256"/>
      <c r="H194" s="166">
        <f>IF(ISNUMBER(E194),E194,0)+IF(ISNUMBER(F194),F194,0)-IF(ISNUMBER(G194),G194,0)</f>
        <v>0</v>
      </c>
      <c r="I194" s="10" t="s">
        <v>20</v>
      </c>
      <c r="J194" s="11">
        <v>1.01</v>
      </c>
      <c r="K194" s="12">
        <f>H194*J194</f>
        <v>0</v>
      </c>
    </row>
    <row r="195" spans="1:11" ht="15.5" x14ac:dyDescent="0.35">
      <c r="A195" s="112" t="s">
        <v>348</v>
      </c>
      <c r="B195" s="116"/>
      <c r="C195" s="116"/>
      <c r="D195" s="228"/>
      <c r="E195" s="250"/>
      <c r="F195" s="165" t="str">
        <f t="shared" si="21"/>
        <v/>
      </c>
      <c r="G195" s="260"/>
      <c r="H195" s="247"/>
      <c r="I195" s="117"/>
      <c r="J195" s="118" t="s">
        <v>18</v>
      </c>
      <c r="K195" s="275">
        <f>SUM(K196:K207)</f>
        <v>237.63</v>
      </c>
    </row>
    <row r="196" spans="1:11" hidden="1" x14ac:dyDescent="0.35">
      <c r="A196" s="103"/>
      <c r="B196" s="20" t="s">
        <v>8</v>
      </c>
      <c r="C196" s="18" t="s">
        <v>349</v>
      </c>
      <c r="D196" s="229"/>
      <c r="E196" s="170"/>
      <c r="F196" s="153" t="str">
        <f t="shared" si="21"/>
        <v/>
      </c>
      <c r="G196" s="256"/>
      <c r="H196" s="166">
        <f t="shared" ref="H196:H207" si="23">IF(ISNUMBER(E196),E196,0)+IF(ISNUMBER(F196),F196,0)-IF(ISNUMBER(G196),G196,0)</f>
        <v>0</v>
      </c>
      <c r="I196" s="18" t="s">
        <v>27</v>
      </c>
      <c r="J196" s="20">
        <v>28.62</v>
      </c>
      <c r="K196" s="12">
        <f t="shared" ref="K196:K207" si="24">G196*J196</f>
        <v>0</v>
      </c>
    </row>
    <row r="197" spans="1:11" hidden="1" x14ac:dyDescent="0.35">
      <c r="A197" s="103"/>
      <c r="B197" s="12" t="s">
        <v>8</v>
      </c>
      <c r="C197" s="10" t="s">
        <v>350</v>
      </c>
      <c r="D197" s="152"/>
      <c r="E197" s="170"/>
      <c r="F197" s="153" t="str">
        <f t="shared" si="21"/>
        <v/>
      </c>
      <c r="G197" s="256"/>
      <c r="H197" s="166">
        <f t="shared" si="23"/>
        <v>0</v>
      </c>
      <c r="I197" s="10" t="s">
        <v>335</v>
      </c>
      <c r="J197" s="12">
        <v>30</v>
      </c>
      <c r="K197" s="12">
        <f t="shared" si="24"/>
        <v>0</v>
      </c>
    </row>
    <row r="198" spans="1:11" hidden="1" x14ac:dyDescent="0.35">
      <c r="A198" s="103"/>
      <c r="B198" s="12" t="s">
        <v>8</v>
      </c>
      <c r="C198" s="10" t="s">
        <v>351</v>
      </c>
      <c r="D198" s="152"/>
      <c r="E198" s="170"/>
      <c r="F198" s="153" t="str">
        <f t="shared" si="21"/>
        <v/>
      </c>
      <c r="G198" s="256"/>
      <c r="H198" s="166">
        <f t="shared" si="23"/>
        <v>0</v>
      </c>
      <c r="I198" s="10" t="s">
        <v>335</v>
      </c>
      <c r="J198" s="11">
        <v>1.1499999999999999</v>
      </c>
      <c r="K198" s="12">
        <f t="shared" si="24"/>
        <v>0</v>
      </c>
    </row>
    <row r="199" spans="1:11" x14ac:dyDescent="0.35">
      <c r="A199" s="103"/>
      <c r="B199" s="12" t="s">
        <v>8</v>
      </c>
      <c r="C199" s="10" t="s">
        <v>352</v>
      </c>
      <c r="D199" s="152">
        <v>3</v>
      </c>
      <c r="E199" s="170">
        <v>1</v>
      </c>
      <c r="F199" s="153">
        <f t="shared" si="21"/>
        <v>2</v>
      </c>
      <c r="G199" s="256"/>
      <c r="H199" s="166">
        <f t="shared" si="23"/>
        <v>3</v>
      </c>
      <c r="I199" s="10">
        <v>23.83</v>
      </c>
      <c r="J199" s="11">
        <v>30.95</v>
      </c>
      <c r="K199" s="12">
        <f>H199*J199</f>
        <v>92.85</v>
      </c>
    </row>
    <row r="200" spans="1:11" x14ac:dyDescent="0.35">
      <c r="A200" s="103"/>
      <c r="B200" s="12" t="s">
        <v>8</v>
      </c>
      <c r="C200" s="10" t="s">
        <v>353</v>
      </c>
      <c r="D200" s="152">
        <v>3</v>
      </c>
      <c r="E200" s="170">
        <v>2</v>
      </c>
      <c r="F200" s="153">
        <f t="shared" si="21"/>
        <v>1</v>
      </c>
      <c r="G200" s="256"/>
      <c r="H200" s="166">
        <f t="shared" si="23"/>
        <v>3</v>
      </c>
      <c r="I200" s="10" t="s">
        <v>27</v>
      </c>
      <c r="J200" s="11">
        <v>28.89</v>
      </c>
      <c r="K200" s="12">
        <f t="shared" ref="K200" si="25">H200*J200</f>
        <v>86.67</v>
      </c>
    </row>
    <row r="201" spans="1:11" x14ac:dyDescent="0.35">
      <c r="A201" s="103"/>
      <c r="B201" s="12" t="s">
        <v>8</v>
      </c>
      <c r="C201" s="10" t="s">
        <v>354</v>
      </c>
      <c r="D201" s="152">
        <v>3</v>
      </c>
      <c r="E201" s="170">
        <v>2</v>
      </c>
      <c r="F201" s="153">
        <f>IF(E201="","",IF(D201-E201&gt;0,D201-E201,""))</f>
        <v>1</v>
      </c>
      <c r="G201" s="256"/>
      <c r="H201" s="166">
        <f>IF(ISNUMBER(E201),E201,0)+IF(ISNUMBER(F201),F201,0)-IF(ISNUMBER(G201),G201,0)</f>
        <v>3</v>
      </c>
      <c r="I201" s="10" t="s">
        <v>27</v>
      </c>
      <c r="J201" s="11">
        <v>19.37</v>
      </c>
      <c r="K201" s="12">
        <f>H201*J201</f>
        <v>58.11</v>
      </c>
    </row>
    <row r="202" spans="1:11" x14ac:dyDescent="0.35">
      <c r="A202" s="103"/>
      <c r="B202" s="12" t="s">
        <v>8</v>
      </c>
      <c r="C202" s="10" t="s">
        <v>429</v>
      </c>
      <c r="D202" s="152"/>
      <c r="E202" s="170"/>
      <c r="F202" s="153"/>
      <c r="G202" s="256"/>
      <c r="H202" s="166">
        <f t="shared" ref="H202:H204" si="26">IF(ISNUMBER(E202),E202,0)+IF(ISNUMBER(F202),F202,0)-IF(ISNUMBER(G202),G202,0)</f>
        <v>0</v>
      </c>
      <c r="I202" s="10">
        <v>14.07</v>
      </c>
      <c r="J202" s="11"/>
      <c r="K202" s="12"/>
    </row>
    <row r="203" spans="1:11" x14ac:dyDescent="0.35">
      <c r="A203" s="103"/>
      <c r="B203" s="12" t="s">
        <v>8</v>
      </c>
      <c r="C203" s="10" t="s">
        <v>430</v>
      </c>
      <c r="D203" s="152"/>
      <c r="E203" s="170"/>
      <c r="F203" s="153"/>
      <c r="G203" s="256"/>
      <c r="H203" s="166">
        <f t="shared" si="26"/>
        <v>0</v>
      </c>
      <c r="I203" s="10">
        <v>16.07</v>
      </c>
      <c r="J203" s="11"/>
      <c r="K203" s="12"/>
    </row>
    <row r="204" spans="1:11" x14ac:dyDescent="0.35">
      <c r="A204" s="103"/>
      <c r="B204" s="12" t="s">
        <v>8</v>
      </c>
      <c r="C204" s="10" t="s">
        <v>431</v>
      </c>
      <c r="D204" s="152"/>
      <c r="G204" s="256"/>
      <c r="H204" s="166">
        <f t="shared" si="26"/>
        <v>0</v>
      </c>
      <c r="I204" s="289">
        <v>14.62</v>
      </c>
      <c r="J204" s="11"/>
    </row>
    <row r="205" spans="1:11" hidden="1" x14ac:dyDescent="0.35">
      <c r="A205" s="103"/>
      <c r="B205" s="12" t="s">
        <v>8</v>
      </c>
      <c r="C205" s="10" t="s">
        <v>355</v>
      </c>
      <c r="D205" s="152"/>
      <c r="E205" s="170"/>
      <c r="F205" s="153" t="str">
        <f t="shared" si="21"/>
        <v/>
      </c>
      <c r="G205" s="256"/>
      <c r="H205" s="166">
        <f t="shared" si="23"/>
        <v>0</v>
      </c>
      <c r="I205" s="10" t="s">
        <v>61</v>
      </c>
      <c r="J205" s="11">
        <v>17.11</v>
      </c>
      <c r="K205" s="12">
        <f t="shared" si="24"/>
        <v>0</v>
      </c>
    </row>
    <row r="206" spans="1:11" hidden="1" x14ac:dyDescent="0.35">
      <c r="A206" s="103"/>
      <c r="B206" s="12" t="s">
        <v>8</v>
      </c>
      <c r="C206" s="10" t="s">
        <v>356</v>
      </c>
      <c r="D206" s="152"/>
      <c r="E206" s="170"/>
      <c r="F206" s="153" t="str">
        <f t="shared" si="21"/>
        <v/>
      </c>
      <c r="G206" s="256"/>
      <c r="H206" s="166">
        <f t="shared" si="23"/>
        <v>0</v>
      </c>
      <c r="I206" s="10" t="s">
        <v>61</v>
      </c>
      <c r="J206" s="11">
        <v>22.13</v>
      </c>
      <c r="K206" s="12">
        <f t="shared" si="24"/>
        <v>0</v>
      </c>
    </row>
    <row r="207" spans="1:11" hidden="1" x14ac:dyDescent="0.35">
      <c r="A207" s="103"/>
      <c r="B207" s="40" t="s">
        <v>8</v>
      </c>
      <c r="C207" s="41" t="s">
        <v>357</v>
      </c>
      <c r="D207" s="227"/>
      <c r="E207" s="170"/>
      <c r="F207" s="153" t="str">
        <f t="shared" si="21"/>
        <v/>
      </c>
      <c r="G207" s="256"/>
      <c r="H207" s="166">
        <f t="shared" si="23"/>
        <v>0</v>
      </c>
      <c r="I207" s="41" t="s">
        <v>61</v>
      </c>
      <c r="J207" s="42">
        <v>18.8</v>
      </c>
      <c r="K207" s="40">
        <f t="shared" si="24"/>
        <v>0</v>
      </c>
    </row>
    <row r="208" spans="1:11" ht="15.5" hidden="1" x14ac:dyDescent="0.35">
      <c r="A208" s="112" t="s">
        <v>358</v>
      </c>
      <c r="B208" s="116"/>
      <c r="C208" s="116"/>
      <c r="D208" s="228"/>
      <c r="E208" s="170"/>
      <c r="F208" s="165" t="str">
        <f t="shared" si="21"/>
        <v/>
      </c>
      <c r="G208" s="260"/>
      <c r="H208" s="247"/>
      <c r="I208" s="117"/>
      <c r="J208" s="118" t="s">
        <v>18</v>
      </c>
      <c r="K208" s="275">
        <f>SUM(K209)</f>
        <v>0</v>
      </c>
    </row>
    <row r="209" spans="1:11" hidden="1" x14ac:dyDescent="0.35">
      <c r="A209" s="103"/>
      <c r="B209" s="13" t="s">
        <v>11</v>
      </c>
      <c r="C209" s="18" t="s">
        <v>359</v>
      </c>
      <c r="D209" s="229"/>
      <c r="E209" s="170"/>
      <c r="F209" s="153" t="str">
        <f t="shared" si="21"/>
        <v/>
      </c>
      <c r="G209" s="256"/>
      <c r="H209" s="166">
        <f>IF(ISNUMBER(E209),E209,0)+IF(ISNUMBER(F209),F209,0)-IF(ISNUMBER(G209),G209,0)</f>
        <v>0</v>
      </c>
      <c r="I209" s="10" t="s">
        <v>52</v>
      </c>
      <c r="J209" s="11">
        <v>11.63</v>
      </c>
      <c r="K209" s="12">
        <f>G209*J209</f>
        <v>0</v>
      </c>
    </row>
    <row r="210" spans="1:11" ht="15.5" x14ac:dyDescent="0.35">
      <c r="A210" s="108" t="s">
        <v>360</v>
      </c>
      <c r="B210" s="108"/>
      <c r="C210" s="108"/>
      <c r="D210" s="223"/>
      <c r="E210" s="250"/>
      <c r="F210" s="165" t="str">
        <f t="shared" si="21"/>
        <v/>
      </c>
      <c r="G210" s="186"/>
      <c r="H210" s="247"/>
      <c r="I210" s="108"/>
      <c r="J210" s="106" t="s">
        <v>18</v>
      </c>
      <c r="K210" s="269">
        <f>SUM(K211:K212)</f>
        <v>0</v>
      </c>
    </row>
    <row r="211" spans="1:11" x14ac:dyDescent="0.35">
      <c r="A211" s="103"/>
      <c r="B211" s="12" t="s">
        <v>12</v>
      </c>
      <c r="C211" s="10" t="s">
        <v>70</v>
      </c>
      <c r="D211" s="152"/>
      <c r="E211" s="170"/>
      <c r="F211" s="153" t="str">
        <f t="shared" si="21"/>
        <v/>
      </c>
      <c r="G211" s="256"/>
      <c r="H211" s="166">
        <f>IF(ISNUMBER(E211),E211,0)+IF(ISNUMBER(F211),F211,0)-IF(ISNUMBER(G211),G211,0)</f>
        <v>0</v>
      </c>
      <c r="I211" s="10" t="s">
        <v>27</v>
      </c>
      <c r="J211" s="11">
        <v>20.7</v>
      </c>
      <c r="K211" s="12">
        <f>H211*J211</f>
        <v>0</v>
      </c>
    </row>
    <row r="212" spans="1:11" x14ac:dyDescent="0.35">
      <c r="A212" s="103"/>
      <c r="B212" s="12" t="s">
        <v>12</v>
      </c>
      <c r="C212" s="10" t="s">
        <v>71</v>
      </c>
      <c r="D212" s="152"/>
      <c r="E212" s="170"/>
      <c r="F212" s="153" t="str">
        <f t="shared" si="21"/>
        <v/>
      </c>
      <c r="G212" s="256"/>
      <c r="H212" s="166">
        <f>IF(ISNUMBER(E212),E212,0)+IF(ISNUMBER(F212),F212,0)-IF(ISNUMBER(G212),G212,0)</f>
        <v>0</v>
      </c>
      <c r="I212" s="10" t="s">
        <v>27</v>
      </c>
      <c r="J212" s="11">
        <v>13.7</v>
      </c>
      <c r="K212" s="12">
        <f>H212*J212</f>
        <v>0</v>
      </c>
    </row>
    <row r="213" spans="1:11" ht="15.5" hidden="1" x14ac:dyDescent="0.35">
      <c r="A213" s="108" t="s">
        <v>361</v>
      </c>
      <c r="B213" s="108"/>
      <c r="C213" s="108"/>
      <c r="D213" s="223"/>
      <c r="E213" s="250"/>
      <c r="F213" s="165" t="str">
        <f t="shared" si="21"/>
        <v/>
      </c>
      <c r="G213" s="186"/>
      <c r="H213" s="247"/>
      <c r="I213" s="108"/>
      <c r="J213" s="106" t="s">
        <v>18</v>
      </c>
      <c r="K213" s="269">
        <f>SUM(K214:K217)</f>
        <v>0</v>
      </c>
    </row>
    <row r="214" spans="1:11" hidden="1" x14ac:dyDescent="0.35">
      <c r="A214" s="103"/>
      <c r="B214" s="12" t="s">
        <v>10</v>
      </c>
      <c r="C214" s="10" t="s">
        <v>362</v>
      </c>
      <c r="D214" s="152"/>
      <c r="E214" s="170"/>
      <c r="F214" s="153" t="str">
        <f t="shared" si="21"/>
        <v/>
      </c>
      <c r="G214" s="256"/>
      <c r="H214" s="166">
        <f>IF(ISNUMBER(E214),E214,0)+IF(ISNUMBER(F214),F214,0)-IF(ISNUMBER(G214),G214,0)</f>
        <v>0</v>
      </c>
      <c r="I214" s="10" t="s">
        <v>20</v>
      </c>
      <c r="J214" s="11">
        <v>11.08</v>
      </c>
      <c r="K214" s="12">
        <f>H214*J214</f>
        <v>0</v>
      </c>
    </row>
    <row r="215" spans="1:11" hidden="1" x14ac:dyDescent="0.35">
      <c r="A215" s="103"/>
      <c r="B215" s="12" t="s">
        <v>10</v>
      </c>
      <c r="C215" s="10" t="s">
        <v>363</v>
      </c>
      <c r="D215" s="152"/>
      <c r="E215" s="170"/>
      <c r="F215" s="153" t="str">
        <f t="shared" si="21"/>
        <v/>
      </c>
      <c r="G215" s="256"/>
      <c r="H215" s="166">
        <f>IF(ISNUMBER(E215),E215,0)+IF(ISNUMBER(F215),F215,0)-IF(ISNUMBER(G215),G215,0)</f>
        <v>0</v>
      </c>
      <c r="I215" s="10" t="s">
        <v>27</v>
      </c>
      <c r="J215" s="11">
        <v>16.21</v>
      </c>
      <c r="K215" s="12">
        <f t="shared" ref="K215:K217" si="27">H215*J215</f>
        <v>0</v>
      </c>
    </row>
    <row r="216" spans="1:11" hidden="1" x14ac:dyDescent="0.35">
      <c r="A216" s="103"/>
      <c r="B216" s="12" t="s">
        <v>10</v>
      </c>
      <c r="C216" s="10" t="s">
        <v>364</v>
      </c>
      <c r="D216" s="152"/>
      <c r="E216" s="170"/>
      <c r="F216" s="153" t="str">
        <f t="shared" si="21"/>
        <v/>
      </c>
      <c r="G216" s="256"/>
      <c r="H216" s="166">
        <f>IF(ISNUMBER(E216),E216,0)+IF(ISNUMBER(F216),F216,0)-IF(ISNUMBER(G216),G216,0)</f>
        <v>0</v>
      </c>
      <c r="I216" s="10" t="s">
        <v>27</v>
      </c>
      <c r="J216" s="11">
        <v>19.350000000000001</v>
      </c>
      <c r="K216" s="12">
        <f t="shared" si="27"/>
        <v>0</v>
      </c>
    </row>
    <row r="217" spans="1:11" hidden="1" x14ac:dyDescent="0.35">
      <c r="A217" s="103"/>
      <c r="B217" s="12" t="s">
        <v>10</v>
      </c>
      <c r="C217" s="10" t="s">
        <v>365</v>
      </c>
      <c r="D217" s="152"/>
      <c r="E217" s="170"/>
      <c r="F217" s="153" t="str">
        <f t="shared" si="21"/>
        <v/>
      </c>
      <c r="G217" s="256"/>
      <c r="H217" s="166">
        <f>IF(ISNUMBER(E217),E217,0)+IF(ISNUMBER(F217),F217,0)-IF(ISNUMBER(G217),G217,0)</f>
        <v>0</v>
      </c>
      <c r="I217" s="10" t="s">
        <v>27</v>
      </c>
      <c r="J217" s="11">
        <v>19.809999999999999</v>
      </c>
      <c r="K217" s="12">
        <f t="shared" si="27"/>
        <v>0</v>
      </c>
    </row>
    <row r="218" spans="1:11" ht="15.5" hidden="1" x14ac:dyDescent="0.35">
      <c r="A218" s="108" t="s">
        <v>366</v>
      </c>
      <c r="B218" s="108"/>
      <c r="C218" s="108"/>
      <c r="D218" s="223"/>
      <c r="E218" s="170"/>
      <c r="F218" s="165" t="str">
        <f t="shared" si="21"/>
        <v/>
      </c>
      <c r="G218" s="186"/>
      <c r="H218" s="247"/>
      <c r="I218" s="108"/>
      <c r="J218" s="106" t="s">
        <v>18</v>
      </c>
      <c r="K218" s="269">
        <f>SUM(K219:K219)</f>
        <v>0</v>
      </c>
    </row>
    <row r="219" spans="1:11" hidden="1" x14ac:dyDescent="0.35">
      <c r="A219" s="103"/>
      <c r="B219" s="12" t="s">
        <v>28</v>
      </c>
      <c r="C219" s="10" t="s">
        <v>29</v>
      </c>
      <c r="D219" s="152"/>
      <c r="E219" s="170"/>
      <c r="F219" s="153" t="str">
        <f t="shared" si="21"/>
        <v/>
      </c>
      <c r="G219" s="256"/>
      <c r="H219" s="166">
        <f>IF(ISNUMBER(E219),E219,0)+IF(ISNUMBER(F219),F219,0)-IF(ISNUMBER(G219),G219,0)</f>
        <v>0</v>
      </c>
      <c r="I219" s="10" t="s">
        <v>54</v>
      </c>
      <c r="J219" s="11">
        <v>104</v>
      </c>
      <c r="K219" s="12">
        <f>+J219*G219</f>
        <v>0</v>
      </c>
    </row>
    <row r="220" spans="1:11" ht="15.5" x14ac:dyDescent="0.35">
      <c r="A220" s="108" t="s">
        <v>367</v>
      </c>
      <c r="B220" s="108"/>
      <c r="C220" s="108"/>
      <c r="D220" s="223"/>
      <c r="E220" s="250"/>
      <c r="F220" s="165" t="str">
        <f t="shared" ref="F220:F255" si="28">IF(E220="","",IF(D220-E220&gt;0,D220-E220,""))</f>
        <v/>
      </c>
      <c r="G220" s="186"/>
      <c r="H220" s="247"/>
      <c r="I220" s="108"/>
      <c r="J220" s="106" t="s">
        <v>18</v>
      </c>
      <c r="K220" s="269">
        <f>SUM(K224:K239)</f>
        <v>111.47</v>
      </c>
    </row>
    <row r="221" spans="1:11" x14ac:dyDescent="0.35">
      <c r="A221" s="103"/>
      <c r="B221" s="12" t="s">
        <v>9</v>
      </c>
      <c r="C221" s="10" t="s">
        <v>423</v>
      </c>
      <c r="D221" s="152"/>
      <c r="E221" s="170"/>
      <c r="F221" s="153" t="str">
        <f t="shared" si="28"/>
        <v/>
      </c>
      <c r="G221" s="256"/>
      <c r="H221" s="166">
        <f t="shared" ref="H221:H240" si="29">IF(ISNUMBER(E221),E221,0)+IF(ISNUMBER(F221),F221,0)-IF(ISNUMBER(G221),G221,0)</f>
        <v>0</v>
      </c>
      <c r="I221" s="10" t="s">
        <v>20</v>
      </c>
      <c r="J221" s="11">
        <v>78</v>
      </c>
      <c r="K221" s="50">
        <f t="shared" ref="K221:K240" si="30">G221*J221</f>
        <v>0</v>
      </c>
    </row>
    <row r="222" spans="1:11" x14ac:dyDescent="0.35">
      <c r="A222" s="103"/>
      <c r="B222" s="12" t="s">
        <v>9</v>
      </c>
      <c r="C222" s="10" t="s">
        <v>424</v>
      </c>
      <c r="D222" s="152"/>
      <c r="E222" s="170"/>
      <c r="F222" s="153" t="str">
        <f t="shared" si="28"/>
        <v/>
      </c>
      <c r="G222" s="256"/>
      <c r="H222" s="166">
        <f t="shared" si="29"/>
        <v>0</v>
      </c>
      <c r="I222" s="10" t="s">
        <v>61</v>
      </c>
      <c r="J222" s="51">
        <v>107.12</v>
      </c>
      <c r="K222" s="50">
        <f t="shared" si="30"/>
        <v>0</v>
      </c>
    </row>
    <row r="223" spans="1:11" x14ac:dyDescent="0.35">
      <c r="A223" s="103"/>
      <c r="B223" s="12" t="s">
        <v>9</v>
      </c>
      <c r="C223" s="10" t="s">
        <v>369</v>
      </c>
      <c r="D223" s="152"/>
      <c r="E223" s="170"/>
      <c r="F223" s="153" t="str">
        <f t="shared" si="28"/>
        <v/>
      </c>
      <c r="G223" s="256"/>
      <c r="H223" s="166">
        <f t="shared" si="29"/>
        <v>0</v>
      </c>
      <c r="I223" s="10" t="s">
        <v>20</v>
      </c>
      <c r="J223" s="11">
        <v>0.04</v>
      </c>
      <c r="K223" s="50">
        <f t="shared" si="30"/>
        <v>0</v>
      </c>
    </row>
    <row r="224" spans="1:11" x14ac:dyDescent="0.35">
      <c r="A224" s="103"/>
      <c r="B224" s="12" t="s">
        <v>9</v>
      </c>
      <c r="C224" s="10" t="s">
        <v>370</v>
      </c>
      <c r="D224" s="152"/>
      <c r="E224" s="170"/>
      <c r="F224" s="153" t="str">
        <f t="shared" si="28"/>
        <v/>
      </c>
      <c r="G224" s="256"/>
      <c r="H224" s="166">
        <f t="shared" si="29"/>
        <v>0</v>
      </c>
      <c r="I224" s="10" t="s">
        <v>20</v>
      </c>
      <c r="J224" s="11">
        <v>7.0999999999999994E-2</v>
      </c>
      <c r="K224" s="233">
        <f>H224*J224</f>
        <v>0</v>
      </c>
    </row>
    <row r="225" spans="1:11" x14ac:dyDescent="0.35">
      <c r="A225" s="103"/>
      <c r="B225" s="12" t="s">
        <v>9</v>
      </c>
      <c r="C225" s="10" t="s">
        <v>411</v>
      </c>
      <c r="D225" s="152"/>
      <c r="E225" s="170"/>
      <c r="F225" s="153" t="str">
        <f t="shared" si="28"/>
        <v/>
      </c>
      <c r="G225" s="256"/>
      <c r="H225" s="166">
        <f t="shared" si="29"/>
        <v>0</v>
      </c>
      <c r="I225" s="10" t="s">
        <v>20</v>
      </c>
      <c r="J225" s="11">
        <v>1.97</v>
      </c>
      <c r="K225" s="233">
        <f>H225*J225</f>
        <v>0</v>
      </c>
    </row>
    <row r="226" spans="1:11" x14ac:dyDescent="0.35">
      <c r="A226" s="103"/>
      <c r="B226" s="12" t="s">
        <v>9</v>
      </c>
      <c r="C226" s="10" t="s">
        <v>371</v>
      </c>
      <c r="D226" s="152"/>
      <c r="E226" s="170"/>
      <c r="F226" s="153" t="str">
        <f t="shared" si="28"/>
        <v/>
      </c>
      <c r="G226" s="256"/>
      <c r="H226" s="166">
        <f t="shared" si="29"/>
        <v>0</v>
      </c>
      <c r="I226" s="10" t="s">
        <v>61</v>
      </c>
      <c r="J226" s="11">
        <v>163.80000000000001</v>
      </c>
      <c r="K226" s="233">
        <f t="shared" ref="K226:K239" si="31">H226*J226</f>
        <v>0</v>
      </c>
    </row>
    <row r="227" spans="1:11" x14ac:dyDescent="0.35">
      <c r="A227" s="103"/>
      <c r="B227" s="12" t="s">
        <v>9</v>
      </c>
      <c r="C227" s="10" t="s">
        <v>410</v>
      </c>
      <c r="D227" s="152"/>
      <c r="E227" s="170"/>
      <c r="F227" s="153" t="str">
        <f t="shared" si="28"/>
        <v/>
      </c>
      <c r="G227" s="256"/>
      <c r="H227" s="166">
        <f t="shared" si="29"/>
        <v>0</v>
      </c>
      <c r="I227" s="10" t="s">
        <v>61</v>
      </c>
      <c r="J227" s="11">
        <v>49.33</v>
      </c>
      <c r="K227" s="233">
        <f t="shared" si="31"/>
        <v>0</v>
      </c>
    </row>
    <row r="228" spans="1:11" x14ac:dyDescent="0.35">
      <c r="A228" s="103"/>
      <c r="B228" s="12" t="s">
        <v>9</v>
      </c>
      <c r="C228" s="10" t="s">
        <v>373</v>
      </c>
      <c r="D228" s="152"/>
      <c r="E228" s="170"/>
      <c r="F228" s="153" t="str">
        <f t="shared" si="28"/>
        <v/>
      </c>
      <c r="G228" s="256"/>
      <c r="H228" s="166">
        <f t="shared" si="29"/>
        <v>0</v>
      </c>
      <c r="I228" s="10" t="s">
        <v>61</v>
      </c>
      <c r="J228" s="11">
        <v>105.6</v>
      </c>
      <c r="K228" s="233">
        <f t="shared" si="31"/>
        <v>0</v>
      </c>
    </row>
    <row r="229" spans="1:11" x14ac:dyDescent="0.35">
      <c r="A229" s="103"/>
      <c r="B229" s="12" t="s">
        <v>9</v>
      </c>
      <c r="C229" s="10" t="s">
        <v>374</v>
      </c>
      <c r="D229" s="152"/>
      <c r="E229" s="170"/>
      <c r="F229" s="153" t="str">
        <f t="shared" si="28"/>
        <v/>
      </c>
      <c r="G229" s="256"/>
      <c r="H229" s="166">
        <f t="shared" si="29"/>
        <v>0</v>
      </c>
      <c r="I229" s="10" t="s">
        <v>61</v>
      </c>
      <c r="J229" s="11">
        <v>114.75</v>
      </c>
      <c r="K229" s="233">
        <f t="shared" si="31"/>
        <v>0</v>
      </c>
    </row>
    <row r="230" spans="1:11" x14ac:dyDescent="0.35">
      <c r="A230" s="103"/>
      <c r="B230" s="12" t="s">
        <v>9</v>
      </c>
      <c r="C230" s="10" t="s">
        <v>375</v>
      </c>
      <c r="D230" s="152"/>
      <c r="E230" s="170"/>
      <c r="F230" s="153" t="str">
        <f t="shared" si="28"/>
        <v/>
      </c>
      <c r="G230" s="256"/>
      <c r="H230" s="166">
        <f t="shared" si="29"/>
        <v>0</v>
      </c>
      <c r="I230" s="10" t="s">
        <v>61</v>
      </c>
      <c r="J230" s="11">
        <v>105.55</v>
      </c>
      <c r="K230" s="233">
        <f t="shared" si="31"/>
        <v>0</v>
      </c>
    </row>
    <row r="231" spans="1:11" x14ac:dyDescent="0.35">
      <c r="A231" s="103"/>
      <c r="B231" s="12" t="s">
        <v>9</v>
      </c>
      <c r="C231" s="10" t="s">
        <v>376</v>
      </c>
      <c r="D231" s="152"/>
      <c r="E231" s="170"/>
      <c r="F231" s="153" t="str">
        <f t="shared" si="28"/>
        <v/>
      </c>
      <c r="G231" s="256"/>
      <c r="H231" s="166">
        <f t="shared" si="29"/>
        <v>0</v>
      </c>
      <c r="I231" s="10" t="s">
        <v>61</v>
      </c>
      <c r="J231" s="11">
        <v>33.25</v>
      </c>
      <c r="K231" s="233">
        <f t="shared" si="31"/>
        <v>0</v>
      </c>
    </row>
    <row r="232" spans="1:11" x14ac:dyDescent="0.35">
      <c r="A232" s="103"/>
      <c r="B232" s="12" t="s">
        <v>9</v>
      </c>
      <c r="C232" s="10" t="s">
        <v>377</v>
      </c>
      <c r="D232" s="152"/>
      <c r="E232" s="170"/>
      <c r="F232" s="153" t="str">
        <f t="shared" si="28"/>
        <v/>
      </c>
      <c r="G232" s="256"/>
      <c r="H232" s="166">
        <f t="shared" si="29"/>
        <v>0</v>
      </c>
      <c r="I232" s="10" t="s">
        <v>20</v>
      </c>
      <c r="J232" s="11">
        <v>0.28999999999999998</v>
      </c>
      <c r="K232" s="233">
        <f t="shared" si="31"/>
        <v>0</v>
      </c>
    </row>
    <row r="233" spans="1:11" x14ac:dyDescent="0.35">
      <c r="A233" s="103"/>
      <c r="B233" s="12" t="s">
        <v>9</v>
      </c>
      <c r="C233" s="10" t="s">
        <v>378</v>
      </c>
      <c r="D233" s="152"/>
      <c r="E233" s="170"/>
      <c r="F233" s="153" t="str">
        <f t="shared" si="28"/>
        <v/>
      </c>
      <c r="G233" s="256"/>
      <c r="H233" s="166">
        <f t="shared" si="29"/>
        <v>0</v>
      </c>
      <c r="I233" s="10" t="s">
        <v>61</v>
      </c>
      <c r="J233" s="35">
        <v>37.85</v>
      </c>
      <c r="K233" s="233">
        <f t="shared" si="31"/>
        <v>0</v>
      </c>
    </row>
    <row r="234" spans="1:11" x14ac:dyDescent="0.35">
      <c r="A234" s="103"/>
      <c r="B234" s="12" t="s">
        <v>9</v>
      </c>
      <c r="C234" s="10" t="s">
        <v>425</v>
      </c>
      <c r="D234" s="152">
        <v>1</v>
      </c>
      <c r="E234" s="170">
        <v>0</v>
      </c>
      <c r="F234" s="153">
        <f t="shared" si="28"/>
        <v>1</v>
      </c>
      <c r="G234" s="256"/>
      <c r="H234" s="166">
        <f t="shared" si="29"/>
        <v>1</v>
      </c>
      <c r="I234" s="10" t="s">
        <v>61</v>
      </c>
      <c r="J234" s="35">
        <v>111.47</v>
      </c>
      <c r="K234" s="233">
        <f>H234*J234</f>
        <v>111.47</v>
      </c>
    </row>
    <row r="235" spans="1:11" x14ac:dyDescent="0.35">
      <c r="A235" s="103"/>
      <c r="B235" s="12" t="s">
        <v>9</v>
      </c>
      <c r="C235" s="10" t="s">
        <v>379</v>
      </c>
      <c r="D235" s="152"/>
      <c r="E235" s="170"/>
      <c r="F235" s="153" t="str">
        <f t="shared" si="28"/>
        <v/>
      </c>
      <c r="G235" s="256"/>
      <c r="H235" s="166">
        <f t="shared" si="29"/>
        <v>0</v>
      </c>
      <c r="I235" s="10" t="s">
        <v>61</v>
      </c>
      <c r="J235" s="35">
        <v>174.97</v>
      </c>
      <c r="K235" s="233">
        <f t="shared" si="31"/>
        <v>0</v>
      </c>
    </row>
    <row r="236" spans="1:11" x14ac:dyDescent="0.35">
      <c r="A236" s="103"/>
      <c r="B236" s="12" t="s">
        <v>9</v>
      </c>
      <c r="C236" s="10" t="s">
        <v>380</v>
      </c>
      <c r="D236" s="152"/>
      <c r="E236" s="170">
        <v>0</v>
      </c>
      <c r="F236" s="153" t="str">
        <f t="shared" si="28"/>
        <v/>
      </c>
      <c r="G236" s="256"/>
      <c r="H236" s="166">
        <f t="shared" si="29"/>
        <v>0</v>
      </c>
      <c r="I236" s="10" t="s">
        <v>61</v>
      </c>
      <c r="J236" s="35">
        <v>44.93</v>
      </c>
      <c r="K236" s="233">
        <f t="shared" si="31"/>
        <v>0</v>
      </c>
    </row>
    <row r="237" spans="1:11" x14ac:dyDescent="0.35">
      <c r="A237" s="103"/>
      <c r="B237" s="12" t="s">
        <v>9</v>
      </c>
      <c r="C237" s="10" t="s">
        <v>426</v>
      </c>
      <c r="D237" s="152">
        <v>1</v>
      </c>
      <c r="E237" s="170">
        <v>1</v>
      </c>
      <c r="F237" s="153" t="str">
        <f t="shared" si="28"/>
        <v/>
      </c>
      <c r="G237" s="256"/>
      <c r="H237" s="166">
        <f t="shared" si="29"/>
        <v>1</v>
      </c>
      <c r="I237" s="10" t="s">
        <v>20</v>
      </c>
      <c r="J237" s="35"/>
      <c r="K237" s="233">
        <f t="shared" si="31"/>
        <v>0</v>
      </c>
    </row>
    <row r="238" spans="1:11" x14ac:dyDescent="0.35">
      <c r="A238" s="103"/>
      <c r="B238" s="12" t="s">
        <v>9</v>
      </c>
      <c r="C238" s="10" t="s">
        <v>427</v>
      </c>
      <c r="D238" s="152">
        <v>1</v>
      </c>
      <c r="E238" s="170">
        <v>1</v>
      </c>
      <c r="F238" s="153" t="str">
        <f t="shared" si="28"/>
        <v/>
      </c>
      <c r="G238" s="256"/>
      <c r="H238" s="166">
        <f t="shared" si="29"/>
        <v>1</v>
      </c>
      <c r="I238" s="10" t="s">
        <v>61</v>
      </c>
      <c r="J238" s="35"/>
      <c r="K238" s="233">
        <f>H238*J238</f>
        <v>0</v>
      </c>
    </row>
    <row r="239" spans="1:11" x14ac:dyDescent="0.35">
      <c r="A239" s="103"/>
      <c r="B239" s="12" t="s">
        <v>9</v>
      </c>
      <c r="C239" s="10" t="s">
        <v>428</v>
      </c>
      <c r="D239" s="152"/>
      <c r="E239" s="170"/>
      <c r="F239" s="153" t="str">
        <f t="shared" si="28"/>
        <v/>
      </c>
      <c r="G239" s="256"/>
      <c r="H239" s="166">
        <f t="shared" si="29"/>
        <v>0</v>
      </c>
      <c r="I239" s="10" t="s">
        <v>61</v>
      </c>
      <c r="J239" s="35"/>
      <c r="K239" s="233">
        <f t="shared" si="31"/>
        <v>0</v>
      </c>
    </row>
    <row r="240" spans="1:11" x14ac:dyDescent="0.35">
      <c r="A240" s="103"/>
      <c r="B240" s="12" t="s">
        <v>9</v>
      </c>
      <c r="C240" s="10" t="s">
        <v>381</v>
      </c>
      <c r="D240" s="152"/>
      <c r="E240" s="170"/>
      <c r="F240" s="153" t="str">
        <f t="shared" si="28"/>
        <v/>
      </c>
      <c r="G240" s="256"/>
      <c r="H240" s="166">
        <f t="shared" si="29"/>
        <v>0</v>
      </c>
      <c r="I240" s="10" t="s">
        <v>61</v>
      </c>
      <c r="J240" s="35">
        <v>0.02</v>
      </c>
      <c r="K240" s="50">
        <f t="shared" si="30"/>
        <v>0</v>
      </c>
    </row>
    <row r="241" spans="1:18" ht="15.5" x14ac:dyDescent="0.35">
      <c r="A241" s="108" t="s">
        <v>382</v>
      </c>
      <c r="B241" s="108"/>
      <c r="C241" s="108"/>
      <c r="D241" s="223"/>
      <c r="E241" s="250"/>
      <c r="F241" s="165" t="str">
        <f t="shared" si="28"/>
        <v/>
      </c>
      <c r="G241" s="186"/>
      <c r="H241" s="247"/>
      <c r="I241" s="108">
        <v>29.2</v>
      </c>
      <c r="J241" s="106" t="s">
        <v>18</v>
      </c>
      <c r="K241" s="269">
        <f>SUM(K242:K252)</f>
        <v>49.29</v>
      </c>
    </row>
    <row r="242" spans="1:18" hidden="1" x14ac:dyDescent="0.35">
      <c r="A242" s="103"/>
      <c r="B242" s="12" t="s">
        <v>31</v>
      </c>
      <c r="C242" s="10" t="s">
        <v>383</v>
      </c>
      <c r="D242" s="152"/>
      <c r="E242" s="170"/>
      <c r="F242" s="153" t="str">
        <f t="shared" si="28"/>
        <v/>
      </c>
      <c r="G242" s="256"/>
      <c r="H242" s="166">
        <f t="shared" ref="H242:H255" si="32">IF(ISNUMBER(E242),E242,0)+IF(ISNUMBER(F242),F242,0)-IF(ISNUMBER(G242),G242,0)</f>
        <v>0</v>
      </c>
      <c r="I242" s="10">
        <v>19.03</v>
      </c>
      <c r="J242" s="11">
        <v>5.5</v>
      </c>
      <c r="K242" s="12">
        <f t="shared" ref="K242" si="33">G242*J242</f>
        <v>0</v>
      </c>
    </row>
    <row r="243" spans="1:18" x14ac:dyDescent="0.35">
      <c r="A243" s="103"/>
      <c r="B243" s="12" t="s">
        <v>31</v>
      </c>
      <c r="C243" s="10" t="s">
        <v>39</v>
      </c>
      <c r="D243" s="152">
        <v>2</v>
      </c>
      <c r="E243" s="170">
        <v>1</v>
      </c>
      <c r="F243" s="153">
        <f t="shared" si="28"/>
        <v>1</v>
      </c>
      <c r="G243" s="256"/>
      <c r="H243" s="166">
        <f t="shared" si="32"/>
        <v>2</v>
      </c>
      <c r="I243" s="10">
        <v>8.4600000000000009</v>
      </c>
      <c r="J243" s="11">
        <v>4.55</v>
      </c>
      <c r="K243" s="12">
        <f>H243*J243</f>
        <v>9.1</v>
      </c>
      <c r="R243" s="87"/>
    </row>
    <row r="244" spans="1:18" x14ac:dyDescent="0.35">
      <c r="A244" s="103"/>
      <c r="B244" s="12" t="s">
        <v>31</v>
      </c>
      <c r="C244" s="10" t="s">
        <v>422</v>
      </c>
      <c r="D244" s="152">
        <v>1</v>
      </c>
      <c r="E244" s="170">
        <v>2</v>
      </c>
      <c r="F244" s="153" t="str">
        <f t="shared" si="28"/>
        <v/>
      </c>
      <c r="G244" s="256"/>
      <c r="H244" s="166">
        <f t="shared" si="32"/>
        <v>2</v>
      </c>
      <c r="I244" s="10" t="s">
        <v>20</v>
      </c>
      <c r="J244" s="11">
        <v>3.7</v>
      </c>
      <c r="K244" s="12">
        <f t="shared" ref="K244:K255" si="34">H244*J244</f>
        <v>7.4</v>
      </c>
    </row>
    <row r="245" spans="1:18" x14ac:dyDescent="0.35">
      <c r="A245" s="103"/>
      <c r="B245" s="12" t="s">
        <v>31</v>
      </c>
      <c r="C245" s="10" t="s">
        <v>67</v>
      </c>
      <c r="D245" s="152">
        <v>1</v>
      </c>
      <c r="E245" s="170">
        <v>0</v>
      </c>
      <c r="F245" s="153">
        <f t="shared" si="28"/>
        <v>1</v>
      </c>
      <c r="G245" s="256"/>
      <c r="H245" s="166">
        <f t="shared" si="32"/>
        <v>1</v>
      </c>
      <c r="I245" s="10" t="s">
        <v>20</v>
      </c>
      <c r="J245" s="11">
        <v>15.56</v>
      </c>
      <c r="K245" s="12">
        <f t="shared" si="34"/>
        <v>15.56</v>
      </c>
    </row>
    <row r="246" spans="1:18" hidden="1" x14ac:dyDescent="0.35">
      <c r="A246" s="103"/>
      <c r="B246" s="12" t="s">
        <v>31</v>
      </c>
      <c r="C246" s="10" t="s">
        <v>384</v>
      </c>
      <c r="D246" s="152"/>
      <c r="E246" s="170"/>
      <c r="F246" s="153" t="str">
        <f t="shared" si="28"/>
        <v/>
      </c>
      <c r="G246" s="256"/>
      <c r="H246" s="166">
        <f t="shared" si="32"/>
        <v>0</v>
      </c>
      <c r="I246" s="10" t="s">
        <v>20</v>
      </c>
      <c r="J246" s="11">
        <v>0.8</v>
      </c>
      <c r="K246" s="12">
        <f t="shared" si="34"/>
        <v>0</v>
      </c>
    </row>
    <row r="247" spans="1:18" hidden="1" x14ac:dyDescent="0.35">
      <c r="A247" s="103"/>
      <c r="B247" s="12" t="s">
        <v>31</v>
      </c>
      <c r="C247" s="10" t="s">
        <v>385</v>
      </c>
      <c r="D247" s="152"/>
      <c r="E247" s="170"/>
      <c r="F247" s="153" t="str">
        <f t="shared" si="28"/>
        <v/>
      </c>
      <c r="G247" s="256"/>
      <c r="H247" s="166">
        <f t="shared" si="32"/>
        <v>0</v>
      </c>
      <c r="I247" s="10" t="s">
        <v>20</v>
      </c>
      <c r="J247" s="11">
        <v>1.83</v>
      </c>
      <c r="K247" s="12">
        <f t="shared" si="34"/>
        <v>0</v>
      </c>
    </row>
    <row r="248" spans="1:18" x14ac:dyDescent="0.35">
      <c r="A248" s="103"/>
      <c r="B248" s="12" t="s">
        <v>31</v>
      </c>
      <c r="C248" s="10" t="s">
        <v>386</v>
      </c>
      <c r="D248" s="152">
        <v>2</v>
      </c>
      <c r="E248" s="170">
        <v>2</v>
      </c>
      <c r="F248" s="153" t="str">
        <f t="shared" si="28"/>
        <v/>
      </c>
      <c r="G248" s="256"/>
      <c r="H248" s="166">
        <f t="shared" si="32"/>
        <v>2</v>
      </c>
      <c r="I248" s="10" t="s">
        <v>20</v>
      </c>
      <c r="J248" s="11">
        <v>2.65</v>
      </c>
      <c r="K248" s="12">
        <f t="shared" si="34"/>
        <v>5.3</v>
      </c>
    </row>
    <row r="249" spans="1:18" x14ac:dyDescent="0.35">
      <c r="A249" s="103"/>
      <c r="B249" s="12" t="s">
        <v>31</v>
      </c>
      <c r="C249" s="10" t="s">
        <v>65</v>
      </c>
      <c r="D249" s="152">
        <v>1</v>
      </c>
      <c r="E249" s="170"/>
      <c r="F249" s="153" t="str">
        <f t="shared" si="28"/>
        <v/>
      </c>
      <c r="G249" s="256"/>
      <c r="H249" s="166">
        <f t="shared" si="32"/>
        <v>0</v>
      </c>
      <c r="I249" s="10" t="s">
        <v>20</v>
      </c>
      <c r="J249" s="11">
        <v>13.43</v>
      </c>
      <c r="K249" s="12">
        <f t="shared" si="34"/>
        <v>0</v>
      </c>
    </row>
    <row r="250" spans="1:18" hidden="1" x14ac:dyDescent="0.35">
      <c r="A250" s="103"/>
      <c r="B250" s="12" t="s">
        <v>31</v>
      </c>
      <c r="C250" s="10" t="s">
        <v>66</v>
      </c>
      <c r="D250" s="152"/>
      <c r="E250" s="170"/>
      <c r="F250" s="153" t="str">
        <f t="shared" si="28"/>
        <v/>
      </c>
      <c r="G250" s="256"/>
      <c r="H250" s="166">
        <f t="shared" si="32"/>
        <v>0</v>
      </c>
      <c r="I250" s="10" t="s">
        <v>20</v>
      </c>
      <c r="J250" s="11">
        <v>75.38</v>
      </c>
      <c r="K250" s="12">
        <f t="shared" si="34"/>
        <v>0</v>
      </c>
    </row>
    <row r="251" spans="1:18" x14ac:dyDescent="0.35">
      <c r="A251" s="103"/>
      <c r="B251" s="12" t="s">
        <v>31</v>
      </c>
      <c r="C251" s="10" t="s">
        <v>412</v>
      </c>
      <c r="D251" s="152">
        <v>1</v>
      </c>
      <c r="E251" s="170">
        <v>0</v>
      </c>
      <c r="F251" s="153">
        <f t="shared" si="28"/>
        <v>1</v>
      </c>
      <c r="G251" s="256"/>
      <c r="H251" s="166">
        <f t="shared" si="32"/>
        <v>1</v>
      </c>
      <c r="I251" s="10" t="s">
        <v>20</v>
      </c>
      <c r="J251" s="11">
        <v>8.43</v>
      </c>
      <c r="K251" s="12">
        <f t="shared" si="34"/>
        <v>8.43</v>
      </c>
    </row>
    <row r="252" spans="1:18" x14ac:dyDescent="0.35">
      <c r="A252" s="103"/>
      <c r="B252" s="12" t="s">
        <v>31</v>
      </c>
      <c r="C252" s="10" t="s">
        <v>69</v>
      </c>
      <c r="D252" s="152">
        <v>1</v>
      </c>
      <c r="E252" s="170">
        <v>1</v>
      </c>
      <c r="F252" s="153" t="str">
        <f t="shared" si="28"/>
        <v/>
      </c>
      <c r="G252" s="256"/>
      <c r="H252" s="166">
        <f t="shared" si="32"/>
        <v>1</v>
      </c>
      <c r="I252" s="10" t="s">
        <v>63</v>
      </c>
      <c r="J252" s="11">
        <v>3.5</v>
      </c>
      <c r="K252" s="12">
        <f t="shared" si="34"/>
        <v>3.5</v>
      </c>
    </row>
    <row r="253" spans="1:18" ht="15.5" hidden="1" x14ac:dyDescent="0.35">
      <c r="A253" s="108" t="s">
        <v>57</v>
      </c>
      <c r="B253" s="108"/>
      <c r="C253" s="108"/>
      <c r="D253" s="111"/>
      <c r="E253" s="169"/>
      <c r="F253" s="165" t="str">
        <f t="shared" si="28"/>
        <v/>
      </c>
      <c r="G253" s="186"/>
      <c r="H253" s="247"/>
      <c r="I253" s="108"/>
      <c r="J253" s="106" t="s">
        <v>18</v>
      </c>
      <c r="K253" s="270">
        <f>K254+K255</f>
        <v>0</v>
      </c>
    </row>
    <row r="254" spans="1:18" hidden="1" x14ac:dyDescent="0.35">
      <c r="A254" s="103"/>
      <c r="B254" s="12" t="s">
        <v>56</v>
      </c>
      <c r="C254" s="10" t="s">
        <v>58</v>
      </c>
      <c r="D254" s="135"/>
      <c r="E254" s="170"/>
      <c r="F254" s="153" t="str">
        <f t="shared" si="28"/>
        <v/>
      </c>
      <c r="G254" s="256"/>
      <c r="H254" s="166">
        <f t="shared" si="32"/>
        <v>0</v>
      </c>
      <c r="I254" s="10" t="s">
        <v>20</v>
      </c>
      <c r="J254" s="11">
        <v>54.05</v>
      </c>
      <c r="K254" s="12">
        <f t="shared" si="34"/>
        <v>0</v>
      </c>
    </row>
    <row r="255" spans="1:18" hidden="1" x14ac:dyDescent="0.35">
      <c r="A255" s="103"/>
      <c r="B255" s="12" t="s">
        <v>56</v>
      </c>
      <c r="C255" s="10" t="s">
        <v>388</v>
      </c>
      <c r="D255" s="135"/>
      <c r="E255" s="170"/>
      <c r="F255" s="153" t="str">
        <f t="shared" si="28"/>
        <v/>
      </c>
      <c r="G255" s="256"/>
      <c r="H255" s="166">
        <f t="shared" si="32"/>
        <v>0</v>
      </c>
      <c r="I255" s="10" t="s">
        <v>20</v>
      </c>
      <c r="J255" s="11">
        <v>0</v>
      </c>
      <c r="K255" s="12">
        <f t="shared" si="34"/>
        <v>0</v>
      </c>
    </row>
  </sheetData>
  <mergeCells count="2">
    <mergeCell ref="B1:C1"/>
    <mergeCell ref="B2:C2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C6355-CB87-4D1A-8EEB-D064AAD429E3}">
  <sheetPr codeName="Feuil32">
    <tabColor rgb="FFFF5050"/>
  </sheetPr>
  <dimension ref="A1:R255"/>
  <sheetViews>
    <sheetView topLeftCell="C52" zoomScaleNormal="112" workbookViewId="0">
      <selection activeCell="M244" sqref="M244"/>
    </sheetView>
  </sheetViews>
  <sheetFormatPr baseColWidth="10" defaultColWidth="10.7265625" defaultRowHeight="14.5" x14ac:dyDescent="0.35"/>
  <cols>
    <col min="1" max="1" width="2.81640625" customWidth="1"/>
    <col min="2" max="2" width="30.1796875" bestFit="1" customWidth="1"/>
    <col min="3" max="3" width="44.54296875" bestFit="1" customWidth="1"/>
    <col min="4" max="4" width="14.26953125" style="13" bestFit="1" customWidth="1"/>
    <col min="5" max="5" width="17.1796875" style="34" bestFit="1" customWidth="1"/>
    <col min="6" max="6" width="17" bestFit="1" customWidth="1"/>
    <col min="7" max="7" width="15.26953125" style="253" bestFit="1" customWidth="1"/>
    <col min="8" max="8" width="10.26953125" style="16" customWidth="1"/>
    <col min="9" max="9" width="6.81640625" bestFit="1" customWidth="1"/>
    <col min="10" max="10" width="10.26953125" customWidth="1"/>
    <col min="11" max="11" width="19.54296875" bestFit="1" customWidth="1"/>
  </cols>
  <sheetData>
    <row r="1" spans="2:6" ht="15" thickBot="1" x14ac:dyDescent="0.4">
      <c r="B1" s="321" t="s">
        <v>198</v>
      </c>
      <c r="C1" s="322"/>
      <c r="E1" s="154"/>
      <c r="F1" s="89"/>
    </row>
    <row r="2" spans="2:6" ht="15" thickBot="1" x14ac:dyDescent="0.4">
      <c r="B2" s="319"/>
      <c r="C2" s="320"/>
      <c r="E2" s="155"/>
      <c r="F2" s="90"/>
    </row>
    <row r="3" spans="2:6" x14ac:dyDescent="0.35">
      <c r="B3" s="75"/>
      <c r="C3" s="75"/>
      <c r="E3" s="156"/>
      <c r="F3" s="75"/>
    </row>
    <row r="4" spans="2:6" ht="15.5" x14ac:dyDescent="0.35">
      <c r="B4" s="70" t="s">
        <v>0</v>
      </c>
      <c r="C4" s="70" t="s">
        <v>1</v>
      </c>
      <c r="E4" s="157"/>
      <c r="F4" s="91"/>
    </row>
    <row r="5" spans="2:6" x14ac:dyDescent="0.35">
      <c r="B5" s="71" t="s">
        <v>2</v>
      </c>
      <c r="C5" s="72">
        <f>K23</f>
        <v>7540</v>
      </c>
      <c r="E5" s="156"/>
      <c r="F5" s="75"/>
    </row>
    <row r="6" spans="2:6" x14ac:dyDescent="0.35">
      <c r="B6" s="71" t="s">
        <v>7</v>
      </c>
      <c r="C6" s="72">
        <f>K41</f>
        <v>0</v>
      </c>
      <c r="E6" s="156"/>
      <c r="F6" s="75"/>
    </row>
    <row r="7" spans="2:6" x14ac:dyDescent="0.35">
      <c r="B7" s="71" t="s">
        <v>13</v>
      </c>
      <c r="C7" s="72">
        <f>K50</f>
        <v>142.94999999999999</v>
      </c>
      <c r="E7" s="156"/>
      <c r="F7" s="75"/>
    </row>
    <row r="8" spans="2:6" x14ac:dyDescent="0.35">
      <c r="B8" s="71" t="s">
        <v>3</v>
      </c>
      <c r="C8" s="72">
        <f>K78</f>
        <v>0</v>
      </c>
      <c r="E8" s="156"/>
      <c r="F8" s="75"/>
    </row>
    <row r="9" spans="2:6" x14ac:dyDescent="0.35">
      <c r="B9" s="71" t="s">
        <v>4</v>
      </c>
      <c r="C9" s="72">
        <f>K122</f>
        <v>783.1</v>
      </c>
      <c r="E9" s="156"/>
      <c r="F9" s="75"/>
    </row>
    <row r="10" spans="2:6" x14ac:dyDescent="0.35">
      <c r="B10" s="71" t="s">
        <v>199</v>
      </c>
      <c r="C10" s="72">
        <f>K176</f>
        <v>0</v>
      </c>
      <c r="E10" s="156"/>
      <c r="F10" s="75"/>
    </row>
    <row r="11" spans="2:6" x14ac:dyDescent="0.35">
      <c r="B11" s="71" t="s">
        <v>200</v>
      </c>
      <c r="C11" s="72">
        <f>K187</f>
        <v>208.8</v>
      </c>
      <c r="E11" s="156"/>
      <c r="F11" s="75"/>
    </row>
    <row r="12" spans="2:6" x14ac:dyDescent="0.35">
      <c r="B12" s="71" t="s">
        <v>201</v>
      </c>
      <c r="C12" s="72">
        <f>K193</f>
        <v>0</v>
      </c>
      <c r="E12" s="156"/>
      <c r="F12" s="75"/>
    </row>
    <row r="13" spans="2:6" x14ac:dyDescent="0.35">
      <c r="B13" s="71" t="s">
        <v>202</v>
      </c>
      <c r="C13" s="72">
        <f>K195</f>
        <v>158.42000000000002</v>
      </c>
      <c r="E13" s="156"/>
      <c r="F13" s="75"/>
    </row>
    <row r="14" spans="2:6" x14ac:dyDescent="0.35">
      <c r="B14" s="71" t="s">
        <v>203</v>
      </c>
      <c r="C14" s="72">
        <f>K208</f>
        <v>0</v>
      </c>
      <c r="E14" s="285"/>
      <c r="F14" s="75"/>
    </row>
    <row r="15" spans="2:6" ht="15" hidden="1" customHeight="1" x14ac:dyDescent="0.35">
      <c r="B15" s="71" t="s">
        <v>416</v>
      </c>
      <c r="C15" s="72">
        <f>K213</f>
        <v>0</v>
      </c>
      <c r="E15" s="156"/>
      <c r="F15" s="75"/>
    </row>
    <row r="16" spans="2:6" x14ac:dyDescent="0.35">
      <c r="B16" s="71" t="s">
        <v>204</v>
      </c>
      <c r="C16" s="72">
        <f>K218</f>
        <v>0</v>
      </c>
      <c r="E16" s="156"/>
      <c r="F16" s="75"/>
    </row>
    <row r="17" spans="1:17" x14ac:dyDescent="0.35">
      <c r="B17" s="71" t="s">
        <v>9</v>
      </c>
      <c r="C17" s="72">
        <f>K220</f>
        <v>0</v>
      </c>
      <c r="E17" s="156"/>
      <c r="F17" s="75"/>
    </row>
    <row r="18" spans="1:17" x14ac:dyDescent="0.35">
      <c r="B18" s="71" t="s">
        <v>205</v>
      </c>
      <c r="C18" s="72">
        <f>K241</f>
        <v>54.470000000000006</v>
      </c>
      <c r="E18" s="156"/>
      <c r="F18" s="75"/>
    </row>
    <row r="19" spans="1:17" x14ac:dyDescent="0.35">
      <c r="B19" s="71" t="s">
        <v>56</v>
      </c>
      <c r="C19" s="72">
        <f>K253</f>
        <v>0</v>
      </c>
      <c r="E19" s="156"/>
      <c r="F19" s="75"/>
    </row>
    <row r="20" spans="1:17" x14ac:dyDescent="0.35">
      <c r="B20" s="73" t="s">
        <v>14</v>
      </c>
      <c r="C20" s="74">
        <f>C5+C6+C7+C8+C9+C10+C11+C12+C13+C14+C15+C16+C17+C18+C19</f>
        <v>8887.739999999998</v>
      </c>
      <c r="E20" s="248"/>
      <c r="F20" s="243"/>
    </row>
    <row r="21" spans="1:17" ht="18.5" x14ac:dyDescent="0.45">
      <c r="A21" s="76" t="s">
        <v>397</v>
      </c>
      <c r="B21" s="76"/>
      <c r="C21" s="76"/>
      <c r="D21" s="234"/>
      <c r="E21" s="160"/>
      <c r="F21" s="76"/>
      <c r="G21" s="254"/>
      <c r="H21" s="69"/>
      <c r="I21" s="76"/>
      <c r="J21" s="76"/>
      <c r="K21" s="76"/>
    </row>
    <row r="22" spans="1:17" x14ac:dyDescent="0.35">
      <c r="A22" s="129"/>
      <c r="B22" s="129" t="s">
        <v>15</v>
      </c>
      <c r="C22" s="129" t="s">
        <v>16</v>
      </c>
      <c r="D22" s="235" t="s">
        <v>398</v>
      </c>
      <c r="E22" s="185" t="s">
        <v>404</v>
      </c>
      <c r="F22" s="130" t="s">
        <v>399</v>
      </c>
      <c r="G22" s="255" t="s">
        <v>405</v>
      </c>
      <c r="H22" s="131" t="s">
        <v>408</v>
      </c>
      <c r="I22" s="129" t="s">
        <v>406</v>
      </c>
      <c r="J22" s="133" t="s">
        <v>45</v>
      </c>
      <c r="K22" s="129" t="s">
        <v>1</v>
      </c>
    </row>
    <row r="23" spans="1:17" ht="15.5" x14ac:dyDescent="0.35">
      <c r="A23" s="108" t="s">
        <v>208</v>
      </c>
      <c r="B23" s="108"/>
      <c r="C23" s="108"/>
      <c r="D23" s="111"/>
      <c r="E23" s="286" t="s">
        <v>421</v>
      </c>
      <c r="F23" s="108"/>
      <c r="G23" s="286" t="s">
        <v>421</v>
      </c>
      <c r="H23" s="109"/>
      <c r="I23" s="108"/>
      <c r="J23" s="110" t="s">
        <v>18</v>
      </c>
      <c r="K23" s="269">
        <f>SUM(K24:K40)</f>
        <v>7540</v>
      </c>
    </row>
    <row r="24" spans="1:17" hidden="1" x14ac:dyDescent="0.35">
      <c r="A24" s="103"/>
      <c r="B24" s="7" t="s">
        <v>2</v>
      </c>
      <c r="C24" s="14" t="s">
        <v>19</v>
      </c>
      <c r="D24" s="152"/>
      <c r="E24" s="187"/>
      <c r="F24" s="153" t="str">
        <f t="shared" ref="F24:F88" si="0">IF(E24="","",IF(D24-E24&gt;0,D24-E24,""))</f>
        <v/>
      </c>
      <c r="G24" s="256"/>
      <c r="H24" s="166">
        <f t="shared" ref="H24:H45" si="1">IF(ISNUMBER(E24),E24,0)+IF(ISNUMBER(F24),F24,0)-IF(ISNUMBER(G24),G24,0)</f>
        <v>0</v>
      </c>
      <c r="I24" s="10" t="s">
        <v>20</v>
      </c>
      <c r="J24" s="11">
        <v>55.95</v>
      </c>
      <c r="K24" s="12">
        <f t="shared" ref="K24:K27" si="2">G24*J24</f>
        <v>0</v>
      </c>
    </row>
    <row r="25" spans="1:17" hidden="1" x14ac:dyDescent="0.35">
      <c r="A25" s="103"/>
      <c r="B25" s="7" t="s">
        <v>2</v>
      </c>
      <c r="C25" s="14" t="s">
        <v>209</v>
      </c>
      <c r="D25" s="152"/>
      <c r="E25" s="187"/>
      <c r="F25" s="153" t="str">
        <f t="shared" si="0"/>
        <v/>
      </c>
      <c r="G25" s="256"/>
      <c r="H25" s="166">
        <f t="shared" si="1"/>
        <v>0</v>
      </c>
      <c r="I25" s="10" t="s">
        <v>20</v>
      </c>
      <c r="J25" s="11">
        <v>173.1</v>
      </c>
      <c r="K25" s="12">
        <f t="shared" si="2"/>
        <v>0</v>
      </c>
    </row>
    <row r="26" spans="1:17" hidden="1" x14ac:dyDescent="0.35">
      <c r="A26" s="103"/>
      <c r="B26" s="12" t="s">
        <v>2</v>
      </c>
      <c r="C26" s="10" t="s">
        <v>21</v>
      </c>
      <c r="D26" s="152"/>
      <c r="E26" s="187"/>
      <c r="F26" s="153" t="str">
        <f t="shared" si="0"/>
        <v/>
      </c>
      <c r="G26" s="256"/>
      <c r="H26" s="166">
        <f t="shared" si="1"/>
        <v>0</v>
      </c>
      <c r="I26" s="10" t="s">
        <v>20</v>
      </c>
      <c r="J26" s="11">
        <v>75.400000000000006</v>
      </c>
      <c r="K26" s="12">
        <f t="shared" si="2"/>
        <v>0</v>
      </c>
    </row>
    <row r="27" spans="1:17" hidden="1" x14ac:dyDescent="0.35">
      <c r="A27" s="103"/>
      <c r="B27" s="12" t="s">
        <v>2</v>
      </c>
      <c r="C27" s="10" t="s">
        <v>210</v>
      </c>
      <c r="D27" s="152"/>
      <c r="E27" s="187"/>
      <c r="F27" s="153" t="str">
        <f t="shared" si="0"/>
        <v/>
      </c>
      <c r="G27" s="257"/>
      <c r="H27" s="166">
        <f t="shared" si="1"/>
        <v>0</v>
      </c>
      <c r="I27" s="10" t="s">
        <v>20</v>
      </c>
      <c r="J27" s="11">
        <v>84.9</v>
      </c>
      <c r="K27" s="12">
        <f t="shared" si="2"/>
        <v>0</v>
      </c>
    </row>
    <row r="28" spans="1:17" hidden="1" x14ac:dyDescent="0.35">
      <c r="A28" s="103"/>
      <c r="B28" s="12" t="s">
        <v>2</v>
      </c>
      <c r="C28" s="10" t="s">
        <v>211</v>
      </c>
      <c r="D28" s="152"/>
      <c r="E28" s="187"/>
      <c r="F28" s="153" t="str">
        <f t="shared" si="0"/>
        <v/>
      </c>
      <c r="G28" s="256"/>
      <c r="H28" s="166">
        <f t="shared" si="1"/>
        <v>0</v>
      </c>
      <c r="I28" s="10" t="s">
        <v>20</v>
      </c>
      <c r="J28" s="11">
        <v>2.96</v>
      </c>
      <c r="K28" s="12">
        <f>H28*J28</f>
        <v>0</v>
      </c>
    </row>
    <row r="29" spans="1:17" hidden="1" x14ac:dyDescent="0.35">
      <c r="A29" s="103"/>
      <c r="B29" s="12" t="s">
        <v>2</v>
      </c>
      <c r="C29" s="10" t="s">
        <v>212</v>
      </c>
      <c r="D29" s="152"/>
      <c r="E29" s="187"/>
      <c r="F29" s="153" t="str">
        <f t="shared" si="0"/>
        <v/>
      </c>
      <c r="G29" s="256"/>
      <c r="H29" s="166">
        <f t="shared" si="1"/>
        <v>0</v>
      </c>
      <c r="I29" s="10" t="s">
        <v>20</v>
      </c>
      <c r="J29" s="11">
        <v>2.96</v>
      </c>
      <c r="K29" s="12">
        <f t="shared" ref="K29:K40" si="3">H29*J29</f>
        <v>0</v>
      </c>
    </row>
    <row r="30" spans="1:17" hidden="1" x14ac:dyDescent="0.35">
      <c r="A30" s="103"/>
      <c r="B30" s="12" t="s">
        <v>2</v>
      </c>
      <c r="C30" s="10" t="s">
        <v>213</v>
      </c>
      <c r="D30" s="152"/>
      <c r="E30" s="187"/>
      <c r="F30" s="153" t="str">
        <f t="shared" si="0"/>
        <v/>
      </c>
      <c r="G30" s="256"/>
      <c r="H30" s="166">
        <f t="shared" si="1"/>
        <v>0</v>
      </c>
      <c r="I30" s="10" t="s">
        <v>20</v>
      </c>
      <c r="J30" s="11">
        <v>2.96</v>
      </c>
      <c r="K30" s="12">
        <f t="shared" si="3"/>
        <v>0</v>
      </c>
      <c r="Q30" s="268"/>
    </row>
    <row r="31" spans="1:17" hidden="1" x14ac:dyDescent="0.35">
      <c r="A31" s="103"/>
      <c r="B31" s="7" t="s">
        <v>2</v>
      </c>
      <c r="C31" s="14" t="s">
        <v>22</v>
      </c>
      <c r="D31" s="152"/>
      <c r="E31" s="187"/>
      <c r="F31" s="153" t="str">
        <f t="shared" si="0"/>
        <v/>
      </c>
      <c r="G31" s="256"/>
      <c r="H31" s="166">
        <f t="shared" si="1"/>
        <v>0</v>
      </c>
      <c r="I31" s="10" t="s">
        <v>20</v>
      </c>
      <c r="J31" s="11">
        <v>107.2</v>
      </c>
      <c r="K31" s="12">
        <f t="shared" si="3"/>
        <v>0</v>
      </c>
    </row>
    <row r="32" spans="1:17" hidden="1" x14ac:dyDescent="0.35">
      <c r="A32" s="103"/>
      <c r="B32" s="7" t="s">
        <v>2</v>
      </c>
      <c r="C32" s="14" t="s">
        <v>214</v>
      </c>
      <c r="D32" s="152"/>
      <c r="E32" s="187"/>
      <c r="F32" s="153" t="str">
        <f t="shared" si="0"/>
        <v/>
      </c>
      <c r="G32" s="256"/>
      <c r="H32" s="166">
        <f t="shared" si="1"/>
        <v>0</v>
      </c>
      <c r="I32" s="10" t="s">
        <v>20</v>
      </c>
      <c r="J32" s="11">
        <v>170.7</v>
      </c>
      <c r="K32" s="12">
        <f t="shared" si="3"/>
        <v>0</v>
      </c>
      <c r="M32" s="87"/>
    </row>
    <row r="33" spans="1:14" x14ac:dyDescent="0.35">
      <c r="A33" s="103"/>
      <c r="B33" s="12" t="s">
        <v>2</v>
      </c>
      <c r="C33" s="10" t="s">
        <v>215</v>
      </c>
      <c r="D33" s="152">
        <v>1000</v>
      </c>
      <c r="E33" s="170">
        <v>2000</v>
      </c>
      <c r="F33" s="153" t="str">
        <f t="shared" si="0"/>
        <v/>
      </c>
      <c r="G33" s="256"/>
      <c r="H33" s="166">
        <f t="shared" si="1"/>
        <v>2000</v>
      </c>
      <c r="I33" s="10" t="s">
        <v>216</v>
      </c>
      <c r="J33" s="11">
        <v>3.77</v>
      </c>
      <c r="K33" s="12">
        <f t="shared" si="3"/>
        <v>7540</v>
      </c>
    </row>
    <row r="34" spans="1:14" hidden="1" x14ac:dyDescent="0.35">
      <c r="A34" s="103"/>
      <c r="B34" s="12" t="s">
        <v>2</v>
      </c>
      <c r="C34" s="10" t="s">
        <v>217</v>
      </c>
      <c r="D34" s="152"/>
      <c r="E34" s="170">
        <f>'[2]Buvette 3 (2)'!E34</f>
        <v>0</v>
      </c>
      <c r="F34" s="153" t="str">
        <f t="shared" si="0"/>
        <v/>
      </c>
      <c r="G34" s="256"/>
      <c r="H34" s="166">
        <f t="shared" si="1"/>
        <v>0</v>
      </c>
      <c r="I34" s="10" t="s">
        <v>20</v>
      </c>
      <c r="J34" s="11">
        <v>2.56</v>
      </c>
      <c r="K34" s="12">
        <f t="shared" si="3"/>
        <v>0</v>
      </c>
      <c r="N34" s="87"/>
    </row>
    <row r="35" spans="1:14" hidden="1" x14ac:dyDescent="0.35">
      <c r="A35" s="103"/>
      <c r="B35" s="12" t="s">
        <v>2</v>
      </c>
      <c r="C35" s="10" t="s">
        <v>218</v>
      </c>
      <c r="D35" s="152"/>
      <c r="E35" s="170">
        <f>'[2]Buvette 3 (2)'!E35</f>
        <v>0</v>
      </c>
      <c r="F35" s="153" t="str">
        <f t="shared" si="0"/>
        <v/>
      </c>
      <c r="G35" s="256"/>
      <c r="H35" s="166">
        <f t="shared" si="1"/>
        <v>0</v>
      </c>
      <c r="I35" s="10" t="s">
        <v>20</v>
      </c>
      <c r="J35" s="11">
        <v>3.08</v>
      </c>
      <c r="K35" s="12">
        <f t="shared" si="3"/>
        <v>0</v>
      </c>
    </row>
    <row r="36" spans="1:14" hidden="1" x14ac:dyDescent="0.35">
      <c r="A36" s="103"/>
      <c r="B36" s="12" t="s">
        <v>2</v>
      </c>
      <c r="C36" s="10" t="s">
        <v>219</v>
      </c>
      <c r="D36" s="152"/>
      <c r="E36" s="170">
        <f>'[2]Buvette 3 (2)'!E36</f>
        <v>0</v>
      </c>
      <c r="F36" s="153" t="str">
        <f t="shared" si="0"/>
        <v/>
      </c>
      <c r="G36" s="256"/>
      <c r="H36" s="166">
        <f t="shared" si="1"/>
        <v>0</v>
      </c>
      <c r="I36" s="10" t="s">
        <v>20</v>
      </c>
      <c r="J36" s="11">
        <v>2.56</v>
      </c>
      <c r="K36" s="12">
        <f t="shared" si="3"/>
        <v>0</v>
      </c>
    </row>
    <row r="37" spans="1:14" hidden="1" x14ac:dyDescent="0.35">
      <c r="A37" s="103"/>
      <c r="B37" s="12" t="s">
        <v>2</v>
      </c>
      <c r="C37" s="10" t="s">
        <v>220</v>
      </c>
      <c r="D37" s="152"/>
      <c r="E37" s="170">
        <f>'[2]Buvette 3 (2)'!E37</f>
        <v>0</v>
      </c>
      <c r="F37" s="153" t="str">
        <f t="shared" si="0"/>
        <v/>
      </c>
      <c r="G37" s="256"/>
      <c r="H37" s="166">
        <f t="shared" si="1"/>
        <v>0</v>
      </c>
      <c r="I37" s="10" t="s">
        <v>20</v>
      </c>
      <c r="J37" s="11">
        <v>1.41</v>
      </c>
      <c r="K37" s="12">
        <f t="shared" si="3"/>
        <v>0</v>
      </c>
    </row>
    <row r="38" spans="1:14" hidden="1" x14ac:dyDescent="0.35">
      <c r="A38" s="103"/>
      <c r="B38" s="12" t="s">
        <v>2</v>
      </c>
      <c r="C38" s="10" t="s">
        <v>221</v>
      </c>
      <c r="D38" s="152"/>
      <c r="E38" s="170">
        <f>'[2]Buvette 3 (2)'!E38</f>
        <v>0</v>
      </c>
      <c r="F38" s="153" t="str">
        <f t="shared" si="0"/>
        <v/>
      </c>
      <c r="G38" s="256"/>
      <c r="H38" s="166">
        <f t="shared" si="1"/>
        <v>0</v>
      </c>
      <c r="I38" s="10" t="s">
        <v>20</v>
      </c>
      <c r="J38" s="11">
        <v>1.73</v>
      </c>
      <c r="K38" s="12">
        <f t="shared" si="3"/>
        <v>0</v>
      </c>
    </row>
    <row r="39" spans="1:14" hidden="1" x14ac:dyDescent="0.35">
      <c r="A39" s="103"/>
      <c r="B39" s="12" t="s">
        <v>2</v>
      </c>
      <c r="C39" s="10" t="s">
        <v>222</v>
      </c>
      <c r="D39" s="152"/>
      <c r="E39" s="170">
        <f>'[2]Buvette 3 (2)'!E39</f>
        <v>0</v>
      </c>
      <c r="F39" s="153" t="str">
        <f t="shared" si="0"/>
        <v/>
      </c>
      <c r="G39" s="256"/>
      <c r="H39" s="166">
        <f t="shared" si="1"/>
        <v>0</v>
      </c>
      <c r="I39" s="10" t="s">
        <v>20</v>
      </c>
      <c r="J39" s="11">
        <v>1.46</v>
      </c>
      <c r="K39" s="12">
        <f t="shared" si="3"/>
        <v>0</v>
      </c>
    </row>
    <row r="40" spans="1:14" hidden="1" x14ac:dyDescent="0.35">
      <c r="A40" s="103"/>
      <c r="B40" s="12" t="s">
        <v>2</v>
      </c>
      <c r="C40" s="10" t="s">
        <v>223</v>
      </c>
      <c r="D40" s="222"/>
      <c r="E40" s="170">
        <f>'[2]Buvette 3 (2)'!E40</f>
        <v>0</v>
      </c>
      <c r="F40" s="153" t="str">
        <f t="shared" si="0"/>
        <v/>
      </c>
      <c r="G40" s="256"/>
      <c r="H40" s="166">
        <f t="shared" si="1"/>
        <v>0</v>
      </c>
      <c r="I40" s="10" t="s">
        <v>20</v>
      </c>
      <c r="J40" s="77">
        <v>3.45</v>
      </c>
      <c r="K40" s="12">
        <f t="shared" si="3"/>
        <v>0</v>
      </c>
    </row>
    <row r="41" spans="1:14" ht="15.5" x14ac:dyDescent="0.35">
      <c r="A41" s="108" t="s">
        <v>119</v>
      </c>
      <c r="B41" s="108"/>
      <c r="C41" s="108"/>
      <c r="D41" s="223"/>
      <c r="E41" s="287"/>
      <c r="F41" s="165"/>
      <c r="G41" s="286"/>
      <c r="H41" s="247"/>
      <c r="I41" s="108"/>
      <c r="J41" s="106" t="s">
        <v>18</v>
      </c>
      <c r="K41" s="269">
        <f>SUM(K42:K49)</f>
        <v>0</v>
      </c>
    </row>
    <row r="42" spans="1:14" hidden="1" x14ac:dyDescent="0.35">
      <c r="A42" s="103"/>
      <c r="B42" s="12" t="s">
        <v>7</v>
      </c>
      <c r="C42" s="10" t="s">
        <v>224</v>
      </c>
      <c r="D42" s="152"/>
      <c r="E42" s="170">
        <f>'[2]Buvette 3 (2)'!E42</f>
        <v>0</v>
      </c>
      <c r="F42" s="153" t="str">
        <f t="shared" si="0"/>
        <v/>
      </c>
      <c r="G42" s="256"/>
      <c r="H42" s="166">
        <f t="shared" si="1"/>
        <v>0</v>
      </c>
      <c r="I42" s="10" t="s">
        <v>20</v>
      </c>
      <c r="J42" s="11">
        <v>100</v>
      </c>
      <c r="K42" s="12">
        <f t="shared" ref="K42:K49" si="4">G42*J42</f>
        <v>0</v>
      </c>
    </row>
    <row r="43" spans="1:14" hidden="1" x14ac:dyDescent="0.35">
      <c r="A43" s="103"/>
      <c r="B43" s="12" t="s">
        <v>7</v>
      </c>
      <c r="C43" s="10" t="s">
        <v>225</v>
      </c>
      <c r="D43" s="152"/>
      <c r="E43" s="170">
        <f>'[2]Buvette 3 (2)'!E43</f>
        <v>0</v>
      </c>
      <c r="F43" s="153" t="str">
        <f t="shared" si="0"/>
        <v/>
      </c>
      <c r="G43" s="256"/>
      <c r="H43" s="166">
        <f t="shared" si="1"/>
        <v>0</v>
      </c>
      <c r="I43" s="10" t="s">
        <v>20</v>
      </c>
      <c r="J43" s="11">
        <v>12.2</v>
      </c>
      <c r="K43" s="12">
        <f t="shared" si="4"/>
        <v>0</v>
      </c>
    </row>
    <row r="44" spans="1:14" hidden="1" x14ac:dyDescent="0.35">
      <c r="A44" s="103"/>
      <c r="B44" s="12" t="s">
        <v>7</v>
      </c>
      <c r="C44" s="10" t="s">
        <v>226</v>
      </c>
      <c r="D44" s="152"/>
      <c r="E44" s="170">
        <f>'[2]Buvette 3 (2)'!E44</f>
        <v>0</v>
      </c>
      <c r="F44" s="153" t="str">
        <f t="shared" si="0"/>
        <v/>
      </c>
      <c r="G44" s="256"/>
      <c r="H44" s="166">
        <f t="shared" si="1"/>
        <v>0</v>
      </c>
      <c r="I44" s="10" t="s">
        <v>20</v>
      </c>
      <c r="J44" s="11">
        <v>11</v>
      </c>
      <c r="K44" s="12">
        <f t="shared" si="4"/>
        <v>0</v>
      </c>
    </row>
    <row r="45" spans="1:14" hidden="1" x14ac:dyDescent="0.35">
      <c r="A45" s="103"/>
      <c r="B45" s="12" t="s">
        <v>7</v>
      </c>
      <c r="C45" s="10" t="s">
        <v>227</v>
      </c>
      <c r="D45" s="152"/>
      <c r="E45" s="170">
        <f>'[2]Buvette 3 (2)'!E45</f>
        <v>0</v>
      </c>
      <c r="F45" s="153" t="str">
        <f t="shared" si="0"/>
        <v/>
      </c>
      <c r="G45" s="256"/>
      <c r="H45" s="166">
        <f t="shared" si="1"/>
        <v>0</v>
      </c>
      <c r="I45" s="10" t="s">
        <v>20</v>
      </c>
      <c r="J45" s="11">
        <v>5</v>
      </c>
      <c r="K45" s="12">
        <f t="shared" si="4"/>
        <v>0</v>
      </c>
    </row>
    <row r="46" spans="1:14" x14ac:dyDescent="0.35">
      <c r="A46" s="103"/>
      <c r="B46" s="12" t="s">
        <v>7</v>
      </c>
      <c r="C46" s="10" t="s">
        <v>46</v>
      </c>
      <c r="D46" s="152"/>
      <c r="E46" s="170"/>
      <c r="F46" s="153" t="str">
        <f t="shared" si="0"/>
        <v/>
      </c>
      <c r="G46" s="256"/>
      <c r="H46" s="166">
        <f>IF(ISNUMBER(E46),E46,0)+IF(ISNUMBER(F46),F46,0)-IF(ISNUMBER(G46),G46,0)</f>
        <v>0</v>
      </c>
      <c r="I46" s="10" t="s">
        <v>20</v>
      </c>
      <c r="J46" s="11">
        <v>5</v>
      </c>
      <c r="K46" s="12">
        <f>H46*J46</f>
        <v>0</v>
      </c>
    </row>
    <row r="47" spans="1:14" hidden="1" x14ac:dyDescent="0.35">
      <c r="A47" s="103"/>
      <c r="B47" s="12" t="s">
        <v>7</v>
      </c>
      <c r="C47" s="10" t="s">
        <v>228</v>
      </c>
      <c r="D47" s="152"/>
      <c r="E47" s="170"/>
      <c r="F47" s="153" t="str">
        <f t="shared" si="0"/>
        <v/>
      </c>
      <c r="G47" s="256"/>
      <c r="H47" s="166">
        <f t="shared" ref="H47:H110" si="5">IF(ISNUMBER(E47),E47,0)+IF(ISNUMBER(F47),F47,0)-IF(ISNUMBER(G47),G47,0)</f>
        <v>0</v>
      </c>
      <c r="I47" s="10" t="s">
        <v>20</v>
      </c>
      <c r="J47" s="11">
        <v>11</v>
      </c>
      <c r="K47" s="12">
        <f t="shared" ref="K47:K48" si="6">H47*J47</f>
        <v>0</v>
      </c>
    </row>
    <row r="48" spans="1:14" x14ac:dyDescent="0.35">
      <c r="A48" s="103"/>
      <c r="B48" s="12" t="s">
        <v>7</v>
      </c>
      <c r="C48" s="10" t="s">
        <v>229</v>
      </c>
      <c r="D48" s="152"/>
      <c r="E48" s="170"/>
      <c r="F48" s="153" t="str">
        <f t="shared" si="0"/>
        <v/>
      </c>
      <c r="G48" s="256"/>
      <c r="H48" s="166">
        <f t="shared" si="5"/>
        <v>0</v>
      </c>
      <c r="I48" s="10" t="s">
        <v>20</v>
      </c>
      <c r="J48" s="11">
        <v>50</v>
      </c>
      <c r="K48" s="12">
        <f t="shared" si="6"/>
        <v>0</v>
      </c>
    </row>
    <row r="49" spans="1:12" x14ac:dyDescent="0.35">
      <c r="A49" s="103"/>
      <c r="B49" s="12" t="s">
        <v>7</v>
      </c>
      <c r="C49" s="78" t="s">
        <v>206</v>
      </c>
      <c r="D49" s="224"/>
      <c r="E49" s="170"/>
      <c r="F49" s="153" t="str">
        <f t="shared" si="0"/>
        <v/>
      </c>
      <c r="G49" s="256"/>
      <c r="H49" s="166">
        <f t="shared" si="5"/>
        <v>0</v>
      </c>
      <c r="I49" s="10" t="s">
        <v>20</v>
      </c>
      <c r="J49" s="79">
        <v>5</v>
      </c>
      <c r="K49" s="12">
        <f t="shared" si="4"/>
        <v>0</v>
      </c>
    </row>
    <row r="50" spans="1:12" ht="15.5" hidden="1" x14ac:dyDescent="0.35">
      <c r="A50" s="103"/>
      <c r="B50" s="104" t="s">
        <v>230</v>
      </c>
      <c r="C50" s="105"/>
      <c r="D50" s="225"/>
      <c r="E50" s="250"/>
      <c r="F50" s="165" t="str">
        <f t="shared" si="0"/>
        <v/>
      </c>
      <c r="G50" s="258"/>
      <c r="H50" s="247"/>
      <c r="I50" s="105"/>
      <c r="J50" s="106" t="s">
        <v>18</v>
      </c>
      <c r="K50" s="269">
        <f>SUM(K52:K77)</f>
        <v>142.94999999999999</v>
      </c>
    </row>
    <row r="51" spans="1:12" ht="15.5" x14ac:dyDescent="0.35">
      <c r="A51" s="111"/>
      <c r="B51" s="126" t="s">
        <v>231</v>
      </c>
      <c r="C51" s="127"/>
      <c r="D51" s="226"/>
      <c r="E51" s="250"/>
      <c r="F51" s="165" t="str">
        <f t="shared" si="0"/>
        <v/>
      </c>
      <c r="G51" s="259"/>
      <c r="H51" s="247"/>
      <c r="I51" s="127"/>
      <c r="J51" s="127"/>
      <c r="K51" s="128"/>
    </row>
    <row r="52" spans="1:12" x14ac:dyDescent="0.35">
      <c r="A52" s="103"/>
      <c r="B52" s="12" t="s">
        <v>13</v>
      </c>
      <c r="C52" s="10" t="s">
        <v>78</v>
      </c>
      <c r="D52" s="152">
        <v>6</v>
      </c>
      <c r="E52" s="170">
        <v>3</v>
      </c>
      <c r="F52" s="153">
        <f t="shared" si="0"/>
        <v>3</v>
      </c>
      <c r="G52" s="256">
        <v>3</v>
      </c>
      <c r="H52" s="166">
        <f t="shared" si="5"/>
        <v>3</v>
      </c>
      <c r="I52" s="10" t="s">
        <v>20</v>
      </c>
      <c r="J52" s="11">
        <v>13</v>
      </c>
      <c r="K52" s="12">
        <f>H52*J52</f>
        <v>39</v>
      </c>
    </row>
    <row r="53" spans="1:12" hidden="1" x14ac:dyDescent="0.35">
      <c r="A53" s="103"/>
      <c r="B53" s="12" t="s">
        <v>13</v>
      </c>
      <c r="C53" s="10" t="s">
        <v>232</v>
      </c>
      <c r="D53" s="152"/>
      <c r="E53" s="170"/>
      <c r="F53" s="153" t="str">
        <f t="shared" si="0"/>
        <v/>
      </c>
      <c r="G53" s="256"/>
      <c r="H53" s="166">
        <f t="shared" si="5"/>
        <v>0</v>
      </c>
      <c r="I53" s="10" t="s">
        <v>20</v>
      </c>
      <c r="J53" s="11">
        <v>13</v>
      </c>
      <c r="K53" s="12">
        <f t="shared" ref="K53:K77" si="7">H53*J53</f>
        <v>0</v>
      </c>
      <c r="L53" s="87"/>
    </row>
    <row r="54" spans="1:12" hidden="1" x14ac:dyDescent="0.35">
      <c r="A54" s="103"/>
      <c r="B54" s="12" t="s">
        <v>13</v>
      </c>
      <c r="C54" s="10" t="s">
        <v>233</v>
      </c>
      <c r="D54" s="152"/>
      <c r="E54" s="170"/>
      <c r="F54" s="153" t="str">
        <f t="shared" si="0"/>
        <v/>
      </c>
      <c r="G54" s="256"/>
      <c r="H54" s="166">
        <f t="shared" si="5"/>
        <v>0</v>
      </c>
      <c r="I54" s="10" t="s">
        <v>20</v>
      </c>
      <c r="J54" s="11">
        <v>8.9</v>
      </c>
      <c r="K54" s="12">
        <f t="shared" si="7"/>
        <v>0</v>
      </c>
    </row>
    <row r="55" spans="1:12" x14ac:dyDescent="0.35">
      <c r="A55" s="103"/>
      <c r="B55" s="12" t="s">
        <v>13</v>
      </c>
      <c r="C55" s="10" t="s">
        <v>32</v>
      </c>
      <c r="D55" s="152">
        <v>6</v>
      </c>
      <c r="E55" s="170">
        <v>1</v>
      </c>
      <c r="F55" s="153">
        <f t="shared" si="0"/>
        <v>5</v>
      </c>
      <c r="G55" s="256">
        <v>3</v>
      </c>
      <c r="H55" s="166">
        <f t="shared" si="5"/>
        <v>3</v>
      </c>
      <c r="I55" s="10" t="s">
        <v>20</v>
      </c>
      <c r="J55" s="11">
        <v>8.35</v>
      </c>
      <c r="K55" s="12">
        <f t="shared" si="7"/>
        <v>25.049999999999997</v>
      </c>
    </row>
    <row r="56" spans="1:12" x14ac:dyDescent="0.35">
      <c r="A56" s="103"/>
      <c r="B56" s="12" t="s">
        <v>13</v>
      </c>
      <c r="C56" s="10" t="s">
        <v>33</v>
      </c>
      <c r="D56" s="152">
        <v>6</v>
      </c>
      <c r="E56" s="170">
        <v>3</v>
      </c>
      <c r="F56" s="153">
        <f t="shared" si="0"/>
        <v>3</v>
      </c>
      <c r="G56" s="256">
        <v>3</v>
      </c>
      <c r="H56" s="166">
        <f t="shared" si="5"/>
        <v>3</v>
      </c>
      <c r="I56" s="10" t="s">
        <v>20</v>
      </c>
      <c r="J56" s="11">
        <v>8.9</v>
      </c>
      <c r="K56" s="12">
        <f t="shared" si="7"/>
        <v>26.700000000000003</v>
      </c>
    </row>
    <row r="57" spans="1:12" x14ac:dyDescent="0.35">
      <c r="A57" s="103"/>
      <c r="B57" s="12" t="s">
        <v>13</v>
      </c>
      <c r="C57" s="10" t="s">
        <v>59</v>
      </c>
      <c r="D57" s="152">
        <v>6</v>
      </c>
      <c r="E57" s="170">
        <v>4</v>
      </c>
      <c r="F57" s="153">
        <f t="shared" si="0"/>
        <v>2</v>
      </c>
      <c r="G57" s="256"/>
      <c r="H57" s="166">
        <f t="shared" si="5"/>
        <v>6</v>
      </c>
      <c r="I57" s="10" t="s">
        <v>20</v>
      </c>
      <c r="J57" s="11">
        <v>8.6999999999999993</v>
      </c>
      <c r="K57" s="12">
        <f t="shared" si="7"/>
        <v>52.199999999999996</v>
      </c>
    </row>
    <row r="58" spans="1:12" hidden="1" x14ac:dyDescent="0.35">
      <c r="A58" s="103"/>
      <c r="B58" s="12" t="s">
        <v>13</v>
      </c>
      <c r="C58" s="10" t="s">
        <v>234</v>
      </c>
      <c r="D58" s="152"/>
      <c r="E58" s="170"/>
      <c r="F58" s="153" t="str">
        <f t="shared" si="0"/>
        <v/>
      </c>
      <c r="G58" s="256"/>
      <c r="H58" s="166">
        <f t="shared" si="5"/>
        <v>0</v>
      </c>
      <c r="I58" s="10" t="s">
        <v>20</v>
      </c>
      <c r="J58" s="11">
        <v>12.15</v>
      </c>
      <c r="K58" s="12">
        <f t="shared" si="7"/>
        <v>0</v>
      </c>
    </row>
    <row r="59" spans="1:12" hidden="1" x14ac:dyDescent="0.35">
      <c r="A59" s="103"/>
      <c r="B59" s="12" t="s">
        <v>13</v>
      </c>
      <c r="C59" s="10" t="s">
        <v>235</v>
      </c>
      <c r="D59" s="152"/>
      <c r="E59" s="170"/>
      <c r="F59" s="153" t="str">
        <f t="shared" si="0"/>
        <v/>
      </c>
      <c r="G59" s="256"/>
      <c r="H59" s="166">
        <f t="shared" si="5"/>
        <v>0</v>
      </c>
      <c r="I59" s="10" t="s">
        <v>20</v>
      </c>
      <c r="J59" s="11">
        <v>11.35</v>
      </c>
      <c r="K59" s="12">
        <f t="shared" si="7"/>
        <v>0</v>
      </c>
    </row>
    <row r="60" spans="1:12" hidden="1" x14ac:dyDescent="0.35">
      <c r="A60" s="103"/>
      <c r="B60" s="12" t="s">
        <v>13</v>
      </c>
      <c r="C60" s="10" t="s">
        <v>236</v>
      </c>
      <c r="D60" s="152"/>
      <c r="E60" s="170"/>
      <c r="F60" s="153" t="str">
        <f t="shared" si="0"/>
        <v/>
      </c>
      <c r="G60" s="256"/>
      <c r="H60" s="166">
        <f t="shared" si="5"/>
        <v>0</v>
      </c>
      <c r="I60" s="10" t="s">
        <v>20</v>
      </c>
      <c r="J60" s="11">
        <v>14.65</v>
      </c>
      <c r="K60" s="12">
        <f t="shared" si="7"/>
        <v>0</v>
      </c>
    </row>
    <row r="61" spans="1:12" hidden="1" x14ac:dyDescent="0.35">
      <c r="A61" s="103"/>
      <c r="B61" s="12" t="s">
        <v>13</v>
      </c>
      <c r="C61" s="10" t="s">
        <v>237</v>
      </c>
      <c r="D61" s="152"/>
      <c r="E61" s="170"/>
      <c r="F61" s="153" t="str">
        <f t="shared" si="0"/>
        <v/>
      </c>
      <c r="G61" s="256"/>
      <c r="H61" s="166">
        <f t="shared" si="5"/>
        <v>0</v>
      </c>
      <c r="I61" s="10" t="s">
        <v>20</v>
      </c>
      <c r="J61" s="11">
        <v>16.25</v>
      </c>
      <c r="K61" s="12">
        <f t="shared" si="7"/>
        <v>0</v>
      </c>
    </row>
    <row r="62" spans="1:12" hidden="1" x14ac:dyDescent="0.35">
      <c r="A62" s="103"/>
      <c r="B62" s="12" t="s">
        <v>13</v>
      </c>
      <c r="C62" s="10" t="s">
        <v>238</v>
      </c>
      <c r="D62" s="152"/>
      <c r="E62" s="170"/>
      <c r="F62" s="153" t="str">
        <f t="shared" si="0"/>
        <v/>
      </c>
      <c r="G62" s="256"/>
      <c r="H62" s="166">
        <f t="shared" si="5"/>
        <v>0</v>
      </c>
      <c r="I62" s="10" t="s">
        <v>20</v>
      </c>
      <c r="J62" s="11">
        <v>17.899999999999999</v>
      </c>
      <c r="K62" s="12">
        <f t="shared" si="7"/>
        <v>0</v>
      </c>
    </row>
    <row r="63" spans="1:12" hidden="1" x14ac:dyDescent="0.35">
      <c r="A63" s="103"/>
      <c r="B63" s="12" t="s">
        <v>13</v>
      </c>
      <c r="C63" s="10" t="s">
        <v>239</v>
      </c>
      <c r="D63" s="152"/>
      <c r="E63" s="170"/>
      <c r="F63" s="153" t="str">
        <f t="shared" si="0"/>
        <v/>
      </c>
      <c r="G63" s="256"/>
      <c r="H63" s="166">
        <f t="shared" si="5"/>
        <v>0</v>
      </c>
      <c r="I63" s="10" t="s">
        <v>20</v>
      </c>
      <c r="J63" s="11">
        <v>15.95</v>
      </c>
      <c r="K63" s="12">
        <f t="shared" si="7"/>
        <v>0</v>
      </c>
    </row>
    <row r="64" spans="1:12" hidden="1" x14ac:dyDescent="0.35">
      <c r="A64" s="103"/>
      <c r="B64" s="12" t="s">
        <v>13</v>
      </c>
      <c r="C64" s="10" t="s">
        <v>240</v>
      </c>
      <c r="D64" s="152"/>
      <c r="E64" s="170"/>
      <c r="F64" s="153" t="str">
        <f t="shared" si="0"/>
        <v/>
      </c>
      <c r="G64" s="256"/>
      <c r="H64" s="166">
        <f t="shared" si="5"/>
        <v>0</v>
      </c>
      <c r="I64" s="10" t="s">
        <v>20</v>
      </c>
      <c r="J64" s="11">
        <v>15.45</v>
      </c>
      <c r="K64" s="12">
        <f t="shared" si="7"/>
        <v>0</v>
      </c>
    </row>
    <row r="65" spans="1:15" ht="15.5" hidden="1" x14ac:dyDescent="0.35">
      <c r="A65" s="111"/>
      <c r="B65" s="126" t="s">
        <v>241</v>
      </c>
      <c r="C65" s="127"/>
      <c r="D65" s="226"/>
      <c r="E65" s="250"/>
      <c r="F65" s="165" t="str">
        <f t="shared" si="0"/>
        <v/>
      </c>
      <c r="G65" s="259"/>
      <c r="H65" s="247"/>
      <c r="I65" s="127"/>
      <c r="J65" s="127"/>
      <c r="K65" s="270"/>
    </row>
    <row r="66" spans="1:15" hidden="1" x14ac:dyDescent="0.35">
      <c r="A66" s="103"/>
      <c r="B66" s="12" t="s">
        <v>13</v>
      </c>
      <c r="C66" s="10" t="s">
        <v>242</v>
      </c>
      <c r="D66" s="152"/>
      <c r="E66" s="170"/>
      <c r="F66" s="153" t="str">
        <f t="shared" si="0"/>
        <v/>
      </c>
      <c r="G66" s="256"/>
      <c r="H66" s="166">
        <f t="shared" si="5"/>
        <v>0</v>
      </c>
      <c r="I66" s="10" t="s">
        <v>20</v>
      </c>
      <c r="J66" s="11">
        <v>31.05</v>
      </c>
      <c r="K66" s="12">
        <f t="shared" si="7"/>
        <v>0</v>
      </c>
    </row>
    <row r="67" spans="1:15" hidden="1" x14ac:dyDescent="0.35">
      <c r="A67" s="103"/>
      <c r="B67" s="12" t="s">
        <v>13</v>
      </c>
      <c r="C67" s="10" t="s">
        <v>243</v>
      </c>
      <c r="D67" s="152"/>
      <c r="E67" s="170"/>
      <c r="F67" s="153" t="str">
        <f t="shared" si="0"/>
        <v/>
      </c>
      <c r="G67" s="256"/>
      <c r="H67" s="166">
        <f t="shared" si="5"/>
        <v>0</v>
      </c>
      <c r="I67" s="10" t="s">
        <v>20</v>
      </c>
      <c r="J67" s="11">
        <v>60.79</v>
      </c>
      <c r="K67" s="12">
        <f t="shared" si="7"/>
        <v>0</v>
      </c>
    </row>
    <row r="68" spans="1:15" hidden="1" x14ac:dyDescent="0.35">
      <c r="A68" s="103"/>
      <c r="B68" s="12" t="s">
        <v>13</v>
      </c>
      <c r="C68" s="10" t="s">
        <v>244</v>
      </c>
      <c r="D68" s="152"/>
      <c r="E68" s="170"/>
      <c r="F68" s="153" t="str">
        <f t="shared" si="0"/>
        <v/>
      </c>
      <c r="G68" s="256"/>
      <c r="H68" s="166">
        <f t="shared" si="5"/>
        <v>0</v>
      </c>
      <c r="I68" s="10" t="s">
        <v>20</v>
      </c>
      <c r="J68" s="11">
        <v>56.55</v>
      </c>
      <c r="K68" s="12">
        <f t="shared" si="7"/>
        <v>0</v>
      </c>
    </row>
    <row r="69" spans="1:15" hidden="1" x14ac:dyDescent="0.35">
      <c r="A69" s="103"/>
      <c r="B69" s="12" t="s">
        <v>13</v>
      </c>
      <c r="C69" s="10" t="s">
        <v>245</v>
      </c>
      <c r="D69" s="152"/>
      <c r="E69" s="170"/>
      <c r="F69" s="153" t="str">
        <f t="shared" si="0"/>
        <v/>
      </c>
      <c r="G69" s="256"/>
      <c r="H69" s="166">
        <f t="shared" si="5"/>
        <v>0</v>
      </c>
      <c r="I69" s="10" t="s">
        <v>20</v>
      </c>
      <c r="J69" s="11">
        <v>107.44</v>
      </c>
      <c r="K69" s="12">
        <f t="shared" si="7"/>
        <v>0</v>
      </c>
    </row>
    <row r="70" spans="1:15" hidden="1" x14ac:dyDescent="0.35">
      <c r="A70" s="103"/>
      <c r="B70" s="12" t="s">
        <v>13</v>
      </c>
      <c r="C70" s="10" t="s">
        <v>246</v>
      </c>
      <c r="D70" s="152"/>
      <c r="E70" s="170"/>
      <c r="F70" s="153" t="str">
        <f t="shared" si="0"/>
        <v/>
      </c>
      <c r="G70" s="256"/>
      <c r="H70" s="166">
        <f t="shared" si="5"/>
        <v>0</v>
      </c>
      <c r="I70" s="10" t="s">
        <v>20</v>
      </c>
      <c r="J70" s="11">
        <v>47.4</v>
      </c>
      <c r="K70" s="12">
        <f t="shared" si="7"/>
        <v>0</v>
      </c>
    </row>
    <row r="71" spans="1:15" hidden="1" x14ac:dyDescent="0.35">
      <c r="A71" s="103"/>
      <c r="B71" s="12" t="s">
        <v>13</v>
      </c>
      <c r="C71" s="10" t="s">
        <v>247</v>
      </c>
      <c r="D71" s="152"/>
      <c r="E71" s="170"/>
      <c r="F71" s="153" t="str">
        <f t="shared" si="0"/>
        <v/>
      </c>
      <c r="G71" s="256"/>
      <c r="H71" s="166">
        <f t="shared" si="5"/>
        <v>0</v>
      </c>
      <c r="I71" s="10" t="s">
        <v>20</v>
      </c>
      <c r="J71" s="11">
        <v>87.63</v>
      </c>
      <c r="K71" s="12">
        <f t="shared" si="7"/>
        <v>0</v>
      </c>
    </row>
    <row r="72" spans="1:15" hidden="1" x14ac:dyDescent="0.35">
      <c r="A72" s="103"/>
      <c r="B72" s="12" t="s">
        <v>13</v>
      </c>
      <c r="C72" s="10" t="s">
        <v>248</v>
      </c>
      <c r="D72" s="152"/>
      <c r="E72" s="170"/>
      <c r="F72" s="153" t="str">
        <f t="shared" si="0"/>
        <v/>
      </c>
      <c r="G72" s="256"/>
      <c r="H72" s="166">
        <f t="shared" si="5"/>
        <v>0</v>
      </c>
      <c r="I72" s="10" t="s">
        <v>20</v>
      </c>
      <c r="J72" s="11">
        <v>52.31</v>
      </c>
      <c r="K72" s="12">
        <f t="shared" si="7"/>
        <v>0</v>
      </c>
    </row>
    <row r="73" spans="1:15" ht="15.5" hidden="1" x14ac:dyDescent="0.35">
      <c r="A73" s="111"/>
      <c r="B73" s="126" t="s">
        <v>249</v>
      </c>
      <c r="C73" s="127"/>
      <c r="D73" s="226"/>
      <c r="E73" s="170"/>
      <c r="F73" s="153" t="str">
        <f t="shared" si="0"/>
        <v/>
      </c>
      <c r="G73" s="259"/>
      <c r="H73" s="166">
        <f t="shared" si="5"/>
        <v>0</v>
      </c>
      <c r="I73" s="127"/>
      <c r="J73" s="127"/>
      <c r="K73" s="271"/>
    </row>
    <row r="74" spans="1:15" hidden="1" x14ac:dyDescent="0.35">
      <c r="A74" s="103"/>
      <c r="B74" s="12" t="s">
        <v>13</v>
      </c>
      <c r="C74" s="10" t="s">
        <v>250</v>
      </c>
      <c r="D74" s="152"/>
      <c r="E74" s="170"/>
      <c r="F74" s="153" t="str">
        <f t="shared" si="0"/>
        <v/>
      </c>
      <c r="G74" s="256"/>
      <c r="H74" s="166">
        <f t="shared" si="5"/>
        <v>0</v>
      </c>
      <c r="I74" s="10" t="s">
        <v>20</v>
      </c>
      <c r="J74" s="11">
        <v>10.8</v>
      </c>
      <c r="K74" s="12">
        <f t="shared" si="7"/>
        <v>0</v>
      </c>
    </row>
    <row r="75" spans="1:15" hidden="1" x14ac:dyDescent="0.35">
      <c r="A75" s="103"/>
      <c r="B75" s="12" t="s">
        <v>13</v>
      </c>
      <c r="C75" s="10" t="s">
        <v>251</v>
      </c>
      <c r="D75" s="152"/>
      <c r="E75" s="170"/>
      <c r="F75" s="153" t="str">
        <f t="shared" si="0"/>
        <v/>
      </c>
      <c r="G75" s="256"/>
      <c r="H75" s="166">
        <f t="shared" si="5"/>
        <v>0</v>
      </c>
      <c r="I75" s="10" t="s">
        <v>20</v>
      </c>
      <c r="J75" s="11">
        <v>11.2</v>
      </c>
      <c r="K75" s="12">
        <f t="shared" si="7"/>
        <v>0</v>
      </c>
    </row>
    <row r="76" spans="1:15" x14ac:dyDescent="0.35">
      <c r="A76" s="103"/>
      <c r="B76" s="12" t="s">
        <v>13</v>
      </c>
      <c r="C76" s="10" t="s">
        <v>252</v>
      </c>
      <c r="D76" s="152"/>
      <c r="E76" s="170"/>
      <c r="F76" s="153" t="str">
        <f t="shared" si="0"/>
        <v/>
      </c>
      <c r="G76" s="256"/>
      <c r="H76" s="166">
        <f t="shared" si="5"/>
        <v>0</v>
      </c>
      <c r="I76" s="10" t="s">
        <v>23</v>
      </c>
      <c r="J76" s="11">
        <v>4.5599999999999996</v>
      </c>
      <c r="K76" s="12">
        <f t="shared" si="7"/>
        <v>0</v>
      </c>
    </row>
    <row r="77" spans="1:15" x14ac:dyDescent="0.35">
      <c r="A77" s="103"/>
      <c r="B77" s="12" t="s">
        <v>13</v>
      </c>
      <c r="C77" s="10" t="s">
        <v>253</v>
      </c>
      <c r="D77" s="152"/>
      <c r="E77" s="170"/>
      <c r="F77" s="153" t="str">
        <f t="shared" si="0"/>
        <v/>
      </c>
      <c r="G77" s="256"/>
      <c r="H77" s="166">
        <f t="shared" si="5"/>
        <v>0</v>
      </c>
      <c r="I77" s="10" t="s">
        <v>23</v>
      </c>
      <c r="J77" s="11">
        <v>37.700000000000003</v>
      </c>
      <c r="K77" s="12">
        <f t="shared" si="7"/>
        <v>0</v>
      </c>
      <c r="O77" s="87"/>
    </row>
    <row r="78" spans="1:15" ht="15.5" hidden="1" x14ac:dyDescent="0.35">
      <c r="A78" s="108" t="s">
        <v>254</v>
      </c>
      <c r="B78" s="108"/>
      <c r="C78" s="108"/>
      <c r="D78" s="223"/>
      <c r="E78" s="250"/>
      <c r="F78" s="165" t="str">
        <f t="shared" si="0"/>
        <v/>
      </c>
      <c r="G78" s="186"/>
      <c r="H78" s="247"/>
      <c r="I78" s="108"/>
      <c r="J78" s="110" t="s">
        <v>18</v>
      </c>
      <c r="K78" s="269">
        <f>SUM(K80:K121)</f>
        <v>0</v>
      </c>
    </row>
    <row r="79" spans="1:15" ht="15.5" hidden="1" x14ac:dyDescent="0.35">
      <c r="A79" s="111"/>
      <c r="B79" s="126" t="s">
        <v>255</v>
      </c>
      <c r="C79" s="127"/>
      <c r="D79" s="226"/>
      <c r="E79" s="250"/>
      <c r="F79" s="153" t="str">
        <f t="shared" si="0"/>
        <v/>
      </c>
      <c r="G79" s="259"/>
      <c r="H79" s="247"/>
      <c r="I79" s="127"/>
      <c r="J79" s="127"/>
      <c r="K79" s="128"/>
    </row>
    <row r="80" spans="1:15" hidden="1" x14ac:dyDescent="0.35">
      <c r="A80" s="103"/>
      <c r="B80" s="12" t="s">
        <v>3</v>
      </c>
      <c r="C80" s="10" t="s">
        <v>256</v>
      </c>
      <c r="D80" s="152"/>
      <c r="E80" s="170"/>
      <c r="F80" s="153" t="str">
        <f t="shared" si="0"/>
        <v/>
      </c>
      <c r="G80" s="256"/>
      <c r="H80" s="166">
        <f t="shared" si="5"/>
        <v>0</v>
      </c>
      <c r="I80" s="10" t="s">
        <v>20</v>
      </c>
      <c r="J80" s="11">
        <v>32.950000000000003</v>
      </c>
      <c r="K80" s="12">
        <f t="shared" ref="K80:K86" si="8">G80*J80</f>
        <v>0</v>
      </c>
    </row>
    <row r="81" spans="1:11" hidden="1" x14ac:dyDescent="0.35">
      <c r="A81" s="103"/>
      <c r="B81" s="12" t="s">
        <v>3</v>
      </c>
      <c r="C81" s="10" t="s">
        <v>257</v>
      </c>
      <c r="D81" s="152"/>
      <c r="E81" s="170"/>
      <c r="F81" s="153" t="str">
        <f t="shared" si="0"/>
        <v/>
      </c>
      <c r="G81" s="256"/>
      <c r="H81" s="166">
        <f t="shared" si="5"/>
        <v>0</v>
      </c>
      <c r="I81" s="10" t="s">
        <v>20</v>
      </c>
      <c r="J81" s="11">
        <v>56.95</v>
      </c>
      <c r="K81" s="12">
        <f t="shared" si="8"/>
        <v>0</v>
      </c>
    </row>
    <row r="82" spans="1:11" hidden="1" x14ac:dyDescent="0.35">
      <c r="A82" s="103"/>
      <c r="B82" s="12" t="s">
        <v>3</v>
      </c>
      <c r="C82" s="10" t="s">
        <v>258</v>
      </c>
      <c r="D82" s="152"/>
      <c r="E82" s="170"/>
      <c r="F82" s="153" t="str">
        <f t="shared" si="0"/>
        <v/>
      </c>
      <c r="G82" s="256"/>
      <c r="H82" s="166">
        <f t="shared" si="5"/>
        <v>0</v>
      </c>
      <c r="I82" s="10" t="s">
        <v>20</v>
      </c>
      <c r="J82" s="11">
        <v>15.95</v>
      </c>
      <c r="K82" s="12">
        <f t="shared" si="8"/>
        <v>0</v>
      </c>
    </row>
    <row r="83" spans="1:11" hidden="1" x14ac:dyDescent="0.35">
      <c r="A83" s="103"/>
      <c r="B83" s="12" t="s">
        <v>3</v>
      </c>
      <c r="C83" s="10" t="s">
        <v>259</v>
      </c>
      <c r="D83" s="152"/>
      <c r="E83" s="170"/>
      <c r="F83" s="153" t="str">
        <f t="shared" si="0"/>
        <v/>
      </c>
      <c r="G83" s="256"/>
      <c r="H83" s="166">
        <f t="shared" si="5"/>
        <v>0</v>
      </c>
      <c r="I83" s="10" t="s">
        <v>20</v>
      </c>
      <c r="J83" s="11">
        <v>19.95</v>
      </c>
      <c r="K83" s="12">
        <f t="shared" si="8"/>
        <v>0</v>
      </c>
    </row>
    <row r="84" spans="1:11" hidden="1" x14ac:dyDescent="0.35">
      <c r="A84" s="103"/>
      <c r="B84" s="12" t="s">
        <v>3</v>
      </c>
      <c r="C84" s="10" t="s">
        <v>260</v>
      </c>
      <c r="D84" s="152"/>
      <c r="E84" s="170"/>
      <c r="F84" s="153" t="str">
        <f t="shared" si="0"/>
        <v/>
      </c>
      <c r="G84" s="256"/>
      <c r="H84" s="166">
        <f t="shared" si="5"/>
        <v>0</v>
      </c>
      <c r="I84" s="10" t="s">
        <v>20</v>
      </c>
      <c r="J84" s="11">
        <v>46.95</v>
      </c>
      <c r="K84" s="12">
        <f t="shared" si="8"/>
        <v>0</v>
      </c>
    </row>
    <row r="85" spans="1:11" hidden="1" x14ac:dyDescent="0.35">
      <c r="A85" s="103"/>
      <c r="B85" s="12" t="s">
        <v>3</v>
      </c>
      <c r="C85" s="10" t="s">
        <v>261</v>
      </c>
      <c r="D85" s="152"/>
      <c r="E85" s="170"/>
      <c r="F85" s="153" t="str">
        <f t="shared" si="0"/>
        <v/>
      </c>
      <c r="G85" s="256"/>
      <c r="H85" s="166">
        <f t="shared" si="5"/>
        <v>0</v>
      </c>
      <c r="I85" s="10" t="s">
        <v>20</v>
      </c>
      <c r="J85" s="11">
        <v>34.950000000000003</v>
      </c>
      <c r="K85" s="12">
        <f t="shared" si="8"/>
        <v>0</v>
      </c>
    </row>
    <row r="86" spans="1:11" hidden="1" x14ac:dyDescent="0.35">
      <c r="A86" s="103"/>
      <c r="B86" s="12" t="s">
        <v>3</v>
      </c>
      <c r="C86" s="10" t="s">
        <v>262</v>
      </c>
      <c r="D86" s="152"/>
      <c r="E86" s="170"/>
      <c r="F86" s="153" t="str">
        <f t="shared" si="0"/>
        <v/>
      </c>
      <c r="G86" s="256"/>
      <c r="H86" s="166">
        <f t="shared" si="5"/>
        <v>0</v>
      </c>
      <c r="I86" s="10" t="s">
        <v>20</v>
      </c>
      <c r="J86" s="11">
        <v>24.95</v>
      </c>
      <c r="K86" s="12">
        <f t="shared" si="8"/>
        <v>0</v>
      </c>
    </row>
    <row r="87" spans="1:11" ht="15.5" hidden="1" x14ac:dyDescent="0.35">
      <c r="A87" s="111"/>
      <c r="B87" s="126" t="s">
        <v>263</v>
      </c>
      <c r="C87" s="127"/>
      <c r="D87" s="226"/>
      <c r="E87" s="250"/>
      <c r="F87" s="165" t="str">
        <f t="shared" si="0"/>
        <v/>
      </c>
      <c r="G87" s="259"/>
      <c r="H87" s="247"/>
      <c r="I87" s="127"/>
      <c r="J87" s="127"/>
      <c r="K87" s="272"/>
    </row>
    <row r="88" spans="1:11" hidden="1" x14ac:dyDescent="0.35">
      <c r="A88" s="103"/>
      <c r="B88" s="12" t="s">
        <v>3</v>
      </c>
      <c r="C88" s="10" t="s">
        <v>264</v>
      </c>
      <c r="D88" s="152"/>
      <c r="E88" s="170"/>
      <c r="F88" s="153" t="str">
        <f t="shared" si="0"/>
        <v/>
      </c>
      <c r="G88" s="256"/>
      <c r="H88" s="166">
        <f t="shared" si="5"/>
        <v>0</v>
      </c>
      <c r="I88" s="10" t="s">
        <v>20</v>
      </c>
      <c r="J88" s="11">
        <v>19.5</v>
      </c>
      <c r="K88" s="12">
        <f t="shared" ref="K88:K94" si="9">G88*J88</f>
        <v>0</v>
      </c>
    </row>
    <row r="89" spans="1:11" hidden="1" x14ac:dyDescent="0.35">
      <c r="A89" s="103"/>
      <c r="B89" s="12" t="s">
        <v>3</v>
      </c>
      <c r="C89" s="10" t="s">
        <v>265</v>
      </c>
      <c r="D89" s="152"/>
      <c r="E89" s="170"/>
      <c r="F89" s="153" t="str">
        <f t="shared" ref="F89:F152" si="10">IF(E89="","",IF(D89-E89&gt;0,D89-E89,""))</f>
        <v/>
      </c>
      <c r="G89" s="256"/>
      <c r="H89" s="166">
        <f t="shared" si="5"/>
        <v>0</v>
      </c>
      <c r="I89" s="10" t="s">
        <v>20</v>
      </c>
      <c r="J89" s="11">
        <v>16.95</v>
      </c>
      <c r="K89" s="12">
        <f t="shared" si="9"/>
        <v>0</v>
      </c>
    </row>
    <row r="90" spans="1:11" hidden="1" x14ac:dyDescent="0.35">
      <c r="A90" s="103"/>
      <c r="B90" s="12" t="s">
        <v>3</v>
      </c>
      <c r="C90" s="10" t="s">
        <v>266</v>
      </c>
      <c r="D90" s="152"/>
      <c r="E90" s="170"/>
      <c r="F90" s="153" t="str">
        <f t="shared" si="10"/>
        <v/>
      </c>
      <c r="G90" s="256"/>
      <c r="H90" s="166">
        <f t="shared" si="5"/>
        <v>0</v>
      </c>
      <c r="I90" s="10" t="s">
        <v>20</v>
      </c>
      <c r="J90" s="11">
        <v>17.95</v>
      </c>
      <c r="K90" s="12">
        <f t="shared" si="9"/>
        <v>0</v>
      </c>
    </row>
    <row r="91" spans="1:11" hidden="1" x14ac:dyDescent="0.35">
      <c r="A91" s="103"/>
      <c r="B91" s="12" t="s">
        <v>3</v>
      </c>
      <c r="C91" s="10" t="s">
        <v>267</v>
      </c>
      <c r="D91" s="152"/>
      <c r="E91" s="170"/>
      <c r="F91" s="153" t="str">
        <f t="shared" si="10"/>
        <v/>
      </c>
      <c r="G91" s="256"/>
      <c r="H91" s="166">
        <f t="shared" si="5"/>
        <v>0</v>
      </c>
      <c r="I91" s="10" t="s">
        <v>20</v>
      </c>
      <c r="J91" s="11">
        <v>15.95</v>
      </c>
      <c r="K91" s="12">
        <f t="shared" si="9"/>
        <v>0</v>
      </c>
    </row>
    <row r="92" spans="1:11" hidden="1" x14ac:dyDescent="0.35">
      <c r="A92" s="103"/>
      <c r="B92" s="12" t="s">
        <v>3</v>
      </c>
      <c r="C92" s="10" t="s">
        <v>268</v>
      </c>
      <c r="D92" s="152"/>
      <c r="E92" s="170"/>
      <c r="F92" s="153" t="str">
        <f t="shared" si="10"/>
        <v/>
      </c>
      <c r="G92" s="256"/>
      <c r="H92" s="166">
        <f t="shared" si="5"/>
        <v>0</v>
      </c>
      <c r="I92" s="10" t="s">
        <v>20</v>
      </c>
      <c r="J92" s="11">
        <v>20.95</v>
      </c>
      <c r="K92" s="12">
        <f t="shared" si="9"/>
        <v>0</v>
      </c>
    </row>
    <row r="93" spans="1:11" hidden="1" x14ac:dyDescent="0.35">
      <c r="A93" s="103"/>
      <c r="B93" s="12" t="s">
        <v>3</v>
      </c>
      <c r="C93" s="10" t="s">
        <v>269</v>
      </c>
      <c r="D93" s="152"/>
      <c r="E93" s="170"/>
      <c r="F93" s="153" t="str">
        <f t="shared" si="10"/>
        <v/>
      </c>
      <c r="G93" s="256"/>
      <c r="H93" s="166">
        <f t="shared" si="5"/>
        <v>0</v>
      </c>
      <c r="I93" s="10" t="s">
        <v>20</v>
      </c>
      <c r="J93" s="11">
        <v>26.95</v>
      </c>
      <c r="K93" s="12">
        <f t="shared" si="9"/>
        <v>0</v>
      </c>
    </row>
    <row r="94" spans="1:11" hidden="1" x14ac:dyDescent="0.35">
      <c r="A94" s="103"/>
      <c r="B94" s="12" t="s">
        <v>3</v>
      </c>
      <c r="C94" s="10" t="s">
        <v>270</v>
      </c>
      <c r="D94" s="152"/>
      <c r="E94" s="170"/>
      <c r="F94" s="153" t="str">
        <f t="shared" si="10"/>
        <v/>
      </c>
      <c r="G94" s="256"/>
      <c r="H94" s="166">
        <f t="shared" si="5"/>
        <v>0</v>
      </c>
      <c r="I94" s="10" t="s">
        <v>20</v>
      </c>
      <c r="J94" s="11">
        <v>26.95</v>
      </c>
      <c r="K94" s="12">
        <f t="shared" si="9"/>
        <v>0</v>
      </c>
    </row>
    <row r="95" spans="1:11" ht="15.5" hidden="1" x14ac:dyDescent="0.35">
      <c r="A95" s="111"/>
      <c r="B95" s="126" t="s">
        <v>271</v>
      </c>
      <c r="C95" s="127"/>
      <c r="D95" s="226"/>
      <c r="E95" s="250"/>
      <c r="F95" s="165" t="str">
        <f t="shared" si="10"/>
        <v/>
      </c>
      <c r="G95" s="259"/>
      <c r="H95" s="247"/>
      <c r="I95" s="127"/>
      <c r="J95" s="127"/>
      <c r="K95" s="272"/>
    </row>
    <row r="96" spans="1:11" hidden="1" x14ac:dyDescent="0.35">
      <c r="A96" s="103"/>
      <c r="B96" s="12" t="s">
        <v>3</v>
      </c>
      <c r="C96" s="10" t="s">
        <v>272</v>
      </c>
      <c r="D96" s="152"/>
      <c r="E96" s="170"/>
      <c r="F96" s="153" t="str">
        <f t="shared" si="10"/>
        <v/>
      </c>
      <c r="G96" s="256"/>
      <c r="H96" s="166">
        <f t="shared" si="5"/>
        <v>0</v>
      </c>
      <c r="I96" s="10" t="s">
        <v>20</v>
      </c>
      <c r="J96" s="11">
        <v>20.95</v>
      </c>
      <c r="K96" s="12">
        <f>G96*J96</f>
        <v>0</v>
      </c>
    </row>
    <row r="97" spans="1:11" hidden="1" x14ac:dyDescent="0.35">
      <c r="A97" s="103"/>
      <c r="B97" s="12" t="s">
        <v>3</v>
      </c>
      <c r="C97" s="10" t="s">
        <v>273</v>
      </c>
      <c r="D97" s="152"/>
      <c r="E97" s="170"/>
      <c r="F97" s="153" t="str">
        <f t="shared" si="10"/>
        <v/>
      </c>
      <c r="G97" s="256"/>
      <c r="H97" s="166">
        <f t="shared" si="5"/>
        <v>0</v>
      </c>
      <c r="I97" s="10" t="s">
        <v>20</v>
      </c>
      <c r="J97" s="11">
        <v>23.95</v>
      </c>
      <c r="K97" s="12">
        <f>G97*J97</f>
        <v>0</v>
      </c>
    </row>
    <row r="98" spans="1:11" hidden="1" x14ac:dyDescent="0.35">
      <c r="A98" s="103"/>
      <c r="B98" s="12" t="s">
        <v>3</v>
      </c>
      <c r="C98" s="10" t="s">
        <v>274</v>
      </c>
      <c r="D98" s="152"/>
      <c r="E98" s="170"/>
      <c r="F98" s="153" t="str">
        <f t="shared" si="10"/>
        <v/>
      </c>
      <c r="G98" s="256"/>
      <c r="H98" s="166">
        <f t="shared" si="5"/>
        <v>0</v>
      </c>
      <c r="I98" s="10" t="s">
        <v>20</v>
      </c>
      <c r="J98" s="11">
        <v>22.5</v>
      </c>
      <c r="K98" s="12">
        <f>G98*J98</f>
        <v>0</v>
      </c>
    </row>
    <row r="99" spans="1:11" hidden="1" x14ac:dyDescent="0.35">
      <c r="A99" s="103"/>
      <c r="B99" s="12" t="s">
        <v>3</v>
      </c>
      <c r="C99" s="10" t="s">
        <v>275</v>
      </c>
      <c r="D99" s="152"/>
      <c r="E99" s="170"/>
      <c r="F99" s="153" t="str">
        <f t="shared" si="10"/>
        <v/>
      </c>
      <c r="G99" s="256"/>
      <c r="H99" s="166">
        <f t="shared" si="5"/>
        <v>0</v>
      </c>
      <c r="I99" s="10" t="s">
        <v>20</v>
      </c>
      <c r="J99" s="11">
        <v>29.95</v>
      </c>
      <c r="K99" s="12">
        <f>G99*J99</f>
        <v>0</v>
      </c>
    </row>
    <row r="100" spans="1:11" ht="15.5" hidden="1" x14ac:dyDescent="0.35">
      <c r="A100" s="111"/>
      <c r="B100" s="126" t="s">
        <v>276</v>
      </c>
      <c r="C100" s="127"/>
      <c r="D100" s="226"/>
      <c r="E100" s="250"/>
      <c r="F100" s="165" t="str">
        <f t="shared" si="10"/>
        <v/>
      </c>
      <c r="G100" s="259"/>
      <c r="H100" s="247"/>
      <c r="I100" s="127"/>
      <c r="J100" s="127"/>
      <c r="K100" s="272"/>
    </row>
    <row r="101" spans="1:11" hidden="1" x14ac:dyDescent="0.35">
      <c r="A101" s="103"/>
      <c r="B101" s="12" t="s">
        <v>3</v>
      </c>
      <c r="C101" s="10" t="s">
        <v>277</v>
      </c>
      <c r="D101" s="152"/>
      <c r="E101" s="170"/>
      <c r="F101" s="153" t="str">
        <f t="shared" si="10"/>
        <v/>
      </c>
      <c r="G101" s="256"/>
      <c r="H101" s="166">
        <f t="shared" si="5"/>
        <v>0</v>
      </c>
      <c r="I101" s="10" t="s">
        <v>20</v>
      </c>
      <c r="J101" s="11">
        <v>17.95</v>
      </c>
      <c r="K101" s="12">
        <f>G101*J101</f>
        <v>0</v>
      </c>
    </row>
    <row r="102" spans="1:11" hidden="1" x14ac:dyDescent="0.35">
      <c r="A102" s="103"/>
      <c r="B102" s="12" t="s">
        <v>3</v>
      </c>
      <c r="C102" s="10" t="s">
        <v>278</v>
      </c>
      <c r="D102" s="152"/>
      <c r="E102" s="170"/>
      <c r="F102" s="153" t="str">
        <f t="shared" si="10"/>
        <v/>
      </c>
      <c r="G102" s="256"/>
      <c r="H102" s="166">
        <f t="shared" si="5"/>
        <v>0</v>
      </c>
      <c r="I102" s="10" t="s">
        <v>20</v>
      </c>
      <c r="J102" s="11">
        <v>20.95</v>
      </c>
      <c r="K102" s="12">
        <f>G102*J102</f>
        <v>0</v>
      </c>
    </row>
    <row r="103" spans="1:11" hidden="1" x14ac:dyDescent="0.35">
      <c r="A103" s="103"/>
      <c r="B103" s="12" t="s">
        <v>3</v>
      </c>
      <c r="C103" s="10" t="s">
        <v>279</v>
      </c>
      <c r="D103" s="152"/>
      <c r="E103" s="170"/>
      <c r="F103" s="153" t="str">
        <f t="shared" si="10"/>
        <v/>
      </c>
      <c r="G103" s="256"/>
      <c r="H103" s="166">
        <f t="shared" si="5"/>
        <v>0</v>
      </c>
      <c r="I103" s="10" t="s">
        <v>20</v>
      </c>
      <c r="J103" s="11">
        <v>19.95</v>
      </c>
      <c r="K103" s="12">
        <f>G103*J103</f>
        <v>0</v>
      </c>
    </row>
    <row r="104" spans="1:11" hidden="1" x14ac:dyDescent="0.35">
      <c r="A104" s="103"/>
      <c r="B104" s="40" t="s">
        <v>3</v>
      </c>
      <c r="C104" s="41" t="s">
        <v>280</v>
      </c>
      <c r="D104" s="227"/>
      <c r="E104" s="170"/>
      <c r="F104" s="153" t="str">
        <f t="shared" si="10"/>
        <v/>
      </c>
      <c r="G104" s="256"/>
      <c r="H104" s="166">
        <f t="shared" si="5"/>
        <v>0</v>
      </c>
      <c r="I104" s="41" t="s">
        <v>20</v>
      </c>
      <c r="J104" s="42">
        <v>59.95</v>
      </c>
      <c r="K104" s="40">
        <f>G104*J104</f>
        <v>0</v>
      </c>
    </row>
    <row r="105" spans="1:11" ht="15.5" hidden="1" x14ac:dyDescent="0.35">
      <c r="A105" s="111"/>
      <c r="B105" s="126" t="s">
        <v>281</v>
      </c>
      <c r="C105" s="127"/>
      <c r="D105" s="226"/>
      <c r="E105" s="170"/>
      <c r="F105" s="153" t="str">
        <f t="shared" si="10"/>
        <v/>
      </c>
      <c r="G105" s="259"/>
      <c r="H105" s="166">
        <f t="shared" si="5"/>
        <v>0</v>
      </c>
      <c r="I105" s="127"/>
      <c r="J105" s="127"/>
      <c r="K105" s="272"/>
    </row>
    <row r="106" spans="1:11" hidden="1" x14ac:dyDescent="0.35">
      <c r="A106" s="103"/>
      <c r="B106" s="12" t="s">
        <v>3</v>
      </c>
      <c r="C106" s="10" t="s">
        <v>282</v>
      </c>
      <c r="D106" s="152"/>
      <c r="E106" s="170"/>
      <c r="F106" s="153" t="str">
        <f t="shared" si="10"/>
        <v/>
      </c>
      <c r="G106" s="256"/>
      <c r="H106" s="166">
        <f t="shared" si="5"/>
        <v>0</v>
      </c>
      <c r="I106" s="10" t="s">
        <v>20</v>
      </c>
      <c r="J106" s="11">
        <v>54.95</v>
      </c>
      <c r="K106" s="12">
        <f>G106*J106</f>
        <v>0</v>
      </c>
    </row>
    <row r="107" spans="1:11" hidden="1" x14ac:dyDescent="0.35">
      <c r="A107" s="103"/>
      <c r="B107" s="12" t="s">
        <v>3</v>
      </c>
      <c r="C107" s="10" t="s">
        <v>283</v>
      </c>
      <c r="D107" s="152"/>
      <c r="E107" s="170"/>
      <c r="F107" s="153" t="str">
        <f t="shared" si="10"/>
        <v/>
      </c>
      <c r="G107" s="256"/>
      <c r="H107" s="166">
        <f t="shared" si="5"/>
        <v>0</v>
      </c>
      <c r="I107" s="10" t="s">
        <v>20</v>
      </c>
      <c r="J107" s="11">
        <v>49.95</v>
      </c>
      <c r="K107" s="12">
        <f>G107*J107</f>
        <v>0</v>
      </c>
    </row>
    <row r="108" spans="1:11" ht="15.5" hidden="1" x14ac:dyDescent="0.35">
      <c r="A108" s="111"/>
      <c r="B108" s="126" t="s">
        <v>284</v>
      </c>
      <c r="C108" s="127"/>
      <c r="D108" s="226"/>
      <c r="E108" s="250"/>
      <c r="F108" s="165" t="str">
        <f t="shared" si="10"/>
        <v/>
      </c>
      <c r="G108" s="259"/>
      <c r="H108" s="247"/>
      <c r="I108" s="127"/>
      <c r="J108" s="127"/>
      <c r="K108" s="272"/>
    </row>
    <row r="109" spans="1:11" hidden="1" x14ac:dyDescent="0.35">
      <c r="A109" s="103"/>
      <c r="B109" s="12" t="s">
        <v>3</v>
      </c>
      <c r="C109" s="10" t="s">
        <v>285</v>
      </c>
      <c r="D109" s="152"/>
      <c r="E109" s="170"/>
      <c r="F109" s="153" t="str">
        <f t="shared" si="10"/>
        <v/>
      </c>
      <c r="G109" s="256"/>
      <c r="H109" s="166">
        <f t="shared" si="5"/>
        <v>0</v>
      </c>
      <c r="I109" s="10" t="s">
        <v>20</v>
      </c>
      <c r="J109" s="11">
        <v>41.5</v>
      </c>
      <c r="K109" s="12">
        <f t="shared" ref="K109:K114" si="11">G109*J109</f>
        <v>0</v>
      </c>
    </row>
    <row r="110" spans="1:11" hidden="1" x14ac:dyDescent="0.35">
      <c r="A110" s="103"/>
      <c r="B110" s="12" t="s">
        <v>3</v>
      </c>
      <c r="C110" s="10" t="s">
        <v>286</v>
      </c>
      <c r="D110" s="152"/>
      <c r="E110" s="170"/>
      <c r="F110" s="153" t="str">
        <f t="shared" si="10"/>
        <v/>
      </c>
      <c r="G110" s="256"/>
      <c r="H110" s="166">
        <f t="shared" si="5"/>
        <v>0</v>
      </c>
      <c r="I110" s="10" t="s">
        <v>20</v>
      </c>
      <c r="J110" s="11">
        <v>36.200000000000003</v>
      </c>
      <c r="K110" s="12">
        <f t="shared" si="11"/>
        <v>0</v>
      </c>
    </row>
    <row r="111" spans="1:11" hidden="1" x14ac:dyDescent="0.35">
      <c r="A111" s="103"/>
      <c r="B111" s="12" t="s">
        <v>3</v>
      </c>
      <c r="C111" s="10" t="s">
        <v>287</v>
      </c>
      <c r="D111" s="152"/>
      <c r="E111" s="170"/>
      <c r="F111" s="153" t="str">
        <f t="shared" si="10"/>
        <v/>
      </c>
      <c r="G111" s="256"/>
      <c r="H111" s="166">
        <f t="shared" ref="H111:H174" si="12">IF(ISNUMBER(E111),E111,0)+IF(ISNUMBER(F111),F111,0)-IF(ISNUMBER(G111),G111,0)</f>
        <v>0</v>
      </c>
      <c r="I111" s="10" t="s">
        <v>20</v>
      </c>
      <c r="J111" s="11">
        <v>25.95</v>
      </c>
      <c r="K111" s="12">
        <f t="shared" si="11"/>
        <v>0</v>
      </c>
    </row>
    <row r="112" spans="1:11" hidden="1" x14ac:dyDescent="0.35">
      <c r="A112" s="103"/>
      <c r="B112" s="12" t="s">
        <v>3</v>
      </c>
      <c r="C112" s="10" t="s">
        <v>288</v>
      </c>
      <c r="D112" s="152"/>
      <c r="E112" s="170"/>
      <c r="F112" s="153" t="str">
        <f t="shared" si="10"/>
        <v/>
      </c>
      <c r="G112" s="256"/>
      <c r="H112" s="166">
        <f t="shared" si="12"/>
        <v>0</v>
      </c>
      <c r="I112" s="10" t="s">
        <v>20</v>
      </c>
      <c r="J112" s="11">
        <v>32.799999999999997</v>
      </c>
      <c r="K112" s="12">
        <f t="shared" si="11"/>
        <v>0</v>
      </c>
    </row>
    <row r="113" spans="1:11" hidden="1" x14ac:dyDescent="0.35">
      <c r="A113" s="103"/>
      <c r="B113" s="12" t="s">
        <v>3</v>
      </c>
      <c r="C113" s="10" t="s">
        <v>289</v>
      </c>
      <c r="D113" s="152"/>
      <c r="E113" s="170"/>
      <c r="F113" s="153" t="str">
        <f t="shared" si="10"/>
        <v/>
      </c>
      <c r="G113" s="256"/>
      <c r="H113" s="166">
        <f t="shared" si="12"/>
        <v>0</v>
      </c>
      <c r="I113" s="10" t="s">
        <v>20</v>
      </c>
      <c r="J113" s="11">
        <v>29.2</v>
      </c>
      <c r="K113" s="12">
        <f t="shared" si="11"/>
        <v>0</v>
      </c>
    </row>
    <row r="114" spans="1:11" hidden="1" x14ac:dyDescent="0.35">
      <c r="A114" s="103"/>
      <c r="B114" s="12" t="s">
        <v>3</v>
      </c>
      <c r="C114" s="10" t="s">
        <v>290</v>
      </c>
      <c r="D114" s="152"/>
      <c r="E114" s="170"/>
      <c r="F114" s="153" t="str">
        <f t="shared" si="10"/>
        <v/>
      </c>
      <c r="G114" s="256"/>
      <c r="H114" s="166">
        <f t="shared" si="12"/>
        <v>0</v>
      </c>
      <c r="I114" s="10" t="s">
        <v>20</v>
      </c>
      <c r="J114" s="11">
        <v>22.95</v>
      </c>
      <c r="K114" s="12">
        <f t="shared" si="11"/>
        <v>0</v>
      </c>
    </row>
    <row r="115" spans="1:11" ht="15.5" hidden="1" x14ac:dyDescent="0.35">
      <c r="A115" s="111"/>
      <c r="B115" s="126" t="s">
        <v>291</v>
      </c>
      <c r="C115" s="127"/>
      <c r="D115" s="226"/>
      <c r="E115" s="250"/>
      <c r="F115" s="165" t="str">
        <f t="shared" si="10"/>
        <v/>
      </c>
      <c r="G115" s="259"/>
      <c r="H115" s="247"/>
      <c r="I115" s="127"/>
      <c r="J115" s="127"/>
      <c r="K115" s="272"/>
    </row>
    <row r="116" spans="1:11" hidden="1" x14ac:dyDescent="0.35">
      <c r="A116" s="103"/>
      <c r="B116" s="12" t="s">
        <v>3</v>
      </c>
      <c r="C116" s="10" t="s">
        <v>292</v>
      </c>
      <c r="D116" s="152"/>
      <c r="E116" s="170"/>
      <c r="F116" s="153" t="str">
        <f t="shared" si="10"/>
        <v/>
      </c>
      <c r="G116" s="256"/>
      <c r="H116" s="166">
        <f t="shared" si="12"/>
        <v>0</v>
      </c>
      <c r="I116" s="10" t="s">
        <v>20</v>
      </c>
      <c r="J116" s="11">
        <v>17.95</v>
      </c>
      <c r="K116" s="12">
        <f t="shared" ref="K116:K121" si="13">G116*J116</f>
        <v>0</v>
      </c>
    </row>
    <row r="117" spans="1:11" hidden="1" x14ac:dyDescent="0.35">
      <c r="A117" s="103"/>
      <c r="B117" s="12" t="s">
        <v>3</v>
      </c>
      <c r="C117" s="10" t="s">
        <v>293</v>
      </c>
      <c r="D117" s="152"/>
      <c r="E117" s="170"/>
      <c r="F117" s="153" t="str">
        <f t="shared" si="10"/>
        <v/>
      </c>
      <c r="G117" s="256"/>
      <c r="H117" s="166">
        <f t="shared" si="12"/>
        <v>0</v>
      </c>
      <c r="I117" s="10" t="s">
        <v>20</v>
      </c>
      <c r="J117" s="11">
        <v>12.95</v>
      </c>
      <c r="K117" s="12">
        <f t="shared" si="13"/>
        <v>0</v>
      </c>
    </row>
    <row r="118" spans="1:11" hidden="1" x14ac:dyDescent="0.35">
      <c r="A118" s="103"/>
      <c r="B118" s="12" t="s">
        <v>3</v>
      </c>
      <c r="C118" s="10" t="s">
        <v>294</v>
      </c>
      <c r="D118" s="152"/>
      <c r="E118" s="170"/>
      <c r="F118" s="153" t="str">
        <f t="shared" si="10"/>
        <v/>
      </c>
      <c r="G118" s="256"/>
      <c r="H118" s="166">
        <f t="shared" si="12"/>
        <v>0</v>
      </c>
      <c r="I118" s="10" t="s">
        <v>20</v>
      </c>
      <c r="J118" s="11">
        <v>21.95</v>
      </c>
      <c r="K118" s="12">
        <f t="shared" si="13"/>
        <v>0</v>
      </c>
    </row>
    <row r="119" spans="1:11" hidden="1" x14ac:dyDescent="0.35">
      <c r="A119" s="103"/>
      <c r="B119" s="12" t="s">
        <v>3</v>
      </c>
      <c r="C119" s="10" t="s">
        <v>295</v>
      </c>
      <c r="D119" s="152"/>
      <c r="E119" s="170"/>
      <c r="F119" s="153" t="str">
        <f t="shared" si="10"/>
        <v/>
      </c>
      <c r="G119" s="256"/>
      <c r="H119" s="166">
        <f t="shared" si="12"/>
        <v>0</v>
      </c>
      <c r="I119" s="10" t="s">
        <v>20</v>
      </c>
      <c r="J119" s="11"/>
      <c r="K119" s="12">
        <f t="shared" si="13"/>
        <v>0</v>
      </c>
    </row>
    <row r="120" spans="1:11" hidden="1" x14ac:dyDescent="0.35">
      <c r="A120" s="103"/>
      <c r="B120" s="12" t="s">
        <v>3</v>
      </c>
      <c r="C120" s="10" t="s">
        <v>296</v>
      </c>
      <c r="D120" s="152"/>
      <c r="E120" s="170"/>
      <c r="F120" s="153" t="str">
        <f t="shared" si="10"/>
        <v/>
      </c>
      <c r="G120" s="256"/>
      <c r="H120" s="166">
        <f t="shared" si="12"/>
        <v>0</v>
      </c>
      <c r="I120" s="10" t="s">
        <v>20</v>
      </c>
      <c r="J120" s="11"/>
      <c r="K120" s="12">
        <f t="shared" si="13"/>
        <v>0</v>
      </c>
    </row>
    <row r="121" spans="1:11" hidden="1" x14ac:dyDescent="0.35">
      <c r="A121" s="103"/>
      <c r="B121" s="12" t="s">
        <v>3</v>
      </c>
      <c r="C121" s="10" t="s">
        <v>297</v>
      </c>
      <c r="D121" s="152"/>
      <c r="E121" s="170"/>
      <c r="F121" s="153" t="str">
        <f t="shared" si="10"/>
        <v/>
      </c>
      <c r="G121" s="256"/>
      <c r="H121" s="166">
        <f t="shared" si="12"/>
        <v>0</v>
      </c>
      <c r="I121" s="10" t="s">
        <v>20</v>
      </c>
      <c r="J121" s="11">
        <v>22.95</v>
      </c>
      <c r="K121" s="12">
        <f t="shared" si="13"/>
        <v>0</v>
      </c>
    </row>
    <row r="122" spans="1:11" ht="15.5" x14ac:dyDescent="0.35">
      <c r="A122" s="112" t="s">
        <v>298</v>
      </c>
      <c r="B122" s="116"/>
      <c r="C122" s="116"/>
      <c r="D122" s="228"/>
      <c r="E122" s="250"/>
      <c r="F122" s="165" t="str">
        <f t="shared" si="10"/>
        <v/>
      </c>
      <c r="G122" s="260"/>
      <c r="H122" s="247"/>
      <c r="I122" s="117"/>
      <c r="J122" s="106" t="s">
        <v>18</v>
      </c>
      <c r="K122" s="269">
        <f>SUM(K123:K175)</f>
        <v>783.1</v>
      </c>
    </row>
    <row r="123" spans="1:11" hidden="1" x14ac:dyDescent="0.35">
      <c r="A123" s="103"/>
      <c r="B123" s="20" t="s">
        <v>4</v>
      </c>
      <c r="C123" s="18" t="s">
        <v>62</v>
      </c>
      <c r="D123" s="229"/>
      <c r="E123" s="250"/>
      <c r="F123" s="153" t="str">
        <f t="shared" si="10"/>
        <v/>
      </c>
      <c r="G123" s="256"/>
      <c r="H123" s="166">
        <f t="shared" si="12"/>
        <v>0</v>
      </c>
      <c r="I123" s="18" t="s">
        <v>20</v>
      </c>
      <c r="J123" s="19">
        <v>7.35</v>
      </c>
      <c r="K123" s="20">
        <f>G123*J123</f>
        <v>0</v>
      </c>
    </row>
    <row r="124" spans="1:11" hidden="1" x14ac:dyDescent="0.35">
      <c r="A124" s="103"/>
      <c r="B124" s="20" t="s">
        <v>4</v>
      </c>
      <c r="C124" s="18" t="s">
        <v>60</v>
      </c>
      <c r="D124" s="229"/>
      <c r="E124" s="250"/>
      <c r="F124" s="153" t="str">
        <f t="shared" si="10"/>
        <v/>
      </c>
      <c r="G124" s="256"/>
      <c r="H124" s="166">
        <f t="shared" si="12"/>
        <v>0</v>
      </c>
      <c r="I124" s="18" t="s">
        <v>20</v>
      </c>
      <c r="J124" s="19">
        <v>10.65</v>
      </c>
      <c r="K124" s="20">
        <f>G124*J124</f>
        <v>0</v>
      </c>
    </row>
    <row r="125" spans="1:11" hidden="1" x14ac:dyDescent="0.35">
      <c r="A125" s="113" t="s">
        <v>40</v>
      </c>
      <c r="B125" s="124"/>
      <c r="C125" s="124"/>
      <c r="D125" s="230"/>
      <c r="E125" s="250"/>
      <c r="F125" s="153" t="str">
        <f t="shared" si="10"/>
        <v/>
      </c>
      <c r="G125" s="261"/>
      <c r="H125" s="166">
        <f t="shared" si="12"/>
        <v>0</v>
      </c>
      <c r="I125" s="124"/>
      <c r="J125" s="124"/>
      <c r="K125" s="273"/>
    </row>
    <row r="126" spans="1:11" hidden="1" x14ac:dyDescent="0.35">
      <c r="A126" s="103"/>
      <c r="B126" s="20" t="s">
        <v>4</v>
      </c>
      <c r="C126" s="18" t="s">
        <v>299</v>
      </c>
      <c r="D126" s="229"/>
      <c r="E126" s="250"/>
      <c r="F126" s="153" t="str">
        <f t="shared" si="10"/>
        <v/>
      </c>
      <c r="G126" s="256"/>
      <c r="H126" s="166">
        <f t="shared" si="12"/>
        <v>0</v>
      </c>
      <c r="I126" s="18" t="s">
        <v>20</v>
      </c>
      <c r="J126" s="19">
        <v>1.31</v>
      </c>
      <c r="K126" s="12">
        <f t="shared" ref="K126:K137" si="14">G126*J126</f>
        <v>0</v>
      </c>
    </row>
    <row r="127" spans="1:11" hidden="1" x14ac:dyDescent="0.35">
      <c r="A127" s="103"/>
      <c r="B127" s="12" t="s">
        <v>4</v>
      </c>
      <c r="C127" s="10" t="s">
        <v>300</v>
      </c>
      <c r="D127" s="152"/>
      <c r="E127" s="250"/>
      <c r="F127" s="153" t="str">
        <f t="shared" si="10"/>
        <v/>
      </c>
      <c r="G127" s="256"/>
      <c r="H127" s="166">
        <f t="shared" si="12"/>
        <v>0</v>
      </c>
      <c r="I127" s="10" t="s">
        <v>20</v>
      </c>
      <c r="J127" s="11">
        <v>1.31</v>
      </c>
      <c r="K127" s="12">
        <f t="shared" si="14"/>
        <v>0</v>
      </c>
    </row>
    <row r="128" spans="1:11" hidden="1" x14ac:dyDescent="0.35">
      <c r="A128" s="103"/>
      <c r="B128" s="20" t="s">
        <v>4</v>
      </c>
      <c r="C128" s="18" t="s">
        <v>301</v>
      </c>
      <c r="D128" s="229"/>
      <c r="E128" s="250"/>
      <c r="F128" s="153" t="str">
        <f t="shared" si="10"/>
        <v/>
      </c>
      <c r="G128" s="256"/>
      <c r="H128" s="166">
        <f t="shared" si="12"/>
        <v>0</v>
      </c>
      <c r="I128" s="18" t="s">
        <v>20</v>
      </c>
      <c r="J128" s="19">
        <v>1.4039999999999999</v>
      </c>
      <c r="K128" s="12">
        <f t="shared" si="14"/>
        <v>0</v>
      </c>
    </row>
    <row r="129" spans="1:11" hidden="1" x14ac:dyDescent="0.35">
      <c r="A129" s="103"/>
      <c r="B129" s="12" t="s">
        <v>4</v>
      </c>
      <c r="C129" s="10" t="s">
        <v>302</v>
      </c>
      <c r="D129" s="152"/>
      <c r="E129" s="250"/>
      <c r="F129" s="153" t="str">
        <f t="shared" si="10"/>
        <v/>
      </c>
      <c r="G129" s="256"/>
      <c r="H129" s="166">
        <f t="shared" si="12"/>
        <v>0</v>
      </c>
      <c r="I129" s="10" t="s">
        <v>20</v>
      </c>
      <c r="J129" s="11">
        <v>1.4039999999999999</v>
      </c>
      <c r="K129" s="12">
        <f t="shared" si="14"/>
        <v>0</v>
      </c>
    </row>
    <row r="130" spans="1:11" hidden="1" x14ac:dyDescent="0.35">
      <c r="A130" s="103"/>
      <c r="B130" s="12" t="s">
        <v>4</v>
      </c>
      <c r="C130" s="10" t="s">
        <v>303</v>
      </c>
      <c r="D130" s="152"/>
      <c r="E130" s="250"/>
      <c r="F130" s="153" t="str">
        <f t="shared" si="10"/>
        <v/>
      </c>
      <c r="G130" s="256"/>
      <c r="H130" s="166">
        <f t="shared" si="12"/>
        <v>0</v>
      </c>
      <c r="I130" s="10" t="s">
        <v>20</v>
      </c>
      <c r="J130" s="11">
        <v>1.53</v>
      </c>
      <c r="K130" s="12">
        <f t="shared" si="14"/>
        <v>0</v>
      </c>
    </row>
    <row r="131" spans="1:11" hidden="1" x14ac:dyDescent="0.35">
      <c r="A131" s="103"/>
      <c r="B131" s="12" t="s">
        <v>4</v>
      </c>
      <c r="C131" s="10" t="s">
        <v>304</v>
      </c>
      <c r="D131" s="152"/>
      <c r="E131" s="250"/>
      <c r="F131" s="153" t="str">
        <f t="shared" si="10"/>
        <v/>
      </c>
      <c r="G131" s="256"/>
      <c r="H131" s="166">
        <f t="shared" si="12"/>
        <v>0</v>
      </c>
      <c r="I131" s="10" t="s">
        <v>20</v>
      </c>
      <c r="J131" s="11">
        <v>1.65</v>
      </c>
      <c r="K131" s="12">
        <f t="shared" si="14"/>
        <v>0</v>
      </c>
    </row>
    <row r="132" spans="1:11" hidden="1" x14ac:dyDescent="0.35">
      <c r="A132" s="103"/>
      <c r="B132" s="12" t="s">
        <v>4</v>
      </c>
      <c r="C132" s="10" t="s">
        <v>83</v>
      </c>
      <c r="D132" s="152"/>
      <c r="E132" s="250"/>
      <c r="F132" s="153" t="str">
        <f t="shared" si="10"/>
        <v/>
      </c>
      <c r="G132" s="256"/>
      <c r="H132" s="166">
        <f t="shared" si="12"/>
        <v>0</v>
      </c>
      <c r="I132" s="10" t="s">
        <v>20</v>
      </c>
      <c r="J132" s="11">
        <v>1.04</v>
      </c>
      <c r="K132" s="12">
        <f t="shared" si="14"/>
        <v>0</v>
      </c>
    </row>
    <row r="133" spans="1:11" hidden="1" x14ac:dyDescent="0.35">
      <c r="A133" s="103"/>
      <c r="B133" s="12" t="s">
        <v>4</v>
      </c>
      <c r="C133" s="10" t="s">
        <v>305</v>
      </c>
      <c r="D133" s="152"/>
      <c r="E133" s="250"/>
      <c r="F133" s="153" t="str">
        <f t="shared" si="10"/>
        <v/>
      </c>
      <c r="G133" s="256"/>
      <c r="H133" s="166">
        <f t="shared" si="12"/>
        <v>0</v>
      </c>
      <c r="I133" s="10" t="s">
        <v>20</v>
      </c>
      <c r="J133" s="11">
        <v>1.04</v>
      </c>
      <c r="K133" s="12">
        <f t="shared" si="14"/>
        <v>0</v>
      </c>
    </row>
    <row r="134" spans="1:11" hidden="1" x14ac:dyDescent="0.35">
      <c r="A134" s="103"/>
      <c r="B134" s="12" t="s">
        <v>4</v>
      </c>
      <c r="C134" s="10" t="s">
        <v>306</v>
      </c>
      <c r="D134" s="152"/>
      <c r="E134" s="250"/>
      <c r="F134" s="153" t="str">
        <f t="shared" si="10"/>
        <v/>
      </c>
      <c r="G134" s="256"/>
      <c r="H134" s="166">
        <f t="shared" si="12"/>
        <v>0</v>
      </c>
      <c r="I134" s="10" t="s">
        <v>20</v>
      </c>
      <c r="J134" s="11">
        <v>1.06</v>
      </c>
      <c r="K134" s="12">
        <f t="shared" si="14"/>
        <v>0</v>
      </c>
    </row>
    <row r="135" spans="1:11" hidden="1" x14ac:dyDescent="0.35">
      <c r="A135" s="103"/>
      <c r="B135" s="12" t="s">
        <v>4</v>
      </c>
      <c r="C135" s="10" t="s">
        <v>307</v>
      </c>
      <c r="D135" s="152"/>
      <c r="E135" s="250"/>
      <c r="F135" s="153" t="str">
        <f t="shared" si="10"/>
        <v/>
      </c>
      <c r="G135" s="256"/>
      <c r="H135" s="166">
        <f t="shared" si="12"/>
        <v>0</v>
      </c>
      <c r="I135" s="10" t="s">
        <v>20</v>
      </c>
      <c r="J135" s="11">
        <v>1.06</v>
      </c>
      <c r="K135" s="12">
        <f t="shared" si="14"/>
        <v>0</v>
      </c>
    </row>
    <row r="136" spans="1:11" hidden="1" x14ac:dyDescent="0.35">
      <c r="A136" s="103"/>
      <c r="B136" s="12" t="s">
        <v>4</v>
      </c>
      <c r="C136" s="10" t="s">
        <v>308</v>
      </c>
      <c r="D136" s="152"/>
      <c r="E136" s="250"/>
      <c r="F136" s="153" t="str">
        <f t="shared" si="10"/>
        <v/>
      </c>
      <c r="G136" s="256"/>
      <c r="H136" s="166">
        <f t="shared" si="12"/>
        <v>0</v>
      </c>
      <c r="I136" s="10" t="s">
        <v>20</v>
      </c>
      <c r="J136" s="11">
        <v>1.2869999999999999</v>
      </c>
      <c r="K136" s="12">
        <f t="shared" si="14"/>
        <v>0</v>
      </c>
    </row>
    <row r="137" spans="1:11" hidden="1" x14ac:dyDescent="0.35">
      <c r="A137" s="103"/>
      <c r="B137" s="12" t="s">
        <v>4</v>
      </c>
      <c r="C137" s="10" t="s">
        <v>309</v>
      </c>
      <c r="D137" s="152"/>
      <c r="E137" s="250"/>
      <c r="F137" s="153" t="str">
        <f t="shared" si="10"/>
        <v/>
      </c>
      <c r="G137" s="256"/>
      <c r="H137" s="166">
        <f t="shared" si="12"/>
        <v>0</v>
      </c>
      <c r="I137" s="10" t="s">
        <v>20</v>
      </c>
      <c r="J137" s="11">
        <v>1.59</v>
      </c>
      <c r="K137" s="12">
        <f t="shared" si="14"/>
        <v>0</v>
      </c>
    </row>
    <row r="138" spans="1:11" hidden="1" x14ac:dyDescent="0.35">
      <c r="A138" s="113" t="s">
        <v>310</v>
      </c>
      <c r="B138" s="124"/>
      <c r="C138" s="124"/>
      <c r="D138" s="230"/>
      <c r="E138" s="250"/>
      <c r="F138" s="153" t="str">
        <f t="shared" si="10"/>
        <v/>
      </c>
      <c r="G138" s="261"/>
      <c r="H138" s="166">
        <f t="shared" si="12"/>
        <v>0</v>
      </c>
      <c r="I138" s="124"/>
      <c r="J138" s="124"/>
      <c r="K138" s="273"/>
    </row>
    <row r="139" spans="1:11" hidden="1" x14ac:dyDescent="0.35">
      <c r="A139" s="103"/>
      <c r="B139" s="12" t="s">
        <v>4</v>
      </c>
      <c r="C139" s="10" t="s">
        <v>311</v>
      </c>
      <c r="D139" s="152"/>
      <c r="E139" s="250"/>
      <c r="F139" s="153" t="str">
        <f t="shared" si="10"/>
        <v/>
      </c>
      <c r="G139" s="256"/>
      <c r="H139" s="166">
        <f t="shared" si="12"/>
        <v>0</v>
      </c>
      <c r="I139" s="10" t="s">
        <v>20</v>
      </c>
      <c r="J139" s="11">
        <v>1.1000000000000001</v>
      </c>
      <c r="K139" s="12">
        <f t="shared" ref="K139:K149" si="15">G139*J139</f>
        <v>0</v>
      </c>
    </row>
    <row r="140" spans="1:11" hidden="1" x14ac:dyDescent="0.35">
      <c r="A140" s="103"/>
      <c r="B140" s="12" t="s">
        <v>4</v>
      </c>
      <c r="C140" s="10" t="s">
        <v>312</v>
      </c>
      <c r="D140" s="152"/>
      <c r="E140" s="250"/>
      <c r="F140" s="153" t="str">
        <f t="shared" si="10"/>
        <v/>
      </c>
      <c r="G140" s="256"/>
      <c r="H140" s="166">
        <f t="shared" si="12"/>
        <v>0</v>
      </c>
      <c r="I140" s="10" t="s">
        <v>20</v>
      </c>
      <c r="J140" s="11">
        <v>1.1000000000000001</v>
      </c>
      <c r="K140" s="12">
        <f t="shared" si="15"/>
        <v>0</v>
      </c>
    </row>
    <row r="141" spans="1:11" hidden="1" x14ac:dyDescent="0.35">
      <c r="A141" s="103"/>
      <c r="B141" s="12" t="s">
        <v>4</v>
      </c>
      <c r="C141" s="10" t="s">
        <v>313</v>
      </c>
      <c r="D141" s="152"/>
      <c r="E141" s="250"/>
      <c r="F141" s="153" t="str">
        <f t="shared" si="10"/>
        <v/>
      </c>
      <c r="G141" s="256"/>
      <c r="H141" s="166">
        <f t="shared" si="12"/>
        <v>0</v>
      </c>
      <c r="I141" s="10" t="s">
        <v>20</v>
      </c>
      <c r="J141" s="11">
        <v>1.3</v>
      </c>
      <c r="K141" s="12">
        <f t="shared" si="15"/>
        <v>0</v>
      </c>
    </row>
    <row r="142" spans="1:11" hidden="1" x14ac:dyDescent="0.35">
      <c r="A142" s="103"/>
      <c r="B142" s="12" t="s">
        <v>4</v>
      </c>
      <c r="C142" s="10" t="s">
        <v>314</v>
      </c>
      <c r="D142" s="152"/>
      <c r="E142" s="250"/>
      <c r="F142" s="153" t="str">
        <f t="shared" si="10"/>
        <v/>
      </c>
      <c r="G142" s="256"/>
      <c r="H142" s="166">
        <f t="shared" si="12"/>
        <v>0</v>
      </c>
      <c r="I142" s="10" t="s">
        <v>20</v>
      </c>
      <c r="J142" s="11">
        <v>1.36</v>
      </c>
      <c r="K142" s="12">
        <f t="shared" si="15"/>
        <v>0</v>
      </c>
    </row>
    <row r="143" spans="1:11" hidden="1" x14ac:dyDescent="0.35">
      <c r="A143" s="103"/>
      <c r="B143" s="12" t="s">
        <v>4</v>
      </c>
      <c r="C143" s="10" t="s">
        <v>315</v>
      </c>
      <c r="D143" s="152"/>
      <c r="E143" s="250"/>
      <c r="F143" s="153" t="str">
        <f t="shared" si="10"/>
        <v/>
      </c>
      <c r="G143" s="256"/>
      <c r="H143" s="166">
        <f t="shared" si="12"/>
        <v>0</v>
      </c>
      <c r="I143" s="10" t="s">
        <v>20</v>
      </c>
      <c r="J143" s="11">
        <v>1.3</v>
      </c>
      <c r="K143" s="12">
        <f t="shared" si="15"/>
        <v>0</v>
      </c>
    </row>
    <row r="144" spans="1:11" hidden="1" x14ac:dyDescent="0.35">
      <c r="A144" s="103"/>
      <c r="B144" s="12" t="s">
        <v>4</v>
      </c>
      <c r="C144" s="10" t="s">
        <v>316</v>
      </c>
      <c r="D144" s="152"/>
      <c r="E144" s="250"/>
      <c r="F144" s="153" t="str">
        <f t="shared" si="10"/>
        <v/>
      </c>
      <c r="G144" s="256"/>
      <c r="H144" s="166">
        <f t="shared" si="12"/>
        <v>0</v>
      </c>
      <c r="I144" s="10" t="s">
        <v>20</v>
      </c>
      <c r="J144" s="11">
        <v>1.35</v>
      </c>
      <c r="K144" s="12">
        <f t="shared" si="15"/>
        <v>0</v>
      </c>
    </row>
    <row r="145" spans="1:11" hidden="1" x14ac:dyDescent="0.35">
      <c r="A145" s="103"/>
      <c r="B145" s="12" t="s">
        <v>4</v>
      </c>
      <c r="C145" s="10" t="s">
        <v>317</v>
      </c>
      <c r="D145" s="152"/>
      <c r="E145" s="250"/>
      <c r="F145" s="153" t="str">
        <f t="shared" si="10"/>
        <v/>
      </c>
      <c r="G145" s="256"/>
      <c r="H145" s="166">
        <f t="shared" si="12"/>
        <v>0</v>
      </c>
      <c r="I145" s="10" t="s">
        <v>20</v>
      </c>
      <c r="J145" s="11">
        <v>1.28</v>
      </c>
      <c r="K145" s="12">
        <f t="shared" si="15"/>
        <v>0</v>
      </c>
    </row>
    <row r="146" spans="1:11" hidden="1" x14ac:dyDescent="0.35">
      <c r="A146" s="103"/>
      <c r="B146" s="12" t="s">
        <v>4</v>
      </c>
      <c r="C146" s="10" t="s">
        <v>318</v>
      </c>
      <c r="D146" s="152"/>
      <c r="E146" s="250"/>
      <c r="F146" s="153" t="str">
        <f t="shared" si="10"/>
        <v/>
      </c>
      <c r="G146" s="256"/>
      <c r="H146" s="166">
        <f t="shared" si="12"/>
        <v>0</v>
      </c>
      <c r="I146" s="10" t="s">
        <v>20</v>
      </c>
      <c r="J146" s="11">
        <v>1.1000000000000001</v>
      </c>
      <c r="K146" s="12">
        <f t="shared" si="15"/>
        <v>0</v>
      </c>
    </row>
    <row r="147" spans="1:11" hidden="1" x14ac:dyDescent="0.35">
      <c r="A147" s="103"/>
      <c r="B147" s="12" t="s">
        <v>4</v>
      </c>
      <c r="C147" s="10" t="s">
        <v>319</v>
      </c>
      <c r="D147" s="152"/>
      <c r="E147" s="250"/>
      <c r="F147" s="153" t="str">
        <f t="shared" si="10"/>
        <v/>
      </c>
      <c r="G147" s="256"/>
      <c r="H147" s="166">
        <f t="shared" si="12"/>
        <v>0</v>
      </c>
      <c r="I147" s="10" t="s">
        <v>20</v>
      </c>
      <c r="J147" s="11">
        <v>1.1000000000000001</v>
      </c>
      <c r="K147" s="12">
        <f t="shared" si="15"/>
        <v>0</v>
      </c>
    </row>
    <row r="148" spans="1:11" hidden="1" x14ac:dyDescent="0.35">
      <c r="A148" s="103"/>
      <c r="B148" s="12" t="s">
        <v>4</v>
      </c>
      <c r="C148" s="10" t="s">
        <v>320</v>
      </c>
      <c r="D148" s="152"/>
      <c r="E148" s="250"/>
      <c r="F148" s="153" t="str">
        <f t="shared" si="10"/>
        <v/>
      </c>
      <c r="G148" s="256"/>
      <c r="H148" s="166">
        <f t="shared" si="12"/>
        <v>0</v>
      </c>
      <c r="I148" s="10" t="s">
        <v>20</v>
      </c>
      <c r="J148" s="11">
        <v>1.1000000000000001</v>
      </c>
      <c r="K148" s="12">
        <f t="shared" si="15"/>
        <v>0</v>
      </c>
    </row>
    <row r="149" spans="1:11" hidden="1" x14ac:dyDescent="0.35">
      <c r="A149" s="103"/>
      <c r="B149" s="12" t="s">
        <v>4</v>
      </c>
      <c r="C149" s="10" t="s">
        <v>321</v>
      </c>
      <c r="D149" s="152"/>
      <c r="E149" s="250"/>
      <c r="F149" s="153" t="str">
        <f t="shared" si="10"/>
        <v/>
      </c>
      <c r="G149" s="256"/>
      <c r="H149" s="166">
        <f t="shared" si="12"/>
        <v>0</v>
      </c>
      <c r="I149" s="10" t="s">
        <v>20</v>
      </c>
      <c r="J149" s="11">
        <v>1.1000000000000001</v>
      </c>
      <c r="K149" s="12">
        <f t="shared" si="15"/>
        <v>0</v>
      </c>
    </row>
    <row r="150" spans="1:11" x14ac:dyDescent="0.35">
      <c r="A150" s="113" t="s">
        <v>41</v>
      </c>
      <c r="B150" s="124"/>
      <c r="C150" s="124"/>
      <c r="D150" s="230"/>
      <c r="E150" s="250"/>
      <c r="F150" s="165" t="str">
        <f t="shared" si="10"/>
        <v/>
      </c>
      <c r="G150" s="261"/>
      <c r="H150" s="247"/>
      <c r="I150" s="124"/>
      <c r="J150" s="124"/>
      <c r="K150" s="273"/>
    </row>
    <row r="151" spans="1:11" x14ac:dyDescent="0.35">
      <c r="A151" s="103"/>
      <c r="B151" s="12" t="s">
        <v>4</v>
      </c>
      <c r="C151" s="10" t="s">
        <v>24</v>
      </c>
      <c r="D151" s="152">
        <v>30</v>
      </c>
      <c r="E151" s="170">
        <v>27</v>
      </c>
      <c r="F151" s="153">
        <f t="shared" si="10"/>
        <v>3</v>
      </c>
      <c r="G151" s="256"/>
      <c r="H151" s="166">
        <f t="shared" si="12"/>
        <v>30</v>
      </c>
      <c r="I151" s="10" t="s">
        <v>20</v>
      </c>
      <c r="J151" s="11">
        <v>3.04</v>
      </c>
      <c r="K151" s="12">
        <f>H151*J151</f>
        <v>91.2</v>
      </c>
    </row>
    <row r="152" spans="1:11" x14ac:dyDescent="0.35">
      <c r="A152" s="103"/>
      <c r="B152" s="12" t="s">
        <v>4</v>
      </c>
      <c r="C152" s="10" t="s">
        <v>80</v>
      </c>
      <c r="D152" s="152">
        <v>60</v>
      </c>
      <c r="E152" s="170">
        <v>36</v>
      </c>
      <c r="F152" s="153">
        <f t="shared" si="10"/>
        <v>24</v>
      </c>
      <c r="G152" s="256"/>
      <c r="H152" s="166">
        <f t="shared" si="12"/>
        <v>60</v>
      </c>
      <c r="I152" s="10" t="s">
        <v>20</v>
      </c>
      <c r="J152" s="11">
        <v>2.31</v>
      </c>
      <c r="K152" s="12">
        <f t="shared" ref="K152:K168" si="16">H152*J152</f>
        <v>138.6</v>
      </c>
    </row>
    <row r="153" spans="1:11" x14ac:dyDescent="0.35">
      <c r="A153" s="103"/>
      <c r="B153" s="12" t="s">
        <v>4</v>
      </c>
      <c r="C153" s="10" t="s">
        <v>84</v>
      </c>
      <c r="D153" s="152">
        <v>30</v>
      </c>
      <c r="E153" s="170">
        <v>26</v>
      </c>
      <c r="F153" s="153">
        <f t="shared" ref="F153:F219" si="17">IF(E153="","",IF(D153-E153&gt;0,D153-E153,""))</f>
        <v>4</v>
      </c>
      <c r="G153" s="256"/>
      <c r="H153" s="166">
        <f t="shared" si="12"/>
        <v>30</v>
      </c>
      <c r="I153" s="10" t="s">
        <v>20</v>
      </c>
      <c r="J153" s="11">
        <v>2.31</v>
      </c>
      <c r="K153" s="12">
        <f t="shared" si="16"/>
        <v>69.3</v>
      </c>
    </row>
    <row r="154" spans="1:11" hidden="1" x14ac:dyDescent="0.35">
      <c r="A154" s="103"/>
      <c r="B154" s="12" t="s">
        <v>4</v>
      </c>
      <c r="C154" s="10" t="s">
        <v>394</v>
      </c>
      <c r="D154" s="152"/>
      <c r="E154" s="170"/>
      <c r="F154" s="153" t="str">
        <f t="shared" si="17"/>
        <v/>
      </c>
      <c r="G154" s="256"/>
      <c r="H154" s="166">
        <f t="shared" si="12"/>
        <v>0</v>
      </c>
      <c r="I154" s="10" t="s">
        <v>20</v>
      </c>
      <c r="J154" s="11">
        <v>2.54</v>
      </c>
      <c r="K154" s="12">
        <f t="shared" si="16"/>
        <v>0</v>
      </c>
    </row>
    <row r="155" spans="1:11" hidden="1" x14ac:dyDescent="0.35">
      <c r="A155" s="103"/>
      <c r="B155" s="12" t="s">
        <v>4</v>
      </c>
      <c r="C155" s="10" t="s">
        <v>394</v>
      </c>
      <c r="D155" s="152"/>
      <c r="E155" s="170"/>
      <c r="F155" s="153" t="str">
        <f t="shared" si="17"/>
        <v/>
      </c>
      <c r="G155" s="256"/>
      <c r="H155" s="166">
        <f t="shared" si="12"/>
        <v>0</v>
      </c>
      <c r="I155" s="10" t="s">
        <v>20</v>
      </c>
      <c r="J155" s="11">
        <v>2.54</v>
      </c>
      <c r="K155" s="12">
        <f t="shared" si="16"/>
        <v>0</v>
      </c>
    </row>
    <row r="156" spans="1:11" x14ac:dyDescent="0.35">
      <c r="A156" s="103"/>
      <c r="B156" s="12" t="s">
        <v>4</v>
      </c>
      <c r="C156" s="10" t="s">
        <v>25</v>
      </c>
      <c r="D156" s="152">
        <v>30</v>
      </c>
      <c r="E156" s="170">
        <v>23</v>
      </c>
      <c r="F156" s="153">
        <f>IF(E156="","",IF(D156-E156&gt;0,D156-E156,""))</f>
        <v>7</v>
      </c>
      <c r="G156" s="256">
        <v>6</v>
      </c>
      <c r="H156" s="166">
        <f t="shared" si="12"/>
        <v>24</v>
      </c>
      <c r="I156" s="10" t="s">
        <v>20</v>
      </c>
      <c r="J156" s="11">
        <v>1.79</v>
      </c>
      <c r="K156" s="12">
        <f t="shared" si="16"/>
        <v>42.96</v>
      </c>
    </row>
    <row r="157" spans="1:11" hidden="1" x14ac:dyDescent="0.35">
      <c r="A157" s="103"/>
      <c r="B157" s="12" t="s">
        <v>4</v>
      </c>
      <c r="C157" s="10" t="s">
        <v>322</v>
      </c>
      <c r="D157" s="152"/>
      <c r="E157" s="170"/>
      <c r="F157" s="153" t="str">
        <f t="shared" si="17"/>
        <v/>
      </c>
      <c r="G157" s="256"/>
      <c r="H157" s="166">
        <f t="shared" si="12"/>
        <v>0</v>
      </c>
      <c r="I157" s="10" t="s">
        <v>20</v>
      </c>
      <c r="J157" s="11">
        <v>2.46</v>
      </c>
      <c r="K157" s="12">
        <f t="shared" si="16"/>
        <v>0</v>
      </c>
    </row>
    <row r="158" spans="1:11" x14ac:dyDescent="0.35">
      <c r="A158" s="103"/>
      <c r="B158" s="12" t="s">
        <v>4</v>
      </c>
      <c r="C158" s="10" t="s">
        <v>393</v>
      </c>
      <c r="D158" s="152">
        <v>60</v>
      </c>
      <c r="E158" s="170">
        <v>47</v>
      </c>
      <c r="F158" s="153">
        <f t="shared" si="17"/>
        <v>13</v>
      </c>
      <c r="G158" s="256">
        <v>13</v>
      </c>
      <c r="H158" s="166">
        <f t="shared" si="12"/>
        <v>47</v>
      </c>
      <c r="I158" s="10" t="s">
        <v>20</v>
      </c>
      <c r="J158" s="11">
        <v>2.46</v>
      </c>
      <c r="K158" s="12">
        <f t="shared" si="16"/>
        <v>115.62</v>
      </c>
    </row>
    <row r="159" spans="1:11" hidden="1" x14ac:dyDescent="0.35">
      <c r="A159" s="103"/>
      <c r="B159" s="12" t="s">
        <v>4</v>
      </c>
      <c r="C159" s="10" t="s">
        <v>43</v>
      </c>
      <c r="D159" s="152"/>
      <c r="E159" s="170"/>
      <c r="F159" s="153" t="str">
        <f t="shared" si="17"/>
        <v/>
      </c>
      <c r="G159" s="256"/>
      <c r="H159" s="166">
        <f t="shared" si="12"/>
        <v>0</v>
      </c>
      <c r="I159" s="10" t="s">
        <v>20</v>
      </c>
      <c r="J159" s="11">
        <v>2.5499999999999998</v>
      </c>
      <c r="K159" s="12">
        <f t="shared" si="16"/>
        <v>0</v>
      </c>
    </row>
    <row r="160" spans="1:11" x14ac:dyDescent="0.35">
      <c r="A160" s="103"/>
      <c r="B160" s="12" t="s">
        <v>4</v>
      </c>
      <c r="C160" s="10" t="s">
        <v>81</v>
      </c>
      <c r="D160" s="152">
        <v>60</v>
      </c>
      <c r="E160" s="170">
        <v>19</v>
      </c>
      <c r="F160" s="153">
        <f t="shared" si="17"/>
        <v>41</v>
      </c>
      <c r="G160" s="256"/>
      <c r="H160" s="166">
        <f t="shared" si="12"/>
        <v>60</v>
      </c>
      <c r="I160" s="10" t="s">
        <v>20</v>
      </c>
      <c r="J160" s="11">
        <v>1.51</v>
      </c>
      <c r="K160" s="12">
        <f t="shared" si="16"/>
        <v>90.6</v>
      </c>
    </row>
    <row r="161" spans="1:11" x14ac:dyDescent="0.35">
      <c r="A161" s="103"/>
      <c r="B161" s="12" t="s">
        <v>4</v>
      </c>
      <c r="C161" s="10" t="s">
        <v>82</v>
      </c>
      <c r="D161" s="152">
        <v>72</v>
      </c>
      <c r="E161" s="170">
        <v>34</v>
      </c>
      <c r="F161" s="153">
        <f t="shared" si="17"/>
        <v>38</v>
      </c>
      <c r="G161" s="256"/>
      <c r="H161" s="166">
        <f t="shared" si="12"/>
        <v>72</v>
      </c>
      <c r="I161" s="10" t="s">
        <v>20</v>
      </c>
      <c r="J161" s="11">
        <v>1.51</v>
      </c>
      <c r="K161" s="12">
        <f t="shared" si="16"/>
        <v>108.72</v>
      </c>
    </row>
    <row r="162" spans="1:11" hidden="1" x14ac:dyDescent="0.35">
      <c r="A162" s="103"/>
      <c r="B162" s="12" t="s">
        <v>4</v>
      </c>
      <c r="C162" s="10" t="s">
        <v>323</v>
      </c>
      <c r="D162" s="152"/>
      <c r="E162" s="170"/>
      <c r="F162" s="153" t="str">
        <f t="shared" si="17"/>
        <v/>
      </c>
      <c r="G162" s="256"/>
      <c r="H162" s="166">
        <f t="shared" si="12"/>
        <v>0</v>
      </c>
      <c r="I162" s="10" t="s">
        <v>20</v>
      </c>
      <c r="J162" s="11">
        <v>1.54</v>
      </c>
      <c r="K162" s="12">
        <f t="shared" si="16"/>
        <v>0</v>
      </c>
    </row>
    <row r="163" spans="1:11" hidden="1" x14ac:dyDescent="0.35">
      <c r="A163" s="103"/>
      <c r="B163" s="12" t="s">
        <v>4</v>
      </c>
      <c r="C163" s="10" t="s">
        <v>324</v>
      </c>
      <c r="D163" s="152"/>
      <c r="E163" s="170"/>
      <c r="F163" s="153" t="str">
        <f t="shared" si="17"/>
        <v/>
      </c>
      <c r="G163" s="256"/>
      <c r="H163" s="166">
        <f t="shared" si="12"/>
        <v>0</v>
      </c>
      <c r="I163" s="10" t="s">
        <v>20</v>
      </c>
      <c r="J163" s="11">
        <v>1.6</v>
      </c>
      <c r="K163" s="12">
        <f t="shared" si="16"/>
        <v>0</v>
      </c>
    </row>
    <row r="164" spans="1:11" hidden="1" x14ac:dyDescent="0.35">
      <c r="A164" s="103"/>
      <c r="B164" s="12" t="s">
        <v>4</v>
      </c>
      <c r="C164" s="78" t="s">
        <v>325</v>
      </c>
      <c r="D164" s="224"/>
      <c r="E164" s="170"/>
      <c r="F164" s="153" t="str">
        <f t="shared" si="17"/>
        <v/>
      </c>
      <c r="G164" s="256"/>
      <c r="H164" s="166">
        <f t="shared" si="12"/>
        <v>0</v>
      </c>
      <c r="I164" s="10" t="s">
        <v>20</v>
      </c>
      <c r="J164" s="79">
        <v>49.95</v>
      </c>
      <c r="K164" s="12">
        <f t="shared" si="16"/>
        <v>0</v>
      </c>
    </row>
    <row r="165" spans="1:11" x14ac:dyDescent="0.35">
      <c r="A165" s="113" t="s">
        <v>44</v>
      </c>
      <c r="B165" s="124"/>
      <c r="C165" s="124"/>
      <c r="D165" s="230"/>
      <c r="E165" s="250"/>
      <c r="F165" s="165" t="str">
        <f t="shared" si="17"/>
        <v/>
      </c>
      <c r="G165" s="261"/>
      <c r="H165" s="247"/>
      <c r="I165" s="124"/>
      <c r="J165" s="124"/>
      <c r="K165" s="270"/>
    </row>
    <row r="166" spans="1:11" x14ac:dyDescent="0.35">
      <c r="A166" s="103"/>
      <c r="B166" s="12" t="s">
        <v>4</v>
      </c>
      <c r="C166" s="10" t="s">
        <v>48</v>
      </c>
      <c r="D166" s="152">
        <v>24</v>
      </c>
      <c r="E166" s="170">
        <v>23</v>
      </c>
      <c r="F166" s="153">
        <f t="shared" si="17"/>
        <v>1</v>
      </c>
      <c r="G166" s="256">
        <v>1</v>
      </c>
      <c r="H166" s="166">
        <f t="shared" si="12"/>
        <v>23</v>
      </c>
      <c r="I166" s="10" t="s">
        <v>20</v>
      </c>
      <c r="J166" s="11">
        <v>1.94</v>
      </c>
      <c r="K166" s="12">
        <f t="shared" si="16"/>
        <v>44.62</v>
      </c>
    </row>
    <row r="167" spans="1:11" x14ac:dyDescent="0.35">
      <c r="A167" s="103"/>
      <c r="B167" s="12" t="s">
        <v>4</v>
      </c>
      <c r="C167" s="10" t="s">
        <v>49</v>
      </c>
      <c r="D167" s="152">
        <v>24</v>
      </c>
      <c r="E167" s="170">
        <v>20</v>
      </c>
      <c r="F167" s="153">
        <f t="shared" si="17"/>
        <v>4</v>
      </c>
      <c r="G167" s="256"/>
      <c r="H167" s="166">
        <f t="shared" si="12"/>
        <v>24</v>
      </c>
      <c r="I167" s="10" t="s">
        <v>20</v>
      </c>
      <c r="J167" s="11">
        <v>1.94</v>
      </c>
      <c r="K167" s="12">
        <f t="shared" si="16"/>
        <v>46.56</v>
      </c>
    </row>
    <row r="168" spans="1:11" x14ac:dyDescent="0.35">
      <c r="A168" s="103"/>
      <c r="B168" s="12" t="s">
        <v>4</v>
      </c>
      <c r="C168" s="10" t="s">
        <v>50</v>
      </c>
      <c r="D168" s="152">
        <v>24</v>
      </c>
      <c r="E168" s="170">
        <v>18</v>
      </c>
      <c r="F168" s="153">
        <f t="shared" si="17"/>
        <v>6</v>
      </c>
      <c r="G168" s="256">
        <v>6</v>
      </c>
      <c r="H168" s="166">
        <f t="shared" si="12"/>
        <v>18</v>
      </c>
      <c r="I168" s="10" t="s">
        <v>20</v>
      </c>
      <c r="J168" s="11">
        <v>1.94</v>
      </c>
      <c r="K168" s="12">
        <f t="shared" si="16"/>
        <v>34.92</v>
      </c>
    </row>
    <row r="169" spans="1:11" hidden="1" x14ac:dyDescent="0.35">
      <c r="A169" s="103"/>
      <c r="B169" s="12" t="s">
        <v>4</v>
      </c>
      <c r="C169" s="10" t="s">
        <v>415</v>
      </c>
      <c r="D169" s="152"/>
      <c r="E169" s="170"/>
      <c r="F169" s="153" t="str">
        <f t="shared" si="17"/>
        <v/>
      </c>
      <c r="G169" s="256"/>
      <c r="H169" s="166">
        <f t="shared" si="12"/>
        <v>0</v>
      </c>
      <c r="I169" s="10" t="s">
        <v>20</v>
      </c>
      <c r="J169" s="11">
        <v>1.98</v>
      </c>
      <c r="K169" s="12">
        <f t="shared" ref="K169:K175" si="18">G169*J169</f>
        <v>0</v>
      </c>
    </row>
    <row r="170" spans="1:11" hidden="1" x14ac:dyDescent="0.35">
      <c r="A170" s="103"/>
      <c r="B170" s="12" t="s">
        <v>4</v>
      </c>
      <c r="C170" s="10" t="s">
        <v>414</v>
      </c>
      <c r="D170" s="152"/>
      <c r="E170" s="170"/>
      <c r="F170" s="153" t="str">
        <f t="shared" si="17"/>
        <v/>
      </c>
      <c r="G170" s="256"/>
      <c r="H170" s="166">
        <f t="shared" si="12"/>
        <v>0</v>
      </c>
      <c r="I170" s="10" t="s">
        <v>20</v>
      </c>
      <c r="J170" s="11">
        <v>1.98</v>
      </c>
      <c r="K170" s="12">
        <f t="shared" si="18"/>
        <v>0</v>
      </c>
    </row>
    <row r="171" spans="1:11" hidden="1" x14ac:dyDescent="0.35">
      <c r="A171" s="103"/>
      <c r="B171" s="12" t="s">
        <v>4</v>
      </c>
      <c r="C171" s="10" t="s">
        <v>415</v>
      </c>
      <c r="D171" s="152"/>
      <c r="E171" s="170"/>
      <c r="F171" s="153" t="str">
        <f t="shared" si="17"/>
        <v/>
      </c>
      <c r="G171" s="256"/>
      <c r="H171" s="166">
        <f t="shared" si="12"/>
        <v>0</v>
      </c>
      <c r="I171" s="10" t="s">
        <v>20</v>
      </c>
      <c r="J171" s="11">
        <v>1.98</v>
      </c>
      <c r="K171" s="12">
        <f t="shared" si="18"/>
        <v>0</v>
      </c>
    </row>
    <row r="172" spans="1:11" hidden="1" x14ac:dyDescent="0.35">
      <c r="A172" s="103"/>
      <c r="B172" s="12" t="s">
        <v>4</v>
      </c>
      <c r="C172" s="10" t="s">
        <v>432</v>
      </c>
      <c r="D172" s="152"/>
      <c r="E172" s="170"/>
      <c r="F172" s="153" t="str">
        <f t="shared" si="17"/>
        <v/>
      </c>
      <c r="G172" s="256"/>
      <c r="H172" s="166">
        <f t="shared" si="12"/>
        <v>0</v>
      </c>
      <c r="I172" s="10" t="s">
        <v>20</v>
      </c>
      <c r="J172" s="11">
        <v>1.98</v>
      </c>
      <c r="K172" s="12">
        <f t="shared" si="18"/>
        <v>0</v>
      </c>
    </row>
    <row r="173" spans="1:11" hidden="1" x14ac:dyDescent="0.35">
      <c r="A173" s="103"/>
      <c r="B173" s="40" t="s">
        <v>4</v>
      </c>
      <c r="C173" s="41" t="s">
        <v>330</v>
      </c>
      <c r="D173" s="227"/>
      <c r="E173" s="170"/>
      <c r="F173" s="153" t="str">
        <f t="shared" si="17"/>
        <v/>
      </c>
      <c r="G173" s="256"/>
      <c r="H173" s="166">
        <f t="shared" si="12"/>
        <v>0</v>
      </c>
      <c r="I173" s="10" t="s">
        <v>20</v>
      </c>
      <c r="J173" s="11">
        <v>1.98</v>
      </c>
      <c r="K173" s="12">
        <f t="shared" si="18"/>
        <v>0</v>
      </c>
    </row>
    <row r="174" spans="1:11" hidden="1" x14ac:dyDescent="0.35">
      <c r="A174" s="103"/>
      <c r="B174" s="40" t="s">
        <v>4</v>
      </c>
      <c r="C174" s="41" t="s">
        <v>331</v>
      </c>
      <c r="D174" s="227"/>
      <c r="E174" s="170"/>
      <c r="F174" s="153" t="str">
        <f t="shared" si="17"/>
        <v/>
      </c>
      <c r="G174" s="256"/>
      <c r="H174" s="166">
        <f t="shared" si="12"/>
        <v>0</v>
      </c>
      <c r="I174" s="10" t="s">
        <v>20</v>
      </c>
      <c r="J174" s="11">
        <v>1.98</v>
      </c>
      <c r="K174" s="12">
        <f t="shared" si="18"/>
        <v>0</v>
      </c>
    </row>
    <row r="175" spans="1:11" hidden="1" x14ac:dyDescent="0.35">
      <c r="A175" s="103"/>
      <c r="B175" s="40" t="s">
        <v>4</v>
      </c>
      <c r="C175" s="41" t="s">
        <v>413</v>
      </c>
      <c r="D175" s="227"/>
      <c r="E175" s="170"/>
      <c r="F175" s="153" t="str">
        <f t="shared" si="17"/>
        <v/>
      </c>
      <c r="G175" s="256"/>
      <c r="H175" s="166">
        <f t="shared" ref="H175:H240" si="19">IF(ISNUMBER(E175),E175,0)+IF(ISNUMBER(F175),F175,0)-IF(ISNUMBER(G175),G175,0)</f>
        <v>0</v>
      </c>
      <c r="I175" s="41" t="s">
        <v>20</v>
      </c>
      <c r="J175" s="42">
        <v>1.98</v>
      </c>
      <c r="K175" s="12">
        <f t="shared" si="18"/>
        <v>0</v>
      </c>
    </row>
    <row r="176" spans="1:11" ht="15.5" hidden="1" x14ac:dyDescent="0.35">
      <c r="A176" s="114" t="s">
        <v>333</v>
      </c>
      <c r="B176" s="120"/>
      <c r="C176" s="120"/>
      <c r="D176" s="228"/>
      <c r="E176" s="170"/>
      <c r="F176" s="153" t="str">
        <f t="shared" si="17"/>
        <v/>
      </c>
      <c r="G176" s="292"/>
      <c r="H176" s="166">
        <f t="shared" si="19"/>
        <v>0</v>
      </c>
      <c r="I176" s="121"/>
      <c r="J176" s="122" t="s">
        <v>18</v>
      </c>
      <c r="K176" s="274">
        <f>SUM(K177:K186)</f>
        <v>0</v>
      </c>
    </row>
    <row r="177" spans="1:11" hidden="1" x14ac:dyDescent="0.35">
      <c r="A177" s="103"/>
      <c r="B177" s="12" t="s">
        <v>26</v>
      </c>
      <c r="C177" s="10" t="s">
        <v>334</v>
      </c>
      <c r="D177" s="152"/>
      <c r="E177" s="170"/>
      <c r="F177" s="153" t="str">
        <f t="shared" si="17"/>
        <v/>
      </c>
      <c r="G177" s="256"/>
      <c r="H177" s="166">
        <f t="shared" si="19"/>
        <v>0</v>
      </c>
      <c r="I177" s="10" t="s">
        <v>335</v>
      </c>
      <c r="J177" s="11">
        <v>20</v>
      </c>
      <c r="K177" s="12">
        <f t="shared" ref="K177:K186" si="20">G177*J177</f>
        <v>0</v>
      </c>
    </row>
    <row r="178" spans="1:11" hidden="1" x14ac:dyDescent="0.35">
      <c r="A178" s="103"/>
      <c r="B178" s="20" t="s">
        <v>26</v>
      </c>
      <c r="C178" s="18" t="s">
        <v>53</v>
      </c>
      <c r="D178" s="229"/>
      <c r="E178" s="170"/>
      <c r="F178" s="153" t="str">
        <f t="shared" si="17"/>
        <v/>
      </c>
      <c r="G178" s="256"/>
      <c r="H178" s="166">
        <f t="shared" si="19"/>
        <v>0</v>
      </c>
      <c r="I178" s="18" t="s">
        <v>20</v>
      </c>
      <c r="J178" s="19">
        <v>0.43</v>
      </c>
      <c r="K178" s="20">
        <f t="shared" si="20"/>
        <v>0</v>
      </c>
    </row>
    <row r="179" spans="1:11" hidden="1" x14ac:dyDescent="0.35">
      <c r="A179" s="103"/>
      <c r="B179" s="20" t="s">
        <v>26</v>
      </c>
      <c r="C179" s="18" t="s">
        <v>336</v>
      </c>
      <c r="D179" s="229"/>
      <c r="E179" s="170"/>
      <c r="F179" s="153" t="str">
        <f t="shared" si="17"/>
        <v/>
      </c>
      <c r="G179" s="256"/>
      <c r="H179" s="166">
        <f t="shared" si="19"/>
        <v>0</v>
      </c>
      <c r="I179" s="18" t="s">
        <v>20</v>
      </c>
      <c r="J179" s="19">
        <v>0.43</v>
      </c>
      <c r="K179" s="20">
        <f t="shared" si="20"/>
        <v>0</v>
      </c>
    </row>
    <row r="180" spans="1:11" hidden="1" x14ac:dyDescent="0.35">
      <c r="A180" s="103"/>
      <c r="B180" s="12" t="s">
        <v>26</v>
      </c>
      <c r="C180" s="10" t="s">
        <v>337</v>
      </c>
      <c r="D180" s="152"/>
      <c r="E180" s="170"/>
      <c r="F180" s="153" t="str">
        <f t="shared" si="17"/>
        <v/>
      </c>
      <c r="G180" s="256"/>
      <c r="H180" s="166">
        <f t="shared" si="19"/>
        <v>0</v>
      </c>
      <c r="I180" s="10" t="s">
        <v>20</v>
      </c>
      <c r="J180" s="11">
        <v>0.43</v>
      </c>
      <c r="K180" s="12">
        <f t="shared" si="20"/>
        <v>0</v>
      </c>
    </row>
    <row r="181" spans="1:11" hidden="1" x14ac:dyDescent="0.35">
      <c r="A181" s="103"/>
      <c r="B181" s="12" t="s">
        <v>26</v>
      </c>
      <c r="C181" s="10" t="s">
        <v>51</v>
      </c>
      <c r="D181" s="152"/>
      <c r="E181" s="170"/>
      <c r="F181" s="153" t="str">
        <f t="shared" si="17"/>
        <v/>
      </c>
      <c r="G181" s="256"/>
      <c r="H181" s="166">
        <f t="shared" si="19"/>
        <v>0</v>
      </c>
      <c r="I181" s="10" t="s">
        <v>61</v>
      </c>
      <c r="J181" s="11">
        <v>14</v>
      </c>
      <c r="K181" s="12">
        <f t="shared" si="20"/>
        <v>0</v>
      </c>
    </row>
    <row r="182" spans="1:11" hidden="1" x14ac:dyDescent="0.35">
      <c r="A182" s="103"/>
      <c r="B182" s="12" t="s">
        <v>26</v>
      </c>
      <c r="C182" s="10" t="s">
        <v>338</v>
      </c>
      <c r="D182" s="152"/>
      <c r="E182" s="170"/>
      <c r="F182" s="153" t="str">
        <f t="shared" si="17"/>
        <v/>
      </c>
      <c r="G182" s="256"/>
      <c r="H182" s="166">
        <f t="shared" si="19"/>
        <v>0</v>
      </c>
      <c r="I182" s="10" t="s">
        <v>61</v>
      </c>
      <c r="J182" s="11">
        <v>14.78</v>
      </c>
      <c r="K182" s="12">
        <f t="shared" si="20"/>
        <v>0</v>
      </c>
    </row>
    <row r="183" spans="1:11" hidden="1" x14ac:dyDescent="0.35">
      <c r="A183" s="103"/>
      <c r="B183" s="12" t="s">
        <v>26</v>
      </c>
      <c r="C183" s="10" t="s">
        <v>339</v>
      </c>
      <c r="D183" s="152"/>
      <c r="E183" s="170"/>
      <c r="F183" s="153" t="str">
        <f t="shared" si="17"/>
        <v/>
      </c>
      <c r="G183" s="256"/>
      <c r="H183" s="166">
        <f t="shared" si="19"/>
        <v>0</v>
      </c>
      <c r="I183" s="10" t="s">
        <v>61</v>
      </c>
      <c r="J183" s="11">
        <v>14.78</v>
      </c>
      <c r="K183" s="12">
        <f t="shared" si="20"/>
        <v>0</v>
      </c>
    </row>
    <row r="184" spans="1:11" hidden="1" x14ac:dyDescent="0.35">
      <c r="A184" s="103"/>
      <c r="B184" s="12" t="s">
        <v>26</v>
      </c>
      <c r="C184" s="10" t="s">
        <v>340</v>
      </c>
      <c r="D184" s="152"/>
      <c r="E184" s="170"/>
      <c r="F184" s="153" t="str">
        <f t="shared" si="17"/>
        <v/>
      </c>
      <c r="G184" s="256"/>
      <c r="H184" s="166">
        <f t="shared" si="19"/>
        <v>0</v>
      </c>
      <c r="I184" s="10" t="s">
        <v>61</v>
      </c>
      <c r="J184" s="11">
        <v>14.78</v>
      </c>
      <c r="K184" s="12">
        <f t="shared" si="20"/>
        <v>0</v>
      </c>
    </row>
    <row r="185" spans="1:11" hidden="1" x14ac:dyDescent="0.35">
      <c r="A185" s="103"/>
      <c r="B185" s="12" t="s">
        <v>26</v>
      </c>
      <c r="C185" s="10" t="s">
        <v>341</v>
      </c>
      <c r="D185" s="152"/>
      <c r="E185" s="170"/>
      <c r="F185" s="153" t="str">
        <f t="shared" si="17"/>
        <v/>
      </c>
      <c r="G185" s="256"/>
      <c r="H185" s="166">
        <f t="shared" si="19"/>
        <v>0</v>
      </c>
      <c r="I185" s="10" t="s">
        <v>61</v>
      </c>
      <c r="J185" s="11">
        <v>14.78</v>
      </c>
      <c r="K185" s="12">
        <f t="shared" si="20"/>
        <v>0</v>
      </c>
    </row>
    <row r="186" spans="1:11" hidden="1" x14ac:dyDescent="0.35">
      <c r="A186" s="103"/>
      <c r="B186" s="12" t="s">
        <v>26</v>
      </c>
      <c r="C186" s="10" t="s">
        <v>342</v>
      </c>
      <c r="D186" s="152"/>
      <c r="E186" s="170"/>
      <c r="F186" s="153" t="str">
        <f t="shared" si="17"/>
        <v/>
      </c>
      <c r="G186" s="256"/>
      <c r="H186" s="166">
        <f t="shared" si="19"/>
        <v>0</v>
      </c>
      <c r="I186" s="10" t="s">
        <v>61</v>
      </c>
      <c r="J186" s="11">
        <v>14.78</v>
      </c>
      <c r="K186" s="10">
        <f t="shared" si="20"/>
        <v>0</v>
      </c>
    </row>
    <row r="187" spans="1:11" ht="15.5" x14ac:dyDescent="0.35">
      <c r="A187" s="108" t="s">
        <v>343</v>
      </c>
      <c r="B187" s="108"/>
      <c r="C187" s="108"/>
      <c r="D187" s="223"/>
      <c r="E187" s="250"/>
      <c r="F187" s="165" t="str">
        <f t="shared" si="17"/>
        <v/>
      </c>
      <c r="G187" s="186"/>
      <c r="H187" s="247"/>
      <c r="I187" s="108"/>
      <c r="J187" s="106" t="s">
        <v>18</v>
      </c>
      <c r="K187" s="269">
        <f>SUM(K188:K192)</f>
        <v>208.8</v>
      </c>
    </row>
    <row r="188" spans="1:11" hidden="1" x14ac:dyDescent="0.35">
      <c r="A188" s="103"/>
      <c r="B188" s="7" t="s">
        <v>6</v>
      </c>
      <c r="C188" s="14" t="s">
        <v>344</v>
      </c>
      <c r="D188" s="152"/>
      <c r="E188" s="170"/>
      <c r="F188" s="153" t="str">
        <f t="shared" si="17"/>
        <v/>
      </c>
      <c r="G188" s="256"/>
      <c r="H188" s="166">
        <f t="shared" si="19"/>
        <v>0</v>
      </c>
      <c r="I188" s="14" t="s">
        <v>20</v>
      </c>
      <c r="J188" s="35">
        <v>0.79</v>
      </c>
      <c r="K188" s="7">
        <f>G188*J188</f>
        <v>0</v>
      </c>
    </row>
    <row r="189" spans="1:11" x14ac:dyDescent="0.35">
      <c r="A189" s="103"/>
      <c r="B189" s="7" t="s">
        <v>6</v>
      </c>
      <c r="C189" s="14" t="s">
        <v>345</v>
      </c>
      <c r="D189" s="152">
        <v>30</v>
      </c>
      <c r="E189" s="170">
        <v>22</v>
      </c>
      <c r="F189" s="153">
        <f t="shared" si="17"/>
        <v>8</v>
      </c>
      <c r="G189" s="256"/>
      <c r="H189" s="166">
        <f t="shared" si="19"/>
        <v>30</v>
      </c>
      <c r="I189" s="14" t="s">
        <v>20</v>
      </c>
      <c r="J189" s="35">
        <v>2.76</v>
      </c>
      <c r="K189" s="7">
        <f>H189*J189</f>
        <v>82.8</v>
      </c>
    </row>
    <row r="190" spans="1:11" x14ac:dyDescent="0.35">
      <c r="A190" s="103"/>
      <c r="B190" s="7" t="s">
        <v>6</v>
      </c>
      <c r="C190" s="14" t="s">
        <v>346</v>
      </c>
      <c r="D190" s="152"/>
      <c r="E190" s="170"/>
      <c r="F190" s="153" t="str">
        <f t="shared" si="17"/>
        <v/>
      </c>
      <c r="G190" s="256"/>
      <c r="H190" s="166">
        <f t="shared" si="19"/>
        <v>0</v>
      </c>
      <c r="I190" s="14" t="s">
        <v>20</v>
      </c>
      <c r="J190" s="35">
        <v>1</v>
      </c>
      <c r="K190" s="7">
        <f t="shared" ref="K190:K192" si="21">H190*J190</f>
        <v>0</v>
      </c>
    </row>
    <row r="191" spans="1:11" x14ac:dyDescent="0.35">
      <c r="A191" s="103"/>
      <c r="B191" s="7" t="s">
        <v>6</v>
      </c>
      <c r="C191" s="14" t="s">
        <v>34</v>
      </c>
      <c r="D191" s="152">
        <v>40</v>
      </c>
      <c r="E191" s="170">
        <v>40</v>
      </c>
      <c r="F191" s="153" t="str">
        <f t="shared" si="17"/>
        <v/>
      </c>
      <c r="G191" s="256"/>
      <c r="H191" s="166">
        <f t="shared" si="19"/>
        <v>40</v>
      </c>
      <c r="I191" s="14" t="s">
        <v>20</v>
      </c>
      <c r="J191" s="35">
        <v>1.8</v>
      </c>
      <c r="K191" s="7">
        <f t="shared" si="21"/>
        <v>72</v>
      </c>
    </row>
    <row r="192" spans="1:11" x14ac:dyDescent="0.35">
      <c r="A192" s="103"/>
      <c r="B192" s="7" t="s">
        <v>6</v>
      </c>
      <c r="C192" s="14" t="s">
        <v>35</v>
      </c>
      <c r="D192" s="152">
        <v>40</v>
      </c>
      <c r="E192" s="170">
        <v>30</v>
      </c>
      <c r="F192" s="153">
        <f t="shared" si="17"/>
        <v>10</v>
      </c>
      <c r="G192" s="256">
        <v>10</v>
      </c>
      <c r="H192" s="166">
        <f t="shared" si="19"/>
        <v>30</v>
      </c>
      <c r="I192" s="14" t="s">
        <v>20</v>
      </c>
      <c r="J192" s="35">
        <v>1.8</v>
      </c>
      <c r="K192" s="7">
        <f t="shared" si="21"/>
        <v>54</v>
      </c>
    </row>
    <row r="193" spans="1:11" ht="15.5" x14ac:dyDescent="0.35">
      <c r="A193" s="112" t="s">
        <v>347</v>
      </c>
      <c r="B193" s="116"/>
      <c r="C193" s="116"/>
      <c r="D193" s="228"/>
      <c r="E193" s="250"/>
      <c r="F193" s="165" t="str">
        <f t="shared" si="17"/>
        <v/>
      </c>
      <c r="G193" s="260"/>
      <c r="H193" s="247"/>
      <c r="I193" s="117"/>
      <c r="J193" s="118" t="s">
        <v>18</v>
      </c>
      <c r="K193" s="275">
        <f>SUM(K194:K194)</f>
        <v>0</v>
      </c>
    </row>
    <row r="194" spans="1:11" x14ac:dyDescent="0.35">
      <c r="A194" s="103"/>
      <c r="B194" s="12" t="s">
        <v>5</v>
      </c>
      <c r="C194" s="10" t="s">
        <v>55</v>
      </c>
      <c r="D194" s="152"/>
      <c r="E194" s="170"/>
      <c r="F194" s="153" t="str">
        <f t="shared" si="17"/>
        <v/>
      </c>
      <c r="G194" s="256"/>
      <c r="H194" s="166">
        <f t="shared" si="19"/>
        <v>0</v>
      </c>
      <c r="I194" s="10" t="s">
        <v>20</v>
      </c>
      <c r="J194" s="11">
        <v>1.01</v>
      </c>
      <c r="K194" s="12">
        <f>H194*J194</f>
        <v>0</v>
      </c>
    </row>
    <row r="195" spans="1:11" ht="15.5" x14ac:dyDescent="0.35">
      <c r="A195" s="112" t="s">
        <v>348</v>
      </c>
      <c r="B195" s="116"/>
      <c r="C195" s="116"/>
      <c r="D195" s="228"/>
      <c r="E195" s="250"/>
      <c r="F195" s="165" t="str">
        <f t="shared" si="17"/>
        <v/>
      </c>
      <c r="G195" s="260"/>
      <c r="H195" s="247"/>
      <c r="I195" s="117"/>
      <c r="J195" s="118" t="s">
        <v>18</v>
      </c>
      <c r="K195" s="275">
        <f>SUM(K196:K207)</f>
        <v>158.42000000000002</v>
      </c>
    </row>
    <row r="196" spans="1:11" hidden="1" x14ac:dyDescent="0.35">
      <c r="A196" s="103"/>
      <c r="B196" s="20" t="s">
        <v>8</v>
      </c>
      <c r="C196" s="18" t="s">
        <v>349</v>
      </c>
      <c r="D196" s="229"/>
      <c r="E196" s="170"/>
      <c r="F196" s="153" t="str">
        <f t="shared" si="17"/>
        <v/>
      </c>
      <c r="G196" s="256"/>
      <c r="H196" s="166">
        <f t="shared" si="19"/>
        <v>0</v>
      </c>
      <c r="I196" s="18" t="s">
        <v>27</v>
      </c>
      <c r="J196" s="20">
        <v>28.62</v>
      </c>
      <c r="K196" s="12">
        <f t="shared" ref="K196:K207" si="22">G196*J196</f>
        <v>0</v>
      </c>
    </row>
    <row r="197" spans="1:11" hidden="1" x14ac:dyDescent="0.35">
      <c r="A197" s="103"/>
      <c r="B197" s="12" t="s">
        <v>8</v>
      </c>
      <c r="C197" s="10" t="s">
        <v>350</v>
      </c>
      <c r="D197" s="152"/>
      <c r="E197" s="170"/>
      <c r="F197" s="153" t="str">
        <f t="shared" si="17"/>
        <v/>
      </c>
      <c r="G197" s="256"/>
      <c r="H197" s="166">
        <f t="shared" si="19"/>
        <v>0</v>
      </c>
      <c r="I197" s="10" t="s">
        <v>335</v>
      </c>
      <c r="J197" s="12">
        <v>30</v>
      </c>
      <c r="K197" s="12">
        <f t="shared" si="22"/>
        <v>0</v>
      </c>
    </row>
    <row r="198" spans="1:11" hidden="1" x14ac:dyDescent="0.35">
      <c r="A198" s="103"/>
      <c r="B198" s="12" t="s">
        <v>8</v>
      </c>
      <c r="C198" s="10" t="s">
        <v>351</v>
      </c>
      <c r="D198" s="152"/>
      <c r="E198" s="170"/>
      <c r="F198" s="153" t="str">
        <f t="shared" si="17"/>
        <v/>
      </c>
      <c r="G198" s="256"/>
      <c r="H198" s="166">
        <f t="shared" si="19"/>
        <v>0</v>
      </c>
      <c r="I198" s="10" t="s">
        <v>335</v>
      </c>
      <c r="J198" s="11">
        <v>1.1499999999999999</v>
      </c>
      <c r="K198" s="12">
        <f t="shared" si="22"/>
        <v>0</v>
      </c>
    </row>
    <row r="199" spans="1:11" x14ac:dyDescent="0.35">
      <c r="A199" s="103"/>
      <c r="B199" s="12" t="s">
        <v>8</v>
      </c>
      <c r="C199" s="10" t="s">
        <v>352</v>
      </c>
      <c r="D199" s="152">
        <v>3</v>
      </c>
      <c r="E199" s="170">
        <v>2</v>
      </c>
      <c r="F199" s="153">
        <f t="shared" si="17"/>
        <v>1</v>
      </c>
      <c r="G199" s="256">
        <v>1</v>
      </c>
      <c r="H199" s="166">
        <f t="shared" si="19"/>
        <v>2</v>
      </c>
      <c r="I199" s="10">
        <v>23.83</v>
      </c>
      <c r="J199" s="11">
        <v>30.95</v>
      </c>
      <c r="K199" s="12">
        <f>H199*J199</f>
        <v>61.9</v>
      </c>
    </row>
    <row r="200" spans="1:11" x14ac:dyDescent="0.35">
      <c r="A200" s="103"/>
      <c r="B200" s="12" t="s">
        <v>8</v>
      </c>
      <c r="C200" s="10" t="s">
        <v>353</v>
      </c>
      <c r="D200" s="152">
        <v>3</v>
      </c>
      <c r="E200" s="170">
        <v>2</v>
      </c>
      <c r="F200" s="153">
        <f t="shared" si="17"/>
        <v>1</v>
      </c>
      <c r="G200" s="256">
        <v>1</v>
      </c>
      <c r="H200" s="166">
        <f t="shared" si="19"/>
        <v>2</v>
      </c>
      <c r="I200" s="10" t="s">
        <v>27</v>
      </c>
      <c r="J200" s="11">
        <v>28.89</v>
      </c>
      <c r="K200" s="12">
        <f t="shared" ref="K200" si="23">H200*J200</f>
        <v>57.78</v>
      </c>
    </row>
    <row r="201" spans="1:11" x14ac:dyDescent="0.35">
      <c r="A201" s="103"/>
      <c r="B201" s="12" t="s">
        <v>8</v>
      </c>
      <c r="C201" s="10" t="s">
        <v>354</v>
      </c>
      <c r="D201" s="152">
        <v>3</v>
      </c>
      <c r="E201" s="170">
        <v>2</v>
      </c>
      <c r="F201" s="153">
        <f>IF(E201="","",IF(D201-E201&gt;0,D201-E201,""))</f>
        <v>1</v>
      </c>
      <c r="G201" s="256">
        <v>1</v>
      </c>
      <c r="H201" s="166">
        <f>IF(ISNUMBER(E201),E201,0)+IF(ISNUMBER(F201),F201,0)-IF(ISNUMBER(G201),G201,0)</f>
        <v>2</v>
      </c>
      <c r="I201" s="10" t="s">
        <v>27</v>
      </c>
      <c r="J201" s="11">
        <v>19.37</v>
      </c>
      <c r="K201" s="12">
        <f>H201*J201</f>
        <v>38.74</v>
      </c>
    </row>
    <row r="202" spans="1:11" x14ac:dyDescent="0.35">
      <c r="A202" s="103"/>
      <c r="B202" s="12" t="s">
        <v>8</v>
      </c>
      <c r="C202" s="10" t="s">
        <v>429</v>
      </c>
      <c r="D202" s="152"/>
      <c r="E202" s="170"/>
      <c r="F202" s="153"/>
      <c r="G202" s="256"/>
      <c r="H202" s="166">
        <f t="shared" ref="H202:H204" si="24">IF(ISNUMBER(E202),E202,0)+IF(ISNUMBER(F202),F202,0)-IF(ISNUMBER(G202),G202,0)</f>
        <v>0</v>
      </c>
      <c r="I202" s="10">
        <v>14.07</v>
      </c>
      <c r="J202" s="11"/>
      <c r="K202" s="12"/>
    </row>
    <row r="203" spans="1:11" x14ac:dyDescent="0.35">
      <c r="A203" s="103"/>
      <c r="B203" s="12" t="s">
        <v>8</v>
      </c>
      <c r="C203" s="10" t="s">
        <v>430</v>
      </c>
      <c r="D203" s="152"/>
      <c r="E203" s="170"/>
      <c r="F203" s="153"/>
      <c r="G203" s="256"/>
      <c r="H203" s="166">
        <f t="shared" si="24"/>
        <v>0</v>
      </c>
      <c r="I203" s="10">
        <v>16.07</v>
      </c>
      <c r="J203" s="11"/>
      <c r="K203" s="12"/>
    </row>
    <row r="204" spans="1:11" x14ac:dyDescent="0.35">
      <c r="A204" s="103"/>
      <c r="B204" s="12" t="s">
        <v>8</v>
      </c>
      <c r="C204" s="10" t="s">
        <v>431</v>
      </c>
      <c r="D204" s="152"/>
      <c r="G204" s="256"/>
      <c r="H204" s="166">
        <f t="shared" si="24"/>
        <v>0</v>
      </c>
      <c r="I204" s="289">
        <v>14.62</v>
      </c>
      <c r="J204" s="11"/>
    </row>
    <row r="205" spans="1:11" hidden="1" x14ac:dyDescent="0.35">
      <c r="A205" s="103"/>
      <c r="B205" s="12" t="s">
        <v>8</v>
      </c>
      <c r="C205" s="10" t="s">
        <v>355</v>
      </c>
      <c r="D205" s="152"/>
      <c r="E205" s="170"/>
      <c r="F205" s="153" t="str">
        <f t="shared" si="17"/>
        <v/>
      </c>
      <c r="G205" s="256"/>
      <c r="H205" s="166">
        <f t="shared" si="19"/>
        <v>0</v>
      </c>
      <c r="I205" s="10" t="s">
        <v>61</v>
      </c>
      <c r="J205" s="11">
        <v>17.11</v>
      </c>
      <c r="K205" s="12">
        <f t="shared" si="22"/>
        <v>0</v>
      </c>
    </row>
    <row r="206" spans="1:11" hidden="1" x14ac:dyDescent="0.35">
      <c r="A206" s="103"/>
      <c r="B206" s="12" t="s">
        <v>8</v>
      </c>
      <c r="C206" s="10" t="s">
        <v>356</v>
      </c>
      <c r="D206" s="152"/>
      <c r="E206" s="170"/>
      <c r="F206" s="153" t="str">
        <f t="shared" si="17"/>
        <v/>
      </c>
      <c r="G206" s="256"/>
      <c r="H206" s="166">
        <f t="shared" si="19"/>
        <v>0</v>
      </c>
      <c r="I206" s="10" t="s">
        <v>61</v>
      </c>
      <c r="J206" s="11">
        <v>22.13</v>
      </c>
      <c r="K206" s="12">
        <f t="shared" si="22"/>
        <v>0</v>
      </c>
    </row>
    <row r="207" spans="1:11" hidden="1" x14ac:dyDescent="0.35">
      <c r="A207" s="103"/>
      <c r="B207" s="40" t="s">
        <v>8</v>
      </c>
      <c r="C207" s="41" t="s">
        <v>357</v>
      </c>
      <c r="D207" s="227"/>
      <c r="E207" s="170"/>
      <c r="F207" s="153" t="str">
        <f t="shared" si="17"/>
        <v/>
      </c>
      <c r="G207" s="256"/>
      <c r="H207" s="166">
        <f t="shared" si="19"/>
        <v>0</v>
      </c>
      <c r="I207" s="41" t="s">
        <v>61</v>
      </c>
      <c r="J207" s="42">
        <v>18.8</v>
      </c>
      <c r="K207" s="40">
        <f t="shared" si="22"/>
        <v>0</v>
      </c>
    </row>
    <row r="208" spans="1:11" ht="15.5" hidden="1" x14ac:dyDescent="0.35">
      <c r="A208" s="112" t="s">
        <v>358</v>
      </c>
      <c r="B208" s="116"/>
      <c r="C208" s="116"/>
      <c r="D208" s="228"/>
      <c r="E208" s="170"/>
      <c r="F208" s="165" t="str">
        <f t="shared" si="17"/>
        <v/>
      </c>
      <c r="G208" s="260"/>
      <c r="H208" s="247"/>
      <c r="I208" s="117"/>
      <c r="J208" s="118" t="s">
        <v>18</v>
      </c>
      <c r="K208" s="275">
        <f>SUM(K209)</f>
        <v>0</v>
      </c>
    </row>
    <row r="209" spans="1:11" hidden="1" x14ac:dyDescent="0.35">
      <c r="A209" s="103"/>
      <c r="B209" s="13" t="s">
        <v>11</v>
      </c>
      <c r="C209" s="18" t="s">
        <v>359</v>
      </c>
      <c r="D209" s="229"/>
      <c r="E209" s="170"/>
      <c r="F209" s="153" t="str">
        <f t="shared" si="17"/>
        <v/>
      </c>
      <c r="G209" s="256"/>
      <c r="H209" s="166">
        <f t="shared" si="19"/>
        <v>0</v>
      </c>
      <c r="I209" s="10" t="s">
        <v>52</v>
      </c>
      <c r="J209" s="11">
        <v>11.63</v>
      </c>
      <c r="K209" s="12">
        <f>G209*J209</f>
        <v>0</v>
      </c>
    </row>
    <row r="210" spans="1:11" ht="15.5" x14ac:dyDescent="0.35">
      <c r="A210" s="108" t="s">
        <v>360</v>
      </c>
      <c r="B210" s="108"/>
      <c r="C210" s="108"/>
      <c r="D210" s="223"/>
      <c r="E210" s="250"/>
      <c r="F210" s="165" t="str">
        <f t="shared" si="17"/>
        <v/>
      </c>
      <c r="G210" s="186"/>
      <c r="H210" s="247"/>
      <c r="I210" s="108"/>
      <c r="J210" s="106" t="s">
        <v>18</v>
      </c>
      <c r="K210" s="269">
        <f>SUM(K211:K212)</f>
        <v>0</v>
      </c>
    </row>
    <row r="211" spans="1:11" x14ac:dyDescent="0.35">
      <c r="A211" s="103"/>
      <c r="B211" s="12" t="s">
        <v>12</v>
      </c>
      <c r="C211" s="10" t="s">
        <v>70</v>
      </c>
      <c r="D211" s="152"/>
      <c r="E211" s="170"/>
      <c r="F211" s="153" t="str">
        <f t="shared" si="17"/>
        <v/>
      </c>
      <c r="G211" s="256"/>
      <c r="H211" s="166">
        <f t="shared" si="19"/>
        <v>0</v>
      </c>
      <c r="I211" s="10" t="s">
        <v>27</v>
      </c>
      <c r="J211" s="11">
        <v>20.7</v>
      </c>
      <c r="K211" s="12">
        <f>H211*J211</f>
        <v>0</v>
      </c>
    </row>
    <row r="212" spans="1:11" x14ac:dyDescent="0.35">
      <c r="A212" s="103"/>
      <c r="B212" s="12" t="s">
        <v>12</v>
      </c>
      <c r="C212" s="10" t="s">
        <v>71</v>
      </c>
      <c r="D212" s="152"/>
      <c r="E212" s="170"/>
      <c r="F212" s="153" t="str">
        <f t="shared" si="17"/>
        <v/>
      </c>
      <c r="G212" s="256"/>
      <c r="H212" s="166">
        <f t="shared" si="19"/>
        <v>0</v>
      </c>
      <c r="I212" s="10" t="s">
        <v>27</v>
      </c>
      <c r="J212" s="11">
        <v>13.7</v>
      </c>
      <c r="K212" s="12">
        <f>H212*J212</f>
        <v>0</v>
      </c>
    </row>
    <row r="213" spans="1:11" ht="15.5" hidden="1" x14ac:dyDescent="0.35">
      <c r="A213" s="108" t="s">
        <v>361</v>
      </c>
      <c r="B213" s="108"/>
      <c r="C213" s="108"/>
      <c r="D213" s="223"/>
      <c r="E213" s="250"/>
      <c r="F213" s="165" t="str">
        <f t="shared" si="17"/>
        <v/>
      </c>
      <c r="G213" s="186"/>
      <c r="H213" s="247"/>
      <c r="I213" s="108"/>
      <c r="J213" s="106" t="s">
        <v>18</v>
      </c>
      <c r="K213" s="269">
        <f>SUM(K214:K217)</f>
        <v>0</v>
      </c>
    </row>
    <row r="214" spans="1:11" hidden="1" x14ac:dyDescent="0.35">
      <c r="A214" s="103"/>
      <c r="B214" s="12" t="s">
        <v>10</v>
      </c>
      <c r="C214" s="10" t="s">
        <v>362</v>
      </c>
      <c r="D214" s="152"/>
      <c r="E214" s="170"/>
      <c r="F214" s="153" t="str">
        <f t="shared" si="17"/>
        <v/>
      </c>
      <c r="G214" s="256"/>
      <c r="H214" s="166">
        <f t="shared" si="19"/>
        <v>0</v>
      </c>
      <c r="I214" s="10" t="s">
        <v>20</v>
      </c>
      <c r="J214" s="11">
        <v>11.08</v>
      </c>
      <c r="K214" s="12">
        <f>H214*J214</f>
        <v>0</v>
      </c>
    </row>
    <row r="215" spans="1:11" hidden="1" x14ac:dyDescent="0.35">
      <c r="A215" s="103"/>
      <c r="B215" s="12" t="s">
        <v>10</v>
      </c>
      <c r="C215" s="10" t="s">
        <v>363</v>
      </c>
      <c r="D215" s="152"/>
      <c r="E215" s="170"/>
      <c r="F215" s="153" t="str">
        <f t="shared" si="17"/>
        <v/>
      </c>
      <c r="G215" s="256"/>
      <c r="H215" s="166">
        <f t="shared" si="19"/>
        <v>0</v>
      </c>
      <c r="I215" s="10" t="s">
        <v>27</v>
      </c>
      <c r="J215" s="11">
        <v>16.21</v>
      </c>
      <c r="K215" s="12">
        <f t="shared" ref="K215:K217" si="25">H215*J215</f>
        <v>0</v>
      </c>
    </row>
    <row r="216" spans="1:11" hidden="1" x14ac:dyDescent="0.35">
      <c r="A216" s="103"/>
      <c r="B216" s="12" t="s">
        <v>10</v>
      </c>
      <c r="C216" s="10" t="s">
        <v>364</v>
      </c>
      <c r="D216" s="152"/>
      <c r="E216" s="170"/>
      <c r="F216" s="153" t="str">
        <f t="shared" si="17"/>
        <v/>
      </c>
      <c r="G216" s="256"/>
      <c r="H216" s="166">
        <f t="shared" si="19"/>
        <v>0</v>
      </c>
      <c r="I216" s="10" t="s">
        <v>27</v>
      </c>
      <c r="J216" s="11">
        <v>19.350000000000001</v>
      </c>
      <c r="K216" s="12">
        <f t="shared" si="25"/>
        <v>0</v>
      </c>
    </row>
    <row r="217" spans="1:11" hidden="1" x14ac:dyDescent="0.35">
      <c r="A217" s="103"/>
      <c r="B217" s="12" t="s">
        <v>10</v>
      </c>
      <c r="C217" s="10" t="s">
        <v>365</v>
      </c>
      <c r="D217" s="152"/>
      <c r="E217" s="170"/>
      <c r="F217" s="153" t="str">
        <f t="shared" si="17"/>
        <v/>
      </c>
      <c r="G217" s="256"/>
      <c r="H217" s="166">
        <f t="shared" si="19"/>
        <v>0</v>
      </c>
      <c r="I217" s="10" t="s">
        <v>27</v>
      </c>
      <c r="J217" s="11">
        <v>19.809999999999999</v>
      </c>
      <c r="K217" s="12">
        <f t="shared" si="25"/>
        <v>0</v>
      </c>
    </row>
    <row r="218" spans="1:11" ht="15.5" hidden="1" x14ac:dyDescent="0.35">
      <c r="A218" s="108" t="s">
        <v>366</v>
      </c>
      <c r="B218" s="108"/>
      <c r="C218" s="108"/>
      <c r="D218" s="223"/>
      <c r="E218" s="170"/>
      <c r="F218" s="165" t="str">
        <f t="shared" si="17"/>
        <v/>
      </c>
      <c r="G218" s="186"/>
      <c r="H218" s="247"/>
      <c r="I218" s="108"/>
      <c r="J218" s="106" t="s">
        <v>18</v>
      </c>
      <c r="K218" s="269">
        <f>SUM(K219:K219)</f>
        <v>0</v>
      </c>
    </row>
    <row r="219" spans="1:11" hidden="1" x14ac:dyDescent="0.35">
      <c r="A219" s="103"/>
      <c r="B219" s="12" t="s">
        <v>28</v>
      </c>
      <c r="C219" s="10" t="s">
        <v>29</v>
      </c>
      <c r="D219" s="152"/>
      <c r="E219" s="170"/>
      <c r="F219" s="153" t="str">
        <f t="shared" si="17"/>
        <v/>
      </c>
      <c r="G219" s="256"/>
      <c r="H219" s="166">
        <f t="shared" si="19"/>
        <v>0</v>
      </c>
      <c r="I219" s="10" t="s">
        <v>54</v>
      </c>
      <c r="J219" s="11">
        <v>104</v>
      </c>
      <c r="K219" s="12">
        <f>+J219*G219</f>
        <v>0</v>
      </c>
    </row>
    <row r="220" spans="1:11" ht="15.5" x14ac:dyDescent="0.35">
      <c r="A220" s="108" t="s">
        <v>367</v>
      </c>
      <c r="B220" s="108"/>
      <c r="C220" s="108"/>
      <c r="D220" s="223"/>
      <c r="E220" s="250"/>
      <c r="F220" s="165" t="str">
        <f t="shared" ref="F220:F255" si="26">IF(E220="","",IF(D220-E220&gt;0,D220-E220,""))</f>
        <v/>
      </c>
      <c r="G220" s="186"/>
      <c r="H220" s="247"/>
      <c r="I220" s="108"/>
      <c r="J220" s="106" t="s">
        <v>18</v>
      </c>
      <c r="K220" s="269">
        <f>SUM(K224:K239)</f>
        <v>0</v>
      </c>
    </row>
    <row r="221" spans="1:11" x14ac:dyDescent="0.35">
      <c r="A221" s="103"/>
      <c r="B221" s="12" t="s">
        <v>9</v>
      </c>
      <c r="C221" s="10" t="s">
        <v>423</v>
      </c>
      <c r="D221" s="152"/>
      <c r="E221" s="170"/>
      <c r="F221" s="153" t="str">
        <f t="shared" si="26"/>
        <v/>
      </c>
      <c r="G221" s="256"/>
      <c r="H221" s="166">
        <f t="shared" si="19"/>
        <v>0</v>
      </c>
      <c r="I221" s="10" t="s">
        <v>20</v>
      </c>
      <c r="J221" s="11">
        <v>78</v>
      </c>
      <c r="K221" s="50">
        <f t="shared" ref="K221:K240" si="27">G221*J221</f>
        <v>0</v>
      </c>
    </row>
    <row r="222" spans="1:11" x14ac:dyDescent="0.35">
      <c r="A222" s="103"/>
      <c r="B222" s="12" t="s">
        <v>9</v>
      </c>
      <c r="C222" s="10" t="s">
        <v>424</v>
      </c>
      <c r="D222" s="152"/>
      <c r="E222" s="170"/>
      <c r="F222" s="153" t="str">
        <f t="shared" si="26"/>
        <v/>
      </c>
      <c r="G222" s="256"/>
      <c r="H222" s="166">
        <f t="shared" si="19"/>
        <v>0</v>
      </c>
      <c r="I222" s="10" t="s">
        <v>61</v>
      </c>
      <c r="J222" s="51">
        <v>107.12</v>
      </c>
      <c r="K222" s="50">
        <f t="shared" si="27"/>
        <v>0</v>
      </c>
    </row>
    <row r="223" spans="1:11" x14ac:dyDescent="0.35">
      <c r="A223" s="103"/>
      <c r="B223" s="12" t="s">
        <v>9</v>
      </c>
      <c r="C223" s="10" t="s">
        <v>369</v>
      </c>
      <c r="D223" s="152"/>
      <c r="E223" s="170"/>
      <c r="F223" s="153" t="str">
        <f t="shared" si="26"/>
        <v/>
      </c>
      <c r="G223" s="256"/>
      <c r="H223" s="166">
        <f t="shared" si="19"/>
        <v>0</v>
      </c>
      <c r="I223" s="10" t="s">
        <v>20</v>
      </c>
      <c r="J223" s="11">
        <v>0.04</v>
      </c>
      <c r="K223" s="50">
        <f t="shared" si="27"/>
        <v>0</v>
      </c>
    </row>
    <row r="224" spans="1:11" x14ac:dyDescent="0.35">
      <c r="A224" s="103"/>
      <c r="B224" s="12" t="s">
        <v>9</v>
      </c>
      <c r="C224" s="10" t="s">
        <v>370</v>
      </c>
      <c r="D224" s="152"/>
      <c r="E224" s="170"/>
      <c r="F224" s="153" t="str">
        <f t="shared" si="26"/>
        <v/>
      </c>
      <c r="G224" s="256"/>
      <c r="H224" s="166">
        <f t="shared" si="19"/>
        <v>0</v>
      </c>
      <c r="I224" s="10" t="s">
        <v>20</v>
      </c>
      <c r="J224" s="11">
        <v>7.0999999999999994E-2</v>
      </c>
      <c r="K224" s="233">
        <f>H224*J224</f>
        <v>0</v>
      </c>
    </row>
    <row r="225" spans="1:11" x14ac:dyDescent="0.35">
      <c r="A225" s="103"/>
      <c r="B225" s="12" t="s">
        <v>9</v>
      </c>
      <c r="C225" s="10" t="s">
        <v>411</v>
      </c>
      <c r="D225" s="152"/>
      <c r="E225" s="170"/>
      <c r="F225" s="153" t="str">
        <f t="shared" si="26"/>
        <v/>
      </c>
      <c r="G225" s="256"/>
      <c r="H225" s="166">
        <f t="shared" si="19"/>
        <v>0</v>
      </c>
      <c r="I225" s="10" t="s">
        <v>20</v>
      </c>
      <c r="J225" s="11">
        <v>1.97</v>
      </c>
      <c r="K225" s="233">
        <f>H225*J225</f>
        <v>0</v>
      </c>
    </row>
    <row r="226" spans="1:11" x14ac:dyDescent="0.35">
      <c r="A226" s="103"/>
      <c r="B226" s="12" t="s">
        <v>9</v>
      </c>
      <c r="C226" s="10" t="s">
        <v>371</v>
      </c>
      <c r="D226" s="152"/>
      <c r="E226" s="170"/>
      <c r="F226" s="153" t="str">
        <f t="shared" si="26"/>
        <v/>
      </c>
      <c r="G226" s="256"/>
      <c r="H226" s="166">
        <f t="shared" si="19"/>
        <v>0</v>
      </c>
      <c r="I226" s="10" t="s">
        <v>61</v>
      </c>
      <c r="J226" s="11">
        <v>163.80000000000001</v>
      </c>
      <c r="K226" s="233">
        <f t="shared" ref="K226:K239" si="28">H226*J226</f>
        <v>0</v>
      </c>
    </row>
    <row r="227" spans="1:11" x14ac:dyDescent="0.35">
      <c r="A227" s="103"/>
      <c r="B227" s="12" t="s">
        <v>9</v>
      </c>
      <c r="C227" s="10" t="s">
        <v>410</v>
      </c>
      <c r="D227" s="152"/>
      <c r="E227" s="170"/>
      <c r="F227" s="153" t="str">
        <f t="shared" si="26"/>
        <v/>
      </c>
      <c r="G227" s="256"/>
      <c r="H227" s="166">
        <f t="shared" si="19"/>
        <v>0</v>
      </c>
      <c r="I227" s="10" t="s">
        <v>61</v>
      </c>
      <c r="J227" s="11">
        <v>49.33</v>
      </c>
      <c r="K227" s="233">
        <f t="shared" si="28"/>
        <v>0</v>
      </c>
    </row>
    <row r="228" spans="1:11" x14ac:dyDescent="0.35">
      <c r="A228" s="103"/>
      <c r="B228" s="12" t="s">
        <v>9</v>
      </c>
      <c r="C228" s="10" t="s">
        <v>373</v>
      </c>
      <c r="D228" s="152"/>
      <c r="E228" s="170"/>
      <c r="F228" s="153" t="str">
        <f t="shared" si="26"/>
        <v/>
      </c>
      <c r="G228" s="256"/>
      <c r="H228" s="166">
        <f t="shared" si="19"/>
        <v>0</v>
      </c>
      <c r="I228" s="10" t="s">
        <v>61</v>
      </c>
      <c r="J228" s="11">
        <v>105.6</v>
      </c>
      <c r="K228" s="233">
        <f t="shared" si="28"/>
        <v>0</v>
      </c>
    </row>
    <row r="229" spans="1:11" x14ac:dyDescent="0.35">
      <c r="A229" s="103"/>
      <c r="B229" s="12" t="s">
        <v>9</v>
      </c>
      <c r="C229" s="10" t="s">
        <v>374</v>
      </c>
      <c r="D229" s="152"/>
      <c r="E229" s="170"/>
      <c r="F229" s="153" t="str">
        <f t="shared" si="26"/>
        <v/>
      </c>
      <c r="G229" s="256"/>
      <c r="H229" s="166">
        <f t="shared" si="19"/>
        <v>0</v>
      </c>
      <c r="I229" s="10" t="s">
        <v>61</v>
      </c>
      <c r="J229" s="11">
        <v>114.75</v>
      </c>
      <c r="K229" s="233">
        <f t="shared" si="28"/>
        <v>0</v>
      </c>
    </row>
    <row r="230" spans="1:11" x14ac:dyDescent="0.35">
      <c r="A230" s="103"/>
      <c r="B230" s="12" t="s">
        <v>9</v>
      </c>
      <c r="C230" s="10" t="s">
        <v>375</v>
      </c>
      <c r="D230" s="152"/>
      <c r="E230" s="170"/>
      <c r="F230" s="153" t="str">
        <f t="shared" si="26"/>
        <v/>
      </c>
      <c r="G230" s="256"/>
      <c r="H230" s="166">
        <f t="shared" si="19"/>
        <v>0</v>
      </c>
      <c r="I230" s="10" t="s">
        <v>61</v>
      </c>
      <c r="J230" s="11">
        <v>105.55</v>
      </c>
      <c r="K230" s="233">
        <f t="shared" si="28"/>
        <v>0</v>
      </c>
    </row>
    <row r="231" spans="1:11" x14ac:dyDescent="0.35">
      <c r="A231" s="103"/>
      <c r="B231" s="12" t="s">
        <v>9</v>
      </c>
      <c r="C231" s="10" t="s">
        <v>376</v>
      </c>
      <c r="D231" s="152"/>
      <c r="E231" s="170"/>
      <c r="F231" s="153" t="str">
        <f t="shared" si="26"/>
        <v/>
      </c>
      <c r="G231" s="256"/>
      <c r="H231" s="166">
        <f t="shared" si="19"/>
        <v>0</v>
      </c>
      <c r="I231" s="10" t="s">
        <v>61</v>
      </c>
      <c r="J231" s="11">
        <v>33.25</v>
      </c>
      <c r="K231" s="233">
        <f t="shared" si="28"/>
        <v>0</v>
      </c>
    </row>
    <row r="232" spans="1:11" x14ac:dyDescent="0.35">
      <c r="A232" s="103"/>
      <c r="B232" s="12" t="s">
        <v>9</v>
      </c>
      <c r="C232" s="10" t="s">
        <v>377</v>
      </c>
      <c r="D232" s="152"/>
      <c r="E232" s="170"/>
      <c r="F232" s="153" t="str">
        <f t="shared" si="26"/>
        <v/>
      </c>
      <c r="G232" s="256"/>
      <c r="H232" s="166">
        <f t="shared" si="19"/>
        <v>0</v>
      </c>
      <c r="I232" s="10" t="s">
        <v>20</v>
      </c>
      <c r="J232" s="11">
        <v>0.28999999999999998</v>
      </c>
      <c r="K232" s="233">
        <f t="shared" si="28"/>
        <v>0</v>
      </c>
    </row>
    <row r="233" spans="1:11" x14ac:dyDescent="0.35">
      <c r="A233" s="103"/>
      <c r="B233" s="12" t="s">
        <v>9</v>
      </c>
      <c r="C233" s="10" t="s">
        <v>378</v>
      </c>
      <c r="D233" s="152"/>
      <c r="E233" s="170"/>
      <c r="F233" s="153" t="str">
        <f t="shared" si="26"/>
        <v/>
      </c>
      <c r="G233" s="256"/>
      <c r="H233" s="166">
        <f t="shared" si="19"/>
        <v>0</v>
      </c>
      <c r="I233" s="10" t="s">
        <v>61</v>
      </c>
      <c r="J233" s="35">
        <v>37.85</v>
      </c>
      <c r="K233" s="233">
        <f t="shared" si="28"/>
        <v>0</v>
      </c>
    </row>
    <row r="234" spans="1:11" x14ac:dyDescent="0.35">
      <c r="A234" s="103"/>
      <c r="B234" s="12" t="s">
        <v>9</v>
      </c>
      <c r="C234" s="10" t="s">
        <v>425</v>
      </c>
      <c r="D234" s="152">
        <v>1</v>
      </c>
      <c r="E234" s="170"/>
      <c r="F234" s="153" t="str">
        <f t="shared" si="26"/>
        <v/>
      </c>
      <c r="G234" s="256"/>
      <c r="H234" s="166">
        <f t="shared" si="19"/>
        <v>0</v>
      </c>
      <c r="I234" s="10" t="s">
        <v>61</v>
      </c>
      <c r="J234" s="35">
        <v>111.47</v>
      </c>
      <c r="K234" s="233">
        <f t="shared" si="28"/>
        <v>0</v>
      </c>
    </row>
    <row r="235" spans="1:11" x14ac:dyDescent="0.35">
      <c r="A235" s="103"/>
      <c r="B235" s="12" t="s">
        <v>9</v>
      </c>
      <c r="C235" s="10" t="s">
        <v>379</v>
      </c>
      <c r="D235" s="152"/>
      <c r="E235" s="170"/>
      <c r="F235" s="153" t="str">
        <f t="shared" si="26"/>
        <v/>
      </c>
      <c r="G235" s="256"/>
      <c r="H235" s="166">
        <f t="shared" si="19"/>
        <v>0</v>
      </c>
      <c r="I235" s="10" t="s">
        <v>61</v>
      </c>
      <c r="J235" s="35">
        <v>174.97</v>
      </c>
      <c r="K235" s="233">
        <f t="shared" si="28"/>
        <v>0</v>
      </c>
    </row>
    <row r="236" spans="1:11" x14ac:dyDescent="0.35">
      <c r="A236" s="103"/>
      <c r="B236" s="12" t="s">
        <v>9</v>
      </c>
      <c r="C236" s="10" t="s">
        <v>380</v>
      </c>
      <c r="D236" s="152"/>
      <c r="E236" s="170"/>
      <c r="F236" s="153" t="str">
        <f t="shared" si="26"/>
        <v/>
      </c>
      <c r="G236" s="256"/>
      <c r="H236" s="166">
        <f t="shared" si="19"/>
        <v>0</v>
      </c>
      <c r="I236" s="10" t="s">
        <v>61</v>
      </c>
      <c r="J236" s="35">
        <v>44.93</v>
      </c>
      <c r="K236" s="233">
        <f>H236*J236</f>
        <v>0</v>
      </c>
    </row>
    <row r="237" spans="1:11" x14ac:dyDescent="0.35">
      <c r="A237" s="103"/>
      <c r="B237" s="12" t="s">
        <v>9</v>
      </c>
      <c r="C237" s="10" t="s">
        <v>426</v>
      </c>
      <c r="D237" s="152">
        <v>1</v>
      </c>
      <c r="E237" s="170"/>
      <c r="F237" s="153" t="str">
        <f t="shared" si="26"/>
        <v/>
      </c>
      <c r="G237" s="256"/>
      <c r="H237" s="166">
        <f t="shared" si="19"/>
        <v>0</v>
      </c>
      <c r="I237" s="10" t="s">
        <v>61</v>
      </c>
      <c r="J237" s="35"/>
      <c r="K237" s="233">
        <f>H237*J237</f>
        <v>0</v>
      </c>
    </row>
    <row r="238" spans="1:11" x14ac:dyDescent="0.35">
      <c r="A238" s="103"/>
      <c r="B238" s="12" t="s">
        <v>9</v>
      </c>
      <c r="C238" s="10" t="s">
        <v>427</v>
      </c>
      <c r="D238" s="152">
        <v>1</v>
      </c>
      <c r="E238" s="170"/>
      <c r="F238" s="153" t="str">
        <f t="shared" si="26"/>
        <v/>
      </c>
      <c r="G238" s="256"/>
      <c r="H238" s="166">
        <f t="shared" si="19"/>
        <v>0</v>
      </c>
      <c r="I238" s="10" t="s">
        <v>61</v>
      </c>
      <c r="J238" s="35"/>
      <c r="K238" s="233">
        <f>H238*J238</f>
        <v>0</v>
      </c>
    </row>
    <row r="239" spans="1:11" x14ac:dyDescent="0.35">
      <c r="A239" s="103"/>
      <c r="B239" s="12" t="s">
        <v>9</v>
      </c>
      <c r="C239" s="10" t="s">
        <v>428</v>
      </c>
      <c r="D239" s="152"/>
      <c r="E239" s="170"/>
      <c r="F239" s="153" t="str">
        <f t="shared" si="26"/>
        <v/>
      </c>
      <c r="G239" s="256"/>
      <c r="H239" s="166">
        <f t="shared" si="19"/>
        <v>0</v>
      </c>
      <c r="I239" s="10" t="s">
        <v>61</v>
      </c>
      <c r="J239" s="35"/>
      <c r="K239" s="233">
        <f t="shared" si="28"/>
        <v>0</v>
      </c>
    </row>
    <row r="240" spans="1:11" x14ac:dyDescent="0.35">
      <c r="A240" s="103"/>
      <c r="B240" s="12" t="s">
        <v>9</v>
      </c>
      <c r="C240" s="10" t="s">
        <v>381</v>
      </c>
      <c r="D240" s="152"/>
      <c r="E240" s="170"/>
      <c r="F240" s="153" t="str">
        <f t="shared" si="26"/>
        <v/>
      </c>
      <c r="G240" s="256"/>
      <c r="H240" s="166">
        <f t="shared" si="19"/>
        <v>0</v>
      </c>
      <c r="I240" s="10" t="s">
        <v>61</v>
      </c>
      <c r="J240" s="35">
        <v>0.02</v>
      </c>
      <c r="K240" s="50">
        <f t="shared" si="27"/>
        <v>0</v>
      </c>
    </row>
    <row r="241" spans="1:18" ht="15.5" x14ac:dyDescent="0.35">
      <c r="A241" s="108" t="s">
        <v>382</v>
      </c>
      <c r="B241" s="108"/>
      <c r="C241" s="108"/>
      <c r="D241" s="223"/>
      <c r="E241" s="250"/>
      <c r="F241" s="165" t="str">
        <f t="shared" si="26"/>
        <v/>
      </c>
      <c r="G241" s="186"/>
      <c r="H241" s="247"/>
      <c r="I241" s="108">
        <v>29.2</v>
      </c>
      <c r="J241" s="106" t="s">
        <v>18</v>
      </c>
      <c r="K241" s="269">
        <f>SUM(K242:K252)</f>
        <v>54.470000000000006</v>
      </c>
    </row>
    <row r="242" spans="1:18" hidden="1" x14ac:dyDescent="0.35">
      <c r="A242" s="103"/>
      <c r="B242" s="12" t="s">
        <v>31</v>
      </c>
      <c r="C242" s="10" t="s">
        <v>383</v>
      </c>
      <c r="D242" s="152"/>
      <c r="E242" s="170"/>
      <c r="F242" s="153" t="str">
        <f t="shared" si="26"/>
        <v/>
      </c>
      <c r="G242" s="256"/>
      <c r="H242" s="166">
        <f t="shared" ref="H242:H255" si="29">IF(ISNUMBER(E242),E242,0)+IF(ISNUMBER(F242),F242,0)-IF(ISNUMBER(G242),G242,0)</f>
        <v>0</v>
      </c>
      <c r="I242" s="10">
        <v>19.03</v>
      </c>
      <c r="J242" s="11">
        <v>5.5</v>
      </c>
      <c r="K242" s="12">
        <f t="shared" ref="K242" si="30">G242*J242</f>
        <v>0</v>
      </c>
    </row>
    <row r="243" spans="1:18" x14ac:dyDescent="0.35">
      <c r="A243" s="103"/>
      <c r="B243" s="12" t="s">
        <v>31</v>
      </c>
      <c r="C243" s="10" t="s">
        <v>39</v>
      </c>
      <c r="D243" s="152">
        <v>2</v>
      </c>
      <c r="E243" s="170">
        <v>1</v>
      </c>
      <c r="F243" s="153">
        <f t="shared" si="26"/>
        <v>1</v>
      </c>
      <c r="G243" s="256">
        <v>1</v>
      </c>
      <c r="H243" s="166">
        <f t="shared" si="29"/>
        <v>1</v>
      </c>
      <c r="I243" s="10">
        <v>8.4600000000000009</v>
      </c>
      <c r="J243" s="11">
        <v>4.55</v>
      </c>
      <c r="K243" s="12">
        <f>H243*J243</f>
        <v>4.55</v>
      </c>
      <c r="R243" s="87"/>
    </row>
    <row r="244" spans="1:18" x14ac:dyDescent="0.35">
      <c r="A244" s="103"/>
      <c r="B244" s="12" t="s">
        <v>31</v>
      </c>
      <c r="C244" s="10" t="s">
        <v>422</v>
      </c>
      <c r="D244" s="152">
        <v>1</v>
      </c>
      <c r="E244" s="170">
        <v>1</v>
      </c>
      <c r="F244" s="153" t="str">
        <f t="shared" si="26"/>
        <v/>
      </c>
      <c r="G244" s="256"/>
      <c r="H244" s="166">
        <f t="shared" si="29"/>
        <v>1</v>
      </c>
      <c r="I244" s="10" t="s">
        <v>20</v>
      </c>
      <c r="J244" s="11">
        <v>3.7</v>
      </c>
      <c r="K244" s="12">
        <f t="shared" ref="K244:K255" si="31">H244*J244</f>
        <v>3.7</v>
      </c>
    </row>
    <row r="245" spans="1:18" x14ac:dyDescent="0.35">
      <c r="A245" s="103"/>
      <c r="B245" s="12" t="s">
        <v>31</v>
      </c>
      <c r="C245" s="10" t="s">
        <v>67</v>
      </c>
      <c r="D245" s="152">
        <v>1</v>
      </c>
      <c r="E245" s="170">
        <v>1</v>
      </c>
      <c r="F245" s="153" t="str">
        <f t="shared" si="26"/>
        <v/>
      </c>
      <c r="G245" s="256"/>
      <c r="H245" s="166">
        <f t="shared" si="29"/>
        <v>1</v>
      </c>
      <c r="I245" s="10" t="s">
        <v>20</v>
      </c>
      <c r="J245" s="11">
        <v>15.56</v>
      </c>
      <c r="K245" s="12">
        <f t="shared" si="31"/>
        <v>15.56</v>
      </c>
    </row>
    <row r="246" spans="1:18" hidden="1" x14ac:dyDescent="0.35">
      <c r="A246" s="103"/>
      <c r="B246" s="12" t="s">
        <v>31</v>
      </c>
      <c r="C246" s="10" t="s">
        <v>384</v>
      </c>
      <c r="D246" s="152"/>
      <c r="E246" s="170"/>
      <c r="F246" s="153" t="str">
        <f t="shared" si="26"/>
        <v/>
      </c>
      <c r="G246" s="256"/>
      <c r="H246" s="166">
        <f t="shared" si="29"/>
        <v>0</v>
      </c>
      <c r="I246" s="10" t="s">
        <v>20</v>
      </c>
      <c r="J246" s="11">
        <v>0.8</v>
      </c>
      <c r="K246" s="12">
        <f t="shared" si="31"/>
        <v>0</v>
      </c>
    </row>
    <row r="247" spans="1:18" hidden="1" x14ac:dyDescent="0.35">
      <c r="A247" s="103"/>
      <c r="B247" s="12" t="s">
        <v>31</v>
      </c>
      <c r="C247" s="10" t="s">
        <v>385</v>
      </c>
      <c r="D247" s="152"/>
      <c r="E247" s="170"/>
      <c r="F247" s="153" t="str">
        <f t="shared" si="26"/>
        <v/>
      </c>
      <c r="G247" s="256"/>
      <c r="H247" s="166">
        <f t="shared" si="29"/>
        <v>0</v>
      </c>
      <c r="I247" s="10" t="s">
        <v>20</v>
      </c>
      <c r="J247" s="11">
        <v>1.83</v>
      </c>
      <c r="K247" s="12">
        <f t="shared" si="31"/>
        <v>0</v>
      </c>
    </row>
    <row r="248" spans="1:18" x14ac:dyDescent="0.35">
      <c r="A248" s="103"/>
      <c r="B248" s="12" t="s">
        <v>31</v>
      </c>
      <c r="C248" s="10" t="s">
        <v>386</v>
      </c>
      <c r="D248" s="152">
        <v>2</v>
      </c>
      <c r="E248" s="170">
        <v>0</v>
      </c>
      <c r="F248" s="153">
        <f t="shared" si="26"/>
        <v>2</v>
      </c>
      <c r="G248" s="256"/>
      <c r="H248" s="166">
        <f t="shared" si="29"/>
        <v>2</v>
      </c>
      <c r="I248" s="10" t="s">
        <v>20</v>
      </c>
      <c r="J248" s="11">
        <v>2.65</v>
      </c>
      <c r="K248" s="12">
        <f t="shared" si="31"/>
        <v>5.3</v>
      </c>
    </row>
    <row r="249" spans="1:18" x14ac:dyDescent="0.35">
      <c r="A249" s="103"/>
      <c r="B249" s="12" t="s">
        <v>31</v>
      </c>
      <c r="C249" s="10" t="s">
        <v>65</v>
      </c>
      <c r="D249" s="152">
        <v>1</v>
      </c>
      <c r="E249" s="170">
        <v>1</v>
      </c>
      <c r="F249" s="153" t="str">
        <f t="shared" si="26"/>
        <v/>
      </c>
      <c r="G249" s="256"/>
      <c r="H249" s="166">
        <f t="shared" si="29"/>
        <v>1</v>
      </c>
      <c r="I249" s="10" t="s">
        <v>20</v>
      </c>
      <c r="J249" s="11">
        <v>13.43</v>
      </c>
      <c r="K249" s="12">
        <f t="shared" si="31"/>
        <v>13.43</v>
      </c>
    </row>
    <row r="250" spans="1:18" hidden="1" x14ac:dyDescent="0.35">
      <c r="A250" s="103"/>
      <c r="B250" s="12" t="s">
        <v>31</v>
      </c>
      <c r="C250" s="10" t="s">
        <v>66</v>
      </c>
      <c r="D250" s="152"/>
      <c r="E250" s="170"/>
      <c r="F250" s="153" t="str">
        <f t="shared" si="26"/>
        <v/>
      </c>
      <c r="G250" s="256"/>
      <c r="H250" s="166">
        <f t="shared" si="29"/>
        <v>0</v>
      </c>
      <c r="I250" s="10" t="s">
        <v>20</v>
      </c>
      <c r="J250" s="11">
        <v>75.38</v>
      </c>
      <c r="K250" s="12">
        <f t="shared" si="31"/>
        <v>0</v>
      </c>
    </row>
    <row r="251" spans="1:18" x14ac:dyDescent="0.35">
      <c r="A251" s="103"/>
      <c r="B251" s="12" t="s">
        <v>31</v>
      </c>
      <c r="C251" s="10" t="s">
        <v>412</v>
      </c>
      <c r="D251" s="152">
        <v>1</v>
      </c>
      <c r="E251" s="170">
        <v>1</v>
      </c>
      <c r="F251" s="153" t="str">
        <f t="shared" si="26"/>
        <v/>
      </c>
      <c r="G251" s="256"/>
      <c r="H251" s="166">
        <f t="shared" si="29"/>
        <v>1</v>
      </c>
      <c r="I251" s="10" t="s">
        <v>20</v>
      </c>
      <c r="J251" s="11">
        <v>8.43</v>
      </c>
      <c r="K251" s="12">
        <f t="shared" si="31"/>
        <v>8.43</v>
      </c>
    </row>
    <row r="252" spans="1:18" x14ac:dyDescent="0.35">
      <c r="A252" s="103"/>
      <c r="B252" s="12" t="s">
        <v>31</v>
      </c>
      <c r="C252" s="10" t="s">
        <v>69</v>
      </c>
      <c r="D252" s="152">
        <v>1</v>
      </c>
      <c r="E252" s="170">
        <v>1</v>
      </c>
      <c r="F252" s="153" t="str">
        <f t="shared" si="26"/>
        <v/>
      </c>
      <c r="G252" s="256"/>
      <c r="H252" s="166">
        <f t="shared" si="29"/>
        <v>1</v>
      </c>
      <c r="I252" s="10" t="s">
        <v>63</v>
      </c>
      <c r="J252" s="11">
        <v>3.5</v>
      </c>
      <c r="K252" s="12">
        <f t="shared" si="31"/>
        <v>3.5</v>
      </c>
    </row>
    <row r="253" spans="1:18" ht="15.5" hidden="1" x14ac:dyDescent="0.35">
      <c r="A253" s="108" t="s">
        <v>57</v>
      </c>
      <c r="B253" s="108"/>
      <c r="C253" s="108"/>
      <c r="D253" s="111"/>
      <c r="E253" s="162"/>
      <c r="F253" s="165" t="str">
        <f t="shared" si="26"/>
        <v/>
      </c>
      <c r="G253" s="186"/>
      <c r="H253" s="247"/>
      <c r="I253" s="108"/>
      <c r="J253" s="106" t="s">
        <v>18</v>
      </c>
      <c r="K253" s="270">
        <f>K254+K255</f>
        <v>0</v>
      </c>
    </row>
    <row r="254" spans="1:18" hidden="1" x14ac:dyDescent="0.35">
      <c r="A254" s="103"/>
      <c r="B254" s="12" t="s">
        <v>56</v>
      </c>
      <c r="C254" s="10" t="s">
        <v>58</v>
      </c>
      <c r="D254" s="135"/>
      <c r="E254" s="187"/>
      <c r="F254" s="153" t="str">
        <f t="shared" si="26"/>
        <v/>
      </c>
      <c r="G254" s="256"/>
      <c r="H254" s="166">
        <f t="shared" si="29"/>
        <v>0</v>
      </c>
      <c r="I254" s="10" t="s">
        <v>20</v>
      </c>
      <c r="J254" s="11">
        <v>54.05</v>
      </c>
      <c r="K254" s="12">
        <f t="shared" si="31"/>
        <v>0</v>
      </c>
    </row>
    <row r="255" spans="1:18" hidden="1" x14ac:dyDescent="0.35">
      <c r="A255" s="103"/>
      <c r="B255" s="12" t="s">
        <v>56</v>
      </c>
      <c r="C255" s="10" t="s">
        <v>388</v>
      </c>
      <c r="D255" s="135"/>
      <c r="E255" s="187"/>
      <c r="F255" s="153" t="str">
        <f t="shared" si="26"/>
        <v/>
      </c>
      <c r="G255" s="256"/>
      <c r="H255" s="166">
        <f t="shared" si="29"/>
        <v>0</v>
      </c>
      <c r="I255" s="10" t="s">
        <v>20</v>
      </c>
      <c r="J255" s="11">
        <v>0</v>
      </c>
      <c r="K255" s="12">
        <f t="shared" si="31"/>
        <v>0</v>
      </c>
    </row>
  </sheetData>
  <mergeCells count="2">
    <mergeCell ref="B1:C1"/>
    <mergeCell ref="B2:C2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C1CB6-8BCF-410A-95B6-F7ED016117E8}">
  <sheetPr codeName="Feuil33">
    <tabColor rgb="FFFF5050"/>
  </sheetPr>
  <dimension ref="A1:R255"/>
  <sheetViews>
    <sheetView topLeftCell="B21" zoomScale="112" zoomScaleNormal="112" workbookViewId="0">
      <selection activeCell="M244" sqref="M244"/>
    </sheetView>
  </sheetViews>
  <sheetFormatPr baseColWidth="10" defaultColWidth="10.7265625" defaultRowHeight="14.5" x14ac:dyDescent="0.35"/>
  <cols>
    <col min="1" max="1" width="2.81640625" customWidth="1"/>
    <col min="2" max="2" width="30.1796875" bestFit="1" customWidth="1"/>
    <col min="3" max="3" width="44.54296875" bestFit="1" customWidth="1"/>
    <col min="4" max="4" width="14.26953125" style="13" bestFit="1" customWidth="1"/>
    <col min="5" max="5" width="17.1796875" style="34" bestFit="1" customWidth="1"/>
    <col min="6" max="6" width="17" bestFit="1" customWidth="1"/>
    <col min="7" max="7" width="15.26953125" style="253" bestFit="1" customWidth="1"/>
    <col min="8" max="8" width="10.26953125" style="16" customWidth="1"/>
    <col min="9" max="9" width="6.81640625" bestFit="1" customWidth="1"/>
    <col min="10" max="10" width="10.26953125" customWidth="1"/>
    <col min="11" max="11" width="19.54296875" bestFit="1" customWidth="1"/>
  </cols>
  <sheetData>
    <row r="1" spans="2:6" ht="15" thickBot="1" x14ac:dyDescent="0.4">
      <c r="B1" s="321" t="s">
        <v>198</v>
      </c>
      <c r="C1" s="322"/>
      <c r="E1" s="154"/>
      <c r="F1" s="89"/>
    </row>
    <row r="2" spans="2:6" ht="15" thickBot="1" x14ac:dyDescent="0.4">
      <c r="B2" s="319"/>
      <c r="C2" s="320"/>
      <c r="E2" s="155"/>
      <c r="F2" s="90"/>
    </row>
    <row r="3" spans="2:6" x14ac:dyDescent="0.35">
      <c r="B3" s="75"/>
      <c r="C3" s="75"/>
      <c r="E3" s="156"/>
      <c r="F3" s="75"/>
    </row>
    <row r="4" spans="2:6" ht="15.5" x14ac:dyDescent="0.35">
      <c r="B4" s="70" t="s">
        <v>0</v>
      </c>
      <c r="C4" s="70" t="s">
        <v>1</v>
      </c>
      <c r="E4" s="157"/>
      <c r="F4" s="91"/>
    </row>
    <row r="5" spans="2:6" x14ac:dyDescent="0.35">
      <c r="B5" s="71" t="s">
        <v>2</v>
      </c>
      <c r="C5" s="72">
        <f>K23</f>
        <v>1158</v>
      </c>
      <c r="E5" s="156"/>
      <c r="F5" s="75"/>
    </row>
    <row r="6" spans="2:6" x14ac:dyDescent="0.35">
      <c r="B6" s="71" t="s">
        <v>7</v>
      </c>
      <c r="C6" s="72">
        <f>K41</f>
        <v>0</v>
      </c>
      <c r="E6" s="156"/>
      <c r="F6" s="75"/>
    </row>
    <row r="7" spans="2:6" x14ac:dyDescent="0.35">
      <c r="B7" s="71" t="s">
        <v>13</v>
      </c>
      <c r="C7" s="72">
        <f>K50</f>
        <v>623.49999999999989</v>
      </c>
      <c r="E7" s="156"/>
      <c r="F7" s="75"/>
    </row>
    <row r="8" spans="2:6" x14ac:dyDescent="0.35">
      <c r="B8" s="71" t="s">
        <v>3</v>
      </c>
      <c r="C8" s="72">
        <f>K78</f>
        <v>41.5</v>
      </c>
      <c r="E8" s="156"/>
      <c r="F8" s="75"/>
    </row>
    <row r="9" spans="2:6" x14ac:dyDescent="0.35">
      <c r="B9" s="71" t="s">
        <v>4</v>
      </c>
      <c r="C9" s="72">
        <f>K122</f>
        <v>156.23000000000002</v>
      </c>
      <c r="E9" s="156"/>
      <c r="F9" s="75"/>
    </row>
    <row r="10" spans="2:6" x14ac:dyDescent="0.35">
      <c r="B10" s="71" t="s">
        <v>199</v>
      </c>
      <c r="C10" s="72">
        <f>K176</f>
        <v>0</v>
      </c>
      <c r="E10" s="156"/>
      <c r="F10" s="75"/>
    </row>
    <row r="11" spans="2:6" x14ac:dyDescent="0.35">
      <c r="B11" s="71" t="s">
        <v>200</v>
      </c>
      <c r="C11" s="72">
        <f>K187</f>
        <v>0</v>
      </c>
      <c r="E11" s="156"/>
      <c r="F11" s="75"/>
    </row>
    <row r="12" spans="2:6" x14ac:dyDescent="0.35">
      <c r="B12" s="71" t="s">
        <v>201</v>
      </c>
      <c r="C12" s="72">
        <f>K193</f>
        <v>0</v>
      </c>
      <c r="E12" s="156"/>
      <c r="F12" s="75"/>
    </row>
    <row r="13" spans="2:6" x14ac:dyDescent="0.35">
      <c r="B13" s="71" t="s">
        <v>202</v>
      </c>
      <c r="C13" s="72">
        <f>K195</f>
        <v>0</v>
      </c>
      <c r="E13" s="156"/>
      <c r="F13" s="75"/>
    </row>
    <row r="14" spans="2:6" x14ac:dyDescent="0.35">
      <c r="B14" s="71" t="s">
        <v>203</v>
      </c>
      <c r="C14" s="72">
        <f>K208</f>
        <v>0</v>
      </c>
      <c r="E14" s="285"/>
      <c r="F14" s="75"/>
    </row>
    <row r="15" spans="2:6" ht="15" hidden="1" customHeight="1" x14ac:dyDescent="0.35">
      <c r="B15" s="71" t="s">
        <v>416</v>
      </c>
      <c r="C15" s="72">
        <f>K213</f>
        <v>0</v>
      </c>
      <c r="E15" s="156"/>
      <c r="F15" s="75"/>
    </row>
    <row r="16" spans="2:6" x14ac:dyDescent="0.35">
      <c r="B16" s="71" t="s">
        <v>204</v>
      </c>
      <c r="C16" s="72">
        <f>K218</f>
        <v>0</v>
      </c>
      <c r="E16" s="156"/>
      <c r="F16" s="75"/>
    </row>
    <row r="17" spans="1:17" x14ac:dyDescent="0.35">
      <c r="B17" s="71" t="s">
        <v>9</v>
      </c>
      <c r="C17" s="72">
        <f>K220</f>
        <v>189.65</v>
      </c>
      <c r="E17" s="156"/>
      <c r="F17" s="75"/>
    </row>
    <row r="18" spans="1:17" x14ac:dyDescent="0.35">
      <c r="B18" s="71" t="s">
        <v>205</v>
      </c>
      <c r="C18" s="72">
        <f>K241</f>
        <v>51.82</v>
      </c>
      <c r="E18" s="156"/>
      <c r="F18" s="75"/>
    </row>
    <row r="19" spans="1:17" x14ac:dyDescent="0.35">
      <c r="B19" s="71" t="s">
        <v>56</v>
      </c>
      <c r="C19" s="72">
        <f>K253</f>
        <v>0</v>
      </c>
      <c r="E19" s="156"/>
      <c r="F19" s="75"/>
    </row>
    <row r="20" spans="1:17" x14ac:dyDescent="0.35">
      <c r="B20" s="73" t="s">
        <v>14</v>
      </c>
      <c r="C20" s="74">
        <f>C5+C6+C7+C8+C9+C10+C11+C12+C13+C14+C15+C16+C17+C18+C19</f>
        <v>2220.7000000000003</v>
      </c>
      <c r="E20" s="248"/>
      <c r="F20" s="243"/>
    </row>
    <row r="21" spans="1:17" ht="18.5" x14ac:dyDescent="0.45">
      <c r="A21" s="76" t="s">
        <v>397</v>
      </c>
      <c r="B21" s="76"/>
      <c r="C21" s="76"/>
      <c r="D21" s="234"/>
      <c r="E21" s="160"/>
      <c r="F21" s="76"/>
      <c r="G21" s="254"/>
      <c r="H21" s="69"/>
      <c r="I21" s="76"/>
      <c r="J21" s="76"/>
      <c r="K21" s="76"/>
    </row>
    <row r="22" spans="1:17" x14ac:dyDescent="0.35">
      <c r="A22" s="129"/>
      <c r="B22" s="129" t="s">
        <v>15</v>
      </c>
      <c r="C22" s="129" t="s">
        <v>16</v>
      </c>
      <c r="D22" s="235" t="s">
        <v>398</v>
      </c>
      <c r="E22" s="185" t="s">
        <v>404</v>
      </c>
      <c r="F22" s="130" t="s">
        <v>399</v>
      </c>
      <c r="G22" s="255" t="s">
        <v>405</v>
      </c>
      <c r="H22" s="131" t="s">
        <v>408</v>
      </c>
      <c r="I22" s="129" t="s">
        <v>406</v>
      </c>
      <c r="J22" s="133" t="s">
        <v>45</v>
      </c>
      <c r="K22" s="129" t="s">
        <v>1</v>
      </c>
    </row>
    <row r="23" spans="1:17" ht="15.5" x14ac:dyDescent="0.35">
      <c r="A23" s="108" t="s">
        <v>208</v>
      </c>
      <c r="B23" s="108"/>
      <c r="C23" s="108"/>
      <c r="D23" s="111"/>
      <c r="E23" s="286" t="s">
        <v>421</v>
      </c>
      <c r="F23" s="108"/>
      <c r="G23" s="286" t="s">
        <v>421</v>
      </c>
      <c r="H23" s="109"/>
      <c r="I23" s="108"/>
      <c r="J23" s="110" t="s">
        <v>18</v>
      </c>
      <c r="K23" s="269">
        <f>SUM(K24:K40)</f>
        <v>1158</v>
      </c>
    </row>
    <row r="24" spans="1:17" hidden="1" x14ac:dyDescent="0.35">
      <c r="A24" s="103"/>
      <c r="B24" s="7" t="s">
        <v>2</v>
      </c>
      <c r="C24" s="14" t="s">
        <v>19</v>
      </c>
      <c r="D24" s="152"/>
      <c r="E24" s="187"/>
      <c r="F24" s="153" t="str">
        <f t="shared" ref="F24:F88" si="0">IF(E24="","",IF(D24-E24&gt;0,D24-E24,""))</f>
        <v/>
      </c>
      <c r="G24" s="256"/>
      <c r="H24" s="166">
        <f t="shared" ref="H24:H45" si="1">IF(ISNUMBER(E24),E24,0)+IF(ISNUMBER(F24),F24,0)-IF(ISNUMBER(G24),G24,0)</f>
        <v>0</v>
      </c>
      <c r="I24" s="10" t="s">
        <v>20</v>
      </c>
      <c r="J24" s="11">
        <v>55.95</v>
      </c>
      <c r="K24" s="12">
        <f t="shared" ref="K24:K27" si="2">G24*J24</f>
        <v>0</v>
      </c>
    </row>
    <row r="25" spans="1:17" hidden="1" x14ac:dyDescent="0.35">
      <c r="A25" s="103"/>
      <c r="B25" s="7" t="s">
        <v>2</v>
      </c>
      <c r="C25" s="14" t="s">
        <v>209</v>
      </c>
      <c r="D25" s="152"/>
      <c r="E25" s="187"/>
      <c r="F25" s="153" t="str">
        <f t="shared" si="0"/>
        <v/>
      </c>
      <c r="G25" s="256"/>
      <c r="H25" s="166">
        <f t="shared" si="1"/>
        <v>0</v>
      </c>
      <c r="I25" s="10" t="s">
        <v>20</v>
      </c>
      <c r="J25" s="11">
        <v>173.1</v>
      </c>
      <c r="K25" s="12">
        <f t="shared" si="2"/>
        <v>0</v>
      </c>
    </row>
    <row r="26" spans="1:17" hidden="1" x14ac:dyDescent="0.35">
      <c r="A26" s="103"/>
      <c r="B26" s="12" t="s">
        <v>2</v>
      </c>
      <c r="C26" s="10" t="s">
        <v>21</v>
      </c>
      <c r="D26" s="152"/>
      <c r="E26" s="187"/>
      <c r="F26" s="153" t="str">
        <f t="shared" si="0"/>
        <v/>
      </c>
      <c r="G26" s="256"/>
      <c r="H26" s="166">
        <f t="shared" si="1"/>
        <v>0</v>
      </c>
      <c r="I26" s="10" t="s">
        <v>20</v>
      </c>
      <c r="J26" s="11">
        <v>75.400000000000006</v>
      </c>
      <c r="K26" s="12">
        <f t="shared" si="2"/>
        <v>0</v>
      </c>
    </row>
    <row r="27" spans="1:17" hidden="1" x14ac:dyDescent="0.35">
      <c r="A27" s="103"/>
      <c r="B27" s="12" t="s">
        <v>2</v>
      </c>
      <c r="C27" s="10" t="s">
        <v>210</v>
      </c>
      <c r="D27" s="152"/>
      <c r="E27" s="187"/>
      <c r="F27" s="153" t="str">
        <f t="shared" si="0"/>
        <v/>
      </c>
      <c r="G27" s="257"/>
      <c r="H27" s="166">
        <f t="shared" si="1"/>
        <v>0</v>
      </c>
      <c r="I27" s="10" t="s">
        <v>20</v>
      </c>
      <c r="J27" s="11">
        <v>84.9</v>
      </c>
      <c r="K27" s="12">
        <f t="shared" si="2"/>
        <v>0</v>
      </c>
    </row>
    <row r="28" spans="1:17" x14ac:dyDescent="0.35">
      <c r="A28" s="103"/>
      <c r="B28" s="12" t="s">
        <v>2</v>
      </c>
      <c r="C28" s="10" t="s">
        <v>211</v>
      </c>
      <c r="D28" s="152">
        <v>80</v>
      </c>
      <c r="E28" s="170">
        <v>61</v>
      </c>
      <c r="F28" s="153">
        <f t="shared" si="0"/>
        <v>19</v>
      </c>
      <c r="G28" s="256"/>
      <c r="H28" s="166">
        <f t="shared" si="1"/>
        <v>80</v>
      </c>
      <c r="I28" s="10" t="s">
        <v>20</v>
      </c>
      <c r="J28" s="11">
        <v>2.96</v>
      </c>
      <c r="K28" s="12">
        <f>H28*J28</f>
        <v>236.8</v>
      </c>
    </row>
    <row r="29" spans="1:17" x14ac:dyDescent="0.35">
      <c r="A29" s="103"/>
      <c r="B29" s="12" t="s">
        <v>2</v>
      </c>
      <c r="C29" s="10" t="s">
        <v>212</v>
      </c>
      <c r="D29" s="152">
        <v>80</v>
      </c>
      <c r="E29" s="170">
        <v>68</v>
      </c>
      <c r="F29" s="153">
        <f t="shared" si="0"/>
        <v>12</v>
      </c>
      <c r="G29" s="256"/>
      <c r="H29" s="166">
        <f t="shared" si="1"/>
        <v>80</v>
      </c>
      <c r="I29" s="10" t="s">
        <v>20</v>
      </c>
      <c r="J29" s="11">
        <v>2.96</v>
      </c>
      <c r="K29" s="12">
        <f t="shared" ref="K29:K40" si="3">H29*J29</f>
        <v>236.8</v>
      </c>
    </row>
    <row r="30" spans="1:17" x14ac:dyDescent="0.35">
      <c r="A30" s="103"/>
      <c r="B30" s="12" t="s">
        <v>2</v>
      </c>
      <c r="C30" s="10" t="s">
        <v>213</v>
      </c>
      <c r="D30" s="152">
        <v>80</v>
      </c>
      <c r="E30" s="170">
        <v>56</v>
      </c>
      <c r="F30" s="153">
        <f t="shared" si="0"/>
        <v>24</v>
      </c>
      <c r="G30" s="256">
        <v>15</v>
      </c>
      <c r="H30" s="166">
        <f t="shared" si="1"/>
        <v>65</v>
      </c>
      <c r="I30" s="10" t="s">
        <v>20</v>
      </c>
      <c r="J30" s="11">
        <v>2.96</v>
      </c>
      <c r="K30" s="12">
        <f t="shared" si="3"/>
        <v>192.4</v>
      </c>
      <c r="Q30" s="268"/>
    </row>
    <row r="31" spans="1:17" hidden="1" x14ac:dyDescent="0.35">
      <c r="A31" s="103"/>
      <c r="B31" s="7" t="s">
        <v>2</v>
      </c>
      <c r="C31" s="14" t="s">
        <v>22</v>
      </c>
      <c r="D31" s="152"/>
      <c r="E31" s="170"/>
      <c r="F31" s="153" t="str">
        <f t="shared" si="0"/>
        <v/>
      </c>
      <c r="G31" s="256"/>
      <c r="H31" s="166">
        <f t="shared" si="1"/>
        <v>0</v>
      </c>
      <c r="I31" s="10" t="s">
        <v>20</v>
      </c>
      <c r="J31" s="11">
        <v>107.2</v>
      </c>
      <c r="K31" s="12">
        <f t="shared" si="3"/>
        <v>0</v>
      </c>
    </row>
    <row r="32" spans="1:17" hidden="1" x14ac:dyDescent="0.35">
      <c r="A32" s="103"/>
      <c r="B32" s="7" t="s">
        <v>2</v>
      </c>
      <c r="C32" s="14" t="s">
        <v>214</v>
      </c>
      <c r="D32" s="152"/>
      <c r="E32" s="170"/>
      <c r="F32" s="153" t="str">
        <f t="shared" si="0"/>
        <v/>
      </c>
      <c r="G32" s="256"/>
      <c r="H32" s="166">
        <f t="shared" si="1"/>
        <v>0</v>
      </c>
      <c r="I32" s="10" t="s">
        <v>20</v>
      </c>
      <c r="J32" s="11">
        <v>170.7</v>
      </c>
      <c r="K32" s="12">
        <f t="shared" si="3"/>
        <v>0</v>
      </c>
      <c r="M32" s="87"/>
    </row>
    <row r="33" spans="1:14" hidden="1" x14ac:dyDescent="0.35">
      <c r="A33" s="103"/>
      <c r="B33" s="12" t="s">
        <v>2</v>
      </c>
      <c r="C33" s="10" t="s">
        <v>215</v>
      </c>
      <c r="D33" s="152"/>
      <c r="E33" s="170"/>
      <c r="F33" s="153" t="str">
        <f t="shared" si="0"/>
        <v/>
      </c>
      <c r="G33" s="256"/>
      <c r="H33" s="166">
        <f t="shared" si="1"/>
        <v>0</v>
      </c>
      <c r="I33" s="10" t="s">
        <v>216</v>
      </c>
      <c r="J33" s="11">
        <v>3.77</v>
      </c>
      <c r="K33" s="12">
        <f t="shared" si="3"/>
        <v>0</v>
      </c>
    </row>
    <row r="34" spans="1:14" x14ac:dyDescent="0.35">
      <c r="A34" s="103"/>
      <c r="B34" s="12" t="s">
        <v>2</v>
      </c>
      <c r="C34" s="10" t="s">
        <v>217</v>
      </c>
      <c r="D34" s="152">
        <v>60</v>
      </c>
      <c r="E34" s="170">
        <v>30</v>
      </c>
      <c r="F34" s="153">
        <f t="shared" si="0"/>
        <v>30</v>
      </c>
      <c r="G34" s="256"/>
      <c r="H34" s="166">
        <f t="shared" si="1"/>
        <v>60</v>
      </c>
      <c r="I34" s="10" t="s">
        <v>20</v>
      </c>
      <c r="J34" s="11">
        <v>2.56</v>
      </c>
      <c r="K34" s="12">
        <f t="shared" si="3"/>
        <v>153.6</v>
      </c>
      <c r="N34" s="87"/>
    </row>
    <row r="35" spans="1:14" x14ac:dyDescent="0.35">
      <c r="A35" s="103"/>
      <c r="B35" s="12" t="s">
        <v>2</v>
      </c>
      <c r="C35" s="10" t="s">
        <v>218</v>
      </c>
      <c r="D35" s="152">
        <v>60</v>
      </c>
      <c r="E35" s="170">
        <v>57</v>
      </c>
      <c r="F35" s="153">
        <f t="shared" si="0"/>
        <v>3</v>
      </c>
      <c r="G35" s="256"/>
      <c r="H35" s="166">
        <f t="shared" si="1"/>
        <v>60</v>
      </c>
      <c r="I35" s="10" t="s">
        <v>20</v>
      </c>
      <c r="J35" s="11">
        <v>3.08</v>
      </c>
      <c r="K35" s="12">
        <f t="shared" si="3"/>
        <v>184.8</v>
      </c>
    </row>
    <row r="36" spans="1:14" x14ac:dyDescent="0.35">
      <c r="A36" s="103"/>
      <c r="B36" s="12" t="s">
        <v>2</v>
      </c>
      <c r="C36" s="10" t="s">
        <v>219</v>
      </c>
      <c r="D36" s="152">
        <v>60</v>
      </c>
      <c r="E36" s="170">
        <v>54</v>
      </c>
      <c r="F36" s="153">
        <f t="shared" si="0"/>
        <v>6</v>
      </c>
      <c r="G36" s="256"/>
      <c r="H36" s="166">
        <f t="shared" si="1"/>
        <v>60</v>
      </c>
      <c r="I36" s="10" t="s">
        <v>20</v>
      </c>
      <c r="J36" s="11">
        <v>2.56</v>
      </c>
      <c r="K36" s="12">
        <f t="shared" si="3"/>
        <v>153.6</v>
      </c>
    </row>
    <row r="37" spans="1:14" hidden="1" x14ac:dyDescent="0.35">
      <c r="A37" s="103"/>
      <c r="B37" s="12" t="s">
        <v>2</v>
      </c>
      <c r="C37" s="10" t="s">
        <v>220</v>
      </c>
      <c r="D37" s="152"/>
      <c r="E37" s="170"/>
      <c r="F37" s="153" t="str">
        <f t="shared" si="0"/>
        <v/>
      </c>
      <c r="G37" s="256"/>
      <c r="H37" s="166">
        <f t="shared" si="1"/>
        <v>0</v>
      </c>
      <c r="I37" s="10" t="s">
        <v>20</v>
      </c>
      <c r="J37" s="11">
        <v>1.41</v>
      </c>
      <c r="K37" s="12">
        <f t="shared" si="3"/>
        <v>0</v>
      </c>
    </row>
    <row r="38" spans="1:14" hidden="1" x14ac:dyDescent="0.35">
      <c r="A38" s="103"/>
      <c r="B38" s="12" t="s">
        <v>2</v>
      </c>
      <c r="C38" s="10" t="s">
        <v>221</v>
      </c>
      <c r="D38" s="152"/>
      <c r="E38" s="170"/>
      <c r="F38" s="153" t="str">
        <f t="shared" si="0"/>
        <v/>
      </c>
      <c r="G38" s="256"/>
      <c r="H38" s="166">
        <f t="shared" si="1"/>
        <v>0</v>
      </c>
      <c r="I38" s="10" t="s">
        <v>20</v>
      </c>
      <c r="J38" s="11">
        <v>1.73</v>
      </c>
      <c r="K38" s="12">
        <f t="shared" si="3"/>
        <v>0</v>
      </c>
    </row>
    <row r="39" spans="1:14" hidden="1" x14ac:dyDescent="0.35">
      <c r="A39" s="103"/>
      <c r="B39" s="12" t="s">
        <v>2</v>
      </c>
      <c r="C39" s="10" t="s">
        <v>222</v>
      </c>
      <c r="D39" s="152"/>
      <c r="E39" s="170"/>
      <c r="F39" s="153" t="str">
        <f t="shared" si="0"/>
        <v/>
      </c>
      <c r="G39" s="256"/>
      <c r="H39" s="166">
        <f t="shared" si="1"/>
        <v>0</v>
      </c>
      <c r="I39" s="10" t="s">
        <v>20</v>
      </c>
      <c r="J39" s="11">
        <v>1.46</v>
      </c>
      <c r="K39" s="12">
        <f t="shared" si="3"/>
        <v>0</v>
      </c>
    </row>
    <row r="40" spans="1:14" hidden="1" x14ac:dyDescent="0.35">
      <c r="A40" s="103"/>
      <c r="B40" s="12" t="s">
        <v>2</v>
      </c>
      <c r="C40" s="10" t="s">
        <v>223</v>
      </c>
      <c r="D40" s="222"/>
      <c r="E40" s="170"/>
      <c r="F40" s="153" t="str">
        <f t="shared" si="0"/>
        <v/>
      </c>
      <c r="G40" s="256"/>
      <c r="H40" s="166">
        <f t="shared" si="1"/>
        <v>0</v>
      </c>
      <c r="I40" s="10" t="s">
        <v>20</v>
      </c>
      <c r="J40" s="77">
        <v>3.45</v>
      </c>
      <c r="K40" s="12">
        <f t="shared" si="3"/>
        <v>0</v>
      </c>
    </row>
    <row r="41" spans="1:14" ht="15.5" x14ac:dyDescent="0.35">
      <c r="A41" s="108" t="s">
        <v>119</v>
      </c>
      <c r="B41" s="108"/>
      <c r="C41" s="108"/>
      <c r="D41" s="223"/>
      <c r="E41" s="287"/>
      <c r="F41" s="165"/>
      <c r="G41" s="286"/>
      <c r="H41" s="247"/>
      <c r="I41" s="108"/>
      <c r="J41" s="106" t="s">
        <v>18</v>
      </c>
      <c r="K41" s="269">
        <f>SUM(K42:K49)</f>
        <v>0</v>
      </c>
    </row>
    <row r="42" spans="1:14" hidden="1" x14ac:dyDescent="0.35">
      <c r="A42" s="103"/>
      <c r="B42" s="12" t="s">
        <v>7</v>
      </c>
      <c r="C42" s="10" t="s">
        <v>224</v>
      </c>
      <c r="D42" s="152"/>
      <c r="E42" s="170">
        <f>'[3]2023 (2)'!E42</f>
        <v>0</v>
      </c>
      <c r="F42" s="153" t="str">
        <f t="shared" si="0"/>
        <v/>
      </c>
      <c r="G42" s="256"/>
      <c r="H42" s="166">
        <f t="shared" si="1"/>
        <v>0</v>
      </c>
      <c r="I42" s="10" t="s">
        <v>20</v>
      </c>
      <c r="J42" s="11">
        <v>100</v>
      </c>
      <c r="K42" s="12">
        <f t="shared" ref="K42:K49" si="4">G42*J42</f>
        <v>0</v>
      </c>
    </row>
    <row r="43" spans="1:14" hidden="1" x14ac:dyDescent="0.35">
      <c r="A43" s="103"/>
      <c r="B43" s="12" t="s">
        <v>7</v>
      </c>
      <c r="C43" s="10" t="s">
        <v>225</v>
      </c>
      <c r="D43" s="152"/>
      <c r="E43" s="170">
        <f>'[3]2023 (2)'!E43</f>
        <v>0</v>
      </c>
      <c r="F43" s="153" t="str">
        <f t="shared" si="0"/>
        <v/>
      </c>
      <c r="G43" s="256"/>
      <c r="H43" s="166">
        <f t="shared" si="1"/>
        <v>0</v>
      </c>
      <c r="I43" s="10" t="s">
        <v>20</v>
      </c>
      <c r="J43" s="11">
        <v>12.2</v>
      </c>
      <c r="K43" s="12">
        <f t="shared" si="4"/>
        <v>0</v>
      </c>
    </row>
    <row r="44" spans="1:14" hidden="1" x14ac:dyDescent="0.35">
      <c r="A44" s="103"/>
      <c r="B44" s="12" t="s">
        <v>7</v>
      </c>
      <c r="C44" s="10" t="s">
        <v>226</v>
      </c>
      <c r="D44" s="152"/>
      <c r="E44" s="170">
        <f>'[3]2023 (2)'!E44</f>
        <v>0</v>
      </c>
      <c r="F44" s="153" t="str">
        <f t="shared" si="0"/>
        <v/>
      </c>
      <c r="G44" s="256"/>
      <c r="H44" s="166">
        <f t="shared" si="1"/>
        <v>0</v>
      </c>
      <c r="I44" s="10" t="s">
        <v>20</v>
      </c>
      <c r="J44" s="11">
        <v>11</v>
      </c>
      <c r="K44" s="12">
        <f t="shared" si="4"/>
        <v>0</v>
      </c>
    </row>
    <row r="45" spans="1:14" hidden="1" x14ac:dyDescent="0.35">
      <c r="A45" s="103"/>
      <c r="B45" s="12" t="s">
        <v>7</v>
      </c>
      <c r="C45" s="10" t="s">
        <v>227</v>
      </c>
      <c r="D45" s="152"/>
      <c r="E45" s="170">
        <f>'[3]2023 (2)'!E45</f>
        <v>0</v>
      </c>
      <c r="F45" s="153" t="str">
        <f t="shared" si="0"/>
        <v/>
      </c>
      <c r="G45" s="256"/>
      <c r="H45" s="166">
        <f t="shared" si="1"/>
        <v>0</v>
      </c>
      <c r="I45" s="10" t="s">
        <v>20</v>
      </c>
      <c r="J45" s="11">
        <v>5</v>
      </c>
      <c r="K45" s="12">
        <f t="shared" si="4"/>
        <v>0</v>
      </c>
    </row>
    <row r="46" spans="1:14" x14ac:dyDescent="0.35">
      <c r="A46" s="103"/>
      <c r="B46" s="12" t="s">
        <v>7</v>
      </c>
      <c r="C46" s="10" t="s">
        <v>46</v>
      </c>
      <c r="D46" s="152"/>
      <c r="E46" s="170"/>
      <c r="F46" s="153" t="str">
        <f t="shared" si="0"/>
        <v/>
      </c>
      <c r="G46" s="256"/>
      <c r="H46" s="166">
        <f>IF(ISNUMBER(E46),E46,0)+IF(ISNUMBER(F46),F46,0)-IF(ISNUMBER(G46),G46,0)</f>
        <v>0</v>
      </c>
      <c r="I46" s="10" t="s">
        <v>20</v>
      </c>
      <c r="J46" s="11">
        <v>5</v>
      </c>
      <c r="K46" s="12">
        <f>H46*J46</f>
        <v>0</v>
      </c>
    </row>
    <row r="47" spans="1:14" hidden="1" x14ac:dyDescent="0.35">
      <c r="A47" s="103"/>
      <c r="B47" s="12" t="s">
        <v>7</v>
      </c>
      <c r="C47" s="10" t="s">
        <v>228</v>
      </c>
      <c r="D47" s="152"/>
      <c r="E47" s="170"/>
      <c r="F47" s="153" t="str">
        <f t="shared" si="0"/>
        <v/>
      </c>
      <c r="G47" s="256"/>
      <c r="H47" s="166">
        <f t="shared" ref="H47:H110" si="5">IF(ISNUMBER(E47),E47,0)+IF(ISNUMBER(F47),F47,0)-IF(ISNUMBER(G47),G47,0)</f>
        <v>0</v>
      </c>
      <c r="I47" s="10" t="s">
        <v>20</v>
      </c>
      <c r="J47" s="11">
        <v>11</v>
      </c>
      <c r="K47" s="12">
        <f t="shared" ref="K47:K48" si="6">H47*J47</f>
        <v>0</v>
      </c>
    </row>
    <row r="48" spans="1:14" x14ac:dyDescent="0.35">
      <c r="A48" s="103"/>
      <c r="B48" s="12" t="s">
        <v>7</v>
      </c>
      <c r="C48" s="10" t="s">
        <v>229</v>
      </c>
      <c r="D48" s="152"/>
      <c r="E48" s="170"/>
      <c r="F48" s="153" t="str">
        <f t="shared" si="0"/>
        <v/>
      </c>
      <c r="G48" s="256"/>
      <c r="H48" s="166">
        <f t="shared" si="5"/>
        <v>0</v>
      </c>
      <c r="I48" s="10" t="s">
        <v>20</v>
      </c>
      <c r="J48" s="11">
        <v>50</v>
      </c>
      <c r="K48" s="12">
        <f t="shared" si="6"/>
        <v>0</v>
      </c>
    </row>
    <row r="49" spans="1:12" x14ac:dyDescent="0.35">
      <c r="A49" s="103"/>
      <c r="B49" s="12" t="s">
        <v>7</v>
      </c>
      <c r="C49" s="78" t="s">
        <v>206</v>
      </c>
      <c r="D49" s="224"/>
      <c r="E49" s="170"/>
      <c r="F49" s="153" t="str">
        <f t="shared" si="0"/>
        <v/>
      </c>
      <c r="G49" s="256"/>
      <c r="H49" s="166">
        <f t="shared" si="5"/>
        <v>0</v>
      </c>
      <c r="I49" s="10" t="s">
        <v>20</v>
      </c>
      <c r="J49" s="79">
        <v>5</v>
      </c>
      <c r="K49" s="12">
        <f t="shared" si="4"/>
        <v>0</v>
      </c>
    </row>
    <row r="50" spans="1:12" ht="15.5" x14ac:dyDescent="0.35">
      <c r="A50" s="103"/>
      <c r="B50" s="104" t="s">
        <v>230</v>
      </c>
      <c r="C50" s="105"/>
      <c r="D50" s="225"/>
      <c r="E50" s="250"/>
      <c r="F50" s="165" t="str">
        <f t="shared" si="0"/>
        <v/>
      </c>
      <c r="G50" s="258"/>
      <c r="H50" s="247"/>
      <c r="I50" s="105"/>
      <c r="J50" s="106" t="s">
        <v>18</v>
      </c>
      <c r="K50" s="269">
        <f>SUM(K52:K77)</f>
        <v>623.49999999999989</v>
      </c>
    </row>
    <row r="51" spans="1:12" ht="15.5" x14ac:dyDescent="0.35">
      <c r="A51" s="111"/>
      <c r="B51" s="126" t="s">
        <v>231</v>
      </c>
      <c r="C51" s="127"/>
      <c r="D51" s="226"/>
      <c r="E51" s="250"/>
      <c r="F51" s="165" t="str">
        <f t="shared" si="0"/>
        <v/>
      </c>
      <c r="G51" s="259"/>
      <c r="H51" s="247"/>
      <c r="I51" s="127"/>
      <c r="J51" s="127"/>
      <c r="K51" s="128"/>
    </row>
    <row r="52" spans="1:12" x14ac:dyDescent="0.35">
      <c r="A52" s="103"/>
      <c r="B52" s="12" t="s">
        <v>13</v>
      </c>
      <c r="C52" s="10" t="s">
        <v>78</v>
      </c>
      <c r="D52" s="152">
        <v>6</v>
      </c>
      <c r="E52" s="170">
        <v>6</v>
      </c>
      <c r="F52" s="153" t="str">
        <f t="shared" si="0"/>
        <v/>
      </c>
      <c r="G52" s="256">
        <v>6</v>
      </c>
      <c r="H52" s="166">
        <f t="shared" si="5"/>
        <v>0</v>
      </c>
      <c r="I52" s="10" t="s">
        <v>20</v>
      </c>
      <c r="J52" s="11">
        <v>13</v>
      </c>
      <c r="K52" s="12">
        <f>H52*J52</f>
        <v>0</v>
      </c>
    </row>
    <row r="53" spans="1:12" hidden="1" x14ac:dyDescent="0.35">
      <c r="A53" s="103"/>
      <c r="B53" s="12" t="s">
        <v>13</v>
      </c>
      <c r="C53" s="10" t="s">
        <v>232</v>
      </c>
      <c r="D53" s="152"/>
      <c r="E53" s="170"/>
      <c r="F53" s="153" t="str">
        <f t="shared" si="0"/>
        <v/>
      </c>
      <c r="G53" s="256"/>
      <c r="H53" s="166">
        <f t="shared" si="5"/>
        <v>0</v>
      </c>
      <c r="I53" s="10" t="s">
        <v>20</v>
      </c>
      <c r="J53" s="11">
        <v>13</v>
      </c>
      <c r="K53" s="12">
        <f t="shared" ref="K53:K77" si="7">H53*J53</f>
        <v>0</v>
      </c>
      <c r="L53" s="87"/>
    </row>
    <row r="54" spans="1:12" hidden="1" x14ac:dyDescent="0.35">
      <c r="A54" s="103"/>
      <c r="B54" s="12" t="s">
        <v>13</v>
      </c>
      <c r="C54" s="10" t="s">
        <v>233</v>
      </c>
      <c r="D54" s="152"/>
      <c r="E54" s="170"/>
      <c r="F54" s="153" t="str">
        <f t="shared" si="0"/>
        <v/>
      </c>
      <c r="G54" s="256"/>
      <c r="H54" s="166">
        <f t="shared" si="5"/>
        <v>0</v>
      </c>
      <c r="I54" s="10" t="s">
        <v>20</v>
      </c>
      <c r="J54" s="11">
        <v>8.9</v>
      </c>
      <c r="K54" s="12">
        <f t="shared" si="7"/>
        <v>0</v>
      </c>
    </row>
    <row r="55" spans="1:12" hidden="1" x14ac:dyDescent="0.35">
      <c r="A55" s="103"/>
      <c r="B55" s="12" t="s">
        <v>13</v>
      </c>
      <c r="C55" s="10" t="s">
        <v>32</v>
      </c>
      <c r="D55" s="152"/>
      <c r="E55" s="170"/>
      <c r="F55" s="153" t="str">
        <f t="shared" si="0"/>
        <v/>
      </c>
      <c r="G55" s="256"/>
      <c r="H55" s="166">
        <f t="shared" si="5"/>
        <v>0</v>
      </c>
      <c r="I55" s="10" t="s">
        <v>20</v>
      </c>
      <c r="J55" s="11">
        <v>8.35</v>
      </c>
      <c r="K55" s="12">
        <f t="shared" si="7"/>
        <v>0</v>
      </c>
    </row>
    <row r="56" spans="1:12" hidden="1" x14ac:dyDescent="0.35">
      <c r="A56" s="103"/>
      <c r="B56" s="12" t="s">
        <v>13</v>
      </c>
      <c r="C56" s="10" t="s">
        <v>33</v>
      </c>
      <c r="D56" s="152"/>
      <c r="E56" s="170"/>
      <c r="F56" s="153" t="str">
        <f t="shared" si="0"/>
        <v/>
      </c>
      <c r="G56" s="256"/>
      <c r="H56" s="166">
        <f t="shared" si="5"/>
        <v>0</v>
      </c>
      <c r="I56" s="10" t="s">
        <v>20</v>
      </c>
      <c r="J56" s="11">
        <v>8.9</v>
      </c>
      <c r="K56" s="12">
        <f t="shared" si="7"/>
        <v>0</v>
      </c>
    </row>
    <row r="57" spans="1:12" hidden="1" x14ac:dyDescent="0.35">
      <c r="A57" s="103"/>
      <c r="B57" s="12" t="s">
        <v>13</v>
      </c>
      <c r="C57" s="10" t="s">
        <v>59</v>
      </c>
      <c r="D57" s="152"/>
      <c r="E57" s="170"/>
      <c r="F57" s="153" t="str">
        <f t="shared" si="0"/>
        <v/>
      </c>
      <c r="G57" s="256"/>
      <c r="H57" s="166">
        <f t="shared" si="5"/>
        <v>0</v>
      </c>
      <c r="I57" s="10" t="s">
        <v>20</v>
      </c>
      <c r="J57" s="11">
        <v>8.6999999999999993</v>
      </c>
      <c r="K57" s="12">
        <f t="shared" si="7"/>
        <v>0</v>
      </c>
    </row>
    <row r="58" spans="1:12" hidden="1" x14ac:dyDescent="0.35">
      <c r="A58" s="103"/>
      <c r="B58" s="12" t="s">
        <v>13</v>
      </c>
      <c r="C58" s="10" t="s">
        <v>234</v>
      </c>
      <c r="D58" s="152"/>
      <c r="E58" s="170"/>
      <c r="F58" s="153" t="str">
        <f t="shared" si="0"/>
        <v/>
      </c>
      <c r="G58" s="256"/>
      <c r="H58" s="166">
        <f t="shared" si="5"/>
        <v>0</v>
      </c>
      <c r="I58" s="10" t="s">
        <v>20</v>
      </c>
      <c r="J58" s="11">
        <v>12.15</v>
      </c>
      <c r="K58" s="12">
        <f t="shared" si="7"/>
        <v>0</v>
      </c>
    </row>
    <row r="59" spans="1:12" x14ac:dyDescent="0.35">
      <c r="A59" s="103"/>
      <c r="B59" s="12" t="s">
        <v>13</v>
      </c>
      <c r="C59" s="10" t="s">
        <v>235</v>
      </c>
      <c r="D59" s="152">
        <v>24</v>
      </c>
      <c r="E59" s="170">
        <v>7</v>
      </c>
      <c r="F59" s="153">
        <f t="shared" si="0"/>
        <v>17</v>
      </c>
      <c r="G59" s="256">
        <v>11</v>
      </c>
      <c r="H59" s="166">
        <f t="shared" si="5"/>
        <v>13</v>
      </c>
      <c r="I59" s="10" t="s">
        <v>20</v>
      </c>
      <c r="J59" s="11">
        <v>11.35</v>
      </c>
      <c r="K59" s="12">
        <f t="shared" si="7"/>
        <v>147.54999999999998</v>
      </c>
    </row>
    <row r="60" spans="1:12" hidden="1" x14ac:dyDescent="0.35">
      <c r="A60" s="103"/>
      <c r="B60" s="12" t="s">
        <v>13</v>
      </c>
      <c r="C60" s="10" t="s">
        <v>236</v>
      </c>
      <c r="D60" s="152"/>
      <c r="E60" s="170"/>
      <c r="F60" s="153" t="str">
        <f t="shared" si="0"/>
        <v/>
      </c>
      <c r="G60" s="256"/>
      <c r="H60" s="166">
        <f t="shared" si="5"/>
        <v>0</v>
      </c>
      <c r="I60" s="10" t="s">
        <v>20</v>
      </c>
      <c r="J60" s="11">
        <v>14.65</v>
      </c>
      <c r="K60" s="12">
        <f t="shared" si="7"/>
        <v>0</v>
      </c>
    </row>
    <row r="61" spans="1:12" hidden="1" x14ac:dyDescent="0.35">
      <c r="A61" s="103"/>
      <c r="B61" s="12" t="s">
        <v>13</v>
      </c>
      <c r="C61" s="10" t="s">
        <v>237</v>
      </c>
      <c r="D61" s="152"/>
      <c r="E61" s="170"/>
      <c r="F61" s="153" t="str">
        <f t="shared" si="0"/>
        <v/>
      </c>
      <c r="G61" s="256"/>
      <c r="H61" s="166">
        <f t="shared" si="5"/>
        <v>0</v>
      </c>
      <c r="I61" s="10" t="s">
        <v>20</v>
      </c>
      <c r="J61" s="11">
        <v>16.25</v>
      </c>
      <c r="K61" s="12">
        <f t="shared" si="7"/>
        <v>0</v>
      </c>
    </row>
    <row r="62" spans="1:12" hidden="1" x14ac:dyDescent="0.35">
      <c r="A62" s="103"/>
      <c r="B62" s="12" t="s">
        <v>13</v>
      </c>
      <c r="C62" s="10" t="s">
        <v>238</v>
      </c>
      <c r="D62" s="152"/>
      <c r="E62" s="170"/>
      <c r="F62" s="153" t="str">
        <f t="shared" si="0"/>
        <v/>
      </c>
      <c r="G62" s="256"/>
      <c r="H62" s="166">
        <f t="shared" si="5"/>
        <v>0</v>
      </c>
      <c r="I62" s="10" t="s">
        <v>20</v>
      </c>
      <c r="J62" s="11">
        <v>17.899999999999999</v>
      </c>
      <c r="K62" s="12">
        <f t="shared" si="7"/>
        <v>0</v>
      </c>
    </row>
    <row r="63" spans="1:12" x14ac:dyDescent="0.35">
      <c r="A63" s="103"/>
      <c r="B63" s="12" t="s">
        <v>13</v>
      </c>
      <c r="C63" s="10" t="s">
        <v>239</v>
      </c>
      <c r="D63" s="152">
        <v>24</v>
      </c>
      <c r="E63" s="170">
        <v>12</v>
      </c>
      <c r="F63" s="153">
        <f t="shared" si="0"/>
        <v>12</v>
      </c>
      <c r="G63" s="256">
        <v>0</v>
      </c>
      <c r="H63" s="166">
        <f t="shared" si="5"/>
        <v>24</v>
      </c>
      <c r="I63" s="10" t="s">
        <v>20</v>
      </c>
      <c r="J63" s="11">
        <v>15.95</v>
      </c>
      <c r="K63" s="12">
        <f t="shared" si="7"/>
        <v>382.79999999999995</v>
      </c>
    </row>
    <row r="64" spans="1:12" hidden="1" x14ac:dyDescent="0.35">
      <c r="A64" s="103"/>
      <c r="B64" s="12" t="s">
        <v>13</v>
      </c>
      <c r="C64" s="10" t="s">
        <v>240</v>
      </c>
      <c r="D64" s="152"/>
      <c r="E64" s="170"/>
      <c r="F64" s="153" t="str">
        <f t="shared" si="0"/>
        <v/>
      </c>
      <c r="G64" s="256"/>
      <c r="H64" s="166">
        <f t="shared" si="5"/>
        <v>0</v>
      </c>
      <c r="I64" s="10" t="s">
        <v>20</v>
      </c>
      <c r="J64" s="11">
        <v>15.45</v>
      </c>
      <c r="K64" s="12">
        <f t="shared" si="7"/>
        <v>0</v>
      </c>
    </row>
    <row r="65" spans="1:15" ht="15.5" x14ac:dyDescent="0.35">
      <c r="A65" s="111"/>
      <c r="B65" s="126" t="s">
        <v>241</v>
      </c>
      <c r="C65" s="127"/>
      <c r="D65" s="226"/>
      <c r="E65" s="250"/>
      <c r="F65" s="165" t="str">
        <f t="shared" si="0"/>
        <v/>
      </c>
      <c r="G65" s="259"/>
      <c r="H65" s="247"/>
      <c r="I65" s="127"/>
      <c r="J65" s="127"/>
      <c r="K65" s="270"/>
    </row>
    <row r="66" spans="1:15" x14ac:dyDescent="0.35">
      <c r="A66" s="103"/>
      <c r="B66" s="12" t="s">
        <v>13</v>
      </c>
      <c r="C66" s="10" t="s">
        <v>242</v>
      </c>
      <c r="D66" s="152">
        <v>6</v>
      </c>
      <c r="E66" s="170">
        <v>2</v>
      </c>
      <c r="F66" s="153">
        <f t="shared" si="0"/>
        <v>4</v>
      </c>
      <c r="G66" s="256">
        <v>3</v>
      </c>
      <c r="H66" s="166">
        <f t="shared" si="5"/>
        <v>3</v>
      </c>
      <c r="I66" s="10" t="s">
        <v>20</v>
      </c>
      <c r="J66" s="11">
        <v>31.05</v>
      </c>
      <c r="K66" s="12">
        <f t="shared" si="7"/>
        <v>93.15</v>
      </c>
    </row>
    <row r="67" spans="1:15" hidden="1" x14ac:dyDescent="0.35">
      <c r="A67" s="103"/>
      <c r="B67" s="12" t="s">
        <v>13</v>
      </c>
      <c r="C67" s="10" t="s">
        <v>243</v>
      </c>
      <c r="D67" s="152"/>
      <c r="E67" s="170"/>
      <c r="F67" s="153" t="str">
        <f t="shared" si="0"/>
        <v/>
      </c>
      <c r="G67" s="256"/>
      <c r="H67" s="166">
        <f t="shared" si="5"/>
        <v>0</v>
      </c>
      <c r="I67" s="10" t="s">
        <v>20</v>
      </c>
      <c r="J67" s="11">
        <v>60.79</v>
      </c>
      <c r="K67" s="12">
        <f t="shared" si="7"/>
        <v>0</v>
      </c>
    </row>
    <row r="68" spans="1:15" x14ac:dyDescent="0.35">
      <c r="A68" s="103"/>
      <c r="B68" s="12" t="s">
        <v>13</v>
      </c>
      <c r="C68" s="10" t="s">
        <v>244</v>
      </c>
      <c r="D68" s="152">
        <v>2</v>
      </c>
      <c r="E68" s="170">
        <v>0</v>
      </c>
      <c r="F68" s="153">
        <f t="shared" si="0"/>
        <v>2</v>
      </c>
      <c r="G68" s="256">
        <v>2</v>
      </c>
      <c r="H68" s="166">
        <f t="shared" si="5"/>
        <v>0</v>
      </c>
      <c r="I68" s="10" t="s">
        <v>20</v>
      </c>
      <c r="J68" s="11">
        <v>56.55</v>
      </c>
      <c r="K68" s="12">
        <f t="shared" si="7"/>
        <v>0</v>
      </c>
    </row>
    <row r="69" spans="1:15" hidden="1" x14ac:dyDescent="0.35">
      <c r="A69" s="103"/>
      <c r="B69" s="12" t="s">
        <v>13</v>
      </c>
      <c r="C69" s="10" t="s">
        <v>245</v>
      </c>
      <c r="D69" s="152"/>
      <c r="E69" s="170"/>
      <c r="F69" s="153" t="str">
        <f t="shared" si="0"/>
        <v/>
      </c>
      <c r="G69" s="256"/>
      <c r="H69" s="166">
        <f t="shared" si="5"/>
        <v>0</v>
      </c>
      <c r="I69" s="10" t="s">
        <v>20</v>
      </c>
      <c r="J69" s="11">
        <v>107.44</v>
      </c>
      <c r="K69" s="12">
        <f t="shared" si="7"/>
        <v>0</v>
      </c>
    </row>
    <row r="70" spans="1:15" hidden="1" x14ac:dyDescent="0.35">
      <c r="A70" s="103"/>
      <c r="B70" s="12" t="s">
        <v>13</v>
      </c>
      <c r="C70" s="10" t="s">
        <v>246</v>
      </c>
      <c r="D70" s="152"/>
      <c r="E70" s="170"/>
      <c r="F70" s="153" t="str">
        <f t="shared" si="0"/>
        <v/>
      </c>
      <c r="G70" s="256"/>
      <c r="H70" s="166">
        <f t="shared" si="5"/>
        <v>0</v>
      </c>
      <c r="I70" s="10" t="s">
        <v>20</v>
      </c>
      <c r="J70" s="11">
        <v>47.4</v>
      </c>
      <c r="K70" s="12">
        <f t="shared" si="7"/>
        <v>0</v>
      </c>
    </row>
    <row r="71" spans="1:15" hidden="1" x14ac:dyDescent="0.35">
      <c r="A71" s="103"/>
      <c r="B71" s="12" t="s">
        <v>13</v>
      </c>
      <c r="C71" s="10" t="s">
        <v>247</v>
      </c>
      <c r="D71" s="152"/>
      <c r="E71" s="170"/>
      <c r="F71" s="153" t="str">
        <f t="shared" si="0"/>
        <v/>
      </c>
      <c r="G71" s="256"/>
      <c r="H71" s="166">
        <f t="shared" si="5"/>
        <v>0</v>
      </c>
      <c r="I71" s="10" t="s">
        <v>20</v>
      </c>
      <c r="J71" s="11">
        <v>87.63</v>
      </c>
      <c r="K71" s="12">
        <f t="shared" si="7"/>
        <v>0</v>
      </c>
    </row>
    <row r="72" spans="1:15" hidden="1" x14ac:dyDescent="0.35">
      <c r="A72" s="103"/>
      <c r="B72" s="12" t="s">
        <v>13</v>
      </c>
      <c r="C72" s="10" t="s">
        <v>248</v>
      </c>
      <c r="D72" s="152"/>
      <c r="E72" s="170"/>
      <c r="F72" s="153" t="str">
        <f t="shared" si="0"/>
        <v/>
      </c>
      <c r="G72" s="256"/>
      <c r="H72" s="166">
        <f t="shared" si="5"/>
        <v>0</v>
      </c>
      <c r="I72" s="10" t="s">
        <v>20</v>
      </c>
      <c r="J72" s="11">
        <v>52.31</v>
      </c>
      <c r="K72" s="12">
        <f t="shared" si="7"/>
        <v>0</v>
      </c>
    </row>
    <row r="73" spans="1:15" ht="15.5" hidden="1" x14ac:dyDescent="0.35">
      <c r="A73" s="111"/>
      <c r="B73" s="126" t="s">
        <v>249</v>
      </c>
      <c r="C73" s="127"/>
      <c r="D73" s="226"/>
      <c r="E73" s="170"/>
      <c r="F73" s="153" t="str">
        <f t="shared" si="0"/>
        <v/>
      </c>
      <c r="G73" s="259"/>
      <c r="H73" s="166">
        <f t="shared" si="5"/>
        <v>0</v>
      </c>
      <c r="I73" s="127"/>
      <c r="J73" s="127"/>
      <c r="K73" s="271"/>
    </row>
    <row r="74" spans="1:15" hidden="1" x14ac:dyDescent="0.35">
      <c r="A74" s="103"/>
      <c r="B74" s="12" t="s">
        <v>13</v>
      </c>
      <c r="C74" s="10" t="s">
        <v>250</v>
      </c>
      <c r="D74" s="152"/>
      <c r="E74" s="170"/>
      <c r="F74" s="153" t="str">
        <f t="shared" si="0"/>
        <v/>
      </c>
      <c r="G74" s="256"/>
      <c r="H74" s="166">
        <f t="shared" si="5"/>
        <v>0</v>
      </c>
      <c r="I74" s="10" t="s">
        <v>20</v>
      </c>
      <c r="J74" s="11">
        <v>10.8</v>
      </c>
      <c r="K74" s="12">
        <f t="shared" si="7"/>
        <v>0</v>
      </c>
    </row>
    <row r="75" spans="1:15" hidden="1" x14ac:dyDescent="0.35">
      <c r="A75" s="103"/>
      <c r="B75" s="12" t="s">
        <v>13</v>
      </c>
      <c r="C75" s="10" t="s">
        <v>251</v>
      </c>
      <c r="D75" s="152"/>
      <c r="E75" s="170"/>
      <c r="F75" s="153" t="str">
        <f t="shared" si="0"/>
        <v/>
      </c>
      <c r="G75" s="256"/>
      <c r="H75" s="166">
        <f t="shared" si="5"/>
        <v>0</v>
      </c>
      <c r="I75" s="10" t="s">
        <v>20</v>
      </c>
      <c r="J75" s="11">
        <v>11.2</v>
      </c>
      <c r="K75" s="12">
        <f t="shared" si="7"/>
        <v>0</v>
      </c>
    </row>
    <row r="76" spans="1:15" hidden="1" x14ac:dyDescent="0.35">
      <c r="A76" s="103"/>
      <c r="B76" s="12" t="s">
        <v>13</v>
      </c>
      <c r="C76" s="10" t="s">
        <v>252</v>
      </c>
      <c r="D76" s="152"/>
      <c r="E76" s="170"/>
      <c r="F76" s="153" t="str">
        <f t="shared" si="0"/>
        <v/>
      </c>
      <c r="G76" s="256"/>
      <c r="H76" s="166">
        <f t="shared" si="5"/>
        <v>0</v>
      </c>
      <c r="I76" s="10" t="s">
        <v>23</v>
      </c>
      <c r="J76" s="11">
        <v>4.5599999999999996</v>
      </c>
      <c r="K76" s="12">
        <f t="shared" si="7"/>
        <v>0</v>
      </c>
    </row>
    <row r="77" spans="1:15" hidden="1" x14ac:dyDescent="0.35">
      <c r="A77" s="103"/>
      <c r="B77" s="12" t="s">
        <v>13</v>
      </c>
      <c r="C77" s="10" t="s">
        <v>253</v>
      </c>
      <c r="D77" s="152"/>
      <c r="E77" s="170"/>
      <c r="F77" s="153" t="str">
        <f t="shared" si="0"/>
        <v/>
      </c>
      <c r="G77" s="256"/>
      <c r="H77" s="166">
        <f t="shared" si="5"/>
        <v>0</v>
      </c>
      <c r="I77" s="10" t="s">
        <v>23</v>
      </c>
      <c r="J77" s="11">
        <v>37.700000000000003</v>
      </c>
      <c r="K77" s="12">
        <f t="shared" si="7"/>
        <v>0</v>
      </c>
      <c r="O77" s="87"/>
    </row>
    <row r="78" spans="1:15" ht="15.5" x14ac:dyDescent="0.35">
      <c r="A78" s="108" t="s">
        <v>254</v>
      </c>
      <c r="B78" s="108"/>
      <c r="C78" s="108"/>
      <c r="D78" s="223"/>
      <c r="E78" s="250"/>
      <c r="F78" s="165" t="str">
        <f t="shared" si="0"/>
        <v/>
      </c>
      <c r="G78" s="186"/>
      <c r="H78" s="247"/>
      <c r="I78" s="108"/>
      <c r="J78" s="110" t="s">
        <v>18</v>
      </c>
      <c r="K78" s="269">
        <f>SUM(K80:K121)</f>
        <v>41.5</v>
      </c>
    </row>
    <row r="79" spans="1:15" ht="15.5" hidden="1" x14ac:dyDescent="0.35">
      <c r="A79" s="111"/>
      <c r="B79" s="126" t="s">
        <v>255</v>
      </c>
      <c r="C79" s="127"/>
      <c r="D79" s="226"/>
      <c r="E79" s="250"/>
      <c r="F79" s="153" t="str">
        <f t="shared" si="0"/>
        <v/>
      </c>
      <c r="G79" s="259"/>
      <c r="H79" s="247"/>
      <c r="I79" s="127"/>
      <c r="J79" s="127"/>
      <c r="K79" s="128"/>
    </row>
    <row r="80" spans="1:15" hidden="1" x14ac:dyDescent="0.35">
      <c r="A80" s="103"/>
      <c r="B80" s="12" t="s">
        <v>3</v>
      </c>
      <c r="C80" s="10" t="s">
        <v>256</v>
      </c>
      <c r="D80" s="152"/>
      <c r="E80" s="170"/>
      <c r="F80" s="153" t="str">
        <f t="shared" si="0"/>
        <v/>
      </c>
      <c r="G80" s="256"/>
      <c r="H80" s="166">
        <f t="shared" si="5"/>
        <v>0</v>
      </c>
      <c r="I80" s="10" t="s">
        <v>20</v>
      </c>
      <c r="J80" s="11">
        <v>32.950000000000003</v>
      </c>
      <c r="K80" s="12">
        <f t="shared" ref="K80:K86" si="8">G80*J80</f>
        <v>0</v>
      </c>
    </row>
    <row r="81" spans="1:11" hidden="1" x14ac:dyDescent="0.35">
      <c r="A81" s="103"/>
      <c r="B81" s="12" t="s">
        <v>3</v>
      </c>
      <c r="C81" s="10" t="s">
        <v>257</v>
      </c>
      <c r="D81" s="152"/>
      <c r="E81" s="170"/>
      <c r="F81" s="153" t="str">
        <f t="shared" si="0"/>
        <v/>
      </c>
      <c r="G81" s="256"/>
      <c r="H81" s="166">
        <f t="shared" si="5"/>
        <v>0</v>
      </c>
      <c r="I81" s="10" t="s">
        <v>20</v>
      </c>
      <c r="J81" s="11">
        <v>56.95</v>
      </c>
      <c r="K81" s="12">
        <f t="shared" si="8"/>
        <v>0</v>
      </c>
    </row>
    <row r="82" spans="1:11" hidden="1" x14ac:dyDescent="0.35">
      <c r="A82" s="103"/>
      <c r="B82" s="12" t="s">
        <v>3</v>
      </c>
      <c r="C82" s="10" t="s">
        <v>258</v>
      </c>
      <c r="D82" s="152"/>
      <c r="E82" s="170"/>
      <c r="F82" s="153" t="str">
        <f t="shared" si="0"/>
        <v/>
      </c>
      <c r="G82" s="256"/>
      <c r="H82" s="166">
        <f t="shared" si="5"/>
        <v>0</v>
      </c>
      <c r="I82" s="10" t="s">
        <v>20</v>
      </c>
      <c r="J82" s="11">
        <v>15.95</v>
      </c>
      <c r="K82" s="12">
        <f t="shared" si="8"/>
        <v>0</v>
      </c>
    </row>
    <row r="83" spans="1:11" hidden="1" x14ac:dyDescent="0.35">
      <c r="A83" s="103"/>
      <c r="B83" s="12" t="s">
        <v>3</v>
      </c>
      <c r="C83" s="10" t="s">
        <v>259</v>
      </c>
      <c r="D83" s="152"/>
      <c r="E83" s="170"/>
      <c r="F83" s="153" t="str">
        <f t="shared" si="0"/>
        <v/>
      </c>
      <c r="G83" s="256"/>
      <c r="H83" s="166">
        <f t="shared" si="5"/>
        <v>0</v>
      </c>
      <c r="I83" s="10" t="s">
        <v>20</v>
      </c>
      <c r="J83" s="11">
        <v>19.95</v>
      </c>
      <c r="K83" s="12">
        <f t="shared" si="8"/>
        <v>0</v>
      </c>
    </row>
    <row r="84" spans="1:11" hidden="1" x14ac:dyDescent="0.35">
      <c r="A84" s="103"/>
      <c r="B84" s="12" t="s">
        <v>3</v>
      </c>
      <c r="C84" s="10" t="s">
        <v>260</v>
      </c>
      <c r="D84" s="152"/>
      <c r="E84" s="170"/>
      <c r="F84" s="153" t="str">
        <f t="shared" si="0"/>
        <v/>
      </c>
      <c r="G84" s="256"/>
      <c r="H84" s="166">
        <f t="shared" si="5"/>
        <v>0</v>
      </c>
      <c r="I84" s="10" t="s">
        <v>20</v>
      </c>
      <c r="J84" s="11">
        <v>46.95</v>
      </c>
      <c r="K84" s="12">
        <f t="shared" si="8"/>
        <v>0</v>
      </c>
    </row>
    <row r="85" spans="1:11" hidden="1" x14ac:dyDescent="0.35">
      <c r="A85" s="103"/>
      <c r="B85" s="12" t="s">
        <v>3</v>
      </c>
      <c r="C85" s="10" t="s">
        <v>261</v>
      </c>
      <c r="D85" s="152"/>
      <c r="E85" s="170"/>
      <c r="F85" s="153" t="str">
        <f t="shared" si="0"/>
        <v/>
      </c>
      <c r="G85" s="256"/>
      <c r="H85" s="166">
        <f t="shared" si="5"/>
        <v>0</v>
      </c>
      <c r="I85" s="10" t="s">
        <v>20</v>
      </c>
      <c r="J85" s="11">
        <v>34.950000000000003</v>
      </c>
      <c r="K85" s="12">
        <f t="shared" si="8"/>
        <v>0</v>
      </c>
    </row>
    <row r="86" spans="1:11" hidden="1" x14ac:dyDescent="0.35">
      <c r="A86" s="103"/>
      <c r="B86" s="12" t="s">
        <v>3</v>
      </c>
      <c r="C86" s="10" t="s">
        <v>262</v>
      </c>
      <c r="D86" s="152"/>
      <c r="E86" s="170"/>
      <c r="F86" s="153" t="str">
        <f t="shared" si="0"/>
        <v/>
      </c>
      <c r="G86" s="256"/>
      <c r="H86" s="166">
        <f t="shared" si="5"/>
        <v>0</v>
      </c>
      <c r="I86" s="10" t="s">
        <v>20</v>
      </c>
      <c r="J86" s="11">
        <v>24.95</v>
      </c>
      <c r="K86" s="12">
        <f t="shared" si="8"/>
        <v>0</v>
      </c>
    </row>
    <row r="87" spans="1:11" ht="15.5" hidden="1" x14ac:dyDescent="0.35">
      <c r="A87" s="111"/>
      <c r="B87" s="126" t="s">
        <v>263</v>
      </c>
      <c r="C87" s="127"/>
      <c r="D87" s="226"/>
      <c r="E87" s="250"/>
      <c r="F87" s="165" t="str">
        <f t="shared" si="0"/>
        <v/>
      </c>
      <c r="G87" s="259"/>
      <c r="H87" s="247"/>
      <c r="I87" s="127"/>
      <c r="J87" s="127"/>
      <c r="K87" s="272"/>
    </row>
    <row r="88" spans="1:11" hidden="1" x14ac:dyDescent="0.35">
      <c r="A88" s="103"/>
      <c r="B88" s="12" t="s">
        <v>3</v>
      </c>
      <c r="C88" s="10" t="s">
        <v>264</v>
      </c>
      <c r="D88" s="152"/>
      <c r="E88" s="170"/>
      <c r="F88" s="153" t="str">
        <f t="shared" si="0"/>
        <v/>
      </c>
      <c r="G88" s="256"/>
      <c r="H88" s="166">
        <f t="shared" si="5"/>
        <v>0</v>
      </c>
      <c r="I88" s="10" t="s">
        <v>20</v>
      </c>
      <c r="J88" s="11">
        <v>19.5</v>
      </c>
      <c r="K88" s="12">
        <f t="shared" ref="K88:K94" si="9">G88*J88</f>
        <v>0</v>
      </c>
    </row>
    <row r="89" spans="1:11" hidden="1" x14ac:dyDescent="0.35">
      <c r="A89" s="103"/>
      <c r="B89" s="12" t="s">
        <v>3</v>
      </c>
      <c r="C89" s="10" t="s">
        <v>265</v>
      </c>
      <c r="D89" s="152"/>
      <c r="E89" s="170"/>
      <c r="F89" s="153" t="str">
        <f t="shared" ref="F89:F152" si="10">IF(E89="","",IF(D89-E89&gt;0,D89-E89,""))</f>
        <v/>
      </c>
      <c r="G89" s="256"/>
      <c r="H89" s="166">
        <f t="shared" si="5"/>
        <v>0</v>
      </c>
      <c r="I89" s="10" t="s">
        <v>20</v>
      </c>
      <c r="J89" s="11">
        <v>16.95</v>
      </c>
      <c r="K89" s="12">
        <f t="shared" si="9"/>
        <v>0</v>
      </c>
    </row>
    <row r="90" spans="1:11" hidden="1" x14ac:dyDescent="0.35">
      <c r="A90" s="103"/>
      <c r="B90" s="12" t="s">
        <v>3</v>
      </c>
      <c r="C90" s="10" t="s">
        <v>266</v>
      </c>
      <c r="D90" s="152"/>
      <c r="E90" s="170"/>
      <c r="F90" s="153" t="str">
        <f t="shared" si="10"/>
        <v/>
      </c>
      <c r="G90" s="256"/>
      <c r="H90" s="166">
        <f t="shared" si="5"/>
        <v>0</v>
      </c>
      <c r="I90" s="10" t="s">
        <v>20</v>
      </c>
      <c r="J90" s="11">
        <v>17.95</v>
      </c>
      <c r="K90" s="12">
        <f t="shared" si="9"/>
        <v>0</v>
      </c>
    </row>
    <row r="91" spans="1:11" hidden="1" x14ac:dyDescent="0.35">
      <c r="A91" s="103"/>
      <c r="B91" s="12" t="s">
        <v>3</v>
      </c>
      <c r="C91" s="10" t="s">
        <v>267</v>
      </c>
      <c r="D91" s="152"/>
      <c r="E91" s="170"/>
      <c r="F91" s="153" t="str">
        <f t="shared" si="10"/>
        <v/>
      </c>
      <c r="G91" s="256"/>
      <c r="H91" s="166">
        <f t="shared" si="5"/>
        <v>0</v>
      </c>
      <c r="I91" s="10" t="s">
        <v>20</v>
      </c>
      <c r="J91" s="11">
        <v>15.95</v>
      </c>
      <c r="K91" s="12">
        <f t="shared" si="9"/>
        <v>0</v>
      </c>
    </row>
    <row r="92" spans="1:11" hidden="1" x14ac:dyDescent="0.35">
      <c r="A92" s="103"/>
      <c r="B92" s="12" t="s">
        <v>3</v>
      </c>
      <c r="C92" s="10" t="s">
        <v>268</v>
      </c>
      <c r="D92" s="152"/>
      <c r="E92" s="170"/>
      <c r="F92" s="153" t="str">
        <f t="shared" si="10"/>
        <v/>
      </c>
      <c r="G92" s="256"/>
      <c r="H92" s="166">
        <f t="shared" si="5"/>
        <v>0</v>
      </c>
      <c r="I92" s="10" t="s">
        <v>20</v>
      </c>
      <c r="J92" s="11">
        <v>20.95</v>
      </c>
      <c r="K92" s="12">
        <f t="shared" si="9"/>
        <v>0</v>
      </c>
    </row>
    <row r="93" spans="1:11" hidden="1" x14ac:dyDescent="0.35">
      <c r="A93" s="103"/>
      <c r="B93" s="12" t="s">
        <v>3</v>
      </c>
      <c r="C93" s="10" t="s">
        <v>269</v>
      </c>
      <c r="D93" s="152"/>
      <c r="E93" s="170"/>
      <c r="F93" s="153" t="str">
        <f t="shared" si="10"/>
        <v/>
      </c>
      <c r="G93" s="256"/>
      <c r="H93" s="166">
        <f t="shared" si="5"/>
        <v>0</v>
      </c>
      <c r="I93" s="10" t="s">
        <v>20</v>
      </c>
      <c r="J93" s="11">
        <v>26.95</v>
      </c>
      <c r="K93" s="12">
        <f t="shared" si="9"/>
        <v>0</v>
      </c>
    </row>
    <row r="94" spans="1:11" hidden="1" x14ac:dyDescent="0.35">
      <c r="A94" s="103"/>
      <c r="B94" s="12" t="s">
        <v>3</v>
      </c>
      <c r="C94" s="10" t="s">
        <v>270</v>
      </c>
      <c r="D94" s="152"/>
      <c r="E94" s="170"/>
      <c r="F94" s="153" t="str">
        <f t="shared" si="10"/>
        <v/>
      </c>
      <c r="G94" s="256"/>
      <c r="H94" s="166">
        <f t="shared" si="5"/>
        <v>0</v>
      </c>
      <c r="I94" s="10" t="s">
        <v>20</v>
      </c>
      <c r="J94" s="11">
        <v>26.95</v>
      </c>
      <c r="K94" s="12">
        <f t="shared" si="9"/>
        <v>0</v>
      </c>
    </row>
    <row r="95" spans="1:11" ht="15.5" hidden="1" x14ac:dyDescent="0.35">
      <c r="A95" s="111"/>
      <c r="B95" s="126" t="s">
        <v>271</v>
      </c>
      <c r="C95" s="127"/>
      <c r="D95" s="226"/>
      <c r="E95" s="250"/>
      <c r="F95" s="165" t="str">
        <f t="shared" si="10"/>
        <v/>
      </c>
      <c r="G95" s="259"/>
      <c r="H95" s="247"/>
      <c r="I95" s="127"/>
      <c r="J95" s="127"/>
      <c r="K95" s="272"/>
    </row>
    <row r="96" spans="1:11" hidden="1" x14ac:dyDescent="0.35">
      <c r="A96" s="103"/>
      <c r="B96" s="12" t="s">
        <v>3</v>
      </c>
      <c r="C96" s="10" t="s">
        <v>272</v>
      </c>
      <c r="D96" s="152"/>
      <c r="E96" s="170"/>
      <c r="F96" s="153" t="str">
        <f t="shared" si="10"/>
        <v/>
      </c>
      <c r="G96" s="256"/>
      <c r="H96" s="166">
        <f t="shared" si="5"/>
        <v>0</v>
      </c>
      <c r="I96" s="10" t="s">
        <v>20</v>
      </c>
      <c r="J96" s="11">
        <v>20.95</v>
      </c>
      <c r="K96" s="12">
        <f>G96*J96</f>
        <v>0</v>
      </c>
    </row>
    <row r="97" spans="1:11" hidden="1" x14ac:dyDescent="0.35">
      <c r="A97" s="103"/>
      <c r="B97" s="12" t="s">
        <v>3</v>
      </c>
      <c r="C97" s="10" t="s">
        <v>273</v>
      </c>
      <c r="D97" s="152"/>
      <c r="E97" s="170"/>
      <c r="F97" s="153" t="str">
        <f t="shared" si="10"/>
        <v/>
      </c>
      <c r="G97" s="256"/>
      <c r="H97" s="166">
        <f t="shared" si="5"/>
        <v>0</v>
      </c>
      <c r="I97" s="10" t="s">
        <v>20</v>
      </c>
      <c r="J97" s="11">
        <v>23.95</v>
      </c>
      <c r="K97" s="12">
        <f>G97*J97</f>
        <v>0</v>
      </c>
    </row>
    <row r="98" spans="1:11" hidden="1" x14ac:dyDescent="0.35">
      <c r="A98" s="103"/>
      <c r="B98" s="12" t="s">
        <v>3</v>
      </c>
      <c r="C98" s="10" t="s">
        <v>274</v>
      </c>
      <c r="D98" s="152"/>
      <c r="E98" s="170"/>
      <c r="F98" s="153" t="str">
        <f t="shared" si="10"/>
        <v/>
      </c>
      <c r="G98" s="256"/>
      <c r="H98" s="166">
        <f t="shared" si="5"/>
        <v>0</v>
      </c>
      <c r="I98" s="10" t="s">
        <v>20</v>
      </c>
      <c r="J98" s="11">
        <v>22.5</v>
      </c>
      <c r="K98" s="12">
        <f>G98*J98</f>
        <v>0</v>
      </c>
    </row>
    <row r="99" spans="1:11" hidden="1" x14ac:dyDescent="0.35">
      <c r="A99" s="103"/>
      <c r="B99" s="12" t="s">
        <v>3</v>
      </c>
      <c r="C99" s="10" t="s">
        <v>275</v>
      </c>
      <c r="D99" s="152"/>
      <c r="E99" s="170"/>
      <c r="F99" s="153" t="str">
        <f t="shared" si="10"/>
        <v/>
      </c>
      <c r="G99" s="256"/>
      <c r="H99" s="166">
        <f t="shared" si="5"/>
        <v>0</v>
      </c>
      <c r="I99" s="10" t="s">
        <v>20</v>
      </c>
      <c r="J99" s="11">
        <v>29.95</v>
      </c>
      <c r="K99" s="12">
        <f>G99*J99</f>
        <v>0</v>
      </c>
    </row>
    <row r="100" spans="1:11" ht="15.5" hidden="1" x14ac:dyDescent="0.35">
      <c r="A100" s="111"/>
      <c r="B100" s="126" t="s">
        <v>276</v>
      </c>
      <c r="C100" s="127"/>
      <c r="D100" s="226"/>
      <c r="E100" s="250"/>
      <c r="F100" s="165" t="str">
        <f t="shared" si="10"/>
        <v/>
      </c>
      <c r="G100" s="259"/>
      <c r="H100" s="247"/>
      <c r="I100" s="127"/>
      <c r="J100" s="127"/>
      <c r="K100" s="272"/>
    </row>
    <row r="101" spans="1:11" hidden="1" x14ac:dyDescent="0.35">
      <c r="A101" s="103"/>
      <c r="B101" s="12" t="s">
        <v>3</v>
      </c>
      <c r="C101" s="10" t="s">
        <v>277</v>
      </c>
      <c r="D101" s="152"/>
      <c r="E101" s="170"/>
      <c r="F101" s="153" t="str">
        <f t="shared" si="10"/>
        <v/>
      </c>
      <c r="G101" s="256"/>
      <c r="H101" s="166">
        <f t="shared" si="5"/>
        <v>0</v>
      </c>
      <c r="I101" s="10" t="s">
        <v>20</v>
      </c>
      <c r="J101" s="11">
        <v>17.95</v>
      </c>
      <c r="K101" s="12">
        <f>G101*J101</f>
        <v>0</v>
      </c>
    </row>
    <row r="102" spans="1:11" hidden="1" x14ac:dyDescent="0.35">
      <c r="A102" s="103"/>
      <c r="B102" s="12" t="s">
        <v>3</v>
      </c>
      <c r="C102" s="10" t="s">
        <v>278</v>
      </c>
      <c r="D102" s="152"/>
      <c r="E102" s="170"/>
      <c r="F102" s="153" t="str">
        <f t="shared" si="10"/>
        <v/>
      </c>
      <c r="G102" s="256"/>
      <c r="H102" s="166">
        <f t="shared" si="5"/>
        <v>0</v>
      </c>
      <c r="I102" s="10" t="s">
        <v>20</v>
      </c>
      <c r="J102" s="11">
        <v>20.95</v>
      </c>
      <c r="K102" s="12">
        <f>G102*J102</f>
        <v>0</v>
      </c>
    </row>
    <row r="103" spans="1:11" hidden="1" x14ac:dyDescent="0.35">
      <c r="A103" s="103"/>
      <c r="B103" s="12" t="s">
        <v>3</v>
      </c>
      <c r="C103" s="10" t="s">
        <v>279</v>
      </c>
      <c r="D103" s="152"/>
      <c r="E103" s="170"/>
      <c r="F103" s="153" t="str">
        <f t="shared" si="10"/>
        <v/>
      </c>
      <c r="G103" s="256"/>
      <c r="H103" s="166">
        <f t="shared" si="5"/>
        <v>0</v>
      </c>
      <c r="I103" s="10" t="s">
        <v>20</v>
      </c>
      <c r="J103" s="11">
        <v>19.95</v>
      </c>
      <c r="K103" s="12">
        <f>G103*J103</f>
        <v>0</v>
      </c>
    </row>
    <row r="104" spans="1:11" hidden="1" x14ac:dyDescent="0.35">
      <c r="A104" s="103"/>
      <c r="B104" s="40" t="s">
        <v>3</v>
      </c>
      <c r="C104" s="41" t="s">
        <v>280</v>
      </c>
      <c r="D104" s="227"/>
      <c r="E104" s="170"/>
      <c r="F104" s="153" t="str">
        <f t="shared" si="10"/>
        <v/>
      </c>
      <c r="G104" s="256"/>
      <c r="H104" s="166">
        <f t="shared" si="5"/>
        <v>0</v>
      </c>
      <c r="I104" s="41" t="s">
        <v>20</v>
      </c>
      <c r="J104" s="42">
        <v>59.95</v>
      </c>
      <c r="K104" s="40">
        <f>G104*J104</f>
        <v>0</v>
      </c>
    </row>
    <row r="105" spans="1:11" ht="15.5" hidden="1" x14ac:dyDescent="0.35">
      <c r="A105" s="111"/>
      <c r="B105" s="126" t="s">
        <v>281</v>
      </c>
      <c r="C105" s="127"/>
      <c r="D105" s="226"/>
      <c r="E105" s="170"/>
      <c r="F105" s="153" t="str">
        <f t="shared" si="10"/>
        <v/>
      </c>
      <c r="G105" s="259"/>
      <c r="H105" s="166">
        <f t="shared" si="5"/>
        <v>0</v>
      </c>
      <c r="I105" s="127"/>
      <c r="J105" s="127"/>
      <c r="K105" s="272"/>
    </row>
    <row r="106" spans="1:11" hidden="1" x14ac:dyDescent="0.35">
      <c r="A106" s="103"/>
      <c r="B106" s="12" t="s">
        <v>3</v>
      </c>
      <c r="C106" s="10" t="s">
        <v>282</v>
      </c>
      <c r="D106" s="152"/>
      <c r="E106" s="170"/>
      <c r="F106" s="153" t="str">
        <f t="shared" si="10"/>
        <v/>
      </c>
      <c r="G106" s="256"/>
      <c r="H106" s="166">
        <f t="shared" si="5"/>
        <v>0</v>
      </c>
      <c r="I106" s="10" t="s">
        <v>20</v>
      </c>
      <c r="J106" s="11">
        <v>54.95</v>
      </c>
      <c r="K106" s="12">
        <f>G106*J106</f>
        <v>0</v>
      </c>
    </row>
    <row r="107" spans="1:11" hidden="1" x14ac:dyDescent="0.35">
      <c r="A107" s="103"/>
      <c r="B107" s="12" t="s">
        <v>3</v>
      </c>
      <c r="C107" s="10" t="s">
        <v>283</v>
      </c>
      <c r="D107" s="152"/>
      <c r="E107" s="170"/>
      <c r="F107" s="153" t="str">
        <f t="shared" si="10"/>
        <v/>
      </c>
      <c r="G107" s="256"/>
      <c r="H107" s="166">
        <f t="shared" si="5"/>
        <v>0</v>
      </c>
      <c r="I107" s="10" t="s">
        <v>20</v>
      </c>
      <c r="J107" s="11">
        <v>49.95</v>
      </c>
      <c r="K107" s="12">
        <f>G107*J107</f>
        <v>0</v>
      </c>
    </row>
    <row r="108" spans="1:11" ht="15.5" x14ac:dyDescent="0.35">
      <c r="A108" s="111"/>
      <c r="B108" s="126" t="s">
        <v>284</v>
      </c>
      <c r="C108" s="127"/>
      <c r="D108" s="226"/>
      <c r="E108" s="250"/>
      <c r="F108" s="165" t="str">
        <f t="shared" si="10"/>
        <v/>
      </c>
      <c r="G108" s="259"/>
      <c r="H108" s="247"/>
      <c r="I108" s="127"/>
      <c r="J108" s="127"/>
      <c r="K108" s="272"/>
    </row>
    <row r="109" spans="1:11" x14ac:dyDescent="0.35">
      <c r="A109" s="103"/>
      <c r="B109" s="12" t="s">
        <v>3</v>
      </c>
      <c r="C109" s="10" t="s">
        <v>285</v>
      </c>
      <c r="D109" s="152">
        <v>1</v>
      </c>
      <c r="E109" s="170">
        <v>1</v>
      </c>
      <c r="F109" s="153" t="str">
        <f t="shared" si="10"/>
        <v/>
      </c>
      <c r="G109" s="256">
        <v>1</v>
      </c>
      <c r="H109" s="166">
        <f t="shared" si="5"/>
        <v>0</v>
      </c>
      <c r="I109" s="10" t="s">
        <v>20</v>
      </c>
      <c r="J109" s="11">
        <v>41.5</v>
      </c>
      <c r="K109" s="12">
        <f t="shared" ref="K109:K114" si="11">G109*J109</f>
        <v>41.5</v>
      </c>
    </row>
    <row r="110" spans="1:11" hidden="1" x14ac:dyDescent="0.35">
      <c r="A110" s="103"/>
      <c r="B110" s="12" t="s">
        <v>3</v>
      </c>
      <c r="C110" s="10" t="s">
        <v>286</v>
      </c>
      <c r="D110" s="152"/>
      <c r="E110" s="170"/>
      <c r="F110" s="153" t="str">
        <f t="shared" si="10"/>
        <v/>
      </c>
      <c r="G110" s="256"/>
      <c r="H110" s="166">
        <f t="shared" si="5"/>
        <v>0</v>
      </c>
      <c r="I110" s="10" t="s">
        <v>20</v>
      </c>
      <c r="J110" s="11">
        <v>36.200000000000003</v>
      </c>
      <c r="K110" s="12">
        <f t="shared" si="11"/>
        <v>0</v>
      </c>
    </row>
    <row r="111" spans="1:11" hidden="1" x14ac:dyDescent="0.35">
      <c r="A111" s="103"/>
      <c r="B111" s="12" t="s">
        <v>3</v>
      </c>
      <c r="C111" s="10" t="s">
        <v>287</v>
      </c>
      <c r="D111" s="152"/>
      <c r="E111" s="170"/>
      <c r="F111" s="153" t="str">
        <f t="shared" si="10"/>
        <v/>
      </c>
      <c r="G111" s="256"/>
      <c r="H111" s="166">
        <f t="shared" ref="H111:H174" si="12">IF(ISNUMBER(E111),E111,0)+IF(ISNUMBER(F111),F111,0)-IF(ISNUMBER(G111),G111,0)</f>
        <v>0</v>
      </c>
      <c r="I111" s="10" t="s">
        <v>20</v>
      </c>
      <c r="J111" s="11">
        <v>25.95</v>
      </c>
      <c r="K111" s="12">
        <f t="shared" si="11"/>
        <v>0</v>
      </c>
    </row>
    <row r="112" spans="1:11" hidden="1" x14ac:dyDescent="0.35">
      <c r="A112" s="103"/>
      <c r="B112" s="12" t="s">
        <v>3</v>
      </c>
      <c r="C112" s="10" t="s">
        <v>288</v>
      </c>
      <c r="D112" s="152"/>
      <c r="E112" s="170"/>
      <c r="F112" s="153" t="str">
        <f t="shared" si="10"/>
        <v/>
      </c>
      <c r="G112" s="256"/>
      <c r="H112" s="166">
        <f t="shared" si="12"/>
        <v>0</v>
      </c>
      <c r="I112" s="10" t="s">
        <v>20</v>
      </c>
      <c r="J112" s="11">
        <v>32.799999999999997</v>
      </c>
      <c r="K112" s="12">
        <f t="shared" si="11"/>
        <v>0</v>
      </c>
    </row>
    <row r="113" spans="1:11" hidden="1" x14ac:dyDescent="0.35">
      <c r="A113" s="103"/>
      <c r="B113" s="12" t="s">
        <v>3</v>
      </c>
      <c r="C113" s="10" t="s">
        <v>289</v>
      </c>
      <c r="D113" s="152"/>
      <c r="E113" s="170"/>
      <c r="F113" s="153" t="str">
        <f t="shared" si="10"/>
        <v/>
      </c>
      <c r="G113" s="256"/>
      <c r="H113" s="166">
        <f t="shared" si="12"/>
        <v>0</v>
      </c>
      <c r="I113" s="10" t="s">
        <v>20</v>
      </c>
      <c r="J113" s="11">
        <v>29.2</v>
      </c>
      <c r="K113" s="12">
        <f t="shared" si="11"/>
        <v>0</v>
      </c>
    </row>
    <row r="114" spans="1:11" hidden="1" x14ac:dyDescent="0.35">
      <c r="A114" s="103"/>
      <c r="B114" s="12" t="s">
        <v>3</v>
      </c>
      <c r="C114" s="10" t="s">
        <v>290</v>
      </c>
      <c r="D114" s="152"/>
      <c r="E114" s="170"/>
      <c r="F114" s="153" t="str">
        <f t="shared" si="10"/>
        <v/>
      </c>
      <c r="G114" s="256"/>
      <c r="H114" s="166">
        <f t="shared" si="12"/>
        <v>0</v>
      </c>
      <c r="I114" s="10" t="s">
        <v>20</v>
      </c>
      <c r="J114" s="11">
        <v>22.95</v>
      </c>
      <c r="K114" s="12">
        <f t="shared" si="11"/>
        <v>0</v>
      </c>
    </row>
    <row r="115" spans="1:11" ht="15.5" hidden="1" x14ac:dyDescent="0.35">
      <c r="A115" s="111"/>
      <c r="B115" s="126" t="s">
        <v>291</v>
      </c>
      <c r="C115" s="127"/>
      <c r="D115" s="226"/>
      <c r="E115" s="250"/>
      <c r="F115" s="165" t="str">
        <f t="shared" si="10"/>
        <v/>
      </c>
      <c r="G115" s="259"/>
      <c r="H115" s="247"/>
      <c r="I115" s="127"/>
      <c r="J115" s="127"/>
      <c r="K115" s="272"/>
    </row>
    <row r="116" spans="1:11" hidden="1" x14ac:dyDescent="0.35">
      <c r="A116" s="103"/>
      <c r="B116" s="12" t="s">
        <v>3</v>
      </c>
      <c r="C116" s="10" t="s">
        <v>292</v>
      </c>
      <c r="D116" s="152"/>
      <c r="E116" s="170"/>
      <c r="F116" s="153" t="str">
        <f t="shared" si="10"/>
        <v/>
      </c>
      <c r="G116" s="256"/>
      <c r="H116" s="166">
        <f t="shared" si="12"/>
        <v>0</v>
      </c>
      <c r="I116" s="10" t="s">
        <v>20</v>
      </c>
      <c r="J116" s="11">
        <v>17.95</v>
      </c>
      <c r="K116" s="12">
        <f t="shared" ref="K116:K121" si="13">G116*J116</f>
        <v>0</v>
      </c>
    </row>
    <row r="117" spans="1:11" hidden="1" x14ac:dyDescent="0.35">
      <c r="A117" s="103"/>
      <c r="B117" s="12" t="s">
        <v>3</v>
      </c>
      <c r="C117" s="10" t="s">
        <v>293</v>
      </c>
      <c r="D117" s="152"/>
      <c r="E117" s="170"/>
      <c r="F117" s="153" t="str">
        <f t="shared" si="10"/>
        <v/>
      </c>
      <c r="G117" s="256"/>
      <c r="H117" s="166">
        <f t="shared" si="12"/>
        <v>0</v>
      </c>
      <c r="I117" s="10" t="s">
        <v>20</v>
      </c>
      <c r="J117" s="11">
        <v>12.95</v>
      </c>
      <c r="K117" s="12">
        <f t="shared" si="13"/>
        <v>0</v>
      </c>
    </row>
    <row r="118" spans="1:11" hidden="1" x14ac:dyDescent="0.35">
      <c r="A118" s="103"/>
      <c r="B118" s="12" t="s">
        <v>3</v>
      </c>
      <c r="C118" s="10" t="s">
        <v>294</v>
      </c>
      <c r="D118" s="152"/>
      <c r="E118" s="170"/>
      <c r="F118" s="153" t="str">
        <f t="shared" si="10"/>
        <v/>
      </c>
      <c r="G118" s="256"/>
      <c r="H118" s="166">
        <f t="shared" si="12"/>
        <v>0</v>
      </c>
      <c r="I118" s="10" t="s">
        <v>20</v>
      </c>
      <c r="J118" s="11">
        <v>21.95</v>
      </c>
      <c r="K118" s="12">
        <f t="shared" si="13"/>
        <v>0</v>
      </c>
    </row>
    <row r="119" spans="1:11" hidden="1" x14ac:dyDescent="0.35">
      <c r="A119" s="103"/>
      <c r="B119" s="12" t="s">
        <v>3</v>
      </c>
      <c r="C119" s="10" t="s">
        <v>295</v>
      </c>
      <c r="D119" s="152"/>
      <c r="E119" s="170"/>
      <c r="F119" s="153" t="str">
        <f t="shared" si="10"/>
        <v/>
      </c>
      <c r="G119" s="256"/>
      <c r="H119" s="166">
        <f t="shared" si="12"/>
        <v>0</v>
      </c>
      <c r="I119" s="10" t="s">
        <v>20</v>
      </c>
      <c r="J119" s="11"/>
      <c r="K119" s="12">
        <f t="shared" si="13"/>
        <v>0</v>
      </c>
    </row>
    <row r="120" spans="1:11" hidden="1" x14ac:dyDescent="0.35">
      <c r="A120" s="103"/>
      <c r="B120" s="12" t="s">
        <v>3</v>
      </c>
      <c r="C120" s="10" t="s">
        <v>296</v>
      </c>
      <c r="D120" s="152"/>
      <c r="E120" s="170"/>
      <c r="F120" s="153" t="str">
        <f t="shared" si="10"/>
        <v/>
      </c>
      <c r="G120" s="256"/>
      <c r="H120" s="166">
        <f t="shared" si="12"/>
        <v>0</v>
      </c>
      <c r="I120" s="10" t="s">
        <v>20</v>
      </c>
      <c r="J120" s="11"/>
      <c r="K120" s="12">
        <f t="shared" si="13"/>
        <v>0</v>
      </c>
    </row>
    <row r="121" spans="1:11" hidden="1" x14ac:dyDescent="0.35">
      <c r="A121" s="103"/>
      <c r="B121" s="12" t="s">
        <v>3</v>
      </c>
      <c r="C121" s="10" t="s">
        <v>297</v>
      </c>
      <c r="D121" s="152"/>
      <c r="E121" s="170"/>
      <c r="F121" s="153" t="str">
        <f t="shared" si="10"/>
        <v/>
      </c>
      <c r="G121" s="256"/>
      <c r="H121" s="166">
        <f t="shared" si="12"/>
        <v>0</v>
      </c>
      <c r="I121" s="10" t="s">
        <v>20</v>
      </c>
      <c r="J121" s="11">
        <v>22.95</v>
      </c>
      <c r="K121" s="12">
        <f t="shared" si="13"/>
        <v>0</v>
      </c>
    </row>
    <row r="122" spans="1:11" ht="15.5" hidden="1" x14ac:dyDescent="0.35">
      <c r="A122" s="112" t="s">
        <v>298</v>
      </c>
      <c r="B122" s="116"/>
      <c r="C122" s="116"/>
      <c r="D122" s="228"/>
      <c r="E122" s="250"/>
      <c r="F122" s="165" t="str">
        <f t="shared" si="10"/>
        <v/>
      </c>
      <c r="G122" s="260"/>
      <c r="H122" s="247"/>
      <c r="I122" s="117"/>
      <c r="J122" s="106" t="s">
        <v>18</v>
      </c>
      <c r="K122" s="269">
        <f>SUM(K123:K175)</f>
        <v>156.23000000000002</v>
      </c>
    </row>
    <row r="123" spans="1:11" hidden="1" x14ac:dyDescent="0.35">
      <c r="A123" s="103"/>
      <c r="B123" s="20" t="s">
        <v>4</v>
      </c>
      <c r="C123" s="18" t="s">
        <v>62</v>
      </c>
      <c r="D123" s="229"/>
      <c r="E123" s="250"/>
      <c r="F123" s="153" t="str">
        <f t="shared" si="10"/>
        <v/>
      </c>
      <c r="G123" s="256"/>
      <c r="H123" s="166">
        <f t="shared" si="12"/>
        <v>0</v>
      </c>
      <c r="I123" s="18" t="s">
        <v>20</v>
      </c>
      <c r="J123" s="19">
        <v>7.35</v>
      </c>
      <c r="K123" s="20">
        <f>G123*J123</f>
        <v>0</v>
      </c>
    </row>
    <row r="124" spans="1:11" hidden="1" x14ac:dyDescent="0.35">
      <c r="A124" s="103"/>
      <c r="B124" s="20" t="s">
        <v>4</v>
      </c>
      <c r="C124" s="18" t="s">
        <v>60</v>
      </c>
      <c r="D124" s="229"/>
      <c r="E124" s="250"/>
      <c r="F124" s="153" t="str">
        <f t="shared" si="10"/>
        <v/>
      </c>
      <c r="G124" s="256"/>
      <c r="H124" s="166">
        <f t="shared" si="12"/>
        <v>0</v>
      </c>
      <c r="I124" s="18" t="s">
        <v>20</v>
      </c>
      <c r="J124" s="19">
        <v>10.65</v>
      </c>
      <c r="K124" s="20">
        <f>G124*J124</f>
        <v>0</v>
      </c>
    </row>
    <row r="125" spans="1:11" hidden="1" x14ac:dyDescent="0.35">
      <c r="A125" s="113" t="s">
        <v>40</v>
      </c>
      <c r="B125" s="124"/>
      <c r="C125" s="124"/>
      <c r="D125" s="230"/>
      <c r="E125" s="250"/>
      <c r="F125" s="153" t="str">
        <f t="shared" si="10"/>
        <v/>
      </c>
      <c r="G125" s="261"/>
      <c r="H125" s="166">
        <f t="shared" si="12"/>
        <v>0</v>
      </c>
      <c r="I125" s="124"/>
      <c r="J125" s="124"/>
      <c r="K125" s="273"/>
    </row>
    <row r="126" spans="1:11" hidden="1" x14ac:dyDescent="0.35">
      <c r="A126" s="103"/>
      <c r="B126" s="20" t="s">
        <v>4</v>
      </c>
      <c r="C126" s="18" t="s">
        <v>299</v>
      </c>
      <c r="D126" s="229"/>
      <c r="E126" s="250"/>
      <c r="F126" s="153" t="str">
        <f t="shared" si="10"/>
        <v/>
      </c>
      <c r="G126" s="256"/>
      <c r="H126" s="166">
        <f t="shared" si="12"/>
        <v>0</v>
      </c>
      <c r="I126" s="18" t="s">
        <v>20</v>
      </c>
      <c r="J126" s="19">
        <v>1.31</v>
      </c>
      <c r="K126" s="12">
        <f t="shared" ref="K126:K137" si="14">G126*J126</f>
        <v>0</v>
      </c>
    </row>
    <row r="127" spans="1:11" hidden="1" x14ac:dyDescent="0.35">
      <c r="A127" s="103"/>
      <c r="B127" s="12" t="s">
        <v>4</v>
      </c>
      <c r="C127" s="10" t="s">
        <v>300</v>
      </c>
      <c r="D127" s="152"/>
      <c r="E127" s="250"/>
      <c r="F127" s="153" t="str">
        <f t="shared" si="10"/>
        <v/>
      </c>
      <c r="G127" s="256"/>
      <c r="H127" s="166">
        <f t="shared" si="12"/>
        <v>0</v>
      </c>
      <c r="I127" s="10" t="s">
        <v>20</v>
      </c>
      <c r="J127" s="11">
        <v>1.31</v>
      </c>
      <c r="K127" s="12">
        <f t="shared" si="14"/>
        <v>0</v>
      </c>
    </row>
    <row r="128" spans="1:11" hidden="1" x14ac:dyDescent="0.35">
      <c r="A128" s="103"/>
      <c r="B128" s="20" t="s">
        <v>4</v>
      </c>
      <c r="C128" s="18" t="s">
        <v>301</v>
      </c>
      <c r="D128" s="229"/>
      <c r="E128" s="250"/>
      <c r="F128" s="153" t="str">
        <f t="shared" si="10"/>
        <v/>
      </c>
      <c r="G128" s="256"/>
      <c r="H128" s="166">
        <f t="shared" si="12"/>
        <v>0</v>
      </c>
      <c r="I128" s="18" t="s">
        <v>20</v>
      </c>
      <c r="J128" s="19">
        <v>1.4039999999999999</v>
      </c>
      <c r="K128" s="12">
        <f t="shared" si="14"/>
        <v>0</v>
      </c>
    </row>
    <row r="129" spans="1:11" hidden="1" x14ac:dyDescent="0.35">
      <c r="A129" s="103"/>
      <c r="B129" s="12" t="s">
        <v>4</v>
      </c>
      <c r="C129" s="10" t="s">
        <v>302</v>
      </c>
      <c r="D129" s="152"/>
      <c r="E129" s="250"/>
      <c r="F129" s="153" t="str">
        <f t="shared" si="10"/>
        <v/>
      </c>
      <c r="G129" s="256"/>
      <c r="H129" s="166">
        <f t="shared" si="12"/>
        <v>0</v>
      </c>
      <c r="I129" s="10" t="s">
        <v>20</v>
      </c>
      <c r="J129" s="11">
        <v>1.4039999999999999</v>
      </c>
      <c r="K129" s="12">
        <f t="shared" si="14"/>
        <v>0</v>
      </c>
    </row>
    <row r="130" spans="1:11" hidden="1" x14ac:dyDescent="0.35">
      <c r="A130" s="103"/>
      <c r="B130" s="12" t="s">
        <v>4</v>
      </c>
      <c r="C130" s="10" t="s">
        <v>303</v>
      </c>
      <c r="D130" s="152"/>
      <c r="E130" s="250"/>
      <c r="F130" s="153" t="str">
        <f t="shared" si="10"/>
        <v/>
      </c>
      <c r="G130" s="256"/>
      <c r="H130" s="166">
        <f t="shared" si="12"/>
        <v>0</v>
      </c>
      <c r="I130" s="10" t="s">
        <v>20</v>
      </c>
      <c r="J130" s="11">
        <v>1.53</v>
      </c>
      <c r="K130" s="12">
        <f t="shared" si="14"/>
        <v>0</v>
      </c>
    </row>
    <row r="131" spans="1:11" hidden="1" x14ac:dyDescent="0.35">
      <c r="A131" s="103"/>
      <c r="B131" s="12" t="s">
        <v>4</v>
      </c>
      <c r="C131" s="10" t="s">
        <v>304</v>
      </c>
      <c r="D131" s="152"/>
      <c r="E131" s="250"/>
      <c r="F131" s="153" t="str">
        <f t="shared" si="10"/>
        <v/>
      </c>
      <c r="G131" s="256"/>
      <c r="H131" s="166">
        <f t="shared" si="12"/>
        <v>0</v>
      </c>
      <c r="I131" s="10" t="s">
        <v>20</v>
      </c>
      <c r="J131" s="11">
        <v>1.65</v>
      </c>
      <c r="K131" s="12">
        <f t="shared" si="14"/>
        <v>0</v>
      </c>
    </row>
    <row r="132" spans="1:11" hidden="1" x14ac:dyDescent="0.35">
      <c r="A132" s="103"/>
      <c r="B132" s="12" t="s">
        <v>4</v>
      </c>
      <c r="C132" s="10" t="s">
        <v>83</v>
      </c>
      <c r="D132" s="152"/>
      <c r="E132" s="250"/>
      <c r="F132" s="153" t="str">
        <f t="shared" si="10"/>
        <v/>
      </c>
      <c r="G132" s="256"/>
      <c r="H132" s="166">
        <f t="shared" si="12"/>
        <v>0</v>
      </c>
      <c r="I132" s="10" t="s">
        <v>20</v>
      </c>
      <c r="J132" s="11">
        <v>1.04</v>
      </c>
      <c r="K132" s="12">
        <f t="shared" si="14"/>
        <v>0</v>
      </c>
    </row>
    <row r="133" spans="1:11" hidden="1" x14ac:dyDescent="0.35">
      <c r="A133" s="103"/>
      <c r="B133" s="12" t="s">
        <v>4</v>
      </c>
      <c r="C133" s="10" t="s">
        <v>305</v>
      </c>
      <c r="D133" s="152"/>
      <c r="E133" s="250"/>
      <c r="F133" s="153" t="str">
        <f t="shared" si="10"/>
        <v/>
      </c>
      <c r="G133" s="256"/>
      <c r="H133" s="166">
        <f t="shared" si="12"/>
        <v>0</v>
      </c>
      <c r="I133" s="10" t="s">
        <v>20</v>
      </c>
      <c r="J133" s="11">
        <v>1.04</v>
      </c>
      <c r="K133" s="12">
        <f t="shared" si="14"/>
        <v>0</v>
      </c>
    </row>
    <row r="134" spans="1:11" hidden="1" x14ac:dyDescent="0.35">
      <c r="A134" s="103"/>
      <c r="B134" s="12" t="s">
        <v>4</v>
      </c>
      <c r="C134" s="10" t="s">
        <v>306</v>
      </c>
      <c r="D134" s="152"/>
      <c r="E134" s="250"/>
      <c r="F134" s="153" t="str">
        <f t="shared" si="10"/>
        <v/>
      </c>
      <c r="G134" s="256"/>
      <c r="H134" s="166">
        <f t="shared" si="12"/>
        <v>0</v>
      </c>
      <c r="I134" s="10" t="s">
        <v>20</v>
      </c>
      <c r="J134" s="11">
        <v>1.06</v>
      </c>
      <c r="K134" s="12">
        <f t="shared" si="14"/>
        <v>0</v>
      </c>
    </row>
    <row r="135" spans="1:11" hidden="1" x14ac:dyDescent="0.35">
      <c r="A135" s="103"/>
      <c r="B135" s="12" t="s">
        <v>4</v>
      </c>
      <c r="C135" s="10" t="s">
        <v>307</v>
      </c>
      <c r="D135" s="152"/>
      <c r="E135" s="250"/>
      <c r="F135" s="153" t="str">
        <f t="shared" si="10"/>
        <v/>
      </c>
      <c r="G135" s="256"/>
      <c r="H135" s="166">
        <f t="shared" si="12"/>
        <v>0</v>
      </c>
      <c r="I135" s="10" t="s">
        <v>20</v>
      </c>
      <c r="J135" s="11">
        <v>1.06</v>
      </c>
      <c r="K135" s="12">
        <f t="shared" si="14"/>
        <v>0</v>
      </c>
    </row>
    <row r="136" spans="1:11" hidden="1" x14ac:dyDescent="0.35">
      <c r="A136" s="103"/>
      <c r="B136" s="12" t="s">
        <v>4</v>
      </c>
      <c r="C136" s="10" t="s">
        <v>308</v>
      </c>
      <c r="D136" s="152"/>
      <c r="E136" s="250"/>
      <c r="F136" s="153" t="str">
        <f t="shared" si="10"/>
        <v/>
      </c>
      <c r="G136" s="256"/>
      <c r="H136" s="166">
        <f t="shared" si="12"/>
        <v>0</v>
      </c>
      <c r="I136" s="10" t="s">
        <v>20</v>
      </c>
      <c r="J136" s="11">
        <v>1.2869999999999999</v>
      </c>
      <c r="K136" s="12">
        <f t="shared" si="14"/>
        <v>0</v>
      </c>
    </row>
    <row r="137" spans="1:11" hidden="1" x14ac:dyDescent="0.35">
      <c r="A137" s="103"/>
      <c r="B137" s="12" t="s">
        <v>4</v>
      </c>
      <c r="C137" s="10" t="s">
        <v>309</v>
      </c>
      <c r="D137" s="152"/>
      <c r="E137" s="250"/>
      <c r="F137" s="153" t="str">
        <f t="shared" si="10"/>
        <v/>
      </c>
      <c r="G137" s="256"/>
      <c r="H137" s="166">
        <f t="shared" si="12"/>
        <v>0</v>
      </c>
      <c r="I137" s="10" t="s">
        <v>20</v>
      </c>
      <c r="J137" s="11">
        <v>1.59</v>
      </c>
      <c r="K137" s="12">
        <f t="shared" si="14"/>
        <v>0</v>
      </c>
    </row>
    <row r="138" spans="1:11" hidden="1" x14ac:dyDescent="0.35">
      <c r="A138" s="113" t="s">
        <v>310</v>
      </c>
      <c r="B138" s="124"/>
      <c r="C138" s="124"/>
      <c r="D138" s="230"/>
      <c r="E138" s="250"/>
      <c r="F138" s="153" t="str">
        <f t="shared" si="10"/>
        <v/>
      </c>
      <c r="G138" s="261"/>
      <c r="H138" s="166">
        <f t="shared" si="12"/>
        <v>0</v>
      </c>
      <c r="I138" s="124"/>
      <c r="J138" s="124"/>
      <c r="K138" s="273"/>
    </row>
    <row r="139" spans="1:11" hidden="1" x14ac:dyDescent="0.35">
      <c r="A139" s="103"/>
      <c r="B139" s="12" t="s">
        <v>4</v>
      </c>
      <c r="C139" s="10" t="s">
        <v>311</v>
      </c>
      <c r="D139" s="152"/>
      <c r="E139" s="250"/>
      <c r="F139" s="153" t="str">
        <f t="shared" si="10"/>
        <v/>
      </c>
      <c r="G139" s="256"/>
      <c r="H139" s="166">
        <f t="shared" si="12"/>
        <v>0</v>
      </c>
      <c r="I139" s="10" t="s">
        <v>20</v>
      </c>
      <c r="J139" s="11">
        <v>1.1000000000000001</v>
      </c>
      <c r="K139" s="12">
        <f t="shared" ref="K139:K149" si="15">G139*J139</f>
        <v>0</v>
      </c>
    </row>
    <row r="140" spans="1:11" hidden="1" x14ac:dyDescent="0.35">
      <c r="A140" s="103"/>
      <c r="B140" s="12" t="s">
        <v>4</v>
      </c>
      <c r="C140" s="10" t="s">
        <v>312</v>
      </c>
      <c r="D140" s="152"/>
      <c r="E140" s="250"/>
      <c r="F140" s="153" t="str">
        <f t="shared" si="10"/>
        <v/>
      </c>
      <c r="G140" s="256"/>
      <c r="H140" s="166">
        <f t="shared" si="12"/>
        <v>0</v>
      </c>
      <c r="I140" s="10" t="s">
        <v>20</v>
      </c>
      <c r="J140" s="11">
        <v>1.1000000000000001</v>
      </c>
      <c r="K140" s="12">
        <f t="shared" si="15"/>
        <v>0</v>
      </c>
    </row>
    <row r="141" spans="1:11" hidden="1" x14ac:dyDescent="0.35">
      <c r="A141" s="103"/>
      <c r="B141" s="12" t="s">
        <v>4</v>
      </c>
      <c r="C141" s="10" t="s">
        <v>313</v>
      </c>
      <c r="D141" s="152"/>
      <c r="E141" s="250"/>
      <c r="F141" s="153" t="str">
        <f t="shared" si="10"/>
        <v/>
      </c>
      <c r="G141" s="256"/>
      <c r="H141" s="166">
        <f t="shared" si="12"/>
        <v>0</v>
      </c>
      <c r="I141" s="10" t="s">
        <v>20</v>
      </c>
      <c r="J141" s="11">
        <v>1.3</v>
      </c>
      <c r="K141" s="12">
        <f t="shared" si="15"/>
        <v>0</v>
      </c>
    </row>
    <row r="142" spans="1:11" hidden="1" x14ac:dyDescent="0.35">
      <c r="A142" s="103"/>
      <c r="B142" s="12" t="s">
        <v>4</v>
      </c>
      <c r="C142" s="10" t="s">
        <v>314</v>
      </c>
      <c r="D142" s="152"/>
      <c r="E142" s="250"/>
      <c r="F142" s="153" t="str">
        <f t="shared" si="10"/>
        <v/>
      </c>
      <c r="G142" s="256"/>
      <c r="H142" s="166">
        <f t="shared" si="12"/>
        <v>0</v>
      </c>
      <c r="I142" s="10" t="s">
        <v>20</v>
      </c>
      <c r="J142" s="11">
        <v>1.36</v>
      </c>
      <c r="K142" s="12">
        <f t="shared" si="15"/>
        <v>0</v>
      </c>
    </row>
    <row r="143" spans="1:11" hidden="1" x14ac:dyDescent="0.35">
      <c r="A143" s="103"/>
      <c r="B143" s="12" t="s">
        <v>4</v>
      </c>
      <c r="C143" s="10" t="s">
        <v>315</v>
      </c>
      <c r="D143" s="152"/>
      <c r="E143" s="250"/>
      <c r="F143" s="153" t="str">
        <f t="shared" si="10"/>
        <v/>
      </c>
      <c r="G143" s="256"/>
      <c r="H143" s="166">
        <f t="shared" si="12"/>
        <v>0</v>
      </c>
      <c r="I143" s="10" t="s">
        <v>20</v>
      </c>
      <c r="J143" s="11">
        <v>1.3</v>
      </c>
      <c r="K143" s="12">
        <f t="shared" si="15"/>
        <v>0</v>
      </c>
    </row>
    <row r="144" spans="1:11" hidden="1" x14ac:dyDescent="0.35">
      <c r="A144" s="103"/>
      <c r="B144" s="12" t="s">
        <v>4</v>
      </c>
      <c r="C144" s="10" t="s">
        <v>316</v>
      </c>
      <c r="D144" s="152"/>
      <c r="E144" s="250"/>
      <c r="F144" s="153" t="str">
        <f t="shared" si="10"/>
        <v/>
      </c>
      <c r="G144" s="256"/>
      <c r="H144" s="166">
        <f t="shared" si="12"/>
        <v>0</v>
      </c>
      <c r="I144" s="10" t="s">
        <v>20</v>
      </c>
      <c r="J144" s="11">
        <v>1.35</v>
      </c>
      <c r="K144" s="12">
        <f t="shared" si="15"/>
        <v>0</v>
      </c>
    </row>
    <row r="145" spans="1:11" hidden="1" x14ac:dyDescent="0.35">
      <c r="A145" s="103"/>
      <c r="B145" s="12" t="s">
        <v>4</v>
      </c>
      <c r="C145" s="10" t="s">
        <v>317</v>
      </c>
      <c r="D145" s="152"/>
      <c r="E145" s="250"/>
      <c r="F145" s="153" t="str">
        <f t="shared" si="10"/>
        <v/>
      </c>
      <c r="G145" s="256"/>
      <c r="H145" s="166">
        <f t="shared" si="12"/>
        <v>0</v>
      </c>
      <c r="I145" s="10" t="s">
        <v>20</v>
      </c>
      <c r="J145" s="11">
        <v>1.28</v>
      </c>
      <c r="K145" s="12">
        <f t="shared" si="15"/>
        <v>0</v>
      </c>
    </row>
    <row r="146" spans="1:11" hidden="1" x14ac:dyDescent="0.35">
      <c r="A146" s="103"/>
      <c r="B146" s="12" t="s">
        <v>4</v>
      </c>
      <c r="C146" s="10" t="s">
        <v>318</v>
      </c>
      <c r="D146" s="152"/>
      <c r="E146" s="250"/>
      <c r="F146" s="153" t="str">
        <f t="shared" si="10"/>
        <v/>
      </c>
      <c r="G146" s="256"/>
      <c r="H146" s="166">
        <f t="shared" si="12"/>
        <v>0</v>
      </c>
      <c r="I146" s="10" t="s">
        <v>20</v>
      </c>
      <c r="J146" s="11">
        <v>1.1000000000000001</v>
      </c>
      <c r="K146" s="12">
        <f t="shared" si="15"/>
        <v>0</v>
      </c>
    </row>
    <row r="147" spans="1:11" hidden="1" x14ac:dyDescent="0.35">
      <c r="A147" s="103"/>
      <c r="B147" s="12" t="s">
        <v>4</v>
      </c>
      <c r="C147" s="10" t="s">
        <v>319</v>
      </c>
      <c r="D147" s="152"/>
      <c r="E147" s="250"/>
      <c r="F147" s="153" t="str">
        <f t="shared" si="10"/>
        <v/>
      </c>
      <c r="G147" s="256"/>
      <c r="H147" s="166">
        <f t="shared" si="12"/>
        <v>0</v>
      </c>
      <c r="I147" s="10" t="s">
        <v>20</v>
      </c>
      <c r="J147" s="11">
        <v>1.1000000000000001</v>
      </c>
      <c r="K147" s="12">
        <f t="shared" si="15"/>
        <v>0</v>
      </c>
    </row>
    <row r="148" spans="1:11" hidden="1" x14ac:dyDescent="0.35">
      <c r="A148" s="103"/>
      <c r="B148" s="12" t="s">
        <v>4</v>
      </c>
      <c r="C148" s="10" t="s">
        <v>320</v>
      </c>
      <c r="D148" s="152"/>
      <c r="E148" s="250"/>
      <c r="F148" s="153" t="str">
        <f t="shared" si="10"/>
        <v/>
      </c>
      <c r="G148" s="256"/>
      <c r="H148" s="166">
        <f t="shared" si="12"/>
        <v>0</v>
      </c>
      <c r="I148" s="10" t="s">
        <v>20</v>
      </c>
      <c r="J148" s="11">
        <v>1.1000000000000001</v>
      </c>
      <c r="K148" s="12">
        <f t="shared" si="15"/>
        <v>0</v>
      </c>
    </row>
    <row r="149" spans="1:11" hidden="1" x14ac:dyDescent="0.35">
      <c r="A149" s="103"/>
      <c r="B149" s="12" t="s">
        <v>4</v>
      </c>
      <c r="C149" s="10" t="s">
        <v>321</v>
      </c>
      <c r="D149" s="152"/>
      <c r="E149" s="250"/>
      <c r="F149" s="153" t="str">
        <f t="shared" si="10"/>
        <v/>
      </c>
      <c r="G149" s="256"/>
      <c r="H149" s="166">
        <f t="shared" si="12"/>
        <v>0</v>
      </c>
      <c r="I149" s="10" t="s">
        <v>20</v>
      </c>
      <c r="J149" s="11">
        <v>1.1000000000000001</v>
      </c>
      <c r="K149" s="12">
        <f t="shared" si="15"/>
        <v>0</v>
      </c>
    </row>
    <row r="150" spans="1:11" x14ac:dyDescent="0.35">
      <c r="A150" s="113" t="s">
        <v>41</v>
      </c>
      <c r="B150" s="124"/>
      <c r="C150" s="124"/>
      <c r="D150" s="230"/>
      <c r="E150" s="250"/>
      <c r="F150" s="165" t="str">
        <f t="shared" si="10"/>
        <v/>
      </c>
      <c r="G150" s="261"/>
      <c r="H150" s="247"/>
      <c r="I150" s="124"/>
      <c r="J150" s="124"/>
      <c r="K150" s="273"/>
    </row>
    <row r="151" spans="1:11" x14ac:dyDescent="0.35">
      <c r="A151" s="103"/>
      <c r="B151" s="12" t="s">
        <v>4</v>
      </c>
      <c r="C151" s="10" t="s">
        <v>24</v>
      </c>
      <c r="D151" s="152">
        <v>12</v>
      </c>
      <c r="E151" s="170">
        <v>9</v>
      </c>
      <c r="F151" s="153">
        <f t="shared" si="10"/>
        <v>3</v>
      </c>
      <c r="G151" s="256"/>
      <c r="H151" s="166">
        <f t="shared" si="12"/>
        <v>12</v>
      </c>
      <c r="I151" s="10" t="s">
        <v>20</v>
      </c>
      <c r="J151" s="11">
        <v>3.04</v>
      </c>
      <c r="K151" s="12">
        <f>H151*J151</f>
        <v>36.480000000000004</v>
      </c>
    </row>
    <row r="152" spans="1:11" x14ac:dyDescent="0.35">
      <c r="A152" s="103"/>
      <c r="B152" s="12" t="s">
        <v>4</v>
      </c>
      <c r="C152" s="10" t="s">
        <v>80</v>
      </c>
      <c r="D152" s="152">
        <v>12</v>
      </c>
      <c r="E152" s="170">
        <v>0</v>
      </c>
      <c r="F152" s="153">
        <f t="shared" si="10"/>
        <v>12</v>
      </c>
      <c r="G152" s="256"/>
      <c r="H152" s="166">
        <f t="shared" si="12"/>
        <v>12</v>
      </c>
      <c r="I152" s="10" t="s">
        <v>20</v>
      </c>
      <c r="J152" s="11">
        <v>2.31</v>
      </c>
      <c r="K152" s="12">
        <f t="shared" ref="K152:K168" si="16">H152*J152</f>
        <v>27.72</v>
      </c>
    </row>
    <row r="153" spans="1:11" x14ac:dyDescent="0.35">
      <c r="A153" s="103"/>
      <c r="B153" s="12" t="s">
        <v>4</v>
      </c>
      <c r="C153" s="10" t="s">
        <v>84</v>
      </c>
      <c r="D153" s="152">
        <v>12</v>
      </c>
      <c r="E153" s="170">
        <v>6</v>
      </c>
      <c r="F153" s="153">
        <f t="shared" ref="F153:F219" si="17">IF(E153="","",IF(D153-E153&gt;0,D153-E153,""))</f>
        <v>6</v>
      </c>
      <c r="G153" s="256"/>
      <c r="H153" s="166">
        <f t="shared" si="12"/>
        <v>12</v>
      </c>
      <c r="I153" s="10" t="s">
        <v>20</v>
      </c>
      <c r="J153" s="11">
        <v>2.31</v>
      </c>
      <c r="K153" s="12">
        <f t="shared" si="16"/>
        <v>27.72</v>
      </c>
    </row>
    <row r="154" spans="1:11" hidden="1" x14ac:dyDescent="0.35">
      <c r="A154" s="103"/>
      <c r="B154" s="12" t="s">
        <v>4</v>
      </c>
      <c r="C154" s="10" t="s">
        <v>394</v>
      </c>
      <c r="D154" s="152"/>
      <c r="E154" s="170"/>
      <c r="F154" s="153" t="str">
        <f t="shared" si="17"/>
        <v/>
      </c>
      <c r="G154" s="256"/>
      <c r="H154" s="166">
        <f t="shared" si="12"/>
        <v>0</v>
      </c>
      <c r="I154" s="10" t="s">
        <v>20</v>
      </c>
      <c r="J154" s="11">
        <v>2.54</v>
      </c>
      <c r="K154" s="12">
        <f t="shared" si="16"/>
        <v>0</v>
      </c>
    </row>
    <row r="155" spans="1:11" hidden="1" x14ac:dyDescent="0.35">
      <c r="A155" s="103"/>
      <c r="B155" s="12" t="s">
        <v>4</v>
      </c>
      <c r="C155" s="10" t="s">
        <v>394</v>
      </c>
      <c r="D155" s="152"/>
      <c r="E155" s="170"/>
      <c r="F155" s="153" t="str">
        <f t="shared" si="17"/>
        <v/>
      </c>
      <c r="G155" s="256"/>
      <c r="H155" s="166">
        <f t="shared" si="12"/>
        <v>0</v>
      </c>
      <c r="I155" s="10" t="s">
        <v>20</v>
      </c>
      <c r="J155" s="11">
        <v>2.54</v>
      </c>
      <c r="K155" s="12">
        <f t="shared" si="16"/>
        <v>0</v>
      </c>
    </row>
    <row r="156" spans="1:11" x14ac:dyDescent="0.35">
      <c r="A156" s="103"/>
      <c r="B156" s="12" t="s">
        <v>4</v>
      </c>
      <c r="C156" s="10" t="s">
        <v>25</v>
      </c>
      <c r="D156" s="152">
        <v>6</v>
      </c>
      <c r="E156" s="170">
        <v>3</v>
      </c>
      <c r="F156" s="153">
        <f t="shared" si="17"/>
        <v>3</v>
      </c>
      <c r="G156" s="256">
        <v>3</v>
      </c>
      <c r="H156" s="166">
        <f t="shared" si="12"/>
        <v>3</v>
      </c>
      <c r="I156" s="10" t="s">
        <v>20</v>
      </c>
      <c r="J156" s="11">
        <v>1.79</v>
      </c>
      <c r="K156" s="12">
        <f t="shared" si="16"/>
        <v>5.37</v>
      </c>
    </row>
    <row r="157" spans="1:11" hidden="1" x14ac:dyDescent="0.35">
      <c r="A157" s="103"/>
      <c r="B157" s="12" t="s">
        <v>4</v>
      </c>
      <c r="C157" s="10" t="s">
        <v>322</v>
      </c>
      <c r="D157" s="152"/>
      <c r="E157" s="170"/>
      <c r="F157" s="153" t="str">
        <f t="shared" si="17"/>
        <v/>
      </c>
      <c r="G157" s="256"/>
      <c r="H157" s="166">
        <f t="shared" si="12"/>
        <v>0</v>
      </c>
      <c r="I157" s="10" t="s">
        <v>20</v>
      </c>
      <c r="J157" s="11">
        <v>2.46</v>
      </c>
      <c r="K157" s="12">
        <f t="shared" si="16"/>
        <v>0</v>
      </c>
    </row>
    <row r="158" spans="1:11" x14ac:dyDescent="0.35">
      <c r="A158" s="103"/>
      <c r="B158" s="12" t="s">
        <v>4</v>
      </c>
      <c r="C158" s="10" t="s">
        <v>393</v>
      </c>
      <c r="D158" s="152">
        <v>12</v>
      </c>
      <c r="E158" s="170">
        <v>8</v>
      </c>
      <c r="F158" s="153">
        <f t="shared" si="17"/>
        <v>4</v>
      </c>
      <c r="G158" s="256">
        <v>4</v>
      </c>
      <c r="H158" s="166">
        <f t="shared" si="12"/>
        <v>8</v>
      </c>
      <c r="I158" s="10" t="s">
        <v>20</v>
      </c>
      <c r="J158" s="11">
        <v>2.46</v>
      </c>
      <c r="K158" s="12">
        <f t="shared" si="16"/>
        <v>19.68</v>
      </c>
    </row>
    <row r="159" spans="1:11" hidden="1" x14ac:dyDescent="0.35">
      <c r="A159" s="103"/>
      <c r="B159" s="12" t="s">
        <v>4</v>
      </c>
      <c r="C159" s="10" t="s">
        <v>43</v>
      </c>
      <c r="D159" s="152"/>
      <c r="E159" s="170"/>
      <c r="F159" s="153" t="str">
        <f t="shared" si="17"/>
        <v/>
      </c>
      <c r="G159" s="256"/>
      <c r="H159" s="166">
        <f t="shared" si="12"/>
        <v>0</v>
      </c>
      <c r="I159" s="10" t="s">
        <v>20</v>
      </c>
      <c r="J159" s="11">
        <v>2.5499999999999998</v>
      </c>
      <c r="K159" s="12">
        <f t="shared" si="16"/>
        <v>0</v>
      </c>
    </row>
    <row r="160" spans="1:11" x14ac:dyDescent="0.35">
      <c r="A160" s="103"/>
      <c r="B160" s="12" t="s">
        <v>4</v>
      </c>
      <c r="C160" s="10" t="s">
        <v>81</v>
      </c>
      <c r="D160" s="152">
        <v>18</v>
      </c>
      <c r="E160" s="170">
        <v>11</v>
      </c>
      <c r="F160" s="153">
        <f t="shared" si="17"/>
        <v>7</v>
      </c>
      <c r="G160" s="256"/>
      <c r="H160" s="166">
        <f t="shared" si="12"/>
        <v>18</v>
      </c>
      <c r="I160" s="10" t="s">
        <v>20</v>
      </c>
      <c r="J160" s="11">
        <v>1.51</v>
      </c>
      <c r="K160" s="12">
        <f t="shared" si="16"/>
        <v>27.18</v>
      </c>
    </row>
    <row r="161" spans="1:11" x14ac:dyDescent="0.35">
      <c r="A161" s="103"/>
      <c r="B161" s="12" t="s">
        <v>4</v>
      </c>
      <c r="C161" s="10" t="s">
        <v>82</v>
      </c>
      <c r="D161" s="152">
        <v>18</v>
      </c>
      <c r="E161" s="170">
        <v>8</v>
      </c>
      <c r="F161" s="153">
        <f t="shared" si="17"/>
        <v>10</v>
      </c>
      <c r="G161" s="256">
        <v>10</v>
      </c>
      <c r="H161" s="166">
        <f t="shared" si="12"/>
        <v>8</v>
      </c>
      <c r="I161" s="10" t="s">
        <v>20</v>
      </c>
      <c r="J161" s="11">
        <v>1.51</v>
      </c>
      <c r="K161" s="12">
        <f t="shared" si="16"/>
        <v>12.08</v>
      </c>
    </row>
    <row r="162" spans="1:11" hidden="1" x14ac:dyDescent="0.35">
      <c r="A162" s="103"/>
      <c r="B162" s="12" t="s">
        <v>4</v>
      </c>
      <c r="C162" s="10" t="s">
        <v>323</v>
      </c>
      <c r="D162" s="152"/>
      <c r="E162" s="170"/>
      <c r="F162" s="153" t="str">
        <f t="shared" si="17"/>
        <v/>
      </c>
      <c r="G162" s="256"/>
      <c r="H162" s="166">
        <f t="shared" si="12"/>
        <v>0</v>
      </c>
      <c r="I162" s="10" t="s">
        <v>20</v>
      </c>
      <c r="J162" s="11">
        <v>1.54</v>
      </c>
      <c r="K162" s="12">
        <f t="shared" si="16"/>
        <v>0</v>
      </c>
    </row>
    <row r="163" spans="1:11" hidden="1" x14ac:dyDescent="0.35">
      <c r="A163" s="103"/>
      <c r="B163" s="12" t="s">
        <v>4</v>
      </c>
      <c r="C163" s="10" t="s">
        <v>324</v>
      </c>
      <c r="D163" s="152"/>
      <c r="E163" s="170"/>
      <c r="F163" s="153" t="str">
        <f t="shared" si="17"/>
        <v/>
      </c>
      <c r="G163" s="256"/>
      <c r="H163" s="166">
        <f t="shared" si="12"/>
        <v>0</v>
      </c>
      <c r="I163" s="10" t="s">
        <v>20</v>
      </c>
      <c r="J163" s="11">
        <v>1.6</v>
      </c>
      <c r="K163" s="12">
        <f t="shared" si="16"/>
        <v>0</v>
      </c>
    </row>
    <row r="164" spans="1:11" hidden="1" x14ac:dyDescent="0.35">
      <c r="A164" s="103"/>
      <c r="B164" s="12" t="s">
        <v>4</v>
      </c>
      <c r="C164" s="78" t="s">
        <v>325</v>
      </c>
      <c r="D164" s="224"/>
      <c r="E164" s="170"/>
      <c r="F164" s="153" t="str">
        <f t="shared" si="17"/>
        <v/>
      </c>
      <c r="G164" s="256"/>
      <c r="H164" s="166">
        <f t="shared" si="12"/>
        <v>0</v>
      </c>
      <c r="I164" s="10" t="s">
        <v>20</v>
      </c>
      <c r="J164" s="79">
        <v>49.95</v>
      </c>
      <c r="K164" s="12">
        <f t="shared" si="16"/>
        <v>0</v>
      </c>
    </row>
    <row r="165" spans="1:11" hidden="1" x14ac:dyDescent="0.35">
      <c r="A165" s="113" t="s">
        <v>44</v>
      </c>
      <c r="B165" s="124"/>
      <c r="C165" s="124"/>
      <c r="D165" s="230"/>
      <c r="E165" s="250"/>
      <c r="F165" s="165" t="str">
        <f t="shared" si="17"/>
        <v/>
      </c>
      <c r="G165" s="261"/>
      <c r="H165" s="247"/>
      <c r="I165" s="124"/>
      <c r="J165" s="124"/>
      <c r="K165" s="270"/>
    </row>
    <row r="166" spans="1:11" hidden="1" x14ac:dyDescent="0.35">
      <c r="A166" s="103"/>
      <c r="B166" s="12" t="s">
        <v>4</v>
      </c>
      <c r="C166" s="10" t="s">
        <v>48</v>
      </c>
      <c r="D166" s="152"/>
      <c r="E166" s="170"/>
      <c r="F166" s="153" t="str">
        <f t="shared" si="17"/>
        <v/>
      </c>
      <c r="G166" s="256"/>
      <c r="H166" s="166">
        <f t="shared" si="12"/>
        <v>0</v>
      </c>
      <c r="I166" s="10" t="s">
        <v>20</v>
      </c>
      <c r="J166" s="11">
        <v>1.94</v>
      </c>
      <c r="K166" s="12">
        <f t="shared" si="16"/>
        <v>0</v>
      </c>
    </row>
    <row r="167" spans="1:11" hidden="1" x14ac:dyDescent="0.35">
      <c r="A167" s="103"/>
      <c r="B167" s="12" t="s">
        <v>4</v>
      </c>
      <c r="C167" s="10" t="s">
        <v>49</v>
      </c>
      <c r="D167" s="152"/>
      <c r="E167" s="170"/>
      <c r="F167" s="153" t="str">
        <f t="shared" si="17"/>
        <v/>
      </c>
      <c r="G167" s="256"/>
      <c r="H167" s="166">
        <f t="shared" si="12"/>
        <v>0</v>
      </c>
      <c r="I167" s="10" t="s">
        <v>20</v>
      </c>
      <c r="J167" s="11">
        <v>1.94</v>
      </c>
      <c r="K167" s="12">
        <f t="shared" si="16"/>
        <v>0</v>
      </c>
    </row>
    <row r="168" spans="1:11" hidden="1" x14ac:dyDescent="0.35">
      <c r="A168" s="103"/>
      <c r="B168" s="12" t="s">
        <v>4</v>
      </c>
      <c r="C168" s="10" t="s">
        <v>50</v>
      </c>
      <c r="D168" s="152"/>
      <c r="E168" s="170"/>
      <c r="F168" s="153" t="str">
        <f t="shared" si="17"/>
        <v/>
      </c>
      <c r="G168" s="256"/>
      <c r="H168" s="166">
        <f t="shared" si="12"/>
        <v>0</v>
      </c>
      <c r="I168" s="10" t="s">
        <v>20</v>
      </c>
      <c r="J168" s="11">
        <v>1.94</v>
      </c>
      <c r="K168" s="12">
        <f t="shared" si="16"/>
        <v>0</v>
      </c>
    </row>
    <row r="169" spans="1:11" hidden="1" x14ac:dyDescent="0.35">
      <c r="A169" s="103"/>
      <c r="B169" s="12" t="s">
        <v>4</v>
      </c>
      <c r="C169" s="10" t="s">
        <v>415</v>
      </c>
      <c r="D169" s="152"/>
      <c r="E169" s="170"/>
      <c r="F169" s="153" t="str">
        <f t="shared" si="17"/>
        <v/>
      </c>
      <c r="G169" s="256"/>
      <c r="H169" s="166">
        <f t="shared" si="12"/>
        <v>0</v>
      </c>
      <c r="I169" s="10" t="s">
        <v>20</v>
      </c>
      <c r="J169" s="11">
        <v>1.98</v>
      </c>
      <c r="K169" s="12">
        <f t="shared" ref="K169:K175" si="18">G169*J169</f>
        <v>0</v>
      </c>
    </row>
    <row r="170" spans="1:11" hidden="1" x14ac:dyDescent="0.35">
      <c r="A170" s="103"/>
      <c r="B170" s="12" t="s">
        <v>4</v>
      </c>
      <c r="C170" s="10" t="s">
        <v>414</v>
      </c>
      <c r="D170" s="152"/>
      <c r="E170" s="170"/>
      <c r="F170" s="153" t="str">
        <f t="shared" si="17"/>
        <v/>
      </c>
      <c r="G170" s="256"/>
      <c r="H170" s="166">
        <f t="shared" si="12"/>
        <v>0</v>
      </c>
      <c r="I170" s="10" t="s">
        <v>20</v>
      </c>
      <c r="J170" s="11">
        <v>1.98</v>
      </c>
      <c r="K170" s="12">
        <f t="shared" si="18"/>
        <v>0</v>
      </c>
    </row>
    <row r="171" spans="1:11" hidden="1" x14ac:dyDescent="0.35">
      <c r="A171" s="103"/>
      <c r="B171" s="12" t="s">
        <v>4</v>
      </c>
      <c r="C171" s="10" t="s">
        <v>415</v>
      </c>
      <c r="D171" s="152"/>
      <c r="E171" s="170"/>
      <c r="F171" s="153" t="str">
        <f t="shared" si="17"/>
        <v/>
      </c>
      <c r="G171" s="256"/>
      <c r="H171" s="166">
        <f t="shared" si="12"/>
        <v>0</v>
      </c>
      <c r="I171" s="10" t="s">
        <v>20</v>
      </c>
      <c r="J171" s="11">
        <v>1.98</v>
      </c>
      <c r="K171" s="12">
        <f t="shared" si="18"/>
        <v>0</v>
      </c>
    </row>
    <row r="172" spans="1:11" hidden="1" x14ac:dyDescent="0.35">
      <c r="A172" s="103"/>
      <c r="B172" s="12" t="s">
        <v>4</v>
      </c>
      <c r="C172" s="10" t="s">
        <v>432</v>
      </c>
      <c r="D172" s="152"/>
      <c r="E172" s="170"/>
      <c r="F172" s="153" t="str">
        <f t="shared" si="17"/>
        <v/>
      </c>
      <c r="G172" s="256"/>
      <c r="H172" s="166">
        <f t="shared" si="12"/>
        <v>0</v>
      </c>
      <c r="I172" s="10" t="s">
        <v>20</v>
      </c>
      <c r="J172" s="11">
        <v>1.98</v>
      </c>
      <c r="K172" s="12">
        <f t="shared" si="18"/>
        <v>0</v>
      </c>
    </row>
    <row r="173" spans="1:11" hidden="1" x14ac:dyDescent="0.35">
      <c r="A173" s="103"/>
      <c r="B173" s="40" t="s">
        <v>4</v>
      </c>
      <c r="C173" s="41" t="s">
        <v>330</v>
      </c>
      <c r="D173" s="227"/>
      <c r="E173" s="170"/>
      <c r="F173" s="153" t="str">
        <f t="shared" si="17"/>
        <v/>
      </c>
      <c r="G173" s="256"/>
      <c r="H173" s="166">
        <f t="shared" si="12"/>
        <v>0</v>
      </c>
      <c r="I173" s="10" t="s">
        <v>20</v>
      </c>
      <c r="J173" s="11">
        <v>1.98</v>
      </c>
      <c r="K173" s="12">
        <f t="shared" si="18"/>
        <v>0</v>
      </c>
    </row>
    <row r="174" spans="1:11" hidden="1" x14ac:dyDescent="0.35">
      <c r="A174" s="103"/>
      <c r="B174" s="40" t="s">
        <v>4</v>
      </c>
      <c r="C174" s="41" t="s">
        <v>331</v>
      </c>
      <c r="D174" s="227"/>
      <c r="E174" s="170"/>
      <c r="F174" s="153" t="str">
        <f t="shared" si="17"/>
        <v/>
      </c>
      <c r="G174" s="256"/>
      <c r="H174" s="166">
        <f t="shared" si="12"/>
        <v>0</v>
      </c>
      <c r="I174" s="10" t="s">
        <v>20</v>
      </c>
      <c r="J174" s="11">
        <v>1.98</v>
      </c>
      <c r="K174" s="12">
        <f t="shared" si="18"/>
        <v>0</v>
      </c>
    </row>
    <row r="175" spans="1:11" hidden="1" x14ac:dyDescent="0.35">
      <c r="A175" s="103"/>
      <c r="B175" s="40" t="s">
        <v>4</v>
      </c>
      <c r="C175" s="41" t="s">
        <v>413</v>
      </c>
      <c r="D175" s="227"/>
      <c r="E175" s="170"/>
      <c r="F175" s="153" t="str">
        <f t="shared" si="17"/>
        <v/>
      </c>
      <c r="G175" s="256"/>
      <c r="H175" s="166">
        <f t="shared" ref="H175:H240" si="19">IF(ISNUMBER(E175),E175,0)+IF(ISNUMBER(F175),F175,0)-IF(ISNUMBER(G175),G175,0)</f>
        <v>0</v>
      </c>
      <c r="I175" s="41" t="s">
        <v>20</v>
      </c>
      <c r="J175" s="42">
        <v>1.98</v>
      </c>
      <c r="K175" s="12">
        <f t="shared" si="18"/>
        <v>0</v>
      </c>
    </row>
    <row r="176" spans="1:11" ht="15.5" hidden="1" x14ac:dyDescent="0.35">
      <c r="A176" s="114" t="s">
        <v>333</v>
      </c>
      <c r="B176" s="120"/>
      <c r="C176" s="120"/>
      <c r="D176" s="228"/>
      <c r="E176" s="170"/>
      <c r="F176" s="153" t="str">
        <f t="shared" si="17"/>
        <v/>
      </c>
      <c r="G176" s="292"/>
      <c r="H176" s="166">
        <f t="shared" si="19"/>
        <v>0</v>
      </c>
      <c r="I176" s="121"/>
      <c r="J176" s="122" t="s">
        <v>18</v>
      </c>
      <c r="K176" s="274">
        <f>SUM(K177:K186)</f>
        <v>0</v>
      </c>
    </row>
    <row r="177" spans="1:11" hidden="1" x14ac:dyDescent="0.35">
      <c r="A177" s="103"/>
      <c r="B177" s="12" t="s">
        <v>26</v>
      </c>
      <c r="C177" s="10" t="s">
        <v>334</v>
      </c>
      <c r="D177" s="152"/>
      <c r="E177" s="170"/>
      <c r="F177" s="153" t="str">
        <f t="shared" si="17"/>
        <v/>
      </c>
      <c r="G177" s="256"/>
      <c r="H177" s="166">
        <f t="shared" si="19"/>
        <v>0</v>
      </c>
      <c r="I177" s="10" t="s">
        <v>335</v>
      </c>
      <c r="J177" s="11">
        <v>20</v>
      </c>
      <c r="K177" s="12">
        <f t="shared" ref="K177:K186" si="20">G177*J177</f>
        <v>0</v>
      </c>
    </row>
    <row r="178" spans="1:11" hidden="1" x14ac:dyDescent="0.35">
      <c r="A178" s="103"/>
      <c r="B178" s="20" t="s">
        <v>26</v>
      </c>
      <c r="C178" s="18" t="s">
        <v>53</v>
      </c>
      <c r="D178" s="229"/>
      <c r="E178" s="170"/>
      <c r="F178" s="153" t="str">
        <f t="shared" si="17"/>
        <v/>
      </c>
      <c r="G178" s="256"/>
      <c r="H178" s="166">
        <f t="shared" si="19"/>
        <v>0</v>
      </c>
      <c r="I178" s="18" t="s">
        <v>20</v>
      </c>
      <c r="J178" s="19">
        <v>0.43</v>
      </c>
      <c r="K178" s="20">
        <f t="shared" si="20"/>
        <v>0</v>
      </c>
    </row>
    <row r="179" spans="1:11" hidden="1" x14ac:dyDescent="0.35">
      <c r="A179" s="103"/>
      <c r="B179" s="20" t="s">
        <v>26</v>
      </c>
      <c r="C179" s="18" t="s">
        <v>336</v>
      </c>
      <c r="D179" s="229"/>
      <c r="E179" s="170"/>
      <c r="F179" s="153" t="str">
        <f t="shared" si="17"/>
        <v/>
      </c>
      <c r="G179" s="256"/>
      <c r="H179" s="166">
        <f t="shared" si="19"/>
        <v>0</v>
      </c>
      <c r="I179" s="18" t="s">
        <v>20</v>
      </c>
      <c r="J179" s="19">
        <v>0.43</v>
      </c>
      <c r="K179" s="20">
        <f t="shared" si="20"/>
        <v>0</v>
      </c>
    </row>
    <row r="180" spans="1:11" hidden="1" x14ac:dyDescent="0.35">
      <c r="A180" s="103"/>
      <c r="B180" s="12" t="s">
        <v>26</v>
      </c>
      <c r="C180" s="10" t="s">
        <v>337</v>
      </c>
      <c r="D180" s="152"/>
      <c r="E180" s="170"/>
      <c r="F180" s="153" t="str">
        <f t="shared" si="17"/>
        <v/>
      </c>
      <c r="G180" s="256"/>
      <c r="H180" s="166">
        <f t="shared" si="19"/>
        <v>0</v>
      </c>
      <c r="I180" s="10" t="s">
        <v>20</v>
      </c>
      <c r="J180" s="11">
        <v>0.43</v>
      </c>
      <c r="K180" s="12">
        <f t="shared" si="20"/>
        <v>0</v>
      </c>
    </row>
    <row r="181" spans="1:11" hidden="1" x14ac:dyDescent="0.35">
      <c r="A181" s="103"/>
      <c r="B181" s="12" t="s">
        <v>26</v>
      </c>
      <c r="C181" s="10" t="s">
        <v>51</v>
      </c>
      <c r="D181" s="152"/>
      <c r="E181" s="170"/>
      <c r="F181" s="153" t="str">
        <f t="shared" si="17"/>
        <v/>
      </c>
      <c r="G181" s="256"/>
      <c r="H181" s="166">
        <f t="shared" si="19"/>
        <v>0</v>
      </c>
      <c r="I181" s="10" t="s">
        <v>61</v>
      </c>
      <c r="J181" s="11">
        <v>14</v>
      </c>
      <c r="K181" s="12">
        <f t="shared" si="20"/>
        <v>0</v>
      </c>
    </row>
    <row r="182" spans="1:11" hidden="1" x14ac:dyDescent="0.35">
      <c r="A182" s="103"/>
      <c r="B182" s="12" t="s">
        <v>26</v>
      </c>
      <c r="C182" s="10" t="s">
        <v>338</v>
      </c>
      <c r="D182" s="152"/>
      <c r="E182" s="170"/>
      <c r="F182" s="153" t="str">
        <f t="shared" si="17"/>
        <v/>
      </c>
      <c r="G182" s="256"/>
      <c r="H182" s="166">
        <f t="shared" si="19"/>
        <v>0</v>
      </c>
      <c r="I182" s="10" t="s">
        <v>61</v>
      </c>
      <c r="J182" s="11">
        <v>14.78</v>
      </c>
      <c r="K182" s="12">
        <f t="shared" si="20"/>
        <v>0</v>
      </c>
    </row>
    <row r="183" spans="1:11" hidden="1" x14ac:dyDescent="0.35">
      <c r="A183" s="103"/>
      <c r="B183" s="12" t="s">
        <v>26</v>
      </c>
      <c r="C183" s="10" t="s">
        <v>339</v>
      </c>
      <c r="D183" s="152"/>
      <c r="E183" s="170"/>
      <c r="F183" s="153" t="str">
        <f t="shared" si="17"/>
        <v/>
      </c>
      <c r="G183" s="256"/>
      <c r="H183" s="166">
        <f t="shared" si="19"/>
        <v>0</v>
      </c>
      <c r="I183" s="10" t="s">
        <v>61</v>
      </c>
      <c r="J183" s="11">
        <v>14.78</v>
      </c>
      <c r="K183" s="12">
        <f t="shared" si="20"/>
        <v>0</v>
      </c>
    </row>
    <row r="184" spans="1:11" hidden="1" x14ac:dyDescent="0.35">
      <c r="A184" s="103"/>
      <c r="B184" s="12" t="s">
        <v>26</v>
      </c>
      <c r="C184" s="10" t="s">
        <v>340</v>
      </c>
      <c r="D184" s="152"/>
      <c r="E184" s="170"/>
      <c r="F184" s="153" t="str">
        <f t="shared" si="17"/>
        <v/>
      </c>
      <c r="G184" s="256"/>
      <c r="H184" s="166">
        <f t="shared" si="19"/>
        <v>0</v>
      </c>
      <c r="I184" s="10" t="s">
        <v>61</v>
      </c>
      <c r="J184" s="11">
        <v>14.78</v>
      </c>
      <c r="K184" s="12">
        <f t="shared" si="20"/>
        <v>0</v>
      </c>
    </row>
    <row r="185" spans="1:11" hidden="1" x14ac:dyDescent="0.35">
      <c r="A185" s="103"/>
      <c r="B185" s="12" t="s">
        <v>26</v>
      </c>
      <c r="C185" s="10" t="s">
        <v>341</v>
      </c>
      <c r="D185" s="152"/>
      <c r="E185" s="170"/>
      <c r="F185" s="153" t="str">
        <f t="shared" si="17"/>
        <v/>
      </c>
      <c r="G185" s="256"/>
      <c r="H185" s="166">
        <f t="shared" si="19"/>
        <v>0</v>
      </c>
      <c r="I185" s="10" t="s">
        <v>61</v>
      </c>
      <c r="J185" s="11">
        <v>14.78</v>
      </c>
      <c r="K185" s="12">
        <f t="shared" si="20"/>
        <v>0</v>
      </c>
    </row>
    <row r="186" spans="1:11" hidden="1" x14ac:dyDescent="0.35">
      <c r="A186" s="103"/>
      <c r="B186" s="12" t="s">
        <v>26</v>
      </c>
      <c r="C186" s="10" t="s">
        <v>342</v>
      </c>
      <c r="D186" s="152"/>
      <c r="E186" s="170"/>
      <c r="F186" s="153" t="str">
        <f t="shared" si="17"/>
        <v/>
      </c>
      <c r="G186" s="256"/>
      <c r="H186" s="166">
        <f t="shared" si="19"/>
        <v>0</v>
      </c>
      <c r="I186" s="10" t="s">
        <v>61</v>
      </c>
      <c r="J186" s="11">
        <v>14.78</v>
      </c>
      <c r="K186" s="10">
        <f t="shared" si="20"/>
        <v>0</v>
      </c>
    </row>
    <row r="187" spans="1:11" ht="15.5" hidden="1" x14ac:dyDescent="0.35">
      <c r="A187" s="108" t="s">
        <v>343</v>
      </c>
      <c r="B187" s="108"/>
      <c r="C187" s="108"/>
      <c r="D187" s="223"/>
      <c r="E187" s="250"/>
      <c r="F187" s="165" t="str">
        <f t="shared" si="17"/>
        <v/>
      </c>
      <c r="G187" s="186"/>
      <c r="H187" s="247"/>
      <c r="I187" s="108"/>
      <c r="J187" s="106" t="s">
        <v>18</v>
      </c>
      <c r="K187" s="269">
        <f>SUM(K188:K192)</f>
        <v>0</v>
      </c>
    </row>
    <row r="188" spans="1:11" hidden="1" x14ac:dyDescent="0.35">
      <c r="A188" s="103"/>
      <c r="B188" s="7" t="s">
        <v>6</v>
      </c>
      <c r="C188" s="14" t="s">
        <v>344</v>
      </c>
      <c r="D188" s="152"/>
      <c r="E188" s="170"/>
      <c r="F188" s="153" t="str">
        <f t="shared" si="17"/>
        <v/>
      </c>
      <c r="G188" s="256"/>
      <c r="H188" s="166">
        <f t="shared" si="19"/>
        <v>0</v>
      </c>
      <c r="I188" s="14" t="s">
        <v>20</v>
      </c>
      <c r="J188" s="35">
        <v>0.79</v>
      </c>
      <c r="K188" s="7">
        <f>G188*J188</f>
        <v>0</v>
      </c>
    </row>
    <row r="189" spans="1:11" hidden="1" x14ac:dyDescent="0.35">
      <c r="A189" s="103"/>
      <c r="B189" s="7" t="s">
        <v>6</v>
      </c>
      <c r="C189" s="14" t="s">
        <v>345</v>
      </c>
      <c r="D189" s="152"/>
      <c r="E189" s="170"/>
      <c r="F189" s="153" t="str">
        <f t="shared" si="17"/>
        <v/>
      </c>
      <c r="G189" s="256"/>
      <c r="H189" s="166">
        <f t="shared" si="19"/>
        <v>0</v>
      </c>
      <c r="I189" s="14" t="s">
        <v>20</v>
      </c>
      <c r="J189" s="35">
        <v>2.76</v>
      </c>
      <c r="K189" s="7">
        <f>H189*J189</f>
        <v>0</v>
      </c>
    </row>
    <row r="190" spans="1:11" hidden="1" x14ac:dyDescent="0.35">
      <c r="A190" s="103"/>
      <c r="B190" s="7" t="s">
        <v>6</v>
      </c>
      <c r="C190" s="14" t="s">
        <v>346</v>
      </c>
      <c r="D190" s="152"/>
      <c r="E190" s="170"/>
      <c r="F190" s="153" t="str">
        <f t="shared" si="17"/>
        <v/>
      </c>
      <c r="G190" s="256"/>
      <c r="H190" s="166">
        <f t="shared" si="19"/>
        <v>0</v>
      </c>
      <c r="I190" s="14" t="s">
        <v>20</v>
      </c>
      <c r="J190" s="35">
        <v>1</v>
      </c>
      <c r="K190" s="7">
        <f t="shared" ref="K190:K192" si="21">H190*J190</f>
        <v>0</v>
      </c>
    </row>
    <row r="191" spans="1:11" hidden="1" x14ac:dyDescent="0.35">
      <c r="A191" s="103"/>
      <c r="B191" s="7" t="s">
        <v>6</v>
      </c>
      <c r="C191" s="14" t="s">
        <v>34</v>
      </c>
      <c r="D191" s="152"/>
      <c r="E191" s="170"/>
      <c r="F191" s="153" t="str">
        <f t="shared" si="17"/>
        <v/>
      </c>
      <c r="G191" s="256"/>
      <c r="H191" s="166">
        <f t="shared" si="19"/>
        <v>0</v>
      </c>
      <c r="I191" s="14" t="s">
        <v>20</v>
      </c>
      <c r="J191" s="35">
        <v>1.8</v>
      </c>
      <c r="K191" s="7">
        <f t="shared" si="21"/>
        <v>0</v>
      </c>
    </row>
    <row r="192" spans="1:11" hidden="1" x14ac:dyDescent="0.35">
      <c r="A192" s="103"/>
      <c r="B192" s="7" t="s">
        <v>6</v>
      </c>
      <c r="C192" s="14" t="s">
        <v>35</v>
      </c>
      <c r="D192" s="152"/>
      <c r="E192" s="170"/>
      <c r="F192" s="153" t="str">
        <f t="shared" si="17"/>
        <v/>
      </c>
      <c r="G192" s="256"/>
      <c r="H192" s="166">
        <f t="shared" si="19"/>
        <v>0</v>
      </c>
      <c r="I192" s="14" t="s">
        <v>20</v>
      </c>
      <c r="J192" s="35">
        <v>1.8</v>
      </c>
      <c r="K192" s="7">
        <f t="shared" si="21"/>
        <v>0</v>
      </c>
    </row>
    <row r="193" spans="1:11" ht="15.5" hidden="1" x14ac:dyDescent="0.35">
      <c r="A193" s="112" t="s">
        <v>347</v>
      </c>
      <c r="B193" s="116"/>
      <c r="C193" s="116"/>
      <c r="D193" s="228"/>
      <c r="E193" s="250"/>
      <c r="F193" s="165" t="str">
        <f t="shared" si="17"/>
        <v/>
      </c>
      <c r="G193" s="260"/>
      <c r="H193" s="247"/>
      <c r="I193" s="117"/>
      <c r="J193" s="118" t="s">
        <v>18</v>
      </c>
      <c r="K193" s="275">
        <f>SUM(K194:K194)</f>
        <v>0</v>
      </c>
    </row>
    <row r="194" spans="1:11" hidden="1" x14ac:dyDescent="0.35">
      <c r="A194" s="103"/>
      <c r="B194" s="12" t="s">
        <v>5</v>
      </c>
      <c r="C194" s="10" t="s">
        <v>55</v>
      </c>
      <c r="D194" s="152"/>
      <c r="E194" s="170"/>
      <c r="F194" s="153" t="str">
        <f t="shared" si="17"/>
        <v/>
      </c>
      <c r="G194" s="256"/>
      <c r="H194" s="166">
        <f t="shared" si="19"/>
        <v>0</v>
      </c>
      <c r="I194" s="10" t="s">
        <v>20</v>
      </c>
      <c r="J194" s="11">
        <v>1.01</v>
      </c>
      <c r="K194" s="12">
        <f>H194*J194</f>
        <v>0</v>
      </c>
    </row>
    <row r="195" spans="1:11" ht="15.5" hidden="1" x14ac:dyDescent="0.35">
      <c r="A195" s="112" t="s">
        <v>348</v>
      </c>
      <c r="B195" s="116"/>
      <c r="C195" s="116"/>
      <c r="D195" s="228"/>
      <c r="E195" s="250"/>
      <c r="F195" s="165" t="str">
        <f t="shared" si="17"/>
        <v/>
      </c>
      <c r="G195" s="260"/>
      <c r="H195" s="247"/>
      <c r="I195" s="117"/>
      <c r="J195" s="118" t="s">
        <v>18</v>
      </c>
      <c r="K195" s="275">
        <f>SUM(K196:K207)</f>
        <v>0</v>
      </c>
    </row>
    <row r="196" spans="1:11" hidden="1" x14ac:dyDescent="0.35">
      <c r="A196" s="103"/>
      <c r="B196" s="20" t="s">
        <v>8</v>
      </c>
      <c r="C196" s="18" t="s">
        <v>349</v>
      </c>
      <c r="D196" s="229"/>
      <c r="E196" s="170"/>
      <c r="F196" s="153" t="str">
        <f t="shared" si="17"/>
        <v/>
      </c>
      <c r="G196" s="256"/>
      <c r="H196" s="166">
        <f t="shared" si="19"/>
        <v>0</v>
      </c>
      <c r="I196" s="18" t="s">
        <v>27</v>
      </c>
      <c r="J196" s="20">
        <v>28.62</v>
      </c>
      <c r="K196" s="12">
        <f t="shared" ref="K196:K207" si="22">G196*J196</f>
        <v>0</v>
      </c>
    </row>
    <row r="197" spans="1:11" hidden="1" x14ac:dyDescent="0.35">
      <c r="A197" s="103"/>
      <c r="B197" s="12" t="s">
        <v>8</v>
      </c>
      <c r="C197" s="10" t="s">
        <v>350</v>
      </c>
      <c r="D197" s="152"/>
      <c r="E197" s="170"/>
      <c r="F197" s="153" t="str">
        <f t="shared" si="17"/>
        <v/>
      </c>
      <c r="G197" s="256"/>
      <c r="H197" s="166">
        <f t="shared" si="19"/>
        <v>0</v>
      </c>
      <c r="I197" s="10" t="s">
        <v>335</v>
      </c>
      <c r="J197" s="12">
        <v>30</v>
      </c>
      <c r="K197" s="12">
        <f t="shared" si="22"/>
        <v>0</v>
      </c>
    </row>
    <row r="198" spans="1:11" hidden="1" x14ac:dyDescent="0.35">
      <c r="A198" s="103"/>
      <c r="B198" s="12" t="s">
        <v>8</v>
      </c>
      <c r="C198" s="10" t="s">
        <v>351</v>
      </c>
      <c r="D198" s="152"/>
      <c r="E198" s="170"/>
      <c r="F198" s="153" t="str">
        <f t="shared" si="17"/>
        <v/>
      </c>
      <c r="G198" s="256"/>
      <c r="H198" s="166">
        <f t="shared" si="19"/>
        <v>0</v>
      </c>
      <c r="I198" s="10" t="s">
        <v>335</v>
      </c>
      <c r="J198" s="11">
        <v>1.1499999999999999</v>
      </c>
      <c r="K198" s="12">
        <f t="shared" si="22"/>
        <v>0</v>
      </c>
    </row>
    <row r="199" spans="1:11" hidden="1" x14ac:dyDescent="0.35">
      <c r="A199" s="103"/>
      <c r="B199" s="12" t="s">
        <v>8</v>
      </c>
      <c r="C199" s="10" t="s">
        <v>352</v>
      </c>
      <c r="D199" s="152"/>
      <c r="E199" s="170"/>
      <c r="F199" s="153" t="str">
        <f t="shared" si="17"/>
        <v/>
      </c>
      <c r="G199" s="256"/>
      <c r="H199" s="166">
        <f t="shared" si="19"/>
        <v>0</v>
      </c>
      <c r="I199" s="10">
        <v>23.83</v>
      </c>
      <c r="J199" s="11">
        <v>30.95</v>
      </c>
      <c r="K199" s="12">
        <f>H199*J199</f>
        <v>0</v>
      </c>
    </row>
    <row r="200" spans="1:11" hidden="1" x14ac:dyDescent="0.35">
      <c r="A200" s="103"/>
      <c r="B200" s="12" t="s">
        <v>8</v>
      </c>
      <c r="C200" s="10" t="s">
        <v>353</v>
      </c>
      <c r="D200" s="152"/>
      <c r="E200" s="170"/>
      <c r="F200" s="153" t="str">
        <f t="shared" si="17"/>
        <v/>
      </c>
      <c r="G200" s="256"/>
      <c r="H200" s="166">
        <f t="shared" si="19"/>
        <v>0</v>
      </c>
      <c r="I200" s="10" t="s">
        <v>27</v>
      </c>
      <c r="J200" s="11">
        <v>28.89</v>
      </c>
      <c r="K200" s="12">
        <f t="shared" ref="K200" si="23">H200*J200</f>
        <v>0</v>
      </c>
    </row>
    <row r="201" spans="1:11" hidden="1" x14ac:dyDescent="0.35">
      <c r="A201" s="103"/>
      <c r="B201" s="12" t="s">
        <v>8</v>
      </c>
      <c r="C201" s="10" t="s">
        <v>354</v>
      </c>
      <c r="D201" s="152"/>
      <c r="E201" s="170"/>
      <c r="F201" s="153" t="str">
        <f>IF(E201="","",IF(D201-E201&gt;0,D201-E201,""))</f>
        <v/>
      </c>
      <c r="G201" s="256"/>
      <c r="H201" s="166">
        <f>IF(ISNUMBER(E201),E201,0)+IF(ISNUMBER(F201),F201,0)-IF(ISNUMBER(G201),G201,0)</f>
        <v>0</v>
      </c>
      <c r="I201" s="10" t="s">
        <v>27</v>
      </c>
      <c r="J201" s="11">
        <v>19.37</v>
      </c>
      <c r="K201" s="12">
        <f>H201*J201</f>
        <v>0</v>
      </c>
    </row>
    <row r="202" spans="1:11" hidden="1" x14ac:dyDescent="0.35">
      <c r="A202" s="103"/>
      <c r="B202" s="12" t="s">
        <v>8</v>
      </c>
      <c r="C202" s="10" t="s">
        <v>429</v>
      </c>
      <c r="D202" s="152"/>
      <c r="E202" s="170"/>
      <c r="F202" s="153"/>
      <c r="G202" s="256"/>
      <c r="H202" s="166">
        <f t="shared" ref="H202:H204" si="24">IF(ISNUMBER(E202),E202,0)+IF(ISNUMBER(F202),F202,0)-IF(ISNUMBER(G202),G202,0)</f>
        <v>0</v>
      </c>
      <c r="I202" s="10">
        <v>14.07</v>
      </c>
      <c r="J202" s="11"/>
      <c r="K202" s="12"/>
    </row>
    <row r="203" spans="1:11" hidden="1" x14ac:dyDescent="0.35">
      <c r="A203" s="103"/>
      <c r="B203" s="12" t="s">
        <v>8</v>
      </c>
      <c r="C203" s="10" t="s">
        <v>430</v>
      </c>
      <c r="D203" s="152"/>
      <c r="E203" s="170"/>
      <c r="F203" s="153"/>
      <c r="G203" s="256"/>
      <c r="H203" s="166">
        <f t="shared" si="24"/>
        <v>0</v>
      </c>
      <c r="I203" s="10">
        <v>16.07</v>
      </c>
      <c r="J203" s="11"/>
      <c r="K203" s="12"/>
    </row>
    <row r="204" spans="1:11" hidden="1" x14ac:dyDescent="0.35">
      <c r="A204" s="103"/>
      <c r="B204" s="12" t="s">
        <v>8</v>
      </c>
      <c r="C204" s="10" t="s">
        <v>431</v>
      </c>
      <c r="D204" s="152"/>
      <c r="G204" s="256"/>
      <c r="H204" s="166">
        <f t="shared" si="24"/>
        <v>0</v>
      </c>
      <c r="I204" s="289">
        <v>14.62</v>
      </c>
      <c r="J204" s="11"/>
    </row>
    <row r="205" spans="1:11" hidden="1" x14ac:dyDescent="0.35">
      <c r="A205" s="103"/>
      <c r="B205" s="12" t="s">
        <v>8</v>
      </c>
      <c r="C205" s="10" t="s">
        <v>355</v>
      </c>
      <c r="D205" s="152"/>
      <c r="E205" s="170"/>
      <c r="F205" s="153" t="str">
        <f t="shared" si="17"/>
        <v/>
      </c>
      <c r="G205" s="256"/>
      <c r="H205" s="166">
        <f t="shared" si="19"/>
        <v>0</v>
      </c>
      <c r="I205" s="10" t="s">
        <v>61</v>
      </c>
      <c r="J205" s="11">
        <v>17.11</v>
      </c>
      <c r="K205" s="12">
        <f t="shared" si="22"/>
        <v>0</v>
      </c>
    </row>
    <row r="206" spans="1:11" hidden="1" x14ac:dyDescent="0.35">
      <c r="A206" s="103"/>
      <c r="B206" s="12" t="s">
        <v>8</v>
      </c>
      <c r="C206" s="10" t="s">
        <v>356</v>
      </c>
      <c r="D206" s="152"/>
      <c r="E206" s="170"/>
      <c r="F206" s="153" t="str">
        <f t="shared" si="17"/>
        <v/>
      </c>
      <c r="G206" s="256"/>
      <c r="H206" s="166">
        <f t="shared" si="19"/>
        <v>0</v>
      </c>
      <c r="I206" s="10" t="s">
        <v>61</v>
      </c>
      <c r="J206" s="11">
        <v>22.13</v>
      </c>
      <c r="K206" s="12">
        <f t="shared" si="22"/>
        <v>0</v>
      </c>
    </row>
    <row r="207" spans="1:11" hidden="1" x14ac:dyDescent="0.35">
      <c r="A207" s="103"/>
      <c r="B207" s="40" t="s">
        <v>8</v>
      </c>
      <c r="C207" s="41" t="s">
        <v>357</v>
      </c>
      <c r="D207" s="227"/>
      <c r="E207" s="170"/>
      <c r="F207" s="153" t="str">
        <f t="shared" si="17"/>
        <v/>
      </c>
      <c r="G207" s="256"/>
      <c r="H207" s="166">
        <f t="shared" si="19"/>
        <v>0</v>
      </c>
      <c r="I207" s="41" t="s">
        <v>61</v>
      </c>
      <c r="J207" s="42">
        <v>18.8</v>
      </c>
      <c r="K207" s="40">
        <f t="shared" si="22"/>
        <v>0</v>
      </c>
    </row>
    <row r="208" spans="1:11" ht="15.5" hidden="1" x14ac:dyDescent="0.35">
      <c r="A208" s="112" t="s">
        <v>358</v>
      </c>
      <c r="B208" s="116"/>
      <c r="C208" s="116"/>
      <c r="D208" s="228"/>
      <c r="E208" s="170"/>
      <c r="F208" s="165" t="str">
        <f t="shared" si="17"/>
        <v/>
      </c>
      <c r="G208" s="260"/>
      <c r="H208" s="247"/>
      <c r="I208" s="117"/>
      <c r="J208" s="118" t="s">
        <v>18</v>
      </c>
      <c r="K208" s="275">
        <f>SUM(K209)</f>
        <v>0</v>
      </c>
    </row>
    <row r="209" spans="1:11" hidden="1" x14ac:dyDescent="0.35">
      <c r="A209" s="103"/>
      <c r="B209" s="13" t="s">
        <v>11</v>
      </c>
      <c r="C209" s="18" t="s">
        <v>359</v>
      </c>
      <c r="D209" s="229"/>
      <c r="E209" s="170"/>
      <c r="F209" s="153" t="str">
        <f t="shared" si="17"/>
        <v/>
      </c>
      <c r="G209" s="256"/>
      <c r="H209" s="166">
        <f t="shared" si="19"/>
        <v>0</v>
      </c>
      <c r="I209" s="10" t="s">
        <v>52</v>
      </c>
      <c r="J209" s="11">
        <v>11.63</v>
      </c>
      <c r="K209" s="12">
        <f>G209*J209</f>
        <v>0</v>
      </c>
    </row>
    <row r="210" spans="1:11" ht="15.5" hidden="1" x14ac:dyDescent="0.35">
      <c r="A210" s="108" t="s">
        <v>360</v>
      </c>
      <c r="B210" s="108"/>
      <c r="C210" s="108"/>
      <c r="D210" s="223"/>
      <c r="E210" s="250"/>
      <c r="F210" s="165" t="str">
        <f t="shared" si="17"/>
        <v/>
      </c>
      <c r="G210" s="186"/>
      <c r="H210" s="247"/>
      <c r="I210" s="108"/>
      <c r="J210" s="106" t="s">
        <v>18</v>
      </c>
      <c r="K210" s="269">
        <f>SUM(K211:K212)</f>
        <v>0</v>
      </c>
    </row>
    <row r="211" spans="1:11" hidden="1" x14ac:dyDescent="0.35">
      <c r="A211" s="103"/>
      <c r="B211" s="12" t="s">
        <v>12</v>
      </c>
      <c r="C211" s="10" t="s">
        <v>70</v>
      </c>
      <c r="D211" s="152"/>
      <c r="E211" s="170"/>
      <c r="F211" s="153" t="str">
        <f t="shared" si="17"/>
        <v/>
      </c>
      <c r="G211" s="256"/>
      <c r="H211" s="166">
        <f t="shared" si="19"/>
        <v>0</v>
      </c>
      <c r="I211" s="10" t="s">
        <v>27</v>
      </c>
      <c r="J211" s="11">
        <v>20.7</v>
      </c>
      <c r="K211" s="12">
        <f>H211*J211</f>
        <v>0</v>
      </c>
    </row>
    <row r="212" spans="1:11" hidden="1" x14ac:dyDescent="0.35">
      <c r="A212" s="103"/>
      <c r="B212" s="12" t="s">
        <v>12</v>
      </c>
      <c r="C212" s="10" t="s">
        <v>71</v>
      </c>
      <c r="D212" s="152"/>
      <c r="E212" s="170"/>
      <c r="F212" s="153" t="str">
        <f t="shared" si="17"/>
        <v/>
      </c>
      <c r="G212" s="256"/>
      <c r="H212" s="166">
        <f t="shared" si="19"/>
        <v>0</v>
      </c>
      <c r="I212" s="10" t="s">
        <v>27</v>
      </c>
      <c r="J212" s="11">
        <v>13.7</v>
      </c>
      <c r="K212" s="12">
        <f>H212*J212</f>
        <v>0</v>
      </c>
    </row>
    <row r="213" spans="1:11" ht="15.5" hidden="1" x14ac:dyDescent="0.35">
      <c r="A213" s="108" t="s">
        <v>361</v>
      </c>
      <c r="B213" s="108"/>
      <c r="C213" s="108"/>
      <c r="D213" s="223"/>
      <c r="E213" s="250"/>
      <c r="F213" s="165" t="str">
        <f t="shared" si="17"/>
        <v/>
      </c>
      <c r="G213" s="186"/>
      <c r="H213" s="247"/>
      <c r="I213" s="108"/>
      <c r="J213" s="106" t="s">
        <v>18</v>
      </c>
      <c r="K213" s="269">
        <f>SUM(K214:K217)</f>
        <v>0</v>
      </c>
    </row>
    <row r="214" spans="1:11" hidden="1" x14ac:dyDescent="0.35">
      <c r="A214" s="103"/>
      <c r="B214" s="12" t="s">
        <v>10</v>
      </c>
      <c r="C214" s="10" t="s">
        <v>362</v>
      </c>
      <c r="D214" s="152"/>
      <c r="E214" s="170"/>
      <c r="F214" s="153" t="str">
        <f t="shared" si="17"/>
        <v/>
      </c>
      <c r="G214" s="256"/>
      <c r="H214" s="166">
        <f t="shared" si="19"/>
        <v>0</v>
      </c>
      <c r="I214" s="10" t="s">
        <v>20</v>
      </c>
      <c r="J214" s="11">
        <v>11.08</v>
      </c>
      <c r="K214" s="12">
        <f>H214*J214</f>
        <v>0</v>
      </c>
    </row>
    <row r="215" spans="1:11" hidden="1" x14ac:dyDescent="0.35">
      <c r="A215" s="103"/>
      <c r="B215" s="12" t="s">
        <v>10</v>
      </c>
      <c r="C215" s="10" t="s">
        <v>363</v>
      </c>
      <c r="D215" s="152"/>
      <c r="E215" s="170"/>
      <c r="F215" s="153" t="str">
        <f t="shared" si="17"/>
        <v/>
      </c>
      <c r="G215" s="256"/>
      <c r="H215" s="166">
        <f t="shared" si="19"/>
        <v>0</v>
      </c>
      <c r="I215" s="10" t="s">
        <v>27</v>
      </c>
      <c r="J215" s="11">
        <v>16.21</v>
      </c>
      <c r="K215" s="12">
        <f t="shared" ref="K215:K217" si="25">H215*J215</f>
        <v>0</v>
      </c>
    </row>
    <row r="216" spans="1:11" hidden="1" x14ac:dyDescent="0.35">
      <c r="A216" s="103"/>
      <c r="B216" s="12" t="s">
        <v>10</v>
      </c>
      <c r="C216" s="10" t="s">
        <v>364</v>
      </c>
      <c r="D216" s="152"/>
      <c r="E216" s="170"/>
      <c r="F216" s="153" t="str">
        <f t="shared" si="17"/>
        <v/>
      </c>
      <c r="G216" s="256"/>
      <c r="H216" s="166">
        <f t="shared" si="19"/>
        <v>0</v>
      </c>
      <c r="I216" s="10" t="s">
        <v>27</v>
      </c>
      <c r="J216" s="11">
        <v>19.350000000000001</v>
      </c>
      <c r="K216" s="12">
        <f t="shared" si="25"/>
        <v>0</v>
      </c>
    </row>
    <row r="217" spans="1:11" hidden="1" x14ac:dyDescent="0.35">
      <c r="A217" s="103"/>
      <c r="B217" s="12" t="s">
        <v>10</v>
      </c>
      <c r="C217" s="10" t="s">
        <v>365</v>
      </c>
      <c r="D217" s="152"/>
      <c r="E217" s="170"/>
      <c r="F217" s="153" t="str">
        <f t="shared" si="17"/>
        <v/>
      </c>
      <c r="G217" s="256"/>
      <c r="H217" s="166">
        <f t="shared" si="19"/>
        <v>0</v>
      </c>
      <c r="I217" s="10" t="s">
        <v>27</v>
      </c>
      <c r="J217" s="11">
        <v>19.809999999999999</v>
      </c>
      <c r="K217" s="12">
        <f t="shared" si="25"/>
        <v>0</v>
      </c>
    </row>
    <row r="218" spans="1:11" ht="15.5" hidden="1" x14ac:dyDescent="0.35">
      <c r="A218" s="108" t="s">
        <v>366</v>
      </c>
      <c r="B218" s="108"/>
      <c r="C218" s="108"/>
      <c r="D218" s="223"/>
      <c r="E218" s="170"/>
      <c r="F218" s="165" t="str">
        <f t="shared" si="17"/>
        <v/>
      </c>
      <c r="G218" s="186"/>
      <c r="H218" s="247"/>
      <c r="I218" s="108"/>
      <c r="J218" s="106" t="s">
        <v>18</v>
      </c>
      <c r="K218" s="269">
        <f>SUM(K219:K219)</f>
        <v>0</v>
      </c>
    </row>
    <row r="219" spans="1:11" hidden="1" x14ac:dyDescent="0.35">
      <c r="A219" s="103"/>
      <c r="B219" s="12" t="s">
        <v>28</v>
      </c>
      <c r="C219" s="10" t="s">
        <v>29</v>
      </c>
      <c r="D219" s="152"/>
      <c r="E219" s="170"/>
      <c r="F219" s="153" t="str">
        <f t="shared" si="17"/>
        <v/>
      </c>
      <c r="G219" s="256"/>
      <c r="H219" s="166">
        <f t="shared" si="19"/>
        <v>0</v>
      </c>
      <c r="I219" s="10" t="s">
        <v>54</v>
      </c>
      <c r="J219" s="11">
        <v>104</v>
      </c>
      <c r="K219" s="12">
        <f>+J219*G219</f>
        <v>0</v>
      </c>
    </row>
    <row r="220" spans="1:11" ht="15.5" x14ac:dyDescent="0.35">
      <c r="A220" s="108" t="s">
        <v>367</v>
      </c>
      <c r="B220" s="108"/>
      <c r="C220" s="108"/>
      <c r="D220" s="223"/>
      <c r="E220" s="250"/>
      <c r="F220" s="165" t="str">
        <f t="shared" ref="F220:F255" si="26">IF(E220="","",IF(D220-E220&gt;0,D220-E220,""))</f>
        <v/>
      </c>
      <c r="G220" s="186"/>
      <c r="H220" s="247"/>
      <c r="I220" s="108"/>
      <c r="J220" s="106" t="s">
        <v>18</v>
      </c>
      <c r="K220" s="269">
        <f>SUM(K224:K239)</f>
        <v>189.65</v>
      </c>
    </row>
    <row r="221" spans="1:11" x14ac:dyDescent="0.35">
      <c r="A221" s="103"/>
      <c r="B221" s="12" t="s">
        <v>9</v>
      </c>
      <c r="C221" s="10" t="s">
        <v>423</v>
      </c>
      <c r="D221" s="152"/>
      <c r="E221" s="170"/>
      <c r="F221" s="153" t="str">
        <f t="shared" si="26"/>
        <v/>
      </c>
      <c r="G221" s="256"/>
      <c r="H221" s="166">
        <f t="shared" si="19"/>
        <v>0</v>
      </c>
      <c r="I221" s="10" t="s">
        <v>20</v>
      </c>
      <c r="J221" s="11">
        <v>78</v>
      </c>
      <c r="K221" s="50">
        <f t="shared" ref="K221:K240" si="27">G221*J221</f>
        <v>0</v>
      </c>
    </row>
    <row r="222" spans="1:11" x14ac:dyDescent="0.35">
      <c r="A222" s="103"/>
      <c r="B222" s="12" t="s">
        <v>9</v>
      </c>
      <c r="C222" s="10" t="s">
        <v>424</v>
      </c>
      <c r="D222" s="152"/>
      <c r="E222" s="170"/>
      <c r="F222" s="153" t="str">
        <f t="shared" si="26"/>
        <v/>
      </c>
      <c r="G222" s="256"/>
      <c r="H222" s="166">
        <f t="shared" si="19"/>
        <v>0</v>
      </c>
      <c r="I222" s="10" t="s">
        <v>61</v>
      </c>
      <c r="J222" s="51">
        <v>107.12</v>
      </c>
      <c r="K222" s="50">
        <f t="shared" si="27"/>
        <v>0</v>
      </c>
    </row>
    <row r="223" spans="1:11" x14ac:dyDescent="0.35">
      <c r="A223" s="103"/>
      <c r="B223" s="12" t="s">
        <v>9</v>
      </c>
      <c r="C223" s="10" t="s">
        <v>369</v>
      </c>
      <c r="D223" s="152"/>
      <c r="E223" s="170"/>
      <c r="F223" s="153" t="str">
        <f t="shared" si="26"/>
        <v/>
      </c>
      <c r="G223" s="256"/>
      <c r="H223" s="166">
        <f t="shared" si="19"/>
        <v>0</v>
      </c>
      <c r="I223" s="10" t="s">
        <v>20</v>
      </c>
      <c r="J223" s="11">
        <v>0.04</v>
      </c>
      <c r="K223" s="50">
        <f t="shared" si="27"/>
        <v>0</v>
      </c>
    </row>
    <row r="224" spans="1:11" x14ac:dyDescent="0.35">
      <c r="A224" s="103"/>
      <c r="B224" s="12" t="s">
        <v>9</v>
      </c>
      <c r="C224" s="10" t="s">
        <v>370</v>
      </c>
      <c r="D224" s="152"/>
      <c r="E224" s="170"/>
      <c r="F224" s="153" t="str">
        <f t="shared" si="26"/>
        <v/>
      </c>
      <c r="G224" s="256"/>
      <c r="H224" s="166">
        <f t="shared" si="19"/>
        <v>0</v>
      </c>
      <c r="I224" s="10" t="s">
        <v>20</v>
      </c>
      <c r="J224" s="11">
        <v>7.0999999999999994E-2</v>
      </c>
      <c r="K224" s="233">
        <f>H224*J224</f>
        <v>0</v>
      </c>
    </row>
    <row r="225" spans="1:11" x14ac:dyDescent="0.35">
      <c r="A225" s="103"/>
      <c r="B225" s="12" t="s">
        <v>9</v>
      </c>
      <c r="C225" s="10" t="s">
        <v>411</v>
      </c>
      <c r="D225" s="152"/>
      <c r="E225" s="170"/>
      <c r="F225" s="153" t="str">
        <f t="shared" si="26"/>
        <v/>
      </c>
      <c r="G225" s="256"/>
      <c r="H225" s="166">
        <f t="shared" si="19"/>
        <v>0</v>
      </c>
      <c r="I225" s="10" t="s">
        <v>20</v>
      </c>
      <c r="J225" s="11">
        <v>1.97</v>
      </c>
      <c r="K225" s="233">
        <f>H225*J225</f>
        <v>0</v>
      </c>
    </row>
    <row r="226" spans="1:11" x14ac:dyDescent="0.35">
      <c r="A226" s="103"/>
      <c r="B226" s="12" t="s">
        <v>9</v>
      </c>
      <c r="C226" s="10" t="s">
        <v>371</v>
      </c>
      <c r="D226" s="152"/>
      <c r="E226" s="170"/>
      <c r="F226" s="153" t="str">
        <f t="shared" si="26"/>
        <v/>
      </c>
      <c r="G226" s="256"/>
      <c r="H226" s="166">
        <f t="shared" si="19"/>
        <v>0</v>
      </c>
      <c r="I226" s="10" t="s">
        <v>61</v>
      </c>
      <c r="J226" s="11">
        <v>163.80000000000001</v>
      </c>
      <c r="K226" s="233">
        <f t="shared" ref="K226:K239" si="28">H226*J226</f>
        <v>0</v>
      </c>
    </row>
    <row r="227" spans="1:11" x14ac:dyDescent="0.35">
      <c r="A227" s="103"/>
      <c r="B227" s="12" t="s">
        <v>9</v>
      </c>
      <c r="C227" s="10" t="s">
        <v>410</v>
      </c>
      <c r="D227" s="152"/>
      <c r="E227" s="170"/>
      <c r="F227" s="153" t="str">
        <f t="shared" si="26"/>
        <v/>
      </c>
      <c r="G227" s="256"/>
      <c r="H227" s="166">
        <f t="shared" si="19"/>
        <v>0</v>
      </c>
      <c r="I227" s="10" t="s">
        <v>61</v>
      </c>
      <c r="J227" s="11">
        <v>49.33</v>
      </c>
      <c r="K227" s="233">
        <f t="shared" si="28"/>
        <v>0</v>
      </c>
    </row>
    <row r="228" spans="1:11" x14ac:dyDescent="0.35">
      <c r="A228" s="103"/>
      <c r="B228" s="12" t="s">
        <v>9</v>
      </c>
      <c r="C228" s="10" t="s">
        <v>373</v>
      </c>
      <c r="D228" s="152"/>
      <c r="E228" s="170"/>
      <c r="F228" s="153" t="str">
        <f t="shared" si="26"/>
        <v/>
      </c>
      <c r="G228" s="256"/>
      <c r="H228" s="166">
        <f t="shared" si="19"/>
        <v>0</v>
      </c>
      <c r="I228" s="10" t="s">
        <v>61</v>
      </c>
      <c r="J228" s="11">
        <v>105.6</v>
      </c>
      <c r="K228" s="233">
        <f t="shared" si="28"/>
        <v>0</v>
      </c>
    </row>
    <row r="229" spans="1:11" x14ac:dyDescent="0.35">
      <c r="A229" s="103"/>
      <c r="B229" s="12" t="s">
        <v>9</v>
      </c>
      <c r="C229" s="10" t="s">
        <v>374</v>
      </c>
      <c r="D229" s="152"/>
      <c r="E229" s="170"/>
      <c r="F229" s="153" t="str">
        <f t="shared" si="26"/>
        <v/>
      </c>
      <c r="G229" s="256"/>
      <c r="H229" s="166">
        <f t="shared" si="19"/>
        <v>0</v>
      </c>
      <c r="I229" s="10" t="s">
        <v>61</v>
      </c>
      <c r="J229" s="11">
        <v>114.75</v>
      </c>
      <c r="K229" s="233">
        <f t="shared" si="28"/>
        <v>0</v>
      </c>
    </row>
    <row r="230" spans="1:11" x14ac:dyDescent="0.35">
      <c r="A230" s="103"/>
      <c r="B230" s="12" t="s">
        <v>9</v>
      </c>
      <c r="C230" s="10" t="s">
        <v>375</v>
      </c>
      <c r="D230" s="152"/>
      <c r="E230" s="170"/>
      <c r="F230" s="153" t="str">
        <f t="shared" si="26"/>
        <v/>
      </c>
      <c r="G230" s="256"/>
      <c r="H230" s="166">
        <f t="shared" si="19"/>
        <v>0</v>
      </c>
      <c r="I230" s="10" t="s">
        <v>61</v>
      </c>
      <c r="J230" s="11">
        <v>105.55</v>
      </c>
      <c r="K230" s="233">
        <f t="shared" si="28"/>
        <v>0</v>
      </c>
    </row>
    <row r="231" spans="1:11" x14ac:dyDescent="0.35">
      <c r="A231" s="103"/>
      <c r="B231" s="12" t="s">
        <v>9</v>
      </c>
      <c r="C231" s="10" t="s">
        <v>376</v>
      </c>
      <c r="D231" s="152">
        <v>1</v>
      </c>
      <c r="E231" s="170">
        <v>1</v>
      </c>
      <c r="F231" s="153" t="str">
        <f t="shared" si="26"/>
        <v/>
      </c>
      <c r="G231" s="256"/>
      <c r="H231" s="166">
        <f t="shared" si="19"/>
        <v>1</v>
      </c>
      <c r="I231" s="10" t="s">
        <v>61</v>
      </c>
      <c r="J231" s="11">
        <v>33.25</v>
      </c>
      <c r="K231" s="233">
        <f t="shared" si="28"/>
        <v>33.25</v>
      </c>
    </row>
    <row r="232" spans="1:11" x14ac:dyDescent="0.35">
      <c r="A232" s="103"/>
      <c r="B232" s="12" t="s">
        <v>9</v>
      </c>
      <c r="C232" s="10" t="s">
        <v>377</v>
      </c>
      <c r="D232" s="152"/>
      <c r="E232" s="170"/>
      <c r="F232" s="153" t="str">
        <f t="shared" si="26"/>
        <v/>
      </c>
      <c r="G232" s="256"/>
      <c r="H232" s="166">
        <f t="shared" si="19"/>
        <v>0</v>
      </c>
      <c r="I232" s="10" t="s">
        <v>20</v>
      </c>
      <c r="J232" s="11">
        <v>0.28999999999999998</v>
      </c>
      <c r="K232" s="233">
        <f t="shared" si="28"/>
        <v>0</v>
      </c>
    </row>
    <row r="233" spans="1:11" x14ac:dyDescent="0.35">
      <c r="A233" s="103"/>
      <c r="B233" s="12" t="s">
        <v>9</v>
      </c>
      <c r="C233" s="10" t="s">
        <v>378</v>
      </c>
      <c r="D233" s="152"/>
      <c r="E233" s="170"/>
      <c r="F233" s="153" t="str">
        <f t="shared" si="26"/>
        <v/>
      </c>
      <c r="G233" s="256"/>
      <c r="H233" s="166">
        <f t="shared" si="19"/>
        <v>0</v>
      </c>
      <c r="I233" s="10" t="s">
        <v>61</v>
      </c>
      <c r="J233" s="35">
        <v>37.85</v>
      </c>
      <c r="K233" s="233">
        <f t="shared" si="28"/>
        <v>0</v>
      </c>
    </row>
    <row r="234" spans="1:11" x14ac:dyDescent="0.35">
      <c r="A234" s="103"/>
      <c r="B234" s="12" t="s">
        <v>9</v>
      </c>
      <c r="C234" s="10" t="s">
        <v>425</v>
      </c>
      <c r="D234" s="152">
        <v>1</v>
      </c>
      <c r="E234" s="170">
        <v>1</v>
      </c>
      <c r="F234" s="153" t="str">
        <f t="shared" si="26"/>
        <v/>
      </c>
      <c r="G234" s="256"/>
      <c r="H234" s="166">
        <f t="shared" si="19"/>
        <v>1</v>
      </c>
      <c r="I234" s="10" t="s">
        <v>61</v>
      </c>
      <c r="J234" s="35">
        <v>111.47</v>
      </c>
      <c r="K234" s="233">
        <f t="shared" si="28"/>
        <v>111.47</v>
      </c>
    </row>
    <row r="235" spans="1:11" x14ac:dyDescent="0.35">
      <c r="A235" s="103"/>
      <c r="B235" s="12" t="s">
        <v>9</v>
      </c>
      <c r="C235" s="10" t="s">
        <v>379</v>
      </c>
      <c r="D235" s="152"/>
      <c r="E235" s="170"/>
      <c r="F235" s="153" t="str">
        <f t="shared" si="26"/>
        <v/>
      </c>
      <c r="G235" s="256"/>
      <c r="H235" s="166">
        <f t="shared" si="19"/>
        <v>0</v>
      </c>
      <c r="I235" s="10" t="s">
        <v>61</v>
      </c>
      <c r="J235" s="35">
        <v>174.97</v>
      </c>
      <c r="K235" s="233">
        <f t="shared" si="28"/>
        <v>0</v>
      </c>
    </row>
    <row r="236" spans="1:11" x14ac:dyDescent="0.35">
      <c r="A236" s="103"/>
      <c r="B236" s="12" t="s">
        <v>9</v>
      </c>
      <c r="C236" s="10" t="s">
        <v>380</v>
      </c>
      <c r="D236" s="152">
        <v>1</v>
      </c>
      <c r="E236" s="170">
        <v>1</v>
      </c>
      <c r="F236" s="153" t="str">
        <f t="shared" si="26"/>
        <v/>
      </c>
      <c r="G236" s="256"/>
      <c r="H236" s="166">
        <f t="shared" si="19"/>
        <v>1</v>
      </c>
      <c r="I236" s="10" t="s">
        <v>61</v>
      </c>
      <c r="J236" s="35">
        <v>44.93</v>
      </c>
      <c r="K236" s="233">
        <f t="shared" si="28"/>
        <v>44.93</v>
      </c>
    </row>
    <row r="237" spans="1:11" x14ac:dyDescent="0.35">
      <c r="A237" s="103"/>
      <c r="B237" s="12" t="s">
        <v>9</v>
      </c>
      <c r="C237" s="10" t="s">
        <v>426</v>
      </c>
      <c r="D237" s="152">
        <v>1</v>
      </c>
      <c r="E237" s="170">
        <v>1</v>
      </c>
      <c r="F237" s="153" t="str">
        <f t="shared" si="26"/>
        <v/>
      </c>
      <c r="G237" s="256"/>
      <c r="H237" s="166">
        <f t="shared" si="19"/>
        <v>1</v>
      </c>
      <c r="I237" s="10" t="s">
        <v>61</v>
      </c>
      <c r="J237" s="35"/>
      <c r="K237" s="233">
        <f t="shared" si="28"/>
        <v>0</v>
      </c>
    </row>
    <row r="238" spans="1:11" x14ac:dyDescent="0.35">
      <c r="A238" s="103"/>
      <c r="B238" s="12" t="s">
        <v>9</v>
      </c>
      <c r="C238" s="10" t="s">
        <v>427</v>
      </c>
      <c r="D238" s="152"/>
      <c r="E238" s="170"/>
      <c r="F238" s="153" t="str">
        <f t="shared" si="26"/>
        <v/>
      </c>
      <c r="G238" s="256"/>
      <c r="H238" s="166">
        <f t="shared" si="19"/>
        <v>0</v>
      </c>
      <c r="I238" s="10" t="s">
        <v>61</v>
      </c>
      <c r="J238" s="35"/>
      <c r="K238" s="233">
        <f>H238*J238</f>
        <v>0</v>
      </c>
    </row>
    <row r="239" spans="1:11" x14ac:dyDescent="0.35">
      <c r="A239" s="103"/>
      <c r="B239" s="12" t="s">
        <v>9</v>
      </c>
      <c r="C239" s="10" t="s">
        <v>428</v>
      </c>
      <c r="D239" s="152"/>
      <c r="E239" s="170"/>
      <c r="F239" s="153" t="str">
        <f t="shared" si="26"/>
        <v/>
      </c>
      <c r="G239" s="256"/>
      <c r="H239" s="166">
        <f t="shared" si="19"/>
        <v>0</v>
      </c>
      <c r="I239" s="10" t="s">
        <v>61</v>
      </c>
      <c r="J239" s="35"/>
      <c r="K239" s="233">
        <f t="shared" si="28"/>
        <v>0</v>
      </c>
    </row>
    <row r="240" spans="1:11" x14ac:dyDescent="0.35">
      <c r="A240" s="103"/>
      <c r="B240" s="12" t="s">
        <v>9</v>
      </c>
      <c r="C240" s="10" t="s">
        <v>381</v>
      </c>
      <c r="D240" s="152"/>
      <c r="E240" s="170"/>
      <c r="F240" s="153" t="str">
        <f t="shared" si="26"/>
        <v/>
      </c>
      <c r="G240" s="256"/>
      <c r="H240" s="166">
        <f t="shared" si="19"/>
        <v>0</v>
      </c>
      <c r="I240" s="10" t="s">
        <v>61</v>
      </c>
      <c r="J240" s="35">
        <v>0.02</v>
      </c>
      <c r="K240" s="50">
        <f t="shared" si="27"/>
        <v>0</v>
      </c>
    </row>
    <row r="241" spans="1:18" ht="15.5" x14ac:dyDescent="0.35">
      <c r="A241" s="108" t="s">
        <v>382</v>
      </c>
      <c r="B241" s="108"/>
      <c r="C241" s="108"/>
      <c r="D241" s="223"/>
      <c r="E241" s="250"/>
      <c r="F241" s="165" t="str">
        <f t="shared" si="26"/>
        <v/>
      </c>
      <c r="G241" s="186"/>
      <c r="H241" s="247"/>
      <c r="I241" s="108">
        <v>29.2</v>
      </c>
      <c r="J241" s="106" t="s">
        <v>18</v>
      </c>
      <c r="K241" s="269">
        <f>SUM(K242:K252)</f>
        <v>51.82</v>
      </c>
    </row>
    <row r="242" spans="1:18" hidden="1" x14ac:dyDescent="0.35">
      <c r="A242" s="103"/>
      <c r="B242" s="12" t="s">
        <v>31</v>
      </c>
      <c r="C242" s="10" t="s">
        <v>383</v>
      </c>
      <c r="D242" s="152"/>
      <c r="E242" s="170"/>
      <c r="F242" s="153" t="str">
        <f t="shared" si="26"/>
        <v/>
      </c>
      <c r="G242" s="256"/>
      <c r="H242" s="166">
        <f t="shared" ref="H242:H255" si="29">IF(ISNUMBER(E242),E242,0)+IF(ISNUMBER(F242),F242,0)-IF(ISNUMBER(G242),G242,0)</f>
        <v>0</v>
      </c>
      <c r="I242" s="10">
        <v>19.03</v>
      </c>
      <c r="J242" s="11">
        <v>5.5</v>
      </c>
      <c r="K242" s="12">
        <f t="shared" ref="K242" si="30">G242*J242</f>
        <v>0</v>
      </c>
    </row>
    <row r="243" spans="1:18" x14ac:dyDescent="0.35">
      <c r="A243" s="103"/>
      <c r="B243" s="12" t="s">
        <v>31</v>
      </c>
      <c r="C243" s="10" t="s">
        <v>39</v>
      </c>
      <c r="D243" s="152">
        <v>1</v>
      </c>
      <c r="E243" s="170">
        <v>1</v>
      </c>
      <c r="F243" s="153" t="str">
        <f t="shared" si="26"/>
        <v/>
      </c>
      <c r="G243" s="256"/>
      <c r="H243" s="166">
        <f t="shared" si="29"/>
        <v>1</v>
      </c>
      <c r="I243" s="10">
        <v>8.4600000000000009</v>
      </c>
      <c r="J243" s="11">
        <v>4.55</v>
      </c>
      <c r="K243" s="12">
        <f>H243*J243</f>
        <v>4.55</v>
      </c>
      <c r="R243" s="87"/>
    </row>
    <row r="244" spans="1:18" x14ac:dyDescent="0.35">
      <c r="A244" s="103"/>
      <c r="B244" s="12" t="s">
        <v>31</v>
      </c>
      <c r="C244" s="10" t="s">
        <v>422</v>
      </c>
      <c r="D244" s="152">
        <v>1</v>
      </c>
      <c r="E244" s="170">
        <v>1</v>
      </c>
      <c r="F244" s="153" t="str">
        <f t="shared" si="26"/>
        <v/>
      </c>
      <c r="G244" s="256"/>
      <c r="H244" s="166">
        <f t="shared" si="29"/>
        <v>1</v>
      </c>
      <c r="I244" s="10" t="s">
        <v>20</v>
      </c>
      <c r="J244" s="11">
        <v>3.7</v>
      </c>
      <c r="K244" s="12">
        <f t="shared" ref="K244:K255" si="31">H244*J244</f>
        <v>3.7</v>
      </c>
    </row>
    <row r="245" spans="1:18" x14ac:dyDescent="0.35">
      <c r="A245" s="103"/>
      <c r="B245" s="12" t="s">
        <v>31</v>
      </c>
      <c r="C245" s="10" t="s">
        <v>67</v>
      </c>
      <c r="D245" s="152">
        <v>1</v>
      </c>
      <c r="E245" s="170">
        <v>1</v>
      </c>
      <c r="F245" s="153" t="str">
        <f t="shared" si="26"/>
        <v/>
      </c>
      <c r="G245" s="256"/>
      <c r="H245" s="166">
        <f t="shared" si="29"/>
        <v>1</v>
      </c>
      <c r="I245" s="10" t="s">
        <v>20</v>
      </c>
      <c r="J245" s="11">
        <v>15.56</v>
      </c>
      <c r="K245" s="12">
        <f t="shared" si="31"/>
        <v>15.56</v>
      </c>
    </row>
    <row r="246" spans="1:18" hidden="1" x14ac:dyDescent="0.35">
      <c r="A246" s="103"/>
      <c r="B246" s="12" t="s">
        <v>31</v>
      </c>
      <c r="C246" s="10" t="s">
        <v>384</v>
      </c>
      <c r="D246" s="152"/>
      <c r="E246" s="170"/>
      <c r="F246" s="153" t="str">
        <f t="shared" si="26"/>
        <v/>
      </c>
      <c r="G246" s="256"/>
      <c r="H246" s="166">
        <f t="shared" si="29"/>
        <v>0</v>
      </c>
      <c r="I246" s="10" t="s">
        <v>20</v>
      </c>
      <c r="J246" s="11">
        <v>0.8</v>
      </c>
      <c r="K246" s="12">
        <f t="shared" si="31"/>
        <v>0</v>
      </c>
    </row>
    <row r="247" spans="1:18" hidden="1" x14ac:dyDescent="0.35">
      <c r="A247" s="103"/>
      <c r="B247" s="12" t="s">
        <v>31</v>
      </c>
      <c r="C247" s="10" t="s">
        <v>385</v>
      </c>
      <c r="D247" s="152"/>
      <c r="E247" s="170"/>
      <c r="F247" s="153" t="str">
        <f t="shared" si="26"/>
        <v/>
      </c>
      <c r="G247" s="256"/>
      <c r="H247" s="166">
        <f t="shared" si="29"/>
        <v>0</v>
      </c>
      <c r="I247" s="10" t="s">
        <v>20</v>
      </c>
      <c r="J247" s="11">
        <v>1.83</v>
      </c>
      <c r="K247" s="12">
        <f t="shared" si="31"/>
        <v>0</v>
      </c>
    </row>
    <row r="248" spans="1:18" x14ac:dyDescent="0.35">
      <c r="A248" s="103"/>
      <c r="B248" s="12" t="s">
        <v>31</v>
      </c>
      <c r="C248" s="10" t="s">
        <v>386</v>
      </c>
      <c r="D248" s="152">
        <v>1</v>
      </c>
      <c r="E248" s="170">
        <v>1</v>
      </c>
      <c r="F248" s="153" t="str">
        <f t="shared" si="26"/>
        <v/>
      </c>
      <c r="G248" s="256"/>
      <c r="H248" s="166">
        <f t="shared" si="29"/>
        <v>1</v>
      </c>
      <c r="I248" s="10" t="s">
        <v>20</v>
      </c>
      <c r="J248" s="11">
        <v>2.65</v>
      </c>
      <c r="K248" s="12">
        <f t="shared" si="31"/>
        <v>2.65</v>
      </c>
    </row>
    <row r="249" spans="1:18" x14ac:dyDescent="0.35">
      <c r="A249" s="103"/>
      <c r="B249" s="12" t="s">
        <v>31</v>
      </c>
      <c r="C249" s="10" t="s">
        <v>65</v>
      </c>
      <c r="D249" s="152">
        <v>1</v>
      </c>
      <c r="E249" s="170">
        <v>1</v>
      </c>
      <c r="F249" s="153" t="str">
        <f t="shared" si="26"/>
        <v/>
      </c>
      <c r="G249" s="256"/>
      <c r="H249" s="166">
        <f t="shared" si="29"/>
        <v>1</v>
      </c>
      <c r="I249" s="10" t="s">
        <v>20</v>
      </c>
      <c r="J249" s="11">
        <v>13.43</v>
      </c>
      <c r="K249" s="12">
        <f t="shared" si="31"/>
        <v>13.43</v>
      </c>
    </row>
    <row r="250" spans="1:18" hidden="1" x14ac:dyDescent="0.35">
      <c r="A250" s="103"/>
      <c r="B250" s="12" t="s">
        <v>31</v>
      </c>
      <c r="C250" s="10" t="s">
        <v>66</v>
      </c>
      <c r="D250" s="152"/>
      <c r="E250" s="170"/>
      <c r="F250" s="153" t="str">
        <f t="shared" si="26"/>
        <v/>
      </c>
      <c r="G250" s="256"/>
      <c r="H250" s="166">
        <f t="shared" si="29"/>
        <v>0</v>
      </c>
      <c r="I250" s="10" t="s">
        <v>20</v>
      </c>
      <c r="J250" s="11">
        <v>75.38</v>
      </c>
      <c r="K250" s="12">
        <f t="shared" si="31"/>
        <v>0</v>
      </c>
    </row>
    <row r="251" spans="1:18" x14ac:dyDescent="0.35">
      <c r="A251" s="103"/>
      <c r="B251" s="12" t="s">
        <v>31</v>
      </c>
      <c r="C251" s="10" t="s">
        <v>412</v>
      </c>
      <c r="D251" s="152">
        <v>1</v>
      </c>
      <c r="E251" s="170">
        <v>1</v>
      </c>
      <c r="F251" s="153" t="str">
        <f t="shared" si="26"/>
        <v/>
      </c>
      <c r="G251" s="256"/>
      <c r="H251" s="166">
        <f t="shared" si="29"/>
        <v>1</v>
      </c>
      <c r="I251" s="10" t="s">
        <v>20</v>
      </c>
      <c r="J251" s="11">
        <v>8.43</v>
      </c>
      <c r="K251" s="12">
        <f t="shared" si="31"/>
        <v>8.43</v>
      </c>
    </row>
    <row r="252" spans="1:18" x14ac:dyDescent="0.35">
      <c r="A252" s="103"/>
      <c r="B252" s="12" t="s">
        <v>31</v>
      </c>
      <c r="C252" s="10" t="s">
        <v>69</v>
      </c>
      <c r="D252" s="152">
        <v>1</v>
      </c>
      <c r="E252" s="170">
        <v>1</v>
      </c>
      <c r="F252" s="153" t="str">
        <f t="shared" si="26"/>
        <v/>
      </c>
      <c r="G252" s="256"/>
      <c r="H252" s="166">
        <f t="shared" si="29"/>
        <v>1</v>
      </c>
      <c r="I252" s="10" t="s">
        <v>63</v>
      </c>
      <c r="J252" s="11">
        <v>3.5</v>
      </c>
      <c r="K252" s="12">
        <f t="shared" si="31"/>
        <v>3.5</v>
      </c>
    </row>
    <row r="253" spans="1:18" ht="15.5" hidden="1" x14ac:dyDescent="0.35">
      <c r="A253" s="108" t="s">
        <v>57</v>
      </c>
      <c r="B253" s="108"/>
      <c r="C253" s="108"/>
      <c r="D253" s="111"/>
      <c r="E253" s="162"/>
      <c r="F253" s="165" t="str">
        <f t="shared" si="26"/>
        <v/>
      </c>
      <c r="G253" s="186"/>
      <c r="H253" s="247"/>
      <c r="I253" s="108"/>
      <c r="J253" s="106" t="s">
        <v>18</v>
      </c>
      <c r="K253" s="270">
        <f>K254+K255</f>
        <v>0</v>
      </c>
    </row>
    <row r="254" spans="1:18" hidden="1" x14ac:dyDescent="0.35">
      <c r="A254" s="103"/>
      <c r="B254" s="12" t="s">
        <v>56</v>
      </c>
      <c r="C254" s="10" t="s">
        <v>58</v>
      </c>
      <c r="D254" s="135"/>
      <c r="E254" s="187"/>
      <c r="F254" s="153" t="str">
        <f t="shared" si="26"/>
        <v/>
      </c>
      <c r="G254" s="256"/>
      <c r="H254" s="166">
        <f t="shared" si="29"/>
        <v>0</v>
      </c>
      <c r="I254" s="10" t="s">
        <v>20</v>
      </c>
      <c r="J254" s="11">
        <v>54.05</v>
      </c>
      <c r="K254" s="12">
        <f t="shared" si="31"/>
        <v>0</v>
      </c>
    </row>
    <row r="255" spans="1:18" hidden="1" x14ac:dyDescent="0.35">
      <c r="A255" s="103"/>
      <c r="B255" s="12" t="s">
        <v>56</v>
      </c>
      <c r="C255" s="10" t="s">
        <v>388</v>
      </c>
      <c r="D255" s="135"/>
      <c r="E255" s="187"/>
      <c r="F255" s="153" t="str">
        <f t="shared" si="26"/>
        <v/>
      </c>
      <c r="G255" s="256"/>
      <c r="H255" s="166">
        <f t="shared" si="29"/>
        <v>0</v>
      </c>
      <c r="I255" s="10" t="s">
        <v>20</v>
      </c>
      <c r="J255" s="11">
        <v>0</v>
      </c>
      <c r="K255" s="12">
        <f t="shared" si="31"/>
        <v>0</v>
      </c>
    </row>
  </sheetData>
  <mergeCells count="2">
    <mergeCell ref="B1:C1"/>
    <mergeCell ref="B2:C2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8B875-3990-45FA-8FFE-E47096B851CB}">
  <sheetPr codeName="Feuil34">
    <tabColor rgb="FFFF5050"/>
  </sheetPr>
  <dimension ref="A1:R255"/>
  <sheetViews>
    <sheetView topLeftCell="A12" zoomScale="112" zoomScaleNormal="112" workbookViewId="0">
      <selection activeCell="M244" sqref="M244"/>
    </sheetView>
  </sheetViews>
  <sheetFormatPr baseColWidth="10" defaultColWidth="10.7265625" defaultRowHeight="14.5" x14ac:dyDescent="0.35"/>
  <cols>
    <col min="1" max="1" width="2.81640625" customWidth="1"/>
    <col min="2" max="2" width="30.1796875" bestFit="1" customWidth="1"/>
    <col min="3" max="3" width="44.54296875" bestFit="1" customWidth="1"/>
    <col min="4" max="4" width="14.26953125" style="13" bestFit="1" customWidth="1"/>
    <col min="5" max="5" width="17.1796875" style="34" bestFit="1" customWidth="1"/>
    <col min="6" max="6" width="17" bestFit="1" customWidth="1"/>
    <col min="7" max="7" width="15.26953125" style="253" bestFit="1" customWidth="1"/>
    <col min="8" max="8" width="10.26953125" style="16" customWidth="1"/>
    <col min="9" max="9" width="6.81640625" bestFit="1" customWidth="1"/>
    <col min="10" max="10" width="10.26953125" customWidth="1"/>
    <col min="11" max="11" width="19.54296875" bestFit="1" customWidth="1"/>
  </cols>
  <sheetData>
    <row r="1" spans="2:6" ht="15" thickBot="1" x14ac:dyDescent="0.4">
      <c r="B1" s="321" t="s">
        <v>198</v>
      </c>
      <c r="C1" s="322"/>
      <c r="E1" s="154"/>
      <c r="F1" s="89"/>
    </row>
    <row r="2" spans="2:6" ht="15" thickBot="1" x14ac:dyDescent="0.4">
      <c r="B2" s="319"/>
      <c r="C2" s="320"/>
      <c r="E2" s="155"/>
      <c r="F2" s="90"/>
    </row>
    <row r="3" spans="2:6" x14ac:dyDescent="0.35">
      <c r="B3" s="75"/>
      <c r="C3" s="75"/>
      <c r="E3" s="156"/>
      <c r="F3" s="75"/>
    </row>
    <row r="4" spans="2:6" ht="15.5" x14ac:dyDescent="0.35">
      <c r="B4" s="70" t="s">
        <v>0</v>
      </c>
      <c r="C4" s="70" t="s">
        <v>1</v>
      </c>
      <c r="E4" s="157"/>
      <c r="F4" s="91"/>
    </row>
    <row r="5" spans="2:6" x14ac:dyDescent="0.35">
      <c r="B5" s="71" t="s">
        <v>2</v>
      </c>
      <c r="C5" s="72">
        <f>K23</f>
        <v>249.56</v>
      </c>
      <c r="E5" s="156"/>
      <c r="F5" s="75"/>
    </row>
    <row r="6" spans="2:6" x14ac:dyDescent="0.35">
      <c r="B6" s="71" t="s">
        <v>7</v>
      </c>
      <c r="C6" s="72">
        <f>K41</f>
        <v>0</v>
      </c>
      <c r="E6" s="156"/>
      <c r="F6" s="75"/>
    </row>
    <row r="7" spans="2:6" x14ac:dyDescent="0.35">
      <c r="B7" s="71" t="s">
        <v>13</v>
      </c>
      <c r="C7" s="72">
        <f>K50</f>
        <v>98.324999999999989</v>
      </c>
      <c r="E7" s="156"/>
      <c r="F7" s="75"/>
    </row>
    <row r="8" spans="2:6" x14ac:dyDescent="0.35">
      <c r="B8" s="71" t="s">
        <v>3</v>
      </c>
      <c r="C8" s="72">
        <f>K78</f>
        <v>0</v>
      </c>
      <c r="E8" s="156"/>
      <c r="F8" s="75"/>
    </row>
    <row r="9" spans="2:6" x14ac:dyDescent="0.35">
      <c r="B9" s="71" t="s">
        <v>4</v>
      </c>
      <c r="C9" s="72">
        <f>K122</f>
        <v>307.86</v>
      </c>
      <c r="E9" s="156"/>
      <c r="F9" s="75"/>
    </row>
    <row r="10" spans="2:6" x14ac:dyDescent="0.35">
      <c r="B10" s="71" t="s">
        <v>199</v>
      </c>
      <c r="C10" s="72">
        <f>K176</f>
        <v>0</v>
      </c>
      <c r="E10" s="156"/>
      <c r="F10" s="75"/>
    </row>
    <row r="11" spans="2:6" x14ac:dyDescent="0.35">
      <c r="B11" s="71" t="s">
        <v>200</v>
      </c>
      <c r="C11" s="72">
        <f>K187</f>
        <v>56.4</v>
      </c>
      <c r="E11" s="156"/>
      <c r="F11" s="75"/>
    </row>
    <row r="12" spans="2:6" x14ac:dyDescent="0.35">
      <c r="B12" s="71" t="s">
        <v>201</v>
      </c>
      <c r="C12" s="72">
        <f>K193</f>
        <v>0</v>
      </c>
      <c r="E12" s="156"/>
      <c r="F12" s="75"/>
    </row>
    <row r="13" spans="2:6" x14ac:dyDescent="0.35">
      <c r="B13" s="71" t="s">
        <v>202</v>
      </c>
      <c r="C13" s="72">
        <f>K195</f>
        <v>0</v>
      </c>
      <c r="E13" s="156"/>
      <c r="F13" s="75"/>
    </row>
    <row r="14" spans="2:6" x14ac:dyDescent="0.35">
      <c r="B14" s="71" t="s">
        <v>203</v>
      </c>
      <c r="C14" s="72">
        <f>K208</f>
        <v>0</v>
      </c>
      <c r="E14" s="285"/>
      <c r="F14" s="75"/>
    </row>
    <row r="15" spans="2:6" x14ac:dyDescent="0.35">
      <c r="B15" s="71" t="s">
        <v>416</v>
      </c>
      <c r="C15" s="72">
        <f>K213</f>
        <v>0</v>
      </c>
      <c r="E15" s="156"/>
      <c r="F15" s="75"/>
    </row>
    <row r="16" spans="2:6" x14ac:dyDescent="0.35">
      <c r="B16" s="71" t="s">
        <v>204</v>
      </c>
      <c r="C16" s="72">
        <f>K218</f>
        <v>0</v>
      </c>
      <c r="E16" s="156"/>
      <c r="F16" s="75"/>
    </row>
    <row r="17" spans="1:17" x14ac:dyDescent="0.35">
      <c r="B17" s="71" t="s">
        <v>9</v>
      </c>
      <c r="C17" s="72">
        <f>K220</f>
        <v>0</v>
      </c>
      <c r="E17" s="156"/>
      <c r="F17" s="75"/>
    </row>
    <row r="18" spans="1:17" x14ac:dyDescent="0.35">
      <c r="B18" s="71" t="s">
        <v>205</v>
      </c>
      <c r="C18" s="72">
        <f>K241</f>
        <v>16.93</v>
      </c>
      <c r="E18" s="156"/>
      <c r="F18" s="75"/>
    </row>
    <row r="19" spans="1:17" x14ac:dyDescent="0.35">
      <c r="B19" s="71" t="s">
        <v>56</v>
      </c>
      <c r="C19" s="72">
        <f>K253</f>
        <v>0</v>
      </c>
      <c r="E19" s="156"/>
      <c r="F19" s="75"/>
    </row>
    <row r="20" spans="1:17" x14ac:dyDescent="0.35">
      <c r="B20" s="73" t="s">
        <v>14</v>
      </c>
      <c r="C20" s="74">
        <f>C5+C6+C7+C8+C9+C10+C11+C12+C13+C14+C15+C16+C17+C18+C19</f>
        <v>729.07499999999993</v>
      </c>
      <c r="E20" s="248"/>
      <c r="F20" s="243"/>
    </row>
    <row r="21" spans="1:17" ht="18.5" x14ac:dyDescent="0.45">
      <c r="A21" s="76" t="s">
        <v>397</v>
      </c>
      <c r="B21" s="76"/>
      <c r="C21" s="76"/>
      <c r="D21" s="234"/>
      <c r="E21" s="160"/>
      <c r="F21" s="76"/>
      <c r="G21" s="254"/>
      <c r="H21" s="69"/>
      <c r="I21" s="76"/>
      <c r="J21" s="76"/>
      <c r="K21" s="76"/>
    </row>
    <row r="22" spans="1:17" x14ac:dyDescent="0.35">
      <c r="A22" s="129"/>
      <c r="B22" s="129" t="s">
        <v>15</v>
      </c>
      <c r="C22" s="129" t="s">
        <v>16</v>
      </c>
      <c r="D22" s="235" t="s">
        <v>398</v>
      </c>
      <c r="E22" s="185" t="s">
        <v>404</v>
      </c>
      <c r="F22" s="130" t="s">
        <v>399</v>
      </c>
      <c r="G22" s="255" t="s">
        <v>405</v>
      </c>
      <c r="H22" s="131" t="s">
        <v>408</v>
      </c>
      <c r="I22" s="129" t="s">
        <v>406</v>
      </c>
      <c r="J22" s="133" t="s">
        <v>45</v>
      </c>
      <c r="K22" s="129" t="s">
        <v>1</v>
      </c>
    </row>
    <row r="23" spans="1:17" ht="15.5" x14ac:dyDescent="0.35">
      <c r="A23" s="108" t="s">
        <v>208</v>
      </c>
      <c r="B23" s="108"/>
      <c r="C23" s="108"/>
      <c r="D23" s="111"/>
      <c r="E23" s="286" t="s">
        <v>421</v>
      </c>
      <c r="F23" s="108"/>
      <c r="G23" s="286" t="s">
        <v>421</v>
      </c>
      <c r="H23" s="109"/>
      <c r="I23" s="108"/>
      <c r="J23" s="110" t="s">
        <v>18</v>
      </c>
      <c r="K23" s="269">
        <f>SUM(K24:K40)</f>
        <v>249.56</v>
      </c>
    </row>
    <row r="24" spans="1:17" hidden="1" x14ac:dyDescent="0.35">
      <c r="A24" s="103"/>
      <c r="B24" s="7" t="s">
        <v>2</v>
      </c>
      <c r="C24" s="14" t="s">
        <v>19</v>
      </c>
      <c r="D24" s="152"/>
      <c r="E24" s="187"/>
      <c r="F24" s="153" t="str">
        <f t="shared" ref="F24:F88" si="0">IF(E24="","",IF(D24-E24&gt;0,D24-E24,""))</f>
        <v/>
      </c>
      <c r="G24" s="256"/>
      <c r="H24" s="166">
        <f t="shared" ref="H24:H45" si="1">IF(ISNUMBER(E24),E24,0)+IF(ISNUMBER(F24),F24,0)-IF(ISNUMBER(G24),G24,0)</f>
        <v>0</v>
      </c>
      <c r="I24" s="10" t="s">
        <v>20</v>
      </c>
      <c r="J24" s="11">
        <v>55.95</v>
      </c>
      <c r="K24" s="12">
        <f t="shared" ref="K24:K27" si="2">G24*J24</f>
        <v>0</v>
      </c>
    </row>
    <row r="25" spans="1:17" hidden="1" x14ac:dyDescent="0.35">
      <c r="A25" s="103"/>
      <c r="B25" s="7" t="s">
        <v>2</v>
      </c>
      <c r="C25" s="14" t="s">
        <v>209</v>
      </c>
      <c r="D25" s="152"/>
      <c r="E25" s="187"/>
      <c r="F25" s="153" t="str">
        <f t="shared" si="0"/>
        <v/>
      </c>
      <c r="G25" s="256"/>
      <c r="H25" s="166">
        <f t="shared" si="1"/>
        <v>0</v>
      </c>
      <c r="I25" s="10" t="s">
        <v>20</v>
      </c>
      <c r="J25" s="11">
        <v>173.1</v>
      </c>
      <c r="K25" s="12">
        <f t="shared" si="2"/>
        <v>0</v>
      </c>
    </row>
    <row r="26" spans="1:17" hidden="1" x14ac:dyDescent="0.35">
      <c r="A26" s="103"/>
      <c r="B26" s="12" t="s">
        <v>2</v>
      </c>
      <c r="C26" s="10" t="s">
        <v>21</v>
      </c>
      <c r="D26" s="152"/>
      <c r="E26" s="187"/>
      <c r="F26" s="153" t="str">
        <f t="shared" si="0"/>
        <v/>
      </c>
      <c r="G26" s="256"/>
      <c r="H26" s="166">
        <f t="shared" si="1"/>
        <v>0</v>
      </c>
      <c r="I26" s="10" t="s">
        <v>20</v>
      </c>
      <c r="J26" s="11">
        <v>75.400000000000006</v>
      </c>
      <c r="K26" s="12">
        <f t="shared" si="2"/>
        <v>0</v>
      </c>
    </row>
    <row r="27" spans="1:17" hidden="1" x14ac:dyDescent="0.35">
      <c r="A27" s="103"/>
      <c r="B27" s="12" t="s">
        <v>2</v>
      </c>
      <c r="C27" s="10" t="s">
        <v>210</v>
      </c>
      <c r="D27" s="152"/>
      <c r="E27" s="187"/>
      <c r="F27" s="153" t="str">
        <f t="shared" si="0"/>
        <v/>
      </c>
      <c r="G27" s="257"/>
      <c r="H27" s="166">
        <f t="shared" si="1"/>
        <v>0</v>
      </c>
      <c r="I27" s="10" t="s">
        <v>20</v>
      </c>
      <c r="J27" s="11">
        <v>84.9</v>
      </c>
      <c r="K27" s="12">
        <f t="shared" si="2"/>
        <v>0</v>
      </c>
    </row>
    <row r="28" spans="1:17" x14ac:dyDescent="0.35">
      <c r="A28" s="103"/>
      <c r="B28" s="12" t="s">
        <v>2</v>
      </c>
      <c r="C28" s="10" t="s">
        <v>211</v>
      </c>
      <c r="D28" s="152">
        <v>20</v>
      </c>
      <c r="E28" s="170">
        <v>13</v>
      </c>
      <c r="F28" s="153">
        <f t="shared" si="0"/>
        <v>7</v>
      </c>
      <c r="G28" s="256"/>
      <c r="H28" s="166">
        <f t="shared" si="1"/>
        <v>20</v>
      </c>
      <c r="I28" s="10" t="s">
        <v>20</v>
      </c>
      <c r="J28" s="11">
        <v>2.96</v>
      </c>
      <c r="K28" s="12">
        <f>H28*J28</f>
        <v>59.2</v>
      </c>
    </row>
    <row r="29" spans="1:17" x14ac:dyDescent="0.35">
      <c r="A29" s="103"/>
      <c r="B29" s="12" t="s">
        <v>2</v>
      </c>
      <c r="C29" s="10" t="s">
        <v>212</v>
      </c>
      <c r="D29" s="152">
        <v>20</v>
      </c>
      <c r="E29" s="170">
        <v>21</v>
      </c>
      <c r="F29" s="153" t="str">
        <f t="shared" si="0"/>
        <v/>
      </c>
      <c r="G29" s="256"/>
      <c r="H29" s="166">
        <f t="shared" si="1"/>
        <v>21</v>
      </c>
      <c r="I29" s="10" t="s">
        <v>20</v>
      </c>
      <c r="J29" s="11">
        <v>2.96</v>
      </c>
      <c r="K29" s="12">
        <f t="shared" ref="K29:K40" si="3">H29*J29</f>
        <v>62.16</v>
      </c>
    </row>
    <row r="30" spans="1:17" x14ac:dyDescent="0.35">
      <c r="A30" s="103"/>
      <c r="B30" s="12" t="s">
        <v>2</v>
      </c>
      <c r="C30" s="10" t="s">
        <v>213</v>
      </c>
      <c r="D30" s="152">
        <v>20</v>
      </c>
      <c r="E30" s="170">
        <v>9</v>
      </c>
      <c r="F30" s="153">
        <f t="shared" si="0"/>
        <v>11</v>
      </c>
      <c r="G30" s="256"/>
      <c r="H30" s="166">
        <f t="shared" si="1"/>
        <v>20</v>
      </c>
      <c r="I30" s="10" t="s">
        <v>20</v>
      </c>
      <c r="J30" s="11">
        <v>2.96</v>
      </c>
      <c r="K30" s="12">
        <f t="shared" si="3"/>
        <v>59.2</v>
      </c>
      <c r="Q30" s="268"/>
    </row>
    <row r="31" spans="1:17" hidden="1" x14ac:dyDescent="0.35">
      <c r="A31" s="103"/>
      <c r="B31" s="7" t="s">
        <v>2</v>
      </c>
      <c r="C31" s="14" t="s">
        <v>22</v>
      </c>
      <c r="D31" s="152"/>
      <c r="E31" s="170"/>
      <c r="F31" s="153" t="str">
        <f t="shared" si="0"/>
        <v/>
      </c>
      <c r="G31" s="256"/>
      <c r="H31" s="166">
        <f t="shared" si="1"/>
        <v>0</v>
      </c>
      <c r="I31" s="10" t="s">
        <v>20</v>
      </c>
      <c r="J31" s="11">
        <v>107.2</v>
      </c>
      <c r="K31" s="12">
        <f t="shared" si="3"/>
        <v>0</v>
      </c>
    </row>
    <row r="32" spans="1:17" hidden="1" x14ac:dyDescent="0.35">
      <c r="A32" s="103"/>
      <c r="B32" s="7" t="s">
        <v>2</v>
      </c>
      <c r="C32" s="14" t="s">
        <v>214</v>
      </c>
      <c r="D32" s="152"/>
      <c r="E32" s="170"/>
      <c r="F32" s="153" t="str">
        <f t="shared" si="0"/>
        <v/>
      </c>
      <c r="G32" s="256"/>
      <c r="H32" s="166">
        <f t="shared" si="1"/>
        <v>0</v>
      </c>
      <c r="I32" s="10" t="s">
        <v>20</v>
      </c>
      <c r="J32" s="11">
        <v>170.7</v>
      </c>
      <c r="K32" s="12">
        <f t="shared" si="3"/>
        <v>0</v>
      </c>
      <c r="M32" s="87"/>
    </row>
    <row r="33" spans="1:14" hidden="1" x14ac:dyDescent="0.35">
      <c r="A33" s="103"/>
      <c r="B33" s="12" t="s">
        <v>2</v>
      </c>
      <c r="C33" s="10" t="s">
        <v>215</v>
      </c>
      <c r="D33" s="152"/>
      <c r="E33" s="170"/>
      <c r="F33" s="153" t="str">
        <f t="shared" si="0"/>
        <v/>
      </c>
      <c r="G33" s="256"/>
      <c r="H33" s="166">
        <f t="shared" si="1"/>
        <v>0</v>
      </c>
      <c r="I33" s="10" t="s">
        <v>216</v>
      </c>
      <c r="J33" s="11">
        <v>3.77</v>
      </c>
      <c r="K33" s="12">
        <f t="shared" si="3"/>
        <v>0</v>
      </c>
    </row>
    <row r="34" spans="1:14" hidden="1" x14ac:dyDescent="0.35">
      <c r="A34" s="103"/>
      <c r="B34" s="12" t="s">
        <v>2</v>
      </c>
      <c r="C34" s="10" t="s">
        <v>217</v>
      </c>
      <c r="D34" s="152"/>
      <c r="E34" s="170"/>
      <c r="F34" s="153" t="str">
        <f t="shared" si="0"/>
        <v/>
      </c>
      <c r="G34" s="256"/>
      <c r="H34" s="166">
        <f t="shared" si="1"/>
        <v>0</v>
      </c>
      <c r="I34" s="10" t="s">
        <v>20</v>
      </c>
      <c r="J34" s="11">
        <v>2.56</v>
      </c>
      <c r="K34" s="12">
        <f t="shared" si="3"/>
        <v>0</v>
      </c>
      <c r="N34" s="87"/>
    </row>
    <row r="35" spans="1:14" hidden="1" x14ac:dyDescent="0.35">
      <c r="A35" s="103"/>
      <c r="B35" s="12" t="s">
        <v>2</v>
      </c>
      <c r="C35" s="10" t="s">
        <v>218</v>
      </c>
      <c r="D35" s="152"/>
      <c r="E35" s="170"/>
      <c r="F35" s="153" t="str">
        <f t="shared" si="0"/>
        <v/>
      </c>
      <c r="G35" s="256"/>
      <c r="H35" s="166">
        <f t="shared" si="1"/>
        <v>0</v>
      </c>
      <c r="I35" s="10" t="s">
        <v>20</v>
      </c>
      <c r="J35" s="11">
        <v>3.08</v>
      </c>
      <c r="K35" s="12">
        <f t="shared" si="3"/>
        <v>0</v>
      </c>
    </row>
    <row r="36" spans="1:14" hidden="1" x14ac:dyDescent="0.35">
      <c r="A36" s="103"/>
      <c r="B36" s="12" t="s">
        <v>2</v>
      </c>
      <c r="C36" s="10" t="s">
        <v>219</v>
      </c>
      <c r="D36" s="152"/>
      <c r="E36" s="170"/>
      <c r="F36" s="153" t="str">
        <f t="shared" si="0"/>
        <v/>
      </c>
      <c r="G36" s="256"/>
      <c r="H36" s="166">
        <f t="shared" si="1"/>
        <v>0</v>
      </c>
      <c r="I36" s="10" t="s">
        <v>20</v>
      </c>
      <c r="J36" s="11">
        <v>2.56</v>
      </c>
      <c r="K36" s="12">
        <f t="shared" si="3"/>
        <v>0</v>
      </c>
    </row>
    <row r="37" spans="1:14" hidden="1" x14ac:dyDescent="0.35">
      <c r="A37" s="103"/>
      <c r="B37" s="12" t="s">
        <v>2</v>
      </c>
      <c r="C37" s="10" t="s">
        <v>220</v>
      </c>
      <c r="D37" s="152"/>
      <c r="E37" s="170"/>
      <c r="F37" s="153" t="str">
        <f t="shared" si="0"/>
        <v/>
      </c>
      <c r="G37" s="256"/>
      <c r="H37" s="166">
        <f t="shared" si="1"/>
        <v>0</v>
      </c>
      <c r="I37" s="10" t="s">
        <v>20</v>
      </c>
      <c r="J37" s="11">
        <v>1.41</v>
      </c>
      <c r="K37" s="12">
        <f t="shared" si="3"/>
        <v>0</v>
      </c>
    </row>
    <row r="38" spans="1:14" hidden="1" x14ac:dyDescent="0.35">
      <c r="A38" s="103"/>
      <c r="B38" s="12" t="s">
        <v>2</v>
      </c>
      <c r="C38" s="10" t="s">
        <v>221</v>
      </c>
      <c r="D38" s="152"/>
      <c r="E38" s="170"/>
      <c r="F38" s="153" t="str">
        <f t="shared" si="0"/>
        <v/>
      </c>
      <c r="G38" s="256"/>
      <c r="H38" s="166">
        <f t="shared" si="1"/>
        <v>0</v>
      </c>
      <c r="I38" s="10" t="s">
        <v>20</v>
      </c>
      <c r="J38" s="11">
        <v>1.73</v>
      </c>
      <c r="K38" s="12">
        <f t="shared" si="3"/>
        <v>0</v>
      </c>
    </row>
    <row r="39" spans="1:14" hidden="1" x14ac:dyDescent="0.35">
      <c r="A39" s="103"/>
      <c r="B39" s="12" t="s">
        <v>2</v>
      </c>
      <c r="C39" s="10" t="s">
        <v>222</v>
      </c>
      <c r="D39" s="152"/>
      <c r="E39" s="170"/>
      <c r="F39" s="153" t="str">
        <f t="shared" si="0"/>
        <v/>
      </c>
      <c r="G39" s="256"/>
      <c r="H39" s="166">
        <f t="shared" si="1"/>
        <v>0</v>
      </c>
      <c r="I39" s="10" t="s">
        <v>20</v>
      </c>
      <c r="J39" s="11">
        <v>1.46</v>
      </c>
      <c r="K39" s="12">
        <f t="shared" si="3"/>
        <v>0</v>
      </c>
    </row>
    <row r="40" spans="1:14" x14ac:dyDescent="0.35">
      <c r="A40" s="103"/>
      <c r="B40" s="12" t="s">
        <v>2</v>
      </c>
      <c r="C40" s="10" t="s">
        <v>223</v>
      </c>
      <c r="D40" s="222">
        <v>30</v>
      </c>
      <c r="E40" s="170">
        <v>20</v>
      </c>
      <c r="F40" s="153">
        <f t="shared" si="0"/>
        <v>10</v>
      </c>
      <c r="G40" s="256">
        <v>10</v>
      </c>
      <c r="H40" s="166">
        <f t="shared" si="1"/>
        <v>20</v>
      </c>
      <c r="I40" s="10" t="s">
        <v>20</v>
      </c>
      <c r="J40" s="77">
        <v>3.45</v>
      </c>
      <c r="K40" s="12">
        <f t="shared" si="3"/>
        <v>69</v>
      </c>
    </row>
    <row r="41" spans="1:14" ht="15.5" x14ac:dyDescent="0.35">
      <c r="A41" s="108" t="s">
        <v>119</v>
      </c>
      <c r="B41" s="108"/>
      <c r="C41" s="108"/>
      <c r="D41" s="223"/>
      <c r="E41" s="287"/>
      <c r="F41" s="165"/>
      <c r="G41" s="286"/>
      <c r="H41" s="247"/>
      <c r="I41" s="108"/>
      <c r="J41" s="106" t="s">
        <v>18</v>
      </c>
      <c r="K41" s="269">
        <f>SUM(K42:K49)</f>
        <v>0</v>
      </c>
    </row>
    <row r="42" spans="1:14" hidden="1" x14ac:dyDescent="0.35">
      <c r="A42" s="103"/>
      <c r="B42" s="12" t="s">
        <v>7</v>
      </c>
      <c r="C42" s="10" t="s">
        <v>224</v>
      </c>
      <c r="D42" s="152"/>
      <c r="E42" s="170"/>
      <c r="F42" s="153" t="str">
        <f t="shared" si="0"/>
        <v/>
      </c>
      <c r="G42" s="256"/>
      <c r="H42" s="166">
        <f t="shared" si="1"/>
        <v>0</v>
      </c>
      <c r="I42" s="10" t="s">
        <v>20</v>
      </c>
      <c r="J42" s="11">
        <v>100</v>
      </c>
      <c r="K42" s="12">
        <f t="shared" ref="K42:K49" si="4">G42*J42</f>
        <v>0</v>
      </c>
    </row>
    <row r="43" spans="1:14" hidden="1" x14ac:dyDescent="0.35">
      <c r="A43" s="103"/>
      <c r="B43" s="12" t="s">
        <v>7</v>
      </c>
      <c r="C43" s="10" t="s">
        <v>225</v>
      </c>
      <c r="D43" s="152"/>
      <c r="E43" s="170"/>
      <c r="F43" s="153" t="str">
        <f t="shared" si="0"/>
        <v/>
      </c>
      <c r="G43" s="256"/>
      <c r="H43" s="166">
        <f t="shared" si="1"/>
        <v>0</v>
      </c>
      <c r="I43" s="10" t="s">
        <v>20</v>
      </c>
      <c r="J43" s="11">
        <v>12.2</v>
      </c>
      <c r="K43" s="12">
        <f t="shared" si="4"/>
        <v>0</v>
      </c>
    </row>
    <row r="44" spans="1:14" hidden="1" x14ac:dyDescent="0.35">
      <c r="A44" s="103"/>
      <c r="B44" s="12" t="s">
        <v>7</v>
      </c>
      <c r="C44" s="10" t="s">
        <v>226</v>
      </c>
      <c r="D44" s="152"/>
      <c r="E44" s="170"/>
      <c r="F44" s="153" t="str">
        <f t="shared" si="0"/>
        <v/>
      </c>
      <c r="G44" s="256"/>
      <c r="H44" s="166">
        <f t="shared" si="1"/>
        <v>0</v>
      </c>
      <c r="I44" s="10" t="s">
        <v>20</v>
      </c>
      <c r="J44" s="11">
        <v>11</v>
      </c>
      <c r="K44" s="12">
        <f t="shared" si="4"/>
        <v>0</v>
      </c>
    </row>
    <row r="45" spans="1:14" hidden="1" x14ac:dyDescent="0.35">
      <c r="A45" s="103"/>
      <c r="B45" s="12" t="s">
        <v>7</v>
      </c>
      <c r="C45" s="10" t="s">
        <v>227</v>
      </c>
      <c r="D45" s="152"/>
      <c r="E45" s="170"/>
      <c r="F45" s="153" t="str">
        <f t="shared" si="0"/>
        <v/>
      </c>
      <c r="G45" s="256"/>
      <c r="H45" s="166">
        <f t="shared" si="1"/>
        <v>0</v>
      </c>
      <c r="I45" s="10" t="s">
        <v>20</v>
      </c>
      <c r="J45" s="11">
        <v>5</v>
      </c>
      <c r="K45" s="12">
        <f t="shared" si="4"/>
        <v>0</v>
      </c>
    </row>
    <row r="46" spans="1:14" x14ac:dyDescent="0.35">
      <c r="A46" s="103"/>
      <c r="B46" s="12" t="s">
        <v>7</v>
      </c>
      <c r="C46" s="10" t="s">
        <v>46</v>
      </c>
      <c r="D46" s="152"/>
      <c r="E46" s="170"/>
      <c r="F46" s="153" t="str">
        <f t="shared" si="0"/>
        <v/>
      </c>
      <c r="G46" s="256"/>
      <c r="H46" s="166">
        <f>IF(ISNUMBER(E46),E46,0)+IF(ISNUMBER(F46),F46,0)-IF(ISNUMBER(G46),G46,0)</f>
        <v>0</v>
      </c>
      <c r="I46" s="10" t="s">
        <v>20</v>
      </c>
      <c r="J46" s="11">
        <v>5</v>
      </c>
      <c r="K46" s="12">
        <f>H46*J46</f>
        <v>0</v>
      </c>
    </row>
    <row r="47" spans="1:14" hidden="1" x14ac:dyDescent="0.35">
      <c r="A47" s="103"/>
      <c r="B47" s="12" t="s">
        <v>7</v>
      </c>
      <c r="C47" s="10" t="s">
        <v>228</v>
      </c>
      <c r="D47" s="152"/>
      <c r="E47" s="170"/>
      <c r="F47" s="153" t="str">
        <f t="shared" si="0"/>
        <v/>
      </c>
      <c r="G47" s="256"/>
      <c r="H47" s="166">
        <f t="shared" ref="H47:H110" si="5">IF(ISNUMBER(E47),E47,0)+IF(ISNUMBER(F47),F47,0)-IF(ISNUMBER(G47),G47,0)</f>
        <v>0</v>
      </c>
      <c r="I47" s="10" t="s">
        <v>20</v>
      </c>
      <c r="J47" s="11">
        <v>11</v>
      </c>
      <c r="K47" s="12">
        <f t="shared" ref="K47:K48" si="6">H47*J47</f>
        <v>0</v>
      </c>
    </row>
    <row r="48" spans="1:14" hidden="1" x14ac:dyDescent="0.35">
      <c r="A48" s="103"/>
      <c r="B48" s="12" t="s">
        <v>7</v>
      </c>
      <c r="C48" s="10" t="s">
        <v>229</v>
      </c>
      <c r="D48" s="152"/>
      <c r="E48" s="170"/>
      <c r="F48" s="153" t="str">
        <f t="shared" si="0"/>
        <v/>
      </c>
      <c r="G48" s="256"/>
      <c r="H48" s="166">
        <f t="shared" si="5"/>
        <v>0</v>
      </c>
      <c r="I48" s="10" t="s">
        <v>20</v>
      </c>
      <c r="J48" s="11">
        <v>50</v>
      </c>
      <c r="K48" s="12">
        <f t="shared" si="6"/>
        <v>0</v>
      </c>
    </row>
    <row r="49" spans="1:12" x14ac:dyDescent="0.35">
      <c r="A49" s="103"/>
      <c r="B49" s="12" t="s">
        <v>7</v>
      </c>
      <c r="C49" s="78" t="s">
        <v>206</v>
      </c>
      <c r="D49" s="224"/>
      <c r="E49" s="170"/>
      <c r="F49" s="153" t="str">
        <f t="shared" si="0"/>
        <v/>
      </c>
      <c r="G49" s="256"/>
      <c r="H49" s="166">
        <f t="shared" si="5"/>
        <v>0</v>
      </c>
      <c r="I49" s="10" t="s">
        <v>20</v>
      </c>
      <c r="J49" s="79">
        <v>5</v>
      </c>
      <c r="K49" s="12">
        <f t="shared" si="4"/>
        <v>0</v>
      </c>
    </row>
    <row r="50" spans="1:12" ht="15.5" x14ac:dyDescent="0.35">
      <c r="A50" s="103"/>
      <c r="B50" s="104" t="s">
        <v>230</v>
      </c>
      <c r="C50" s="105"/>
      <c r="D50" s="225"/>
      <c r="E50" s="250"/>
      <c r="F50" s="165" t="str">
        <f t="shared" si="0"/>
        <v/>
      </c>
      <c r="G50" s="258"/>
      <c r="H50" s="247"/>
      <c r="I50" s="105"/>
      <c r="J50" s="106" t="s">
        <v>18</v>
      </c>
      <c r="K50" s="269">
        <f>SUM(K52:K77)</f>
        <v>98.324999999999989</v>
      </c>
    </row>
    <row r="51" spans="1:12" ht="15.5" x14ac:dyDescent="0.35">
      <c r="A51" s="111"/>
      <c r="B51" s="126" t="s">
        <v>231</v>
      </c>
      <c r="C51" s="127"/>
      <c r="D51" s="226"/>
      <c r="E51" s="250"/>
      <c r="F51" s="165" t="str">
        <f t="shared" si="0"/>
        <v/>
      </c>
      <c r="G51" s="259"/>
      <c r="H51" s="247"/>
      <c r="I51" s="127"/>
      <c r="J51" s="127"/>
      <c r="K51" s="128"/>
    </row>
    <row r="52" spans="1:12" hidden="1" x14ac:dyDescent="0.35">
      <c r="A52" s="103"/>
      <c r="B52" s="12" t="s">
        <v>13</v>
      </c>
      <c r="C52" s="10" t="s">
        <v>78</v>
      </c>
      <c r="D52" s="152"/>
      <c r="E52" s="170"/>
      <c r="F52" s="153" t="str">
        <f t="shared" si="0"/>
        <v/>
      </c>
      <c r="G52" s="256"/>
      <c r="H52" s="166">
        <f t="shared" si="5"/>
        <v>0</v>
      </c>
      <c r="I52" s="10" t="s">
        <v>20</v>
      </c>
      <c r="J52" s="11">
        <v>13</v>
      </c>
      <c r="K52" s="12">
        <f>H52*J52</f>
        <v>0</v>
      </c>
    </row>
    <row r="53" spans="1:12" hidden="1" x14ac:dyDescent="0.35">
      <c r="A53" s="103"/>
      <c r="B53" s="12" t="s">
        <v>13</v>
      </c>
      <c r="C53" s="10" t="s">
        <v>232</v>
      </c>
      <c r="D53" s="152"/>
      <c r="E53" s="170"/>
      <c r="F53" s="153" t="str">
        <f t="shared" si="0"/>
        <v/>
      </c>
      <c r="G53" s="256"/>
      <c r="H53" s="166">
        <f t="shared" si="5"/>
        <v>0</v>
      </c>
      <c r="I53" s="10" t="s">
        <v>20</v>
      </c>
      <c r="J53" s="11">
        <v>13</v>
      </c>
      <c r="K53" s="12">
        <f t="shared" ref="K53:K77" si="7">H53*J53</f>
        <v>0</v>
      </c>
      <c r="L53" s="87"/>
    </row>
    <row r="54" spans="1:12" hidden="1" x14ac:dyDescent="0.35">
      <c r="A54" s="103"/>
      <c r="B54" s="12" t="s">
        <v>13</v>
      </c>
      <c r="C54" s="10" t="s">
        <v>233</v>
      </c>
      <c r="D54" s="152"/>
      <c r="E54" s="170"/>
      <c r="F54" s="153" t="str">
        <f t="shared" si="0"/>
        <v/>
      </c>
      <c r="G54" s="256"/>
      <c r="H54" s="166">
        <f t="shared" si="5"/>
        <v>0</v>
      </c>
      <c r="I54" s="10" t="s">
        <v>20</v>
      </c>
      <c r="J54" s="11">
        <v>8.9</v>
      </c>
      <c r="K54" s="12">
        <f t="shared" si="7"/>
        <v>0</v>
      </c>
    </row>
    <row r="55" spans="1:12" x14ac:dyDescent="0.35">
      <c r="A55" s="103"/>
      <c r="B55" s="12" t="s">
        <v>13</v>
      </c>
      <c r="C55" s="10" t="s">
        <v>32</v>
      </c>
      <c r="D55" s="152">
        <v>2</v>
      </c>
      <c r="E55" s="170">
        <v>5.5</v>
      </c>
      <c r="F55" s="153" t="str">
        <f t="shared" si="0"/>
        <v/>
      </c>
      <c r="G55" s="256"/>
      <c r="H55" s="166">
        <f t="shared" si="5"/>
        <v>5.5</v>
      </c>
      <c r="I55" s="10" t="s">
        <v>20</v>
      </c>
      <c r="J55" s="11">
        <v>8.35</v>
      </c>
      <c r="K55" s="12">
        <f t="shared" si="7"/>
        <v>45.924999999999997</v>
      </c>
    </row>
    <row r="56" spans="1:12" x14ac:dyDescent="0.35">
      <c r="A56" s="103"/>
      <c r="B56" s="12" t="s">
        <v>13</v>
      </c>
      <c r="C56" s="10" t="s">
        <v>33</v>
      </c>
      <c r="D56" s="152">
        <v>2</v>
      </c>
      <c r="E56" s="170">
        <v>1</v>
      </c>
      <c r="F56" s="153">
        <f t="shared" si="0"/>
        <v>1</v>
      </c>
      <c r="G56" s="256">
        <v>1</v>
      </c>
      <c r="H56" s="166">
        <f t="shared" si="5"/>
        <v>1</v>
      </c>
      <c r="I56" s="10" t="s">
        <v>20</v>
      </c>
      <c r="J56" s="11">
        <v>8.9</v>
      </c>
      <c r="K56" s="12">
        <f t="shared" si="7"/>
        <v>8.9</v>
      </c>
    </row>
    <row r="57" spans="1:12" x14ac:dyDescent="0.35">
      <c r="A57" s="103"/>
      <c r="B57" s="12" t="s">
        <v>13</v>
      </c>
      <c r="C57" s="10" t="s">
        <v>59</v>
      </c>
      <c r="D57" s="152">
        <v>2</v>
      </c>
      <c r="E57" s="170">
        <v>5</v>
      </c>
      <c r="F57" s="153" t="str">
        <f t="shared" si="0"/>
        <v/>
      </c>
      <c r="G57" s="256"/>
      <c r="H57" s="166">
        <f t="shared" si="5"/>
        <v>5</v>
      </c>
      <c r="I57" s="10" t="s">
        <v>20</v>
      </c>
      <c r="J57" s="11">
        <v>8.6999999999999993</v>
      </c>
      <c r="K57" s="12">
        <f t="shared" si="7"/>
        <v>43.5</v>
      </c>
    </row>
    <row r="58" spans="1:12" hidden="1" x14ac:dyDescent="0.35">
      <c r="A58" s="103"/>
      <c r="B58" s="12" t="s">
        <v>13</v>
      </c>
      <c r="C58" s="10" t="s">
        <v>234</v>
      </c>
      <c r="D58" s="152"/>
      <c r="E58" s="170"/>
      <c r="F58" s="153" t="str">
        <f t="shared" si="0"/>
        <v/>
      </c>
      <c r="G58" s="256"/>
      <c r="H58" s="166">
        <f t="shared" si="5"/>
        <v>0</v>
      </c>
      <c r="I58" s="10" t="s">
        <v>20</v>
      </c>
      <c r="J58" s="11">
        <v>12.15</v>
      </c>
      <c r="K58" s="12">
        <f t="shared" si="7"/>
        <v>0</v>
      </c>
    </row>
    <row r="59" spans="1:12" hidden="1" x14ac:dyDescent="0.35">
      <c r="A59" s="103"/>
      <c r="B59" s="12" t="s">
        <v>13</v>
      </c>
      <c r="C59" s="10" t="s">
        <v>235</v>
      </c>
      <c r="D59" s="152"/>
      <c r="E59" s="170"/>
      <c r="F59" s="153" t="str">
        <f t="shared" si="0"/>
        <v/>
      </c>
      <c r="G59" s="256"/>
      <c r="H59" s="166">
        <f t="shared" si="5"/>
        <v>0</v>
      </c>
      <c r="I59" s="10" t="s">
        <v>20</v>
      </c>
      <c r="J59" s="11">
        <v>11.35</v>
      </c>
      <c r="K59" s="12">
        <f t="shared" si="7"/>
        <v>0</v>
      </c>
    </row>
    <row r="60" spans="1:12" hidden="1" x14ac:dyDescent="0.35">
      <c r="A60" s="103"/>
      <c r="B60" s="12" t="s">
        <v>13</v>
      </c>
      <c r="C60" s="10" t="s">
        <v>236</v>
      </c>
      <c r="D60" s="152"/>
      <c r="E60" s="170"/>
      <c r="F60" s="153" t="str">
        <f t="shared" si="0"/>
        <v/>
      </c>
      <c r="G60" s="256"/>
      <c r="H60" s="166">
        <f t="shared" si="5"/>
        <v>0</v>
      </c>
      <c r="I60" s="10" t="s">
        <v>20</v>
      </c>
      <c r="J60" s="11">
        <v>14.65</v>
      </c>
      <c r="K60" s="12">
        <f t="shared" si="7"/>
        <v>0</v>
      </c>
    </row>
    <row r="61" spans="1:12" hidden="1" x14ac:dyDescent="0.35">
      <c r="A61" s="103"/>
      <c r="B61" s="12" t="s">
        <v>13</v>
      </c>
      <c r="C61" s="10" t="s">
        <v>237</v>
      </c>
      <c r="D61" s="152"/>
      <c r="E61" s="170"/>
      <c r="F61" s="153" t="str">
        <f t="shared" si="0"/>
        <v/>
      </c>
      <c r="G61" s="256"/>
      <c r="H61" s="166">
        <f t="shared" si="5"/>
        <v>0</v>
      </c>
      <c r="I61" s="10" t="s">
        <v>20</v>
      </c>
      <c r="J61" s="11">
        <v>16.25</v>
      </c>
      <c r="K61" s="12">
        <f t="shared" si="7"/>
        <v>0</v>
      </c>
    </row>
    <row r="62" spans="1:12" hidden="1" x14ac:dyDescent="0.35">
      <c r="A62" s="103"/>
      <c r="B62" s="12" t="s">
        <v>13</v>
      </c>
      <c r="C62" s="10" t="s">
        <v>238</v>
      </c>
      <c r="D62" s="152"/>
      <c r="E62" s="170"/>
      <c r="F62" s="153" t="str">
        <f t="shared" si="0"/>
        <v/>
      </c>
      <c r="G62" s="256"/>
      <c r="H62" s="166">
        <f t="shared" si="5"/>
        <v>0</v>
      </c>
      <c r="I62" s="10" t="s">
        <v>20</v>
      </c>
      <c r="J62" s="11">
        <v>17.899999999999999</v>
      </c>
      <c r="K62" s="12">
        <f t="shared" si="7"/>
        <v>0</v>
      </c>
    </row>
    <row r="63" spans="1:12" hidden="1" x14ac:dyDescent="0.35">
      <c r="A63" s="103"/>
      <c r="B63" s="12" t="s">
        <v>13</v>
      </c>
      <c r="C63" s="10" t="s">
        <v>239</v>
      </c>
      <c r="D63" s="152"/>
      <c r="E63" s="170"/>
      <c r="F63" s="153" t="str">
        <f t="shared" si="0"/>
        <v/>
      </c>
      <c r="G63" s="256"/>
      <c r="H63" s="166">
        <f t="shared" si="5"/>
        <v>0</v>
      </c>
      <c r="I63" s="10" t="s">
        <v>20</v>
      </c>
      <c r="J63" s="11">
        <v>15.95</v>
      </c>
      <c r="K63" s="12">
        <f t="shared" si="7"/>
        <v>0</v>
      </c>
    </row>
    <row r="64" spans="1:12" hidden="1" x14ac:dyDescent="0.35">
      <c r="A64" s="103"/>
      <c r="B64" s="12" t="s">
        <v>13</v>
      </c>
      <c r="C64" s="10" t="s">
        <v>240</v>
      </c>
      <c r="D64" s="152"/>
      <c r="E64" s="170"/>
      <c r="F64" s="153" t="str">
        <f t="shared" si="0"/>
        <v/>
      </c>
      <c r="G64" s="256"/>
      <c r="H64" s="166">
        <f t="shared" si="5"/>
        <v>0</v>
      </c>
      <c r="I64" s="10" t="s">
        <v>20</v>
      </c>
      <c r="J64" s="11">
        <v>15.45</v>
      </c>
      <c r="K64" s="12">
        <f t="shared" si="7"/>
        <v>0</v>
      </c>
    </row>
    <row r="65" spans="1:15" ht="15.5" hidden="1" x14ac:dyDescent="0.35">
      <c r="A65" s="111"/>
      <c r="B65" s="126" t="s">
        <v>241</v>
      </c>
      <c r="C65" s="127"/>
      <c r="D65" s="226"/>
      <c r="E65" s="250"/>
      <c r="F65" s="165" t="str">
        <f t="shared" si="0"/>
        <v/>
      </c>
      <c r="G65" s="259"/>
      <c r="H65" s="247"/>
      <c r="I65" s="127"/>
      <c r="J65" s="127"/>
      <c r="K65" s="270"/>
    </row>
    <row r="66" spans="1:15" hidden="1" x14ac:dyDescent="0.35">
      <c r="A66" s="103"/>
      <c r="B66" s="12" t="s">
        <v>13</v>
      </c>
      <c r="C66" s="10" t="s">
        <v>242</v>
      </c>
      <c r="D66" s="152"/>
      <c r="E66" s="170"/>
      <c r="F66" s="153" t="str">
        <f t="shared" si="0"/>
        <v/>
      </c>
      <c r="G66" s="256"/>
      <c r="H66" s="166">
        <f t="shared" si="5"/>
        <v>0</v>
      </c>
      <c r="I66" s="10" t="s">
        <v>20</v>
      </c>
      <c r="J66" s="11">
        <v>31.05</v>
      </c>
      <c r="K66" s="12">
        <f t="shared" si="7"/>
        <v>0</v>
      </c>
    </row>
    <row r="67" spans="1:15" hidden="1" x14ac:dyDescent="0.35">
      <c r="A67" s="103"/>
      <c r="B67" s="12" t="s">
        <v>13</v>
      </c>
      <c r="C67" s="10" t="s">
        <v>243</v>
      </c>
      <c r="D67" s="152"/>
      <c r="E67" s="170"/>
      <c r="F67" s="153" t="str">
        <f t="shared" si="0"/>
        <v/>
      </c>
      <c r="G67" s="256"/>
      <c r="H67" s="166">
        <f t="shared" si="5"/>
        <v>0</v>
      </c>
      <c r="I67" s="10" t="s">
        <v>20</v>
      </c>
      <c r="J67" s="11">
        <v>60.79</v>
      </c>
      <c r="K67" s="12">
        <f t="shared" si="7"/>
        <v>0</v>
      </c>
    </row>
    <row r="68" spans="1:15" hidden="1" x14ac:dyDescent="0.35">
      <c r="A68" s="103"/>
      <c r="B68" s="12" t="s">
        <v>13</v>
      </c>
      <c r="C68" s="10" t="s">
        <v>244</v>
      </c>
      <c r="D68" s="152"/>
      <c r="E68" s="170"/>
      <c r="F68" s="153" t="str">
        <f t="shared" si="0"/>
        <v/>
      </c>
      <c r="G68" s="256"/>
      <c r="H68" s="166">
        <f t="shared" si="5"/>
        <v>0</v>
      </c>
      <c r="I68" s="10" t="s">
        <v>20</v>
      </c>
      <c r="J68" s="11">
        <v>56.55</v>
      </c>
      <c r="K68" s="12">
        <f t="shared" si="7"/>
        <v>0</v>
      </c>
    </row>
    <row r="69" spans="1:15" hidden="1" x14ac:dyDescent="0.35">
      <c r="A69" s="103"/>
      <c r="B69" s="12" t="s">
        <v>13</v>
      </c>
      <c r="C69" s="10" t="s">
        <v>245</v>
      </c>
      <c r="D69" s="152"/>
      <c r="E69" s="170"/>
      <c r="F69" s="153" t="str">
        <f t="shared" si="0"/>
        <v/>
      </c>
      <c r="G69" s="256"/>
      <c r="H69" s="166">
        <f t="shared" si="5"/>
        <v>0</v>
      </c>
      <c r="I69" s="10" t="s">
        <v>20</v>
      </c>
      <c r="J69" s="11">
        <v>107.44</v>
      </c>
      <c r="K69" s="12">
        <f t="shared" si="7"/>
        <v>0</v>
      </c>
    </row>
    <row r="70" spans="1:15" hidden="1" x14ac:dyDescent="0.35">
      <c r="A70" s="103"/>
      <c r="B70" s="12" t="s">
        <v>13</v>
      </c>
      <c r="C70" s="10" t="s">
        <v>246</v>
      </c>
      <c r="D70" s="152"/>
      <c r="E70" s="170"/>
      <c r="F70" s="153" t="str">
        <f t="shared" si="0"/>
        <v/>
      </c>
      <c r="G70" s="256"/>
      <c r="H70" s="166">
        <f t="shared" si="5"/>
        <v>0</v>
      </c>
      <c r="I70" s="10" t="s">
        <v>20</v>
      </c>
      <c r="J70" s="11">
        <v>47.4</v>
      </c>
      <c r="K70" s="12">
        <f t="shared" si="7"/>
        <v>0</v>
      </c>
    </row>
    <row r="71" spans="1:15" hidden="1" x14ac:dyDescent="0.35">
      <c r="A71" s="103"/>
      <c r="B71" s="12" t="s">
        <v>13</v>
      </c>
      <c r="C71" s="10" t="s">
        <v>247</v>
      </c>
      <c r="D71" s="152"/>
      <c r="E71" s="170"/>
      <c r="F71" s="153" t="str">
        <f t="shared" si="0"/>
        <v/>
      </c>
      <c r="G71" s="256"/>
      <c r="H71" s="166">
        <f t="shared" si="5"/>
        <v>0</v>
      </c>
      <c r="I71" s="10" t="s">
        <v>20</v>
      </c>
      <c r="J71" s="11">
        <v>87.63</v>
      </c>
      <c r="K71" s="12">
        <f t="shared" si="7"/>
        <v>0</v>
      </c>
    </row>
    <row r="72" spans="1:15" hidden="1" x14ac:dyDescent="0.35">
      <c r="A72" s="103"/>
      <c r="B72" s="12" t="s">
        <v>13</v>
      </c>
      <c r="C72" s="10" t="s">
        <v>248</v>
      </c>
      <c r="D72" s="152"/>
      <c r="E72" s="170"/>
      <c r="F72" s="153" t="str">
        <f t="shared" si="0"/>
        <v/>
      </c>
      <c r="G72" s="256"/>
      <c r="H72" s="166">
        <f t="shared" si="5"/>
        <v>0</v>
      </c>
      <c r="I72" s="10" t="s">
        <v>20</v>
      </c>
      <c r="J72" s="11">
        <v>52.31</v>
      </c>
      <c r="K72" s="12">
        <f t="shared" si="7"/>
        <v>0</v>
      </c>
    </row>
    <row r="73" spans="1:15" ht="15.5" hidden="1" x14ac:dyDescent="0.35">
      <c r="A73" s="111"/>
      <c r="B73" s="126" t="s">
        <v>249</v>
      </c>
      <c r="C73" s="127"/>
      <c r="D73" s="226"/>
      <c r="E73" s="170"/>
      <c r="F73" s="153" t="str">
        <f t="shared" si="0"/>
        <v/>
      </c>
      <c r="G73" s="259"/>
      <c r="H73" s="166">
        <f t="shared" si="5"/>
        <v>0</v>
      </c>
      <c r="I73" s="127"/>
      <c r="J73" s="127"/>
      <c r="K73" s="271"/>
    </row>
    <row r="74" spans="1:15" hidden="1" x14ac:dyDescent="0.35">
      <c r="A74" s="103"/>
      <c r="B74" s="12" t="s">
        <v>13</v>
      </c>
      <c r="C74" s="10" t="s">
        <v>250</v>
      </c>
      <c r="D74" s="152"/>
      <c r="E74" s="170"/>
      <c r="F74" s="153" t="str">
        <f t="shared" si="0"/>
        <v/>
      </c>
      <c r="G74" s="256"/>
      <c r="H74" s="166">
        <f t="shared" si="5"/>
        <v>0</v>
      </c>
      <c r="I74" s="10" t="s">
        <v>20</v>
      </c>
      <c r="J74" s="11">
        <v>10.8</v>
      </c>
      <c r="K74" s="12">
        <f t="shared" si="7"/>
        <v>0</v>
      </c>
    </row>
    <row r="75" spans="1:15" hidden="1" x14ac:dyDescent="0.35">
      <c r="A75" s="103"/>
      <c r="B75" s="12" t="s">
        <v>13</v>
      </c>
      <c r="C75" s="10" t="s">
        <v>251</v>
      </c>
      <c r="D75" s="152"/>
      <c r="E75" s="170"/>
      <c r="F75" s="153" t="str">
        <f t="shared" si="0"/>
        <v/>
      </c>
      <c r="G75" s="256"/>
      <c r="H75" s="166">
        <f t="shared" si="5"/>
        <v>0</v>
      </c>
      <c r="I75" s="10" t="s">
        <v>20</v>
      </c>
      <c r="J75" s="11">
        <v>11.2</v>
      </c>
      <c r="K75" s="12">
        <f t="shared" si="7"/>
        <v>0</v>
      </c>
    </row>
    <row r="76" spans="1:15" x14ac:dyDescent="0.35">
      <c r="A76" s="103"/>
      <c r="B76" s="12" t="s">
        <v>13</v>
      </c>
      <c r="C76" s="10" t="s">
        <v>252</v>
      </c>
      <c r="D76" s="152"/>
      <c r="E76" s="170"/>
      <c r="F76" s="153" t="str">
        <f t="shared" si="0"/>
        <v/>
      </c>
      <c r="G76" s="256"/>
      <c r="H76" s="166">
        <f t="shared" si="5"/>
        <v>0</v>
      </c>
      <c r="I76" s="10" t="s">
        <v>23</v>
      </c>
      <c r="J76" s="11">
        <v>4.5599999999999996</v>
      </c>
      <c r="K76" s="12">
        <f t="shared" si="7"/>
        <v>0</v>
      </c>
    </row>
    <row r="77" spans="1:15" x14ac:dyDescent="0.35">
      <c r="A77" s="103"/>
      <c r="B77" s="12" t="s">
        <v>13</v>
      </c>
      <c r="C77" s="10" t="s">
        <v>253</v>
      </c>
      <c r="D77" s="152"/>
      <c r="E77" s="170"/>
      <c r="F77" s="153" t="str">
        <f t="shared" si="0"/>
        <v/>
      </c>
      <c r="G77" s="256"/>
      <c r="H77" s="166">
        <f t="shared" si="5"/>
        <v>0</v>
      </c>
      <c r="I77" s="10" t="s">
        <v>23</v>
      </c>
      <c r="J77" s="11">
        <v>37.700000000000003</v>
      </c>
      <c r="K77" s="12">
        <f t="shared" si="7"/>
        <v>0</v>
      </c>
      <c r="O77" s="87"/>
    </row>
    <row r="78" spans="1:15" ht="15.5" hidden="1" x14ac:dyDescent="0.35">
      <c r="A78" s="108" t="s">
        <v>254</v>
      </c>
      <c r="B78" s="108"/>
      <c r="C78" s="108"/>
      <c r="D78" s="223"/>
      <c r="E78" s="250"/>
      <c r="F78" s="165" t="str">
        <f t="shared" si="0"/>
        <v/>
      </c>
      <c r="G78" s="186"/>
      <c r="H78" s="247"/>
      <c r="I78" s="108"/>
      <c r="J78" s="110" t="s">
        <v>18</v>
      </c>
      <c r="K78" s="269">
        <f>SUM(K80:K121)</f>
        <v>0</v>
      </c>
    </row>
    <row r="79" spans="1:15" ht="15.5" hidden="1" x14ac:dyDescent="0.35">
      <c r="A79" s="111"/>
      <c r="B79" s="126" t="s">
        <v>255</v>
      </c>
      <c r="C79" s="127"/>
      <c r="D79" s="226"/>
      <c r="E79" s="250"/>
      <c r="F79" s="153" t="str">
        <f t="shared" si="0"/>
        <v/>
      </c>
      <c r="G79" s="259"/>
      <c r="H79" s="247"/>
      <c r="I79" s="127"/>
      <c r="J79" s="127"/>
      <c r="K79" s="128"/>
    </row>
    <row r="80" spans="1:15" hidden="1" x14ac:dyDescent="0.35">
      <c r="A80" s="103"/>
      <c r="B80" s="12" t="s">
        <v>3</v>
      </c>
      <c r="C80" s="10" t="s">
        <v>256</v>
      </c>
      <c r="D80" s="152"/>
      <c r="E80" s="170"/>
      <c r="F80" s="153" t="str">
        <f t="shared" si="0"/>
        <v/>
      </c>
      <c r="G80" s="256"/>
      <c r="H80" s="166">
        <f t="shared" si="5"/>
        <v>0</v>
      </c>
      <c r="I80" s="10" t="s">
        <v>20</v>
      </c>
      <c r="J80" s="11">
        <v>32.950000000000003</v>
      </c>
      <c r="K80" s="12">
        <f t="shared" ref="K80:K86" si="8">G80*J80</f>
        <v>0</v>
      </c>
    </row>
    <row r="81" spans="1:11" hidden="1" x14ac:dyDescent="0.35">
      <c r="A81" s="103"/>
      <c r="B81" s="12" t="s">
        <v>3</v>
      </c>
      <c r="C81" s="10" t="s">
        <v>257</v>
      </c>
      <c r="D81" s="152"/>
      <c r="E81" s="170"/>
      <c r="F81" s="153" t="str">
        <f t="shared" si="0"/>
        <v/>
      </c>
      <c r="G81" s="256"/>
      <c r="H81" s="166">
        <f t="shared" si="5"/>
        <v>0</v>
      </c>
      <c r="I81" s="10" t="s">
        <v>20</v>
      </c>
      <c r="J81" s="11">
        <v>56.95</v>
      </c>
      <c r="K81" s="12">
        <f t="shared" si="8"/>
        <v>0</v>
      </c>
    </row>
    <row r="82" spans="1:11" hidden="1" x14ac:dyDescent="0.35">
      <c r="A82" s="103"/>
      <c r="B82" s="12" t="s">
        <v>3</v>
      </c>
      <c r="C82" s="10" t="s">
        <v>258</v>
      </c>
      <c r="D82" s="152"/>
      <c r="E82" s="170"/>
      <c r="F82" s="153" t="str">
        <f t="shared" si="0"/>
        <v/>
      </c>
      <c r="G82" s="256"/>
      <c r="H82" s="166">
        <f t="shared" si="5"/>
        <v>0</v>
      </c>
      <c r="I82" s="10" t="s">
        <v>20</v>
      </c>
      <c r="J82" s="11">
        <v>15.95</v>
      </c>
      <c r="K82" s="12">
        <f t="shared" si="8"/>
        <v>0</v>
      </c>
    </row>
    <row r="83" spans="1:11" hidden="1" x14ac:dyDescent="0.35">
      <c r="A83" s="103"/>
      <c r="B83" s="12" t="s">
        <v>3</v>
      </c>
      <c r="C83" s="10" t="s">
        <v>259</v>
      </c>
      <c r="D83" s="152"/>
      <c r="E83" s="170"/>
      <c r="F83" s="153" t="str">
        <f t="shared" si="0"/>
        <v/>
      </c>
      <c r="G83" s="256"/>
      <c r="H83" s="166">
        <f t="shared" si="5"/>
        <v>0</v>
      </c>
      <c r="I83" s="10" t="s">
        <v>20</v>
      </c>
      <c r="J83" s="11">
        <v>19.95</v>
      </c>
      <c r="K83" s="12">
        <f t="shared" si="8"/>
        <v>0</v>
      </c>
    </row>
    <row r="84" spans="1:11" hidden="1" x14ac:dyDescent="0.35">
      <c r="A84" s="103"/>
      <c r="B84" s="12" t="s">
        <v>3</v>
      </c>
      <c r="C84" s="10" t="s">
        <v>260</v>
      </c>
      <c r="D84" s="152"/>
      <c r="E84" s="170"/>
      <c r="F84" s="153" t="str">
        <f t="shared" si="0"/>
        <v/>
      </c>
      <c r="G84" s="256"/>
      <c r="H84" s="166">
        <f t="shared" si="5"/>
        <v>0</v>
      </c>
      <c r="I84" s="10" t="s">
        <v>20</v>
      </c>
      <c r="J84" s="11">
        <v>46.95</v>
      </c>
      <c r="K84" s="12">
        <f t="shared" si="8"/>
        <v>0</v>
      </c>
    </row>
    <row r="85" spans="1:11" hidden="1" x14ac:dyDescent="0.35">
      <c r="A85" s="103"/>
      <c r="B85" s="12" t="s">
        <v>3</v>
      </c>
      <c r="C85" s="10" t="s">
        <v>261</v>
      </c>
      <c r="D85" s="152"/>
      <c r="E85" s="170"/>
      <c r="F85" s="153" t="str">
        <f t="shared" si="0"/>
        <v/>
      </c>
      <c r="G85" s="256"/>
      <c r="H85" s="166">
        <f t="shared" si="5"/>
        <v>0</v>
      </c>
      <c r="I85" s="10" t="s">
        <v>20</v>
      </c>
      <c r="J85" s="11">
        <v>34.950000000000003</v>
      </c>
      <c r="K85" s="12">
        <f t="shared" si="8"/>
        <v>0</v>
      </c>
    </row>
    <row r="86" spans="1:11" hidden="1" x14ac:dyDescent="0.35">
      <c r="A86" s="103"/>
      <c r="B86" s="12" t="s">
        <v>3</v>
      </c>
      <c r="C86" s="10" t="s">
        <v>262</v>
      </c>
      <c r="D86" s="152"/>
      <c r="E86" s="170"/>
      <c r="F86" s="153" t="str">
        <f t="shared" si="0"/>
        <v/>
      </c>
      <c r="G86" s="256"/>
      <c r="H86" s="166">
        <f t="shared" si="5"/>
        <v>0</v>
      </c>
      <c r="I86" s="10" t="s">
        <v>20</v>
      </c>
      <c r="J86" s="11">
        <v>24.95</v>
      </c>
      <c r="K86" s="12">
        <f t="shared" si="8"/>
        <v>0</v>
      </c>
    </row>
    <row r="87" spans="1:11" ht="15.5" hidden="1" x14ac:dyDescent="0.35">
      <c r="A87" s="111"/>
      <c r="B87" s="126" t="s">
        <v>263</v>
      </c>
      <c r="C87" s="127"/>
      <c r="D87" s="226"/>
      <c r="E87" s="250"/>
      <c r="F87" s="165" t="str">
        <f t="shared" si="0"/>
        <v/>
      </c>
      <c r="G87" s="259"/>
      <c r="H87" s="247"/>
      <c r="I87" s="127"/>
      <c r="J87" s="127"/>
      <c r="K87" s="272"/>
    </row>
    <row r="88" spans="1:11" hidden="1" x14ac:dyDescent="0.35">
      <c r="A88" s="103"/>
      <c r="B88" s="12" t="s">
        <v>3</v>
      </c>
      <c r="C88" s="10" t="s">
        <v>264</v>
      </c>
      <c r="D88" s="152"/>
      <c r="E88" s="170"/>
      <c r="F88" s="153" t="str">
        <f t="shared" si="0"/>
        <v/>
      </c>
      <c r="G88" s="256"/>
      <c r="H88" s="166">
        <f t="shared" si="5"/>
        <v>0</v>
      </c>
      <c r="I88" s="10" t="s">
        <v>20</v>
      </c>
      <c r="J88" s="11">
        <v>19.5</v>
      </c>
      <c r="K88" s="12">
        <f t="shared" ref="K88:K94" si="9">G88*J88</f>
        <v>0</v>
      </c>
    </row>
    <row r="89" spans="1:11" hidden="1" x14ac:dyDescent="0.35">
      <c r="A89" s="103"/>
      <c r="B89" s="12" t="s">
        <v>3</v>
      </c>
      <c r="C89" s="10" t="s">
        <v>265</v>
      </c>
      <c r="D89" s="152"/>
      <c r="E89" s="170"/>
      <c r="F89" s="153" t="str">
        <f t="shared" ref="F89:F152" si="10">IF(E89="","",IF(D89-E89&gt;0,D89-E89,""))</f>
        <v/>
      </c>
      <c r="G89" s="256"/>
      <c r="H89" s="166">
        <f t="shared" si="5"/>
        <v>0</v>
      </c>
      <c r="I89" s="10" t="s">
        <v>20</v>
      </c>
      <c r="J89" s="11">
        <v>16.95</v>
      </c>
      <c r="K89" s="12">
        <f t="shared" si="9"/>
        <v>0</v>
      </c>
    </row>
    <row r="90" spans="1:11" hidden="1" x14ac:dyDescent="0.35">
      <c r="A90" s="103"/>
      <c r="B90" s="12" t="s">
        <v>3</v>
      </c>
      <c r="C90" s="10" t="s">
        <v>266</v>
      </c>
      <c r="D90" s="152"/>
      <c r="E90" s="170"/>
      <c r="F90" s="153" t="str">
        <f t="shared" si="10"/>
        <v/>
      </c>
      <c r="G90" s="256"/>
      <c r="H90" s="166">
        <f t="shared" si="5"/>
        <v>0</v>
      </c>
      <c r="I90" s="10" t="s">
        <v>20</v>
      </c>
      <c r="J90" s="11">
        <v>17.95</v>
      </c>
      <c r="K90" s="12">
        <f t="shared" si="9"/>
        <v>0</v>
      </c>
    </row>
    <row r="91" spans="1:11" hidden="1" x14ac:dyDescent="0.35">
      <c r="A91" s="103"/>
      <c r="B91" s="12" t="s">
        <v>3</v>
      </c>
      <c r="C91" s="10" t="s">
        <v>267</v>
      </c>
      <c r="D91" s="152"/>
      <c r="E91" s="170"/>
      <c r="F91" s="153" t="str">
        <f t="shared" si="10"/>
        <v/>
      </c>
      <c r="G91" s="256"/>
      <c r="H91" s="166">
        <f t="shared" si="5"/>
        <v>0</v>
      </c>
      <c r="I91" s="10" t="s">
        <v>20</v>
      </c>
      <c r="J91" s="11">
        <v>15.95</v>
      </c>
      <c r="K91" s="12">
        <f t="shared" si="9"/>
        <v>0</v>
      </c>
    </row>
    <row r="92" spans="1:11" hidden="1" x14ac:dyDescent="0.35">
      <c r="A92" s="103"/>
      <c r="B92" s="12" t="s">
        <v>3</v>
      </c>
      <c r="C92" s="10" t="s">
        <v>268</v>
      </c>
      <c r="D92" s="152"/>
      <c r="E92" s="170"/>
      <c r="F92" s="153" t="str">
        <f t="shared" si="10"/>
        <v/>
      </c>
      <c r="G92" s="256"/>
      <c r="H92" s="166">
        <f t="shared" si="5"/>
        <v>0</v>
      </c>
      <c r="I92" s="10" t="s">
        <v>20</v>
      </c>
      <c r="J92" s="11">
        <v>20.95</v>
      </c>
      <c r="K92" s="12">
        <f t="shared" si="9"/>
        <v>0</v>
      </c>
    </row>
    <row r="93" spans="1:11" hidden="1" x14ac:dyDescent="0.35">
      <c r="A93" s="103"/>
      <c r="B93" s="12" t="s">
        <v>3</v>
      </c>
      <c r="C93" s="10" t="s">
        <v>269</v>
      </c>
      <c r="D93" s="152"/>
      <c r="E93" s="170"/>
      <c r="F93" s="153" t="str">
        <f t="shared" si="10"/>
        <v/>
      </c>
      <c r="G93" s="256"/>
      <c r="H93" s="166">
        <f t="shared" si="5"/>
        <v>0</v>
      </c>
      <c r="I93" s="10" t="s">
        <v>20</v>
      </c>
      <c r="J93" s="11">
        <v>26.95</v>
      </c>
      <c r="K93" s="12">
        <f t="shared" si="9"/>
        <v>0</v>
      </c>
    </row>
    <row r="94" spans="1:11" hidden="1" x14ac:dyDescent="0.35">
      <c r="A94" s="103"/>
      <c r="B94" s="12" t="s">
        <v>3</v>
      </c>
      <c r="C94" s="10" t="s">
        <v>270</v>
      </c>
      <c r="D94" s="152"/>
      <c r="E94" s="170"/>
      <c r="F94" s="153" t="str">
        <f t="shared" si="10"/>
        <v/>
      </c>
      <c r="G94" s="256"/>
      <c r="H94" s="166">
        <f t="shared" si="5"/>
        <v>0</v>
      </c>
      <c r="I94" s="10" t="s">
        <v>20</v>
      </c>
      <c r="J94" s="11">
        <v>26.95</v>
      </c>
      <c r="K94" s="12">
        <f t="shared" si="9"/>
        <v>0</v>
      </c>
    </row>
    <row r="95" spans="1:11" ht="15.5" hidden="1" x14ac:dyDescent="0.35">
      <c r="A95" s="111"/>
      <c r="B95" s="126" t="s">
        <v>271</v>
      </c>
      <c r="C95" s="127"/>
      <c r="D95" s="226"/>
      <c r="E95" s="250"/>
      <c r="F95" s="165" t="str">
        <f t="shared" si="10"/>
        <v/>
      </c>
      <c r="G95" s="259"/>
      <c r="H95" s="247"/>
      <c r="I95" s="127"/>
      <c r="J95" s="127"/>
      <c r="K95" s="272"/>
    </row>
    <row r="96" spans="1:11" hidden="1" x14ac:dyDescent="0.35">
      <c r="A96" s="103"/>
      <c r="B96" s="12" t="s">
        <v>3</v>
      </c>
      <c r="C96" s="10" t="s">
        <v>272</v>
      </c>
      <c r="D96" s="152"/>
      <c r="E96" s="170"/>
      <c r="F96" s="153" t="str">
        <f t="shared" si="10"/>
        <v/>
      </c>
      <c r="G96" s="256"/>
      <c r="H96" s="166">
        <f t="shared" si="5"/>
        <v>0</v>
      </c>
      <c r="I96" s="10" t="s">
        <v>20</v>
      </c>
      <c r="J96" s="11">
        <v>20.95</v>
      </c>
      <c r="K96" s="12">
        <f>G96*J96</f>
        <v>0</v>
      </c>
    </row>
    <row r="97" spans="1:11" hidden="1" x14ac:dyDescent="0.35">
      <c r="A97" s="103"/>
      <c r="B97" s="12" t="s">
        <v>3</v>
      </c>
      <c r="C97" s="10" t="s">
        <v>273</v>
      </c>
      <c r="D97" s="152"/>
      <c r="E97" s="170"/>
      <c r="F97" s="153" t="str">
        <f t="shared" si="10"/>
        <v/>
      </c>
      <c r="G97" s="256"/>
      <c r="H97" s="166">
        <f t="shared" si="5"/>
        <v>0</v>
      </c>
      <c r="I97" s="10" t="s">
        <v>20</v>
      </c>
      <c r="J97" s="11">
        <v>23.95</v>
      </c>
      <c r="K97" s="12">
        <f>G97*J97</f>
        <v>0</v>
      </c>
    </row>
    <row r="98" spans="1:11" hidden="1" x14ac:dyDescent="0.35">
      <c r="A98" s="103"/>
      <c r="B98" s="12" t="s">
        <v>3</v>
      </c>
      <c r="C98" s="10" t="s">
        <v>274</v>
      </c>
      <c r="D98" s="152"/>
      <c r="E98" s="170"/>
      <c r="F98" s="153" t="str">
        <f t="shared" si="10"/>
        <v/>
      </c>
      <c r="G98" s="256"/>
      <c r="H98" s="166">
        <f t="shared" si="5"/>
        <v>0</v>
      </c>
      <c r="I98" s="10" t="s">
        <v>20</v>
      </c>
      <c r="J98" s="11">
        <v>22.5</v>
      </c>
      <c r="K98" s="12">
        <f>G98*J98</f>
        <v>0</v>
      </c>
    </row>
    <row r="99" spans="1:11" hidden="1" x14ac:dyDescent="0.35">
      <c r="A99" s="103"/>
      <c r="B99" s="12" t="s">
        <v>3</v>
      </c>
      <c r="C99" s="10" t="s">
        <v>275</v>
      </c>
      <c r="D99" s="152"/>
      <c r="E99" s="170"/>
      <c r="F99" s="153" t="str">
        <f t="shared" si="10"/>
        <v/>
      </c>
      <c r="G99" s="256"/>
      <c r="H99" s="166">
        <f t="shared" si="5"/>
        <v>0</v>
      </c>
      <c r="I99" s="10" t="s">
        <v>20</v>
      </c>
      <c r="J99" s="11">
        <v>29.95</v>
      </c>
      <c r="K99" s="12">
        <f>G99*J99</f>
        <v>0</v>
      </c>
    </row>
    <row r="100" spans="1:11" ht="15.5" hidden="1" x14ac:dyDescent="0.35">
      <c r="A100" s="111"/>
      <c r="B100" s="126" t="s">
        <v>276</v>
      </c>
      <c r="C100" s="127"/>
      <c r="D100" s="226"/>
      <c r="E100" s="250"/>
      <c r="F100" s="165" t="str">
        <f t="shared" si="10"/>
        <v/>
      </c>
      <c r="G100" s="259"/>
      <c r="H100" s="247"/>
      <c r="I100" s="127"/>
      <c r="J100" s="127"/>
      <c r="K100" s="272"/>
    </row>
    <row r="101" spans="1:11" hidden="1" x14ac:dyDescent="0.35">
      <c r="A101" s="103"/>
      <c r="B101" s="12" t="s">
        <v>3</v>
      </c>
      <c r="C101" s="10" t="s">
        <v>277</v>
      </c>
      <c r="D101" s="152"/>
      <c r="E101" s="170"/>
      <c r="F101" s="153" t="str">
        <f t="shared" si="10"/>
        <v/>
      </c>
      <c r="G101" s="256"/>
      <c r="H101" s="166">
        <f t="shared" si="5"/>
        <v>0</v>
      </c>
      <c r="I101" s="10" t="s">
        <v>20</v>
      </c>
      <c r="J101" s="11">
        <v>17.95</v>
      </c>
      <c r="K101" s="12">
        <f>G101*J101</f>
        <v>0</v>
      </c>
    </row>
    <row r="102" spans="1:11" hidden="1" x14ac:dyDescent="0.35">
      <c r="A102" s="103"/>
      <c r="B102" s="12" t="s">
        <v>3</v>
      </c>
      <c r="C102" s="10" t="s">
        <v>278</v>
      </c>
      <c r="D102" s="152"/>
      <c r="E102" s="170"/>
      <c r="F102" s="153" t="str">
        <f t="shared" si="10"/>
        <v/>
      </c>
      <c r="G102" s="256"/>
      <c r="H102" s="166">
        <f t="shared" si="5"/>
        <v>0</v>
      </c>
      <c r="I102" s="10" t="s">
        <v>20</v>
      </c>
      <c r="J102" s="11">
        <v>20.95</v>
      </c>
      <c r="K102" s="12">
        <f>G102*J102</f>
        <v>0</v>
      </c>
    </row>
    <row r="103" spans="1:11" hidden="1" x14ac:dyDescent="0.35">
      <c r="A103" s="103"/>
      <c r="B103" s="12" t="s">
        <v>3</v>
      </c>
      <c r="C103" s="10" t="s">
        <v>279</v>
      </c>
      <c r="D103" s="152"/>
      <c r="E103" s="170"/>
      <c r="F103" s="153" t="str">
        <f t="shared" si="10"/>
        <v/>
      </c>
      <c r="G103" s="256"/>
      <c r="H103" s="166">
        <f t="shared" si="5"/>
        <v>0</v>
      </c>
      <c r="I103" s="10" t="s">
        <v>20</v>
      </c>
      <c r="J103" s="11">
        <v>19.95</v>
      </c>
      <c r="K103" s="12">
        <f>G103*J103</f>
        <v>0</v>
      </c>
    </row>
    <row r="104" spans="1:11" hidden="1" x14ac:dyDescent="0.35">
      <c r="A104" s="103"/>
      <c r="B104" s="40" t="s">
        <v>3</v>
      </c>
      <c r="C104" s="41" t="s">
        <v>280</v>
      </c>
      <c r="D104" s="227"/>
      <c r="E104" s="170"/>
      <c r="F104" s="153" t="str">
        <f t="shared" si="10"/>
        <v/>
      </c>
      <c r="G104" s="256"/>
      <c r="H104" s="166">
        <f t="shared" si="5"/>
        <v>0</v>
      </c>
      <c r="I104" s="41" t="s">
        <v>20</v>
      </c>
      <c r="J104" s="42">
        <v>59.95</v>
      </c>
      <c r="K104" s="40">
        <f>G104*J104</f>
        <v>0</v>
      </c>
    </row>
    <row r="105" spans="1:11" ht="15.5" hidden="1" x14ac:dyDescent="0.35">
      <c r="A105" s="111"/>
      <c r="B105" s="126" t="s">
        <v>281</v>
      </c>
      <c r="C105" s="127"/>
      <c r="D105" s="226"/>
      <c r="E105" s="170"/>
      <c r="F105" s="153" t="str">
        <f t="shared" si="10"/>
        <v/>
      </c>
      <c r="G105" s="259"/>
      <c r="H105" s="166">
        <f t="shared" si="5"/>
        <v>0</v>
      </c>
      <c r="I105" s="127"/>
      <c r="J105" s="127"/>
      <c r="K105" s="272"/>
    </row>
    <row r="106" spans="1:11" hidden="1" x14ac:dyDescent="0.35">
      <c r="A106" s="103"/>
      <c r="B106" s="12" t="s">
        <v>3</v>
      </c>
      <c r="C106" s="10" t="s">
        <v>282</v>
      </c>
      <c r="D106" s="152"/>
      <c r="E106" s="170"/>
      <c r="F106" s="153" t="str">
        <f t="shared" si="10"/>
        <v/>
      </c>
      <c r="G106" s="256"/>
      <c r="H106" s="166">
        <f t="shared" si="5"/>
        <v>0</v>
      </c>
      <c r="I106" s="10" t="s">
        <v>20</v>
      </c>
      <c r="J106" s="11">
        <v>54.95</v>
      </c>
      <c r="K106" s="12">
        <f>G106*J106</f>
        <v>0</v>
      </c>
    </row>
    <row r="107" spans="1:11" hidden="1" x14ac:dyDescent="0.35">
      <c r="A107" s="103"/>
      <c r="B107" s="12" t="s">
        <v>3</v>
      </c>
      <c r="C107" s="10" t="s">
        <v>283</v>
      </c>
      <c r="D107" s="152"/>
      <c r="E107" s="170"/>
      <c r="F107" s="153" t="str">
        <f t="shared" si="10"/>
        <v/>
      </c>
      <c r="G107" s="256"/>
      <c r="H107" s="166">
        <f t="shared" si="5"/>
        <v>0</v>
      </c>
      <c r="I107" s="10" t="s">
        <v>20</v>
      </c>
      <c r="J107" s="11">
        <v>49.95</v>
      </c>
      <c r="K107" s="12">
        <f>G107*J107</f>
        <v>0</v>
      </c>
    </row>
    <row r="108" spans="1:11" ht="15.5" hidden="1" x14ac:dyDescent="0.35">
      <c r="A108" s="111"/>
      <c r="B108" s="126" t="s">
        <v>284</v>
      </c>
      <c r="C108" s="127"/>
      <c r="D108" s="226"/>
      <c r="E108" s="250"/>
      <c r="F108" s="165" t="str">
        <f t="shared" si="10"/>
        <v/>
      </c>
      <c r="G108" s="259"/>
      <c r="H108" s="247"/>
      <c r="I108" s="127"/>
      <c r="J108" s="127"/>
      <c r="K108" s="272"/>
    </row>
    <row r="109" spans="1:11" hidden="1" x14ac:dyDescent="0.35">
      <c r="A109" s="103"/>
      <c r="B109" s="12" t="s">
        <v>3</v>
      </c>
      <c r="C109" s="10" t="s">
        <v>285</v>
      </c>
      <c r="D109" s="152"/>
      <c r="E109" s="170"/>
      <c r="F109" s="153" t="str">
        <f t="shared" si="10"/>
        <v/>
      </c>
      <c r="G109" s="256"/>
      <c r="H109" s="166">
        <f t="shared" si="5"/>
        <v>0</v>
      </c>
      <c r="I109" s="10" t="s">
        <v>20</v>
      </c>
      <c r="J109" s="11">
        <v>41.5</v>
      </c>
      <c r="K109" s="12">
        <f t="shared" ref="K109:K114" si="11">G109*J109</f>
        <v>0</v>
      </c>
    </row>
    <row r="110" spans="1:11" hidden="1" x14ac:dyDescent="0.35">
      <c r="A110" s="103"/>
      <c r="B110" s="12" t="s">
        <v>3</v>
      </c>
      <c r="C110" s="10" t="s">
        <v>286</v>
      </c>
      <c r="D110" s="152"/>
      <c r="E110" s="170"/>
      <c r="F110" s="153" t="str">
        <f t="shared" si="10"/>
        <v/>
      </c>
      <c r="G110" s="256"/>
      <c r="H110" s="166">
        <f t="shared" si="5"/>
        <v>0</v>
      </c>
      <c r="I110" s="10" t="s">
        <v>20</v>
      </c>
      <c r="J110" s="11">
        <v>36.200000000000003</v>
      </c>
      <c r="K110" s="12">
        <f t="shared" si="11"/>
        <v>0</v>
      </c>
    </row>
    <row r="111" spans="1:11" hidden="1" x14ac:dyDescent="0.35">
      <c r="A111" s="103"/>
      <c r="B111" s="12" t="s">
        <v>3</v>
      </c>
      <c r="C111" s="10" t="s">
        <v>287</v>
      </c>
      <c r="D111" s="152"/>
      <c r="E111" s="170"/>
      <c r="F111" s="153" t="str">
        <f t="shared" si="10"/>
        <v/>
      </c>
      <c r="G111" s="256"/>
      <c r="H111" s="166">
        <f t="shared" ref="H111:H174" si="12">IF(ISNUMBER(E111),E111,0)+IF(ISNUMBER(F111),F111,0)-IF(ISNUMBER(G111),G111,0)</f>
        <v>0</v>
      </c>
      <c r="I111" s="10" t="s">
        <v>20</v>
      </c>
      <c r="J111" s="11">
        <v>25.95</v>
      </c>
      <c r="K111" s="12">
        <f t="shared" si="11"/>
        <v>0</v>
      </c>
    </row>
    <row r="112" spans="1:11" hidden="1" x14ac:dyDescent="0.35">
      <c r="A112" s="103"/>
      <c r="B112" s="12" t="s">
        <v>3</v>
      </c>
      <c r="C112" s="10" t="s">
        <v>288</v>
      </c>
      <c r="D112" s="152"/>
      <c r="E112" s="170"/>
      <c r="F112" s="153" t="str">
        <f t="shared" si="10"/>
        <v/>
      </c>
      <c r="G112" s="256"/>
      <c r="H112" s="166">
        <f t="shared" si="12"/>
        <v>0</v>
      </c>
      <c r="I112" s="10" t="s">
        <v>20</v>
      </c>
      <c r="J112" s="11">
        <v>32.799999999999997</v>
      </c>
      <c r="K112" s="12">
        <f t="shared" si="11"/>
        <v>0</v>
      </c>
    </row>
    <row r="113" spans="1:11" hidden="1" x14ac:dyDescent="0.35">
      <c r="A113" s="103"/>
      <c r="B113" s="12" t="s">
        <v>3</v>
      </c>
      <c r="C113" s="10" t="s">
        <v>289</v>
      </c>
      <c r="D113" s="152"/>
      <c r="E113" s="170"/>
      <c r="F113" s="153" t="str">
        <f t="shared" si="10"/>
        <v/>
      </c>
      <c r="G113" s="256"/>
      <c r="H113" s="166">
        <f t="shared" si="12"/>
        <v>0</v>
      </c>
      <c r="I113" s="10" t="s">
        <v>20</v>
      </c>
      <c r="J113" s="11">
        <v>29.2</v>
      </c>
      <c r="K113" s="12">
        <f t="shared" si="11"/>
        <v>0</v>
      </c>
    </row>
    <row r="114" spans="1:11" hidden="1" x14ac:dyDescent="0.35">
      <c r="A114" s="103"/>
      <c r="B114" s="12" t="s">
        <v>3</v>
      </c>
      <c r="C114" s="10" t="s">
        <v>290</v>
      </c>
      <c r="D114" s="152"/>
      <c r="E114" s="170"/>
      <c r="F114" s="153" t="str">
        <f t="shared" si="10"/>
        <v/>
      </c>
      <c r="G114" s="256"/>
      <c r="H114" s="166">
        <f t="shared" si="12"/>
        <v>0</v>
      </c>
      <c r="I114" s="10" t="s">
        <v>20</v>
      </c>
      <c r="J114" s="11">
        <v>22.95</v>
      </c>
      <c r="K114" s="12">
        <f t="shared" si="11"/>
        <v>0</v>
      </c>
    </row>
    <row r="115" spans="1:11" ht="15.5" hidden="1" x14ac:dyDescent="0.35">
      <c r="A115" s="111"/>
      <c r="B115" s="126" t="s">
        <v>291</v>
      </c>
      <c r="C115" s="127"/>
      <c r="D115" s="226"/>
      <c r="E115" s="250"/>
      <c r="F115" s="165" t="str">
        <f t="shared" si="10"/>
        <v/>
      </c>
      <c r="G115" s="259"/>
      <c r="H115" s="247"/>
      <c r="I115" s="127"/>
      <c r="J115" s="127"/>
      <c r="K115" s="272"/>
    </row>
    <row r="116" spans="1:11" hidden="1" x14ac:dyDescent="0.35">
      <c r="A116" s="103"/>
      <c r="B116" s="12" t="s">
        <v>3</v>
      </c>
      <c r="C116" s="10" t="s">
        <v>292</v>
      </c>
      <c r="D116" s="152"/>
      <c r="E116" s="170"/>
      <c r="F116" s="153" t="str">
        <f t="shared" si="10"/>
        <v/>
      </c>
      <c r="G116" s="256"/>
      <c r="H116" s="166">
        <f t="shared" si="12"/>
        <v>0</v>
      </c>
      <c r="I116" s="10" t="s">
        <v>20</v>
      </c>
      <c r="J116" s="11">
        <v>17.95</v>
      </c>
      <c r="K116" s="12">
        <f t="shared" ref="K116:K121" si="13">G116*J116</f>
        <v>0</v>
      </c>
    </row>
    <row r="117" spans="1:11" hidden="1" x14ac:dyDescent="0.35">
      <c r="A117" s="103"/>
      <c r="B117" s="12" t="s">
        <v>3</v>
      </c>
      <c r="C117" s="10" t="s">
        <v>293</v>
      </c>
      <c r="D117" s="152"/>
      <c r="E117" s="170"/>
      <c r="F117" s="153" t="str">
        <f t="shared" si="10"/>
        <v/>
      </c>
      <c r="G117" s="256"/>
      <c r="H117" s="166">
        <f t="shared" si="12"/>
        <v>0</v>
      </c>
      <c r="I117" s="10" t="s">
        <v>20</v>
      </c>
      <c r="J117" s="11">
        <v>12.95</v>
      </c>
      <c r="K117" s="12">
        <f t="shared" si="13"/>
        <v>0</v>
      </c>
    </row>
    <row r="118" spans="1:11" hidden="1" x14ac:dyDescent="0.35">
      <c r="A118" s="103"/>
      <c r="B118" s="12" t="s">
        <v>3</v>
      </c>
      <c r="C118" s="10" t="s">
        <v>294</v>
      </c>
      <c r="D118" s="152"/>
      <c r="E118" s="170"/>
      <c r="F118" s="153" t="str">
        <f t="shared" si="10"/>
        <v/>
      </c>
      <c r="G118" s="256"/>
      <c r="H118" s="166">
        <f t="shared" si="12"/>
        <v>0</v>
      </c>
      <c r="I118" s="10" t="s">
        <v>20</v>
      </c>
      <c r="J118" s="11">
        <v>21.95</v>
      </c>
      <c r="K118" s="12">
        <f t="shared" si="13"/>
        <v>0</v>
      </c>
    </row>
    <row r="119" spans="1:11" hidden="1" x14ac:dyDescent="0.35">
      <c r="A119" s="103"/>
      <c r="B119" s="12" t="s">
        <v>3</v>
      </c>
      <c r="C119" s="10" t="s">
        <v>295</v>
      </c>
      <c r="D119" s="152"/>
      <c r="E119" s="170"/>
      <c r="F119" s="153" t="str">
        <f t="shared" si="10"/>
        <v/>
      </c>
      <c r="G119" s="256"/>
      <c r="H119" s="166">
        <f t="shared" si="12"/>
        <v>0</v>
      </c>
      <c r="I119" s="10" t="s">
        <v>20</v>
      </c>
      <c r="J119" s="11"/>
      <c r="K119" s="12">
        <f t="shared" si="13"/>
        <v>0</v>
      </c>
    </row>
    <row r="120" spans="1:11" hidden="1" x14ac:dyDescent="0.35">
      <c r="A120" s="103"/>
      <c r="B120" s="12" t="s">
        <v>3</v>
      </c>
      <c r="C120" s="10" t="s">
        <v>296</v>
      </c>
      <c r="D120" s="152"/>
      <c r="E120" s="170"/>
      <c r="F120" s="153" t="str">
        <f t="shared" si="10"/>
        <v/>
      </c>
      <c r="G120" s="256"/>
      <c r="H120" s="166">
        <f t="shared" si="12"/>
        <v>0</v>
      </c>
      <c r="I120" s="10" t="s">
        <v>20</v>
      </c>
      <c r="J120" s="11"/>
      <c r="K120" s="12">
        <f t="shared" si="13"/>
        <v>0</v>
      </c>
    </row>
    <row r="121" spans="1:11" hidden="1" x14ac:dyDescent="0.35">
      <c r="A121" s="103"/>
      <c r="B121" s="12" t="s">
        <v>3</v>
      </c>
      <c r="C121" s="10" t="s">
        <v>297</v>
      </c>
      <c r="D121" s="152"/>
      <c r="E121" s="170"/>
      <c r="F121" s="153" t="str">
        <f t="shared" si="10"/>
        <v/>
      </c>
      <c r="G121" s="256"/>
      <c r="H121" s="166">
        <f t="shared" si="12"/>
        <v>0</v>
      </c>
      <c r="I121" s="10" t="s">
        <v>20</v>
      </c>
      <c r="J121" s="11">
        <v>22.95</v>
      </c>
      <c r="K121" s="12">
        <f t="shared" si="13"/>
        <v>0</v>
      </c>
    </row>
    <row r="122" spans="1:11" ht="15.5" hidden="1" x14ac:dyDescent="0.35">
      <c r="A122" s="112" t="s">
        <v>298</v>
      </c>
      <c r="B122" s="116"/>
      <c r="C122" s="116"/>
      <c r="D122" s="228"/>
      <c r="E122" s="250"/>
      <c r="F122" s="165" t="str">
        <f t="shared" si="10"/>
        <v/>
      </c>
      <c r="G122" s="260"/>
      <c r="H122" s="247"/>
      <c r="I122" s="117"/>
      <c r="J122" s="106" t="s">
        <v>18</v>
      </c>
      <c r="K122" s="269">
        <f>SUM(K123:K175)</f>
        <v>307.86</v>
      </c>
    </row>
    <row r="123" spans="1:11" hidden="1" x14ac:dyDescent="0.35">
      <c r="A123" s="103"/>
      <c r="B123" s="20" t="s">
        <v>4</v>
      </c>
      <c r="C123" s="18" t="s">
        <v>62</v>
      </c>
      <c r="D123" s="229"/>
      <c r="E123" s="250"/>
      <c r="F123" s="153" t="str">
        <f t="shared" si="10"/>
        <v/>
      </c>
      <c r="G123" s="256"/>
      <c r="H123" s="166">
        <f t="shared" si="12"/>
        <v>0</v>
      </c>
      <c r="I123" s="18" t="s">
        <v>20</v>
      </c>
      <c r="J123" s="19">
        <v>7.35</v>
      </c>
      <c r="K123" s="20">
        <f>G123*J123</f>
        <v>0</v>
      </c>
    </row>
    <row r="124" spans="1:11" hidden="1" x14ac:dyDescent="0.35">
      <c r="A124" s="103"/>
      <c r="B124" s="20" t="s">
        <v>4</v>
      </c>
      <c r="C124" s="18" t="s">
        <v>60</v>
      </c>
      <c r="D124" s="229"/>
      <c r="E124" s="250"/>
      <c r="F124" s="153" t="str">
        <f t="shared" si="10"/>
        <v/>
      </c>
      <c r="G124" s="256"/>
      <c r="H124" s="166">
        <f t="shared" si="12"/>
        <v>0</v>
      </c>
      <c r="I124" s="18" t="s">
        <v>20</v>
      </c>
      <c r="J124" s="19">
        <v>10.65</v>
      </c>
      <c r="K124" s="20">
        <f>G124*J124</f>
        <v>0</v>
      </c>
    </row>
    <row r="125" spans="1:11" hidden="1" x14ac:dyDescent="0.35">
      <c r="A125" s="113" t="s">
        <v>40</v>
      </c>
      <c r="B125" s="124"/>
      <c r="C125" s="124"/>
      <c r="D125" s="230"/>
      <c r="E125" s="250"/>
      <c r="F125" s="153" t="str">
        <f t="shared" si="10"/>
        <v/>
      </c>
      <c r="G125" s="261"/>
      <c r="H125" s="166">
        <f t="shared" si="12"/>
        <v>0</v>
      </c>
      <c r="I125" s="124"/>
      <c r="J125" s="124"/>
      <c r="K125" s="273"/>
    </row>
    <row r="126" spans="1:11" hidden="1" x14ac:dyDescent="0.35">
      <c r="A126" s="103"/>
      <c r="B126" s="20" t="s">
        <v>4</v>
      </c>
      <c r="C126" s="18" t="s">
        <v>299</v>
      </c>
      <c r="D126" s="229"/>
      <c r="E126" s="250"/>
      <c r="F126" s="153" t="str">
        <f t="shared" si="10"/>
        <v/>
      </c>
      <c r="G126" s="256"/>
      <c r="H126" s="166">
        <f t="shared" si="12"/>
        <v>0</v>
      </c>
      <c r="I126" s="18" t="s">
        <v>20</v>
      </c>
      <c r="J126" s="19">
        <v>1.31</v>
      </c>
      <c r="K126" s="12">
        <f t="shared" ref="K126:K137" si="14">G126*J126</f>
        <v>0</v>
      </c>
    </row>
    <row r="127" spans="1:11" hidden="1" x14ac:dyDescent="0.35">
      <c r="A127" s="103"/>
      <c r="B127" s="12" t="s">
        <v>4</v>
      </c>
      <c r="C127" s="10" t="s">
        <v>300</v>
      </c>
      <c r="D127" s="152"/>
      <c r="E127" s="250"/>
      <c r="F127" s="153" t="str">
        <f t="shared" si="10"/>
        <v/>
      </c>
      <c r="G127" s="256"/>
      <c r="H127" s="166">
        <f t="shared" si="12"/>
        <v>0</v>
      </c>
      <c r="I127" s="10" t="s">
        <v>20</v>
      </c>
      <c r="J127" s="11">
        <v>1.31</v>
      </c>
      <c r="K127" s="12">
        <f t="shared" si="14"/>
        <v>0</v>
      </c>
    </row>
    <row r="128" spans="1:11" hidden="1" x14ac:dyDescent="0.35">
      <c r="A128" s="103"/>
      <c r="B128" s="20" t="s">
        <v>4</v>
      </c>
      <c r="C128" s="18" t="s">
        <v>301</v>
      </c>
      <c r="D128" s="229"/>
      <c r="E128" s="250"/>
      <c r="F128" s="153" t="str">
        <f t="shared" si="10"/>
        <v/>
      </c>
      <c r="G128" s="256"/>
      <c r="H128" s="166">
        <f t="shared" si="12"/>
        <v>0</v>
      </c>
      <c r="I128" s="18" t="s">
        <v>20</v>
      </c>
      <c r="J128" s="19">
        <v>1.4039999999999999</v>
      </c>
      <c r="K128" s="12">
        <f t="shared" si="14"/>
        <v>0</v>
      </c>
    </row>
    <row r="129" spans="1:11" hidden="1" x14ac:dyDescent="0.35">
      <c r="A129" s="103"/>
      <c r="B129" s="12" t="s">
        <v>4</v>
      </c>
      <c r="C129" s="10" t="s">
        <v>302</v>
      </c>
      <c r="D129" s="152"/>
      <c r="E129" s="250"/>
      <c r="F129" s="153" t="str">
        <f t="shared" si="10"/>
        <v/>
      </c>
      <c r="G129" s="256"/>
      <c r="H129" s="166">
        <f t="shared" si="12"/>
        <v>0</v>
      </c>
      <c r="I129" s="10" t="s">
        <v>20</v>
      </c>
      <c r="J129" s="11">
        <v>1.4039999999999999</v>
      </c>
      <c r="K129" s="12">
        <f t="shared" si="14"/>
        <v>0</v>
      </c>
    </row>
    <row r="130" spans="1:11" hidden="1" x14ac:dyDescent="0.35">
      <c r="A130" s="103"/>
      <c r="B130" s="12" t="s">
        <v>4</v>
      </c>
      <c r="C130" s="10" t="s">
        <v>303</v>
      </c>
      <c r="D130" s="152"/>
      <c r="E130" s="250"/>
      <c r="F130" s="153" t="str">
        <f t="shared" si="10"/>
        <v/>
      </c>
      <c r="G130" s="256"/>
      <c r="H130" s="166">
        <f t="shared" si="12"/>
        <v>0</v>
      </c>
      <c r="I130" s="10" t="s">
        <v>20</v>
      </c>
      <c r="J130" s="11">
        <v>1.53</v>
      </c>
      <c r="K130" s="12">
        <f t="shared" si="14"/>
        <v>0</v>
      </c>
    </row>
    <row r="131" spans="1:11" hidden="1" x14ac:dyDescent="0.35">
      <c r="A131" s="103"/>
      <c r="B131" s="12" t="s">
        <v>4</v>
      </c>
      <c r="C131" s="10" t="s">
        <v>304</v>
      </c>
      <c r="D131" s="152"/>
      <c r="E131" s="250"/>
      <c r="F131" s="153" t="str">
        <f t="shared" si="10"/>
        <v/>
      </c>
      <c r="G131" s="256"/>
      <c r="H131" s="166">
        <f t="shared" si="12"/>
        <v>0</v>
      </c>
      <c r="I131" s="10" t="s">
        <v>20</v>
      </c>
      <c r="J131" s="11">
        <v>1.65</v>
      </c>
      <c r="K131" s="12">
        <f t="shared" si="14"/>
        <v>0</v>
      </c>
    </row>
    <row r="132" spans="1:11" hidden="1" x14ac:dyDescent="0.35">
      <c r="A132" s="103"/>
      <c r="B132" s="12" t="s">
        <v>4</v>
      </c>
      <c r="C132" s="10" t="s">
        <v>83</v>
      </c>
      <c r="D132" s="152"/>
      <c r="E132" s="250"/>
      <c r="F132" s="153" t="str">
        <f t="shared" si="10"/>
        <v/>
      </c>
      <c r="G132" s="256"/>
      <c r="H132" s="166">
        <f t="shared" si="12"/>
        <v>0</v>
      </c>
      <c r="I132" s="10" t="s">
        <v>20</v>
      </c>
      <c r="J132" s="11">
        <v>1.04</v>
      </c>
      <c r="K132" s="12">
        <f t="shared" si="14"/>
        <v>0</v>
      </c>
    </row>
    <row r="133" spans="1:11" hidden="1" x14ac:dyDescent="0.35">
      <c r="A133" s="103"/>
      <c r="B133" s="12" t="s">
        <v>4</v>
      </c>
      <c r="C133" s="10" t="s">
        <v>305</v>
      </c>
      <c r="D133" s="152"/>
      <c r="E133" s="250"/>
      <c r="F133" s="153" t="str">
        <f t="shared" si="10"/>
        <v/>
      </c>
      <c r="G133" s="256"/>
      <c r="H133" s="166">
        <f t="shared" si="12"/>
        <v>0</v>
      </c>
      <c r="I133" s="10" t="s">
        <v>20</v>
      </c>
      <c r="J133" s="11">
        <v>1.04</v>
      </c>
      <c r="K133" s="12">
        <f t="shared" si="14"/>
        <v>0</v>
      </c>
    </row>
    <row r="134" spans="1:11" hidden="1" x14ac:dyDescent="0.35">
      <c r="A134" s="103"/>
      <c r="B134" s="12" t="s">
        <v>4</v>
      </c>
      <c r="C134" s="10" t="s">
        <v>306</v>
      </c>
      <c r="D134" s="152"/>
      <c r="E134" s="250"/>
      <c r="F134" s="153" t="str">
        <f t="shared" si="10"/>
        <v/>
      </c>
      <c r="G134" s="256"/>
      <c r="H134" s="166">
        <f t="shared" si="12"/>
        <v>0</v>
      </c>
      <c r="I134" s="10" t="s">
        <v>20</v>
      </c>
      <c r="J134" s="11">
        <v>1.06</v>
      </c>
      <c r="K134" s="12">
        <f t="shared" si="14"/>
        <v>0</v>
      </c>
    </row>
    <row r="135" spans="1:11" hidden="1" x14ac:dyDescent="0.35">
      <c r="A135" s="103"/>
      <c r="B135" s="12" t="s">
        <v>4</v>
      </c>
      <c r="C135" s="10" t="s">
        <v>307</v>
      </c>
      <c r="D135" s="152"/>
      <c r="E135" s="250"/>
      <c r="F135" s="153" t="str">
        <f t="shared" si="10"/>
        <v/>
      </c>
      <c r="G135" s="256"/>
      <c r="H135" s="166">
        <f t="shared" si="12"/>
        <v>0</v>
      </c>
      <c r="I135" s="10" t="s">
        <v>20</v>
      </c>
      <c r="J135" s="11">
        <v>1.06</v>
      </c>
      <c r="K135" s="12">
        <f t="shared" si="14"/>
        <v>0</v>
      </c>
    </row>
    <row r="136" spans="1:11" hidden="1" x14ac:dyDescent="0.35">
      <c r="A136" s="103"/>
      <c r="B136" s="12" t="s">
        <v>4</v>
      </c>
      <c r="C136" s="10" t="s">
        <v>308</v>
      </c>
      <c r="D136" s="152"/>
      <c r="E136" s="250"/>
      <c r="F136" s="153" t="str">
        <f t="shared" si="10"/>
        <v/>
      </c>
      <c r="G136" s="256"/>
      <c r="H136" s="166">
        <f t="shared" si="12"/>
        <v>0</v>
      </c>
      <c r="I136" s="10" t="s">
        <v>20</v>
      </c>
      <c r="J136" s="11">
        <v>1.2869999999999999</v>
      </c>
      <c r="K136" s="12">
        <f t="shared" si="14"/>
        <v>0</v>
      </c>
    </row>
    <row r="137" spans="1:11" hidden="1" x14ac:dyDescent="0.35">
      <c r="A137" s="103"/>
      <c r="B137" s="12" t="s">
        <v>4</v>
      </c>
      <c r="C137" s="10" t="s">
        <v>309</v>
      </c>
      <c r="D137" s="152"/>
      <c r="E137" s="250"/>
      <c r="F137" s="153" t="str">
        <f t="shared" si="10"/>
        <v/>
      </c>
      <c r="G137" s="256"/>
      <c r="H137" s="166">
        <f t="shared" si="12"/>
        <v>0</v>
      </c>
      <c r="I137" s="10" t="s">
        <v>20</v>
      </c>
      <c r="J137" s="11">
        <v>1.59</v>
      </c>
      <c r="K137" s="12">
        <f t="shared" si="14"/>
        <v>0</v>
      </c>
    </row>
    <row r="138" spans="1:11" hidden="1" x14ac:dyDescent="0.35">
      <c r="A138" s="113" t="s">
        <v>310</v>
      </c>
      <c r="B138" s="124"/>
      <c r="C138" s="124"/>
      <c r="D138" s="230"/>
      <c r="E138" s="250"/>
      <c r="F138" s="153" t="str">
        <f t="shared" si="10"/>
        <v/>
      </c>
      <c r="G138" s="261"/>
      <c r="H138" s="166">
        <f t="shared" si="12"/>
        <v>0</v>
      </c>
      <c r="I138" s="124"/>
      <c r="J138" s="124"/>
      <c r="K138" s="273"/>
    </row>
    <row r="139" spans="1:11" hidden="1" x14ac:dyDescent="0.35">
      <c r="A139" s="103"/>
      <c r="B139" s="12" t="s">
        <v>4</v>
      </c>
      <c r="C139" s="10" t="s">
        <v>311</v>
      </c>
      <c r="D139" s="152"/>
      <c r="E139" s="250"/>
      <c r="F139" s="153" t="str">
        <f t="shared" si="10"/>
        <v/>
      </c>
      <c r="G139" s="256"/>
      <c r="H139" s="166">
        <f t="shared" si="12"/>
        <v>0</v>
      </c>
      <c r="I139" s="10" t="s">
        <v>20</v>
      </c>
      <c r="J139" s="11">
        <v>1.1000000000000001</v>
      </c>
      <c r="K139" s="12">
        <f t="shared" ref="K139:K149" si="15">G139*J139</f>
        <v>0</v>
      </c>
    </row>
    <row r="140" spans="1:11" hidden="1" x14ac:dyDescent="0.35">
      <c r="A140" s="103"/>
      <c r="B140" s="12" t="s">
        <v>4</v>
      </c>
      <c r="C140" s="10" t="s">
        <v>312</v>
      </c>
      <c r="D140" s="152"/>
      <c r="E140" s="250"/>
      <c r="F140" s="153" t="str">
        <f t="shared" si="10"/>
        <v/>
      </c>
      <c r="G140" s="256"/>
      <c r="H140" s="166">
        <f t="shared" si="12"/>
        <v>0</v>
      </c>
      <c r="I140" s="10" t="s">
        <v>20</v>
      </c>
      <c r="J140" s="11">
        <v>1.1000000000000001</v>
      </c>
      <c r="K140" s="12">
        <f t="shared" si="15"/>
        <v>0</v>
      </c>
    </row>
    <row r="141" spans="1:11" hidden="1" x14ac:dyDescent="0.35">
      <c r="A141" s="103"/>
      <c r="B141" s="12" t="s">
        <v>4</v>
      </c>
      <c r="C141" s="10" t="s">
        <v>313</v>
      </c>
      <c r="D141" s="152"/>
      <c r="E141" s="250"/>
      <c r="F141" s="153" t="str">
        <f t="shared" si="10"/>
        <v/>
      </c>
      <c r="G141" s="256"/>
      <c r="H141" s="166">
        <f t="shared" si="12"/>
        <v>0</v>
      </c>
      <c r="I141" s="10" t="s">
        <v>20</v>
      </c>
      <c r="J141" s="11">
        <v>1.3</v>
      </c>
      <c r="K141" s="12">
        <f t="shared" si="15"/>
        <v>0</v>
      </c>
    </row>
    <row r="142" spans="1:11" hidden="1" x14ac:dyDescent="0.35">
      <c r="A142" s="103"/>
      <c r="B142" s="12" t="s">
        <v>4</v>
      </c>
      <c r="C142" s="10" t="s">
        <v>314</v>
      </c>
      <c r="D142" s="152"/>
      <c r="E142" s="250"/>
      <c r="F142" s="153" t="str">
        <f t="shared" si="10"/>
        <v/>
      </c>
      <c r="G142" s="256"/>
      <c r="H142" s="166">
        <f t="shared" si="12"/>
        <v>0</v>
      </c>
      <c r="I142" s="10" t="s">
        <v>20</v>
      </c>
      <c r="J142" s="11">
        <v>1.36</v>
      </c>
      <c r="K142" s="12">
        <f t="shared" si="15"/>
        <v>0</v>
      </c>
    </row>
    <row r="143" spans="1:11" hidden="1" x14ac:dyDescent="0.35">
      <c r="A143" s="103"/>
      <c r="B143" s="12" t="s">
        <v>4</v>
      </c>
      <c r="C143" s="10" t="s">
        <v>315</v>
      </c>
      <c r="D143" s="152"/>
      <c r="E143" s="250"/>
      <c r="F143" s="153" t="str">
        <f t="shared" si="10"/>
        <v/>
      </c>
      <c r="G143" s="256"/>
      <c r="H143" s="166">
        <f t="shared" si="12"/>
        <v>0</v>
      </c>
      <c r="I143" s="10" t="s">
        <v>20</v>
      </c>
      <c r="J143" s="11">
        <v>1.3</v>
      </c>
      <c r="K143" s="12">
        <f t="shared" si="15"/>
        <v>0</v>
      </c>
    </row>
    <row r="144" spans="1:11" hidden="1" x14ac:dyDescent="0.35">
      <c r="A144" s="103"/>
      <c r="B144" s="12" t="s">
        <v>4</v>
      </c>
      <c r="C144" s="10" t="s">
        <v>316</v>
      </c>
      <c r="D144" s="152"/>
      <c r="E144" s="250"/>
      <c r="F144" s="153" t="str">
        <f t="shared" si="10"/>
        <v/>
      </c>
      <c r="G144" s="256"/>
      <c r="H144" s="166">
        <f t="shared" si="12"/>
        <v>0</v>
      </c>
      <c r="I144" s="10" t="s">
        <v>20</v>
      </c>
      <c r="J144" s="11">
        <v>1.35</v>
      </c>
      <c r="K144" s="12">
        <f t="shared" si="15"/>
        <v>0</v>
      </c>
    </row>
    <row r="145" spans="1:11" hidden="1" x14ac:dyDescent="0.35">
      <c r="A145" s="103"/>
      <c r="B145" s="12" t="s">
        <v>4</v>
      </c>
      <c r="C145" s="10" t="s">
        <v>317</v>
      </c>
      <c r="D145" s="152"/>
      <c r="E145" s="250"/>
      <c r="F145" s="153" t="str">
        <f t="shared" si="10"/>
        <v/>
      </c>
      <c r="G145" s="256"/>
      <c r="H145" s="166">
        <f t="shared" si="12"/>
        <v>0</v>
      </c>
      <c r="I145" s="10" t="s">
        <v>20</v>
      </c>
      <c r="J145" s="11">
        <v>1.28</v>
      </c>
      <c r="K145" s="12">
        <f t="shared" si="15"/>
        <v>0</v>
      </c>
    </row>
    <row r="146" spans="1:11" hidden="1" x14ac:dyDescent="0.35">
      <c r="A146" s="103"/>
      <c r="B146" s="12" t="s">
        <v>4</v>
      </c>
      <c r="C146" s="10" t="s">
        <v>318</v>
      </c>
      <c r="D146" s="152"/>
      <c r="E146" s="250"/>
      <c r="F146" s="153" t="str">
        <f t="shared" si="10"/>
        <v/>
      </c>
      <c r="G146" s="256"/>
      <c r="H146" s="166">
        <f t="shared" si="12"/>
        <v>0</v>
      </c>
      <c r="I146" s="10" t="s">
        <v>20</v>
      </c>
      <c r="J146" s="11">
        <v>1.1000000000000001</v>
      </c>
      <c r="K146" s="12">
        <f t="shared" si="15"/>
        <v>0</v>
      </c>
    </row>
    <row r="147" spans="1:11" hidden="1" x14ac:dyDescent="0.35">
      <c r="A147" s="103"/>
      <c r="B147" s="12" t="s">
        <v>4</v>
      </c>
      <c r="C147" s="10" t="s">
        <v>319</v>
      </c>
      <c r="D147" s="152"/>
      <c r="E147" s="250"/>
      <c r="F147" s="153" t="str">
        <f t="shared" si="10"/>
        <v/>
      </c>
      <c r="G147" s="256"/>
      <c r="H147" s="166">
        <f t="shared" si="12"/>
        <v>0</v>
      </c>
      <c r="I147" s="10" t="s">
        <v>20</v>
      </c>
      <c r="J147" s="11">
        <v>1.1000000000000001</v>
      </c>
      <c r="K147" s="12">
        <f t="shared" si="15"/>
        <v>0</v>
      </c>
    </row>
    <row r="148" spans="1:11" hidden="1" x14ac:dyDescent="0.35">
      <c r="A148" s="103"/>
      <c r="B148" s="12" t="s">
        <v>4</v>
      </c>
      <c r="C148" s="10" t="s">
        <v>320</v>
      </c>
      <c r="D148" s="152"/>
      <c r="E148" s="250"/>
      <c r="F148" s="153" t="str">
        <f t="shared" si="10"/>
        <v/>
      </c>
      <c r="G148" s="256"/>
      <c r="H148" s="166">
        <f t="shared" si="12"/>
        <v>0</v>
      </c>
      <c r="I148" s="10" t="s">
        <v>20</v>
      </c>
      <c r="J148" s="11">
        <v>1.1000000000000001</v>
      </c>
      <c r="K148" s="12">
        <f t="shared" si="15"/>
        <v>0</v>
      </c>
    </row>
    <row r="149" spans="1:11" hidden="1" x14ac:dyDescent="0.35">
      <c r="A149" s="103"/>
      <c r="B149" s="12" t="s">
        <v>4</v>
      </c>
      <c r="C149" s="10" t="s">
        <v>321</v>
      </c>
      <c r="D149" s="152"/>
      <c r="E149" s="250"/>
      <c r="F149" s="153" t="str">
        <f t="shared" si="10"/>
        <v/>
      </c>
      <c r="G149" s="256"/>
      <c r="H149" s="166">
        <f t="shared" si="12"/>
        <v>0</v>
      </c>
      <c r="I149" s="10" t="s">
        <v>20</v>
      </c>
      <c r="J149" s="11">
        <v>1.1000000000000001</v>
      </c>
      <c r="K149" s="12">
        <f t="shared" si="15"/>
        <v>0</v>
      </c>
    </row>
    <row r="150" spans="1:11" x14ac:dyDescent="0.35">
      <c r="A150" s="113" t="s">
        <v>41</v>
      </c>
      <c r="B150" s="124"/>
      <c r="C150" s="124"/>
      <c r="D150" s="230"/>
      <c r="E150" s="250"/>
      <c r="F150" s="165" t="str">
        <f t="shared" si="10"/>
        <v/>
      </c>
      <c r="G150" s="261"/>
      <c r="H150" s="247"/>
      <c r="I150" s="124"/>
      <c r="J150" s="124"/>
      <c r="K150" s="273"/>
    </row>
    <row r="151" spans="1:11" x14ac:dyDescent="0.35">
      <c r="A151" s="103"/>
      <c r="B151" s="12" t="s">
        <v>4</v>
      </c>
      <c r="C151" s="10" t="s">
        <v>24</v>
      </c>
      <c r="D151" s="152">
        <v>18</v>
      </c>
      <c r="E151" s="170">
        <v>16</v>
      </c>
      <c r="F151" s="153">
        <f t="shared" si="10"/>
        <v>2</v>
      </c>
      <c r="G151" s="256"/>
      <c r="H151" s="166">
        <f t="shared" si="12"/>
        <v>18</v>
      </c>
      <c r="I151" s="10" t="s">
        <v>20</v>
      </c>
      <c r="J151" s="11">
        <v>3.04</v>
      </c>
      <c r="K151" s="12">
        <f>H151*J151</f>
        <v>54.72</v>
      </c>
    </row>
    <row r="152" spans="1:11" x14ac:dyDescent="0.35">
      <c r="A152" s="103"/>
      <c r="B152" s="12" t="s">
        <v>4</v>
      </c>
      <c r="C152" s="10" t="s">
        <v>80</v>
      </c>
      <c r="D152" s="152">
        <v>30</v>
      </c>
      <c r="E152" s="170">
        <v>26</v>
      </c>
      <c r="F152" s="153">
        <f t="shared" si="10"/>
        <v>4</v>
      </c>
      <c r="G152" s="256"/>
      <c r="H152" s="166">
        <f t="shared" si="12"/>
        <v>30</v>
      </c>
      <c r="I152" s="10" t="s">
        <v>20</v>
      </c>
      <c r="J152" s="11">
        <v>2.31</v>
      </c>
      <c r="K152" s="12">
        <f t="shared" ref="K152:K168" si="16">H152*J152</f>
        <v>69.3</v>
      </c>
    </row>
    <row r="153" spans="1:11" x14ac:dyDescent="0.35">
      <c r="A153" s="103"/>
      <c r="B153" s="12" t="s">
        <v>4</v>
      </c>
      <c r="C153" s="10" t="s">
        <v>84</v>
      </c>
      <c r="D153" s="152">
        <v>18</v>
      </c>
      <c r="E153" s="170">
        <v>17</v>
      </c>
      <c r="F153" s="153">
        <f t="shared" ref="F153:F184" si="17">IF(E153="","",IF(D153-E153&gt;0,D153-E153,""))</f>
        <v>1</v>
      </c>
      <c r="G153" s="256"/>
      <c r="H153" s="166">
        <f t="shared" si="12"/>
        <v>18</v>
      </c>
      <c r="I153" s="10" t="s">
        <v>20</v>
      </c>
      <c r="J153" s="11">
        <v>2.31</v>
      </c>
      <c r="K153" s="12">
        <f t="shared" si="16"/>
        <v>41.58</v>
      </c>
    </row>
    <row r="154" spans="1:11" hidden="1" x14ac:dyDescent="0.35">
      <c r="A154" s="103"/>
      <c r="B154" s="12" t="s">
        <v>4</v>
      </c>
      <c r="C154" s="10" t="s">
        <v>394</v>
      </c>
      <c r="D154" s="152"/>
      <c r="E154" s="170"/>
      <c r="F154" s="153" t="str">
        <f t="shared" si="17"/>
        <v/>
      </c>
      <c r="G154" s="256"/>
      <c r="H154" s="166">
        <f t="shared" si="12"/>
        <v>0</v>
      </c>
      <c r="I154" s="10" t="s">
        <v>20</v>
      </c>
      <c r="J154" s="11">
        <v>2.54</v>
      </c>
      <c r="K154" s="12">
        <f t="shared" si="16"/>
        <v>0</v>
      </c>
    </row>
    <row r="155" spans="1:11" hidden="1" x14ac:dyDescent="0.35">
      <c r="A155" s="103"/>
      <c r="B155" s="12" t="s">
        <v>4</v>
      </c>
      <c r="C155" s="10" t="s">
        <v>394</v>
      </c>
      <c r="D155" s="152"/>
      <c r="E155" s="170"/>
      <c r="F155" s="153" t="str">
        <f t="shared" si="17"/>
        <v/>
      </c>
      <c r="G155" s="256"/>
      <c r="H155" s="166">
        <f t="shared" si="12"/>
        <v>0</v>
      </c>
      <c r="I155" s="10" t="s">
        <v>20</v>
      </c>
      <c r="J155" s="11">
        <v>2.54</v>
      </c>
      <c r="K155" s="12">
        <f t="shared" si="16"/>
        <v>0</v>
      </c>
    </row>
    <row r="156" spans="1:11" x14ac:dyDescent="0.35">
      <c r="A156" s="103"/>
      <c r="B156" s="12" t="s">
        <v>4</v>
      </c>
      <c r="C156" s="10" t="s">
        <v>25</v>
      </c>
      <c r="D156" s="152">
        <v>18</v>
      </c>
      <c r="E156" s="170"/>
      <c r="F156" s="153" t="str">
        <f t="shared" si="17"/>
        <v/>
      </c>
      <c r="G156" s="256"/>
      <c r="H156" s="166">
        <f t="shared" si="12"/>
        <v>0</v>
      </c>
      <c r="I156" s="10" t="s">
        <v>20</v>
      </c>
      <c r="J156" s="11">
        <v>1.79</v>
      </c>
      <c r="K156" s="12">
        <f t="shared" si="16"/>
        <v>0</v>
      </c>
    </row>
    <row r="157" spans="1:11" hidden="1" x14ac:dyDescent="0.35">
      <c r="A157" s="103"/>
      <c r="B157" s="12" t="s">
        <v>4</v>
      </c>
      <c r="C157" s="10" t="s">
        <v>322</v>
      </c>
      <c r="D157" s="152"/>
      <c r="E157" s="170"/>
      <c r="F157" s="153" t="str">
        <f t="shared" si="17"/>
        <v/>
      </c>
      <c r="G157" s="256"/>
      <c r="H157" s="166">
        <f t="shared" si="12"/>
        <v>0</v>
      </c>
      <c r="I157" s="10" t="s">
        <v>20</v>
      </c>
      <c r="J157" s="11">
        <v>2.46</v>
      </c>
      <c r="K157" s="12">
        <f t="shared" si="16"/>
        <v>0</v>
      </c>
    </row>
    <row r="158" spans="1:11" x14ac:dyDescent="0.35">
      <c r="A158" s="103"/>
      <c r="B158" s="12" t="s">
        <v>4</v>
      </c>
      <c r="C158" s="10" t="s">
        <v>393</v>
      </c>
      <c r="D158" s="152">
        <v>30</v>
      </c>
      <c r="E158" s="170">
        <v>16</v>
      </c>
      <c r="F158" s="153">
        <f t="shared" si="17"/>
        <v>14</v>
      </c>
      <c r="G158" s="256">
        <v>9</v>
      </c>
      <c r="H158" s="166">
        <f t="shared" si="12"/>
        <v>21</v>
      </c>
      <c r="I158" s="10" t="s">
        <v>20</v>
      </c>
      <c r="J158" s="11">
        <v>2.46</v>
      </c>
      <c r="K158" s="12">
        <f t="shared" si="16"/>
        <v>51.66</v>
      </c>
    </row>
    <row r="159" spans="1:11" hidden="1" x14ac:dyDescent="0.35">
      <c r="A159" s="103"/>
      <c r="B159" s="12" t="s">
        <v>4</v>
      </c>
      <c r="C159" s="10" t="s">
        <v>43</v>
      </c>
      <c r="D159" s="152"/>
      <c r="E159" s="170"/>
      <c r="F159" s="153" t="str">
        <f t="shared" si="17"/>
        <v/>
      </c>
      <c r="G159" s="256"/>
      <c r="H159" s="166">
        <f t="shared" si="12"/>
        <v>0</v>
      </c>
      <c r="I159" s="10" t="s">
        <v>20</v>
      </c>
      <c r="J159" s="11">
        <v>2.5499999999999998</v>
      </c>
      <c r="K159" s="12">
        <f t="shared" si="16"/>
        <v>0</v>
      </c>
    </row>
    <row r="160" spans="1:11" x14ac:dyDescent="0.35">
      <c r="A160" s="103"/>
      <c r="B160" s="12" t="s">
        <v>4</v>
      </c>
      <c r="C160" s="10" t="s">
        <v>81</v>
      </c>
      <c r="D160" s="152">
        <v>30</v>
      </c>
      <c r="E160" s="170">
        <v>24</v>
      </c>
      <c r="F160" s="153">
        <f t="shared" si="17"/>
        <v>6</v>
      </c>
      <c r="G160" s="256"/>
      <c r="H160" s="166">
        <f t="shared" si="12"/>
        <v>30</v>
      </c>
      <c r="I160" s="10" t="s">
        <v>20</v>
      </c>
      <c r="J160" s="11">
        <v>1.51</v>
      </c>
      <c r="K160" s="12">
        <f t="shared" si="16"/>
        <v>45.3</v>
      </c>
    </row>
    <row r="161" spans="1:11" x14ac:dyDescent="0.35">
      <c r="A161" s="103"/>
      <c r="B161" s="12" t="s">
        <v>4</v>
      </c>
      <c r="C161" s="10" t="s">
        <v>82</v>
      </c>
      <c r="D161" s="152">
        <v>30</v>
      </c>
      <c r="E161" s="170">
        <v>23</v>
      </c>
      <c r="F161" s="153">
        <f t="shared" si="17"/>
        <v>7</v>
      </c>
      <c r="G161" s="256"/>
      <c r="H161" s="166">
        <f t="shared" si="12"/>
        <v>30</v>
      </c>
      <c r="I161" s="10" t="s">
        <v>20</v>
      </c>
      <c r="J161" s="11">
        <v>1.51</v>
      </c>
      <c r="K161" s="12">
        <f t="shared" si="16"/>
        <v>45.3</v>
      </c>
    </row>
    <row r="162" spans="1:11" hidden="1" x14ac:dyDescent="0.35">
      <c r="A162" s="103"/>
      <c r="B162" s="12" t="s">
        <v>4</v>
      </c>
      <c r="C162" s="10" t="s">
        <v>323</v>
      </c>
      <c r="D162" s="152"/>
      <c r="E162" s="170"/>
      <c r="F162" s="153" t="str">
        <f t="shared" si="17"/>
        <v/>
      </c>
      <c r="G162" s="256"/>
      <c r="H162" s="166">
        <f t="shared" si="12"/>
        <v>0</v>
      </c>
      <c r="I162" s="10" t="s">
        <v>20</v>
      </c>
      <c r="J162" s="11">
        <v>1.54</v>
      </c>
      <c r="K162" s="12">
        <f t="shared" si="16"/>
        <v>0</v>
      </c>
    </row>
    <row r="163" spans="1:11" hidden="1" x14ac:dyDescent="0.35">
      <c r="A163" s="103"/>
      <c r="B163" s="12" t="s">
        <v>4</v>
      </c>
      <c r="C163" s="10" t="s">
        <v>324</v>
      </c>
      <c r="D163" s="152"/>
      <c r="E163" s="170"/>
      <c r="F163" s="153" t="str">
        <f t="shared" si="17"/>
        <v/>
      </c>
      <c r="G163" s="256"/>
      <c r="H163" s="166">
        <f t="shared" si="12"/>
        <v>0</v>
      </c>
      <c r="I163" s="10" t="s">
        <v>20</v>
      </c>
      <c r="J163" s="11">
        <v>1.6</v>
      </c>
      <c r="K163" s="12">
        <f t="shared" si="16"/>
        <v>0</v>
      </c>
    </row>
    <row r="164" spans="1:11" hidden="1" x14ac:dyDescent="0.35">
      <c r="A164" s="103"/>
      <c r="B164" s="12" t="s">
        <v>4</v>
      </c>
      <c r="C164" s="78" t="s">
        <v>325</v>
      </c>
      <c r="D164" s="224"/>
      <c r="E164" s="170"/>
      <c r="F164" s="153" t="str">
        <f t="shared" si="17"/>
        <v/>
      </c>
      <c r="G164" s="256"/>
      <c r="H164" s="166">
        <f t="shared" si="12"/>
        <v>0</v>
      </c>
      <c r="I164" s="10" t="s">
        <v>20</v>
      </c>
      <c r="J164" s="79">
        <v>49.95</v>
      </c>
      <c r="K164" s="12">
        <f t="shared" si="16"/>
        <v>0</v>
      </c>
    </row>
    <row r="165" spans="1:11" hidden="1" x14ac:dyDescent="0.35">
      <c r="A165" s="113" t="s">
        <v>44</v>
      </c>
      <c r="B165" s="124"/>
      <c r="C165" s="124"/>
      <c r="D165" s="230"/>
      <c r="E165" s="250"/>
      <c r="F165" s="165" t="str">
        <f t="shared" si="17"/>
        <v/>
      </c>
      <c r="G165" s="261"/>
      <c r="H165" s="247"/>
      <c r="I165" s="124"/>
      <c r="J165" s="124"/>
      <c r="K165" s="270"/>
    </row>
    <row r="166" spans="1:11" hidden="1" x14ac:dyDescent="0.35">
      <c r="A166" s="103"/>
      <c r="B166" s="12" t="s">
        <v>4</v>
      </c>
      <c r="C166" s="10" t="s">
        <v>48</v>
      </c>
      <c r="D166" s="152"/>
      <c r="E166" s="170"/>
      <c r="F166" s="153" t="str">
        <f t="shared" si="17"/>
        <v/>
      </c>
      <c r="G166" s="256"/>
      <c r="H166" s="166">
        <f t="shared" si="12"/>
        <v>0</v>
      </c>
      <c r="I166" s="10" t="s">
        <v>20</v>
      </c>
      <c r="J166" s="11">
        <v>1.94</v>
      </c>
      <c r="K166" s="12">
        <f t="shared" si="16"/>
        <v>0</v>
      </c>
    </row>
    <row r="167" spans="1:11" hidden="1" x14ac:dyDescent="0.35">
      <c r="A167" s="103"/>
      <c r="B167" s="12" t="s">
        <v>4</v>
      </c>
      <c r="C167" s="10" t="s">
        <v>49</v>
      </c>
      <c r="D167" s="152"/>
      <c r="E167" s="170"/>
      <c r="F167" s="153" t="str">
        <f t="shared" si="17"/>
        <v/>
      </c>
      <c r="G167" s="256"/>
      <c r="H167" s="166">
        <f t="shared" si="12"/>
        <v>0</v>
      </c>
      <c r="I167" s="10" t="s">
        <v>20</v>
      </c>
      <c r="J167" s="11">
        <v>1.94</v>
      </c>
      <c r="K167" s="12">
        <f t="shared" si="16"/>
        <v>0</v>
      </c>
    </row>
    <row r="168" spans="1:11" hidden="1" x14ac:dyDescent="0.35">
      <c r="A168" s="103"/>
      <c r="B168" s="12" t="s">
        <v>4</v>
      </c>
      <c r="C168" s="10" t="s">
        <v>50</v>
      </c>
      <c r="D168" s="152"/>
      <c r="E168" s="170"/>
      <c r="F168" s="153" t="str">
        <f t="shared" si="17"/>
        <v/>
      </c>
      <c r="G168" s="256"/>
      <c r="H168" s="166">
        <f t="shared" si="12"/>
        <v>0</v>
      </c>
      <c r="I168" s="10" t="s">
        <v>20</v>
      </c>
      <c r="J168" s="11">
        <v>1.94</v>
      </c>
      <c r="K168" s="12">
        <f t="shared" si="16"/>
        <v>0</v>
      </c>
    </row>
    <row r="169" spans="1:11" hidden="1" x14ac:dyDescent="0.35">
      <c r="A169" s="103"/>
      <c r="B169" s="12" t="s">
        <v>4</v>
      </c>
      <c r="C169" s="10" t="s">
        <v>415</v>
      </c>
      <c r="D169" s="152"/>
      <c r="E169" s="170"/>
      <c r="F169" s="153" t="str">
        <f t="shared" si="17"/>
        <v/>
      </c>
      <c r="G169" s="256"/>
      <c r="H169" s="166">
        <f t="shared" si="12"/>
        <v>0</v>
      </c>
      <c r="I169" s="10" t="s">
        <v>20</v>
      </c>
      <c r="J169" s="11">
        <v>1.98</v>
      </c>
      <c r="K169" s="12">
        <f t="shared" ref="K169:K175" si="18">G169*J169</f>
        <v>0</v>
      </c>
    </row>
    <row r="170" spans="1:11" hidden="1" x14ac:dyDescent="0.35">
      <c r="A170" s="103"/>
      <c r="B170" s="12" t="s">
        <v>4</v>
      </c>
      <c r="C170" s="10" t="s">
        <v>414</v>
      </c>
      <c r="D170" s="152"/>
      <c r="E170" s="170"/>
      <c r="F170" s="153" t="str">
        <f t="shared" si="17"/>
        <v/>
      </c>
      <c r="G170" s="256"/>
      <c r="H170" s="166">
        <f t="shared" si="12"/>
        <v>0</v>
      </c>
      <c r="I170" s="10" t="s">
        <v>20</v>
      </c>
      <c r="J170" s="11">
        <v>1.98</v>
      </c>
      <c r="K170" s="12">
        <f t="shared" si="18"/>
        <v>0</v>
      </c>
    </row>
    <row r="171" spans="1:11" hidden="1" x14ac:dyDescent="0.35">
      <c r="A171" s="103"/>
      <c r="B171" s="12" t="s">
        <v>4</v>
      </c>
      <c r="C171" s="10" t="s">
        <v>415</v>
      </c>
      <c r="D171" s="152"/>
      <c r="E171" s="170"/>
      <c r="F171" s="153" t="str">
        <f t="shared" si="17"/>
        <v/>
      </c>
      <c r="G171" s="256"/>
      <c r="H171" s="166">
        <f t="shared" si="12"/>
        <v>0</v>
      </c>
      <c r="I171" s="10" t="s">
        <v>20</v>
      </c>
      <c r="J171" s="11">
        <v>1.98</v>
      </c>
      <c r="K171" s="12">
        <f t="shared" si="18"/>
        <v>0</v>
      </c>
    </row>
    <row r="172" spans="1:11" hidden="1" x14ac:dyDescent="0.35">
      <c r="A172" s="103"/>
      <c r="B172" s="12" t="s">
        <v>4</v>
      </c>
      <c r="C172" s="10" t="s">
        <v>432</v>
      </c>
      <c r="D172" s="152"/>
      <c r="E172" s="170"/>
      <c r="F172" s="153" t="str">
        <f t="shared" si="17"/>
        <v/>
      </c>
      <c r="G172" s="256"/>
      <c r="H172" s="166">
        <f t="shared" si="12"/>
        <v>0</v>
      </c>
      <c r="I172" s="10" t="s">
        <v>20</v>
      </c>
      <c r="J172" s="11">
        <v>1.98</v>
      </c>
      <c r="K172" s="12">
        <f t="shared" si="18"/>
        <v>0</v>
      </c>
    </row>
    <row r="173" spans="1:11" hidden="1" x14ac:dyDescent="0.35">
      <c r="A173" s="103"/>
      <c r="B173" s="40" t="s">
        <v>4</v>
      </c>
      <c r="C173" s="41" t="s">
        <v>330</v>
      </c>
      <c r="D173" s="227"/>
      <c r="E173" s="170"/>
      <c r="F173" s="153" t="str">
        <f t="shared" si="17"/>
        <v/>
      </c>
      <c r="G173" s="256"/>
      <c r="H173" s="166">
        <f t="shared" si="12"/>
        <v>0</v>
      </c>
      <c r="I173" s="10" t="s">
        <v>20</v>
      </c>
      <c r="J173" s="11">
        <v>1.98</v>
      </c>
      <c r="K173" s="12">
        <f t="shared" si="18"/>
        <v>0</v>
      </c>
    </row>
    <row r="174" spans="1:11" hidden="1" x14ac:dyDescent="0.35">
      <c r="A174" s="103"/>
      <c r="B174" s="40" t="s">
        <v>4</v>
      </c>
      <c r="C174" s="41" t="s">
        <v>331</v>
      </c>
      <c r="D174" s="227"/>
      <c r="E174" s="170"/>
      <c r="F174" s="153" t="str">
        <f t="shared" si="17"/>
        <v/>
      </c>
      <c r="G174" s="256"/>
      <c r="H174" s="166">
        <f t="shared" si="12"/>
        <v>0</v>
      </c>
      <c r="I174" s="10" t="s">
        <v>20</v>
      </c>
      <c r="J174" s="11">
        <v>1.98</v>
      </c>
      <c r="K174" s="12">
        <f t="shared" si="18"/>
        <v>0</v>
      </c>
    </row>
    <row r="175" spans="1:11" hidden="1" x14ac:dyDescent="0.35">
      <c r="A175" s="103"/>
      <c r="B175" s="40" t="s">
        <v>4</v>
      </c>
      <c r="C175" s="41" t="s">
        <v>413</v>
      </c>
      <c r="D175" s="227"/>
      <c r="E175" s="170"/>
      <c r="F175" s="153" t="str">
        <f t="shared" si="17"/>
        <v/>
      </c>
      <c r="G175" s="256"/>
      <c r="H175" s="166">
        <f t="shared" ref="H175:H186" si="19">IF(ISNUMBER(E175),E175,0)+IF(ISNUMBER(F175),F175,0)-IF(ISNUMBER(G175),G175,0)</f>
        <v>0</v>
      </c>
      <c r="I175" s="41" t="s">
        <v>20</v>
      </c>
      <c r="J175" s="42">
        <v>1.98</v>
      </c>
      <c r="K175" s="12">
        <f t="shared" si="18"/>
        <v>0</v>
      </c>
    </row>
    <row r="176" spans="1:11" ht="15.5" hidden="1" x14ac:dyDescent="0.35">
      <c r="A176" s="114" t="s">
        <v>333</v>
      </c>
      <c r="B176" s="120"/>
      <c r="C176" s="120"/>
      <c r="D176" s="228"/>
      <c r="E176" s="170"/>
      <c r="F176" s="153" t="str">
        <f t="shared" si="17"/>
        <v/>
      </c>
      <c r="G176" s="292"/>
      <c r="H176" s="166">
        <f t="shared" si="19"/>
        <v>0</v>
      </c>
      <c r="I176" s="121"/>
      <c r="J176" s="122" t="s">
        <v>18</v>
      </c>
      <c r="K176" s="274">
        <f>SUM(K177:K186)</f>
        <v>0</v>
      </c>
    </row>
    <row r="177" spans="1:11" hidden="1" x14ac:dyDescent="0.35">
      <c r="A177" s="103"/>
      <c r="B177" s="12" t="s">
        <v>26</v>
      </c>
      <c r="C177" s="10" t="s">
        <v>334</v>
      </c>
      <c r="D177" s="152"/>
      <c r="E177" s="170"/>
      <c r="F177" s="153" t="str">
        <f t="shared" si="17"/>
        <v/>
      </c>
      <c r="G177" s="256"/>
      <c r="H177" s="166">
        <f t="shared" si="19"/>
        <v>0</v>
      </c>
      <c r="I177" s="10" t="s">
        <v>335</v>
      </c>
      <c r="J177" s="11">
        <v>20</v>
      </c>
      <c r="K177" s="12">
        <f t="shared" ref="K177:K186" si="20">G177*J177</f>
        <v>0</v>
      </c>
    </row>
    <row r="178" spans="1:11" hidden="1" x14ac:dyDescent="0.35">
      <c r="A178" s="103"/>
      <c r="B178" s="20" t="s">
        <v>26</v>
      </c>
      <c r="C178" s="18" t="s">
        <v>53</v>
      </c>
      <c r="D178" s="229"/>
      <c r="E178" s="170"/>
      <c r="F178" s="153" t="str">
        <f t="shared" si="17"/>
        <v/>
      </c>
      <c r="G178" s="256"/>
      <c r="H178" s="166">
        <f t="shared" si="19"/>
        <v>0</v>
      </c>
      <c r="I178" s="18" t="s">
        <v>20</v>
      </c>
      <c r="J178" s="19">
        <v>0.43</v>
      </c>
      <c r="K178" s="20">
        <f t="shared" si="20"/>
        <v>0</v>
      </c>
    </row>
    <row r="179" spans="1:11" hidden="1" x14ac:dyDescent="0.35">
      <c r="A179" s="103"/>
      <c r="B179" s="20" t="s">
        <v>26</v>
      </c>
      <c r="C179" s="18" t="s">
        <v>336</v>
      </c>
      <c r="D179" s="229"/>
      <c r="E179" s="170"/>
      <c r="F179" s="153" t="str">
        <f t="shared" si="17"/>
        <v/>
      </c>
      <c r="G179" s="256"/>
      <c r="H179" s="166">
        <f t="shared" si="19"/>
        <v>0</v>
      </c>
      <c r="I179" s="18" t="s">
        <v>20</v>
      </c>
      <c r="J179" s="19">
        <v>0.43</v>
      </c>
      <c r="K179" s="20">
        <f t="shared" si="20"/>
        <v>0</v>
      </c>
    </row>
    <row r="180" spans="1:11" hidden="1" x14ac:dyDescent="0.35">
      <c r="A180" s="103"/>
      <c r="B180" s="12" t="s">
        <v>26</v>
      </c>
      <c r="C180" s="10" t="s">
        <v>337</v>
      </c>
      <c r="D180" s="152"/>
      <c r="E180" s="170"/>
      <c r="F180" s="153" t="str">
        <f t="shared" si="17"/>
        <v/>
      </c>
      <c r="G180" s="256"/>
      <c r="H180" s="166">
        <f t="shared" si="19"/>
        <v>0</v>
      </c>
      <c r="I180" s="10" t="s">
        <v>20</v>
      </c>
      <c r="J180" s="11">
        <v>0.43</v>
      </c>
      <c r="K180" s="12">
        <f t="shared" si="20"/>
        <v>0</v>
      </c>
    </row>
    <row r="181" spans="1:11" hidden="1" x14ac:dyDescent="0.35">
      <c r="A181" s="103"/>
      <c r="B181" s="12" t="s">
        <v>26</v>
      </c>
      <c r="C181" s="10" t="s">
        <v>51</v>
      </c>
      <c r="D181" s="152"/>
      <c r="E181" s="170"/>
      <c r="F181" s="153" t="str">
        <f t="shared" si="17"/>
        <v/>
      </c>
      <c r="G181" s="256"/>
      <c r="H181" s="166">
        <f t="shared" si="19"/>
        <v>0</v>
      </c>
      <c r="I181" s="10" t="s">
        <v>61</v>
      </c>
      <c r="J181" s="11">
        <v>14</v>
      </c>
      <c r="K181" s="12">
        <f t="shared" si="20"/>
        <v>0</v>
      </c>
    </row>
    <row r="182" spans="1:11" hidden="1" x14ac:dyDescent="0.35">
      <c r="A182" s="103"/>
      <c r="B182" s="12" t="s">
        <v>26</v>
      </c>
      <c r="C182" s="10" t="s">
        <v>338</v>
      </c>
      <c r="D182" s="152"/>
      <c r="E182" s="170"/>
      <c r="F182" s="153" t="str">
        <f t="shared" si="17"/>
        <v/>
      </c>
      <c r="G182" s="256"/>
      <c r="H182" s="166">
        <f t="shared" si="19"/>
        <v>0</v>
      </c>
      <c r="I182" s="10" t="s">
        <v>61</v>
      </c>
      <c r="J182" s="11">
        <v>14.78</v>
      </c>
      <c r="K182" s="12">
        <f t="shared" si="20"/>
        <v>0</v>
      </c>
    </row>
    <row r="183" spans="1:11" hidden="1" x14ac:dyDescent="0.35">
      <c r="A183" s="103"/>
      <c r="B183" s="12" t="s">
        <v>26</v>
      </c>
      <c r="C183" s="10" t="s">
        <v>339</v>
      </c>
      <c r="D183" s="152"/>
      <c r="E183" s="170"/>
      <c r="F183" s="153" t="str">
        <f t="shared" si="17"/>
        <v/>
      </c>
      <c r="G183" s="256"/>
      <c r="H183" s="166">
        <f t="shared" si="19"/>
        <v>0</v>
      </c>
      <c r="I183" s="10" t="s">
        <v>61</v>
      </c>
      <c r="J183" s="11">
        <v>14.78</v>
      </c>
      <c r="K183" s="12">
        <f t="shared" si="20"/>
        <v>0</v>
      </c>
    </row>
    <row r="184" spans="1:11" hidden="1" x14ac:dyDescent="0.35">
      <c r="A184" s="103"/>
      <c r="B184" s="12" t="s">
        <v>26</v>
      </c>
      <c r="C184" s="10" t="s">
        <v>340</v>
      </c>
      <c r="D184" s="152"/>
      <c r="E184" s="170"/>
      <c r="F184" s="153" t="str">
        <f t="shared" si="17"/>
        <v/>
      </c>
      <c r="G184" s="256"/>
      <c r="H184" s="166">
        <f t="shared" si="19"/>
        <v>0</v>
      </c>
      <c r="I184" s="10" t="s">
        <v>61</v>
      </c>
      <c r="J184" s="11">
        <v>14.78</v>
      </c>
      <c r="K184" s="12">
        <f t="shared" si="20"/>
        <v>0</v>
      </c>
    </row>
    <row r="185" spans="1:11" hidden="1" x14ac:dyDescent="0.35">
      <c r="A185" s="103"/>
      <c r="B185" s="12" t="s">
        <v>26</v>
      </c>
      <c r="C185" s="10" t="s">
        <v>341</v>
      </c>
      <c r="D185" s="152"/>
      <c r="E185" s="170"/>
      <c r="F185" s="153" t="str">
        <f t="shared" ref="F185:F219" si="21">IF(E185="","",IF(D185-E185&gt;0,D185-E185,""))</f>
        <v/>
      </c>
      <c r="G185" s="256"/>
      <c r="H185" s="166">
        <f t="shared" si="19"/>
        <v>0</v>
      </c>
      <c r="I185" s="10" t="s">
        <v>61</v>
      </c>
      <c r="J185" s="11">
        <v>14.78</v>
      </c>
      <c r="K185" s="12">
        <f t="shared" si="20"/>
        <v>0</v>
      </c>
    </row>
    <row r="186" spans="1:11" hidden="1" x14ac:dyDescent="0.35">
      <c r="A186" s="103"/>
      <c r="B186" s="12" t="s">
        <v>26</v>
      </c>
      <c r="C186" s="10" t="s">
        <v>342</v>
      </c>
      <c r="D186" s="152"/>
      <c r="E186" s="170"/>
      <c r="F186" s="153" t="str">
        <f t="shared" si="21"/>
        <v/>
      </c>
      <c r="G186" s="256"/>
      <c r="H186" s="166">
        <f t="shared" si="19"/>
        <v>0</v>
      </c>
      <c r="I186" s="10" t="s">
        <v>61</v>
      </c>
      <c r="J186" s="11">
        <v>14.78</v>
      </c>
      <c r="K186" s="10">
        <f t="shared" si="20"/>
        <v>0</v>
      </c>
    </row>
    <row r="187" spans="1:11" ht="15.5" x14ac:dyDescent="0.35">
      <c r="A187" s="108" t="s">
        <v>343</v>
      </c>
      <c r="B187" s="108"/>
      <c r="C187" s="108"/>
      <c r="D187" s="223"/>
      <c r="E187" s="250"/>
      <c r="F187" s="165" t="str">
        <f t="shared" si="21"/>
        <v/>
      </c>
      <c r="G187" s="186"/>
      <c r="H187" s="247"/>
      <c r="I187" s="108"/>
      <c r="J187" s="106" t="s">
        <v>18</v>
      </c>
      <c r="K187" s="269">
        <f>SUM(K188:K192)</f>
        <v>56.4</v>
      </c>
    </row>
    <row r="188" spans="1:11" hidden="1" x14ac:dyDescent="0.35">
      <c r="A188" s="103"/>
      <c r="B188" s="7" t="s">
        <v>6</v>
      </c>
      <c r="C188" s="14" t="s">
        <v>344</v>
      </c>
      <c r="D188" s="152"/>
      <c r="E188" s="170"/>
      <c r="F188" s="153" t="str">
        <f t="shared" si="21"/>
        <v/>
      </c>
      <c r="G188" s="256"/>
      <c r="H188" s="166">
        <f>IF(ISNUMBER(E188),E188,0)+IF(ISNUMBER(F188),F188,0)-IF(ISNUMBER(G188),G188,0)</f>
        <v>0</v>
      </c>
      <c r="I188" s="14" t="s">
        <v>20</v>
      </c>
      <c r="J188" s="35">
        <v>0.79</v>
      </c>
      <c r="K188" s="7">
        <f>G188*J188</f>
        <v>0</v>
      </c>
    </row>
    <row r="189" spans="1:11" x14ac:dyDescent="0.35">
      <c r="A189" s="103"/>
      <c r="B189" s="7" t="s">
        <v>6</v>
      </c>
      <c r="C189" s="14" t="s">
        <v>345</v>
      </c>
      <c r="D189" s="152">
        <v>30</v>
      </c>
      <c r="E189" s="170">
        <v>10</v>
      </c>
      <c r="F189" s="153">
        <f t="shared" si="21"/>
        <v>20</v>
      </c>
      <c r="G189" s="256">
        <v>20</v>
      </c>
      <c r="H189" s="166">
        <f>IF(ISNUMBER(E189),E189,0)+IF(ISNUMBER(F189),F189,0)-IF(ISNUMBER(G189),G189,0)</f>
        <v>10</v>
      </c>
      <c r="I189" s="14" t="s">
        <v>20</v>
      </c>
      <c r="J189" s="35">
        <v>2.76</v>
      </c>
      <c r="K189" s="7">
        <f>H189*J189</f>
        <v>27.599999999999998</v>
      </c>
    </row>
    <row r="190" spans="1:11" x14ac:dyDescent="0.35">
      <c r="A190" s="103"/>
      <c r="B190" s="7" t="s">
        <v>6</v>
      </c>
      <c r="C190" s="14" t="s">
        <v>346</v>
      </c>
      <c r="D190" s="152"/>
      <c r="E190" s="170"/>
      <c r="F190" s="153" t="str">
        <f t="shared" si="21"/>
        <v/>
      </c>
      <c r="G190" s="256"/>
      <c r="H190" s="166">
        <f>IF(ISNUMBER(E190),E190,0)+IF(ISNUMBER(F190),F190,0)-IF(ISNUMBER(G190),G190,0)</f>
        <v>0</v>
      </c>
      <c r="I190" s="14" t="s">
        <v>20</v>
      </c>
      <c r="J190" s="35">
        <v>1</v>
      </c>
      <c r="K190" s="7">
        <f t="shared" ref="K190:K192" si="22">H190*J190</f>
        <v>0</v>
      </c>
    </row>
    <row r="191" spans="1:11" x14ac:dyDescent="0.35">
      <c r="A191" s="103"/>
      <c r="B191" s="7" t="s">
        <v>6</v>
      </c>
      <c r="C191" s="14" t="s">
        <v>34</v>
      </c>
      <c r="D191" s="152">
        <v>20</v>
      </c>
      <c r="E191" s="170">
        <v>8</v>
      </c>
      <c r="F191" s="153">
        <f t="shared" si="21"/>
        <v>12</v>
      </c>
      <c r="G191" s="256">
        <v>12</v>
      </c>
      <c r="H191" s="166">
        <f>IF(ISNUMBER(E191),E191,0)+IF(ISNUMBER(F191),F191,0)-IF(ISNUMBER(G191),G191,0)</f>
        <v>8</v>
      </c>
      <c r="I191" s="14" t="s">
        <v>20</v>
      </c>
      <c r="J191" s="35">
        <v>1.8</v>
      </c>
      <c r="K191" s="7">
        <f t="shared" si="22"/>
        <v>14.4</v>
      </c>
    </row>
    <row r="192" spans="1:11" x14ac:dyDescent="0.35">
      <c r="A192" s="103"/>
      <c r="B192" s="7" t="s">
        <v>6</v>
      </c>
      <c r="C192" s="14" t="s">
        <v>35</v>
      </c>
      <c r="D192" s="152">
        <v>20</v>
      </c>
      <c r="E192" s="170">
        <v>8</v>
      </c>
      <c r="F192" s="153">
        <f t="shared" si="21"/>
        <v>12</v>
      </c>
      <c r="G192" s="256">
        <v>12</v>
      </c>
      <c r="H192" s="166">
        <f>IF(ISNUMBER(E192),E192,0)+IF(ISNUMBER(F192),F192,0)-IF(ISNUMBER(G192),G192,0)</f>
        <v>8</v>
      </c>
      <c r="I192" s="14" t="s">
        <v>20</v>
      </c>
      <c r="J192" s="35">
        <v>1.8</v>
      </c>
      <c r="K192" s="7">
        <f t="shared" si="22"/>
        <v>14.4</v>
      </c>
    </row>
    <row r="193" spans="1:11" ht="15.5" hidden="1" x14ac:dyDescent="0.35">
      <c r="A193" s="112" t="s">
        <v>347</v>
      </c>
      <c r="B193" s="116"/>
      <c r="C193" s="116"/>
      <c r="D193" s="228"/>
      <c r="E193" s="250"/>
      <c r="F193" s="165" t="str">
        <f t="shared" si="21"/>
        <v/>
      </c>
      <c r="G193" s="260"/>
      <c r="H193" s="247"/>
      <c r="I193" s="117"/>
      <c r="J193" s="118" t="s">
        <v>18</v>
      </c>
      <c r="K193" s="275">
        <f>SUM(K194:K194)</f>
        <v>0</v>
      </c>
    </row>
    <row r="194" spans="1:11" hidden="1" x14ac:dyDescent="0.35">
      <c r="A194" s="103"/>
      <c r="B194" s="12" t="s">
        <v>5</v>
      </c>
      <c r="C194" s="10" t="s">
        <v>55</v>
      </c>
      <c r="D194" s="152"/>
      <c r="E194" s="170"/>
      <c r="F194" s="153" t="str">
        <f t="shared" si="21"/>
        <v/>
      </c>
      <c r="G194" s="256"/>
      <c r="H194" s="166">
        <f>IF(ISNUMBER(E194),E194,0)+IF(ISNUMBER(F194),F194,0)-IF(ISNUMBER(G194),G194,0)</f>
        <v>0</v>
      </c>
      <c r="I194" s="10" t="s">
        <v>20</v>
      </c>
      <c r="J194" s="11">
        <v>1.01</v>
      </c>
      <c r="K194" s="12">
        <f>H194*J194</f>
        <v>0</v>
      </c>
    </row>
    <row r="195" spans="1:11" ht="15.5" x14ac:dyDescent="0.35">
      <c r="A195" s="112" t="s">
        <v>348</v>
      </c>
      <c r="B195" s="116"/>
      <c r="C195" s="116"/>
      <c r="D195" s="228"/>
      <c r="E195" s="250"/>
      <c r="F195" s="165" t="str">
        <f t="shared" si="21"/>
        <v/>
      </c>
      <c r="G195" s="260"/>
      <c r="H195" s="247"/>
      <c r="I195" s="117"/>
      <c r="J195" s="118" t="s">
        <v>18</v>
      </c>
      <c r="K195" s="275">
        <f>SUM(K196:K207)</f>
        <v>0</v>
      </c>
    </row>
    <row r="196" spans="1:11" hidden="1" x14ac:dyDescent="0.35">
      <c r="A196" s="103"/>
      <c r="B196" s="20" t="s">
        <v>8</v>
      </c>
      <c r="C196" s="18" t="s">
        <v>349</v>
      </c>
      <c r="D196" s="229"/>
      <c r="E196" s="170"/>
      <c r="F196" s="153" t="str">
        <f t="shared" si="21"/>
        <v/>
      </c>
      <c r="G196" s="256"/>
      <c r="H196" s="166">
        <f t="shared" ref="H196:H207" si="23">IF(ISNUMBER(E196),E196,0)+IF(ISNUMBER(F196),F196,0)-IF(ISNUMBER(G196),G196,0)</f>
        <v>0</v>
      </c>
      <c r="I196" s="18" t="s">
        <v>27</v>
      </c>
      <c r="J196" s="20">
        <v>28.62</v>
      </c>
      <c r="K196" s="12">
        <f t="shared" ref="K196:K207" si="24">G196*J196</f>
        <v>0</v>
      </c>
    </row>
    <row r="197" spans="1:11" hidden="1" x14ac:dyDescent="0.35">
      <c r="A197" s="103"/>
      <c r="B197" s="12" t="s">
        <v>8</v>
      </c>
      <c r="C197" s="10" t="s">
        <v>350</v>
      </c>
      <c r="D197" s="152"/>
      <c r="E197" s="170"/>
      <c r="F197" s="153" t="str">
        <f t="shared" si="21"/>
        <v/>
      </c>
      <c r="G197" s="256"/>
      <c r="H197" s="166">
        <f t="shared" si="23"/>
        <v>0</v>
      </c>
      <c r="I197" s="10" t="s">
        <v>335</v>
      </c>
      <c r="J197" s="12">
        <v>30</v>
      </c>
      <c r="K197" s="12">
        <f t="shared" si="24"/>
        <v>0</v>
      </c>
    </row>
    <row r="198" spans="1:11" hidden="1" x14ac:dyDescent="0.35">
      <c r="A198" s="103"/>
      <c r="B198" s="12" t="s">
        <v>8</v>
      </c>
      <c r="C198" s="10" t="s">
        <v>351</v>
      </c>
      <c r="D198" s="152"/>
      <c r="E198" s="170"/>
      <c r="F198" s="153" t="str">
        <f t="shared" si="21"/>
        <v/>
      </c>
      <c r="G198" s="256"/>
      <c r="H198" s="166">
        <f t="shared" si="23"/>
        <v>0</v>
      </c>
      <c r="I198" s="10" t="s">
        <v>335</v>
      </c>
      <c r="J198" s="11">
        <v>1.1499999999999999</v>
      </c>
      <c r="K198" s="12">
        <f t="shared" si="24"/>
        <v>0</v>
      </c>
    </row>
    <row r="199" spans="1:11" hidden="1" x14ac:dyDescent="0.35">
      <c r="A199" s="103"/>
      <c r="B199" s="12" t="s">
        <v>8</v>
      </c>
      <c r="C199" s="10" t="s">
        <v>352</v>
      </c>
      <c r="D199" s="152"/>
      <c r="E199" s="170"/>
      <c r="F199" s="153" t="str">
        <f t="shared" si="21"/>
        <v/>
      </c>
      <c r="G199" s="256"/>
      <c r="H199" s="166">
        <f t="shared" si="23"/>
        <v>0</v>
      </c>
      <c r="I199" s="10">
        <v>23.83</v>
      </c>
      <c r="J199" s="11">
        <v>30.95</v>
      </c>
      <c r="K199" s="12">
        <f>H199*J199</f>
        <v>0</v>
      </c>
    </row>
    <row r="200" spans="1:11" hidden="1" x14ac:dyDescent="0.35">
      <c r="A200" s="103"/>
      <c r="B200" s="12" t="s">
        <v>8</v>
      </c>
      <c r="C200" s="10" t="s">
        <v>353</v>
      </c>
      <c r="D200" s="152"/>
      <c r="E200" s="170"/>
      <c r="F200" s="153" t="str">
        <f t="shared" si="21"/>
        <v/>
      </c>
      <c r="G200" s="256"/>
      <c r="H200" s="166">
        <f t="shared" si="23"/>
        <v>0</v>
      </c>
      <c r="I200" s="10" t="s">
        <v>27</v>
      </c>
      <c r="J200" s="11">
        <v>28.89</v>
      </c>
      <c r="K200" s="12">
        <f t="shared" ref="K200" si="25">H200*J200</f>
        <v>0</v>
      </c>
    </row>
    <row r="201" spans="1:11" hidden="1" x14ac:dyDescent="0.35">
      <c r="A201" s="103"/>
      <c r="B201" s="12" t="s">
        <v>8</v>
      </c>
      <c r="C201" s="10" t="s">
        <v>354</v>
      </c>
      <c r="D201" s="152"/>
      <c r="E201" s="170"/>
      <c r="F201" s="153" t="str">
        <f>IF(E201="","",IF(D201-E201&gt;0,D201-E201,""))</f>
        <v/>
      </c>
      <c r="G201" s="256"/>
      <c r="H201" s="166">
        <f>IF(ISNUMBER(E201),E201,0)+IF(ISNUMBER(F201),F201,0)-IF(ISNUMBER(G201),G201,0)</f>
        <v>0</v>
      </c>
      <c r="I201" s="10" t="s">
        <v>27</v>
      </c>
      <c r="J201" s="11">
        <v>19.37</v>
      </c>
      <c r="K201" s="12">
        <f>H201*J201</f>
        <v>0</v>
      </c>
    </row>
    <row r="202" spans="1:11" hidden="1" x14ac:dyDescent="0.35">
      <c r="A202" s="103"/>
      <c r="B202" s="12" t="s">
        <v>8</v>
      </c>
      <c r="C202" s="10" t="s">
        <v>429</v>
      </c>
      <c r="D202" s="152"/>
      <c r="E202" s="170"/>
      <c r="F202" s="153"/>
      <c r="G202" s="256"/>
      <c r="H202" s="166">
        <f t="shared" ref="H202:H204" si="26">IF(ISNUMBER(E202),E202,0)+IF(ISNUMBER(F202),F202,0)-IF(ISNUMBER(G202),G202,0)</f>
        <v>0</v>
      </c>
      <c r="I202" s="10">
        <v>14.07</v>
      </c>
      <c r="J202" s="11"/>
      <c r="K202" s="12"/>
    </row>
    <row r="203" spans="1:11" hidden="1" x14ac:dyDescent="0.35">
      <c r="A203" s="103"/>
      <c r="B203" s="12" t="s">
        <v>8</v>
      </c>
      <c r="C203" s="10" t="s">
        <v>430</v>
      </c>
      <c r="D203" s="152"/>
      <c r="E203" s="170"/>
      <c r="F203" s="153"/>
      <c r="G203" s="256"/>
      <c r="H203" s="166">
        <f t="shared" si="26"/>
        <v>0</v>
      </c>
      <c r="I203" s="10">
        <v>16.07</v>
      </c>
      <c r="J203" s="11"/>
      <c r="K203" s="12"/>
    </row>
    <row r="204" spans="1:11" hidden="1" x14ac:dyDescent="0.35">
      <c r="A204" s="103"/>
      <c r="B204" s="12" t="s">
        <v>8</v>
      </c>
      <c r="C204" s="10" t="s">
        <v>431</v>
      </c>
      <c r="D204" s="152"/>
      <c r="G204" s="256"/>
      <c r="H204" s="166">
        <f t="shared" si="26"/>
        <v>0</v>
      </c>
      <c r="I204" s="289">
        <v>14.62</v>
      </c>
      <c r="J204" s="11"/>
    </row>
    <row r="205" spans="1:11" hidden="1" x14ac:dyDescent="0.35">
      <c r="A205" s="103"/>
      <c r="B205" s="12" t="s">
        <v>8</v>
      </c>
      <c r="C205" s="10" t="s">
        <v>355</v>
      </c>
      <c r="D205" s="152"/>
      <c r="E205" s="170"/>
      <c r="F205" s="153" t="str">
        <f t="shared" si="21"/>
        <v/>
      </c>
      <c r="G205" s="256"/>
      <c r="H205" s="166">
        <f t="shared" si="23"/>
        <v>0</v>
      </c>
      <c r="I205" s="10" t="s">
        <v>61</v>
      </c>
      <c r="J205" s="11">
        <v>17.11</v>
      </c>
      <c r="K205" s="12">
        <f t="shared" si="24"/>
        <v>0</v>
      </c>
    </row>
    <row r="206" spans="1:11" hidden="1" x14ac:dyDescent="0.35">
      <c r="A206" s="103"/>
      <c r="B206" s="12" t="s">
        <v>8</v>
      </c>
      <c r="C206" s="10" t="s">
        <v>356</v>
      </c>
      <c r="D206" s="152"/>
      <c r="E206" s="170"/>
      <c r="F206" s="153" t="str">
        <f t="shared" si="21"/>
        <v/>
      </c>
      <c r="G206" s="256"/>
      <c r="H206" s="166">
        <f t="shared" si="23"/>
        <v>0</v>
      </c>
      <c r="I206" s="10" t="s">
        <v>61</v>
      </c>
      <c r="J206" s="11">
        <v>22.13</v>
      </c>
      <c r="K206" s="12">
        <f t="shared" si="24"/>
        <v>0</v>
      </c>
    </row>
    <row r="207" spans="1:11" hidden="1" x14ac:dyDescent="0.35">
      <c r="A207" s="103"/>
      <c r="B207" s="40" t="s">
        <v>8</v>
      </c>
      <c r="C207" s="41" t="s">
        <v>357</v>
      </c>
      <c r="D207" s="227"/>
      <c r="E207" s="170"/>
      <c r="F207" s="153" t="str">
        <f t="shared" si="21"/>
        <v/>
      </c>
      <c r="G207" s="256"/>
      <c r="H207" s="166">
        <f t="shared" si="23"/>
        <v>0</v>
      </c>
      <c r="I207" s="41" t="s">
        <v>61</v>
      </c>
      <c r="J207" s="42">
        <v>18.8</v>
      </c>
      <c r="K207" s="40">
        <f t="shared" si="24"/>
        <v>0</v>
      </c>
    </row>
    <row r="208" spans="1:11" ht="15.5" hidden="1" x14ac:dyDescent="0.35">
      <c r="A208" s="112" t="s">
        <v>358</v>
      </c>
      <c r="B208" s="116"/>
      <c r="C208" s="116"/>
      <c r="D208" s="228"/>
      <c r="E208" s="170"/>
      <c r="F208" s="165" t="str">
        <f t="shared" si="21"/>
        <v/>
      </c>
      <c r="G208" s="260"/>
      <c r="H208" s="247"/>
      <c r="I208" s="117"/>
      <c r="J208" s="118" t="s">
        <v>18</v>
      </c>
      <c r="K208" s="275">
        <f>SUM(K209)</f>
        <v>0</v>
      </c>
    </row>
    <row r="209" spans="1:11" hidden="1" x14ac:dyDescent="0.35">
      <c r="A209" s="103"/>
      <c r="B209" s="13" t="s">
        <v>11</v>
      </c>
      <c r="C209" s="18" t="s">
        <v>359</v>
      </c>
      <c r="D209" s="229"/>
      <c r="E209" s="170"/>
      <c r="F209" s="153" t="str">
        <f t="shared" si="21"/>
        <v/>
      </c>
      <c r="G209" s="256"/>
      <c r="H209" s="166">
        <f>IF(ISNUMBER(E209),E209,0)+IF(ISNUMBER(F209),F209,0)-IF(ISNUMBER(G209),G209,0)</f>
        <v>0</v>
      </c>
      <c r="I209" s="10" t="s">
        <v>52</v>
      </c>
      <c r="J209" s="11">
        <v>11.63</v>
      </c>
      <c r="K209" s="12">
        <f>G209*J209</f>
        <v>0</v>
      </c>
    </row>
    <row r="210" spans="1:11" ht="15.5" hidden="1" x14ac:dyDescent="0.35">
      <c r="A210" s="108" t="s">
        <v>360</v>
      </c>
      <c r="B210" s="108"/>
      <c r="C210" s="108"/>
      <c r="D210" s="223"/>
      <c r="E210" s="250"/>
      <c r="F210" s="165" t="str">
        <f t="shared" si="21"/>
        <v/>
      </c>
      <c r="G210" s="186"/>
      <c r="H210" s="247"/>
      <c r="I210" s="108"/>
      <c r="J210" s="106" t="s">
        <v>18</v>
      </c>
      <c r="K210" s="269">
        <f>SUM(K211:K212)</f>
        <v>0</v>
      </c>
    </row>
    <row r="211" spans="1:11" hidden="1" x14ac:dyDescent="0.35">
      <c r="A211" s="103"/>
      <c r="B211" s="12" t="s">
        <v>12</v>
      </c>
      <c r="C211" s="10" t="s">
        <v>70</v>
      </c>
      <c r="D211" s="152"/>
      <c r="E211" s="170"/>
      <c r="F211" s="153" t="str">
        <f t="shared" si="21"/>
        <v/>
      </c>
      <c r="G211" s="256"/>
      <c r="H211" s="166">
        <f>IF(ISNUMBER(E211),E211,0)+IF(ISNUMBER(F211),F211,0)-IF(ISNUMBER(G211),G211,0)</f>
        <v>0</v>
      </c>
      <c r="I211" s="10" t="s">
        <v>27</v>
      </c>
      <c r="J211" s="11">
        <v>20.7</v>
      </c>
      <c r="K211" s="12">
        <f>H211*J211</f>
        <v>0</v>
      </c>
    </row>
    <row r="212" spans="1:11" hidden="1" x14ac:dyDescent="0.35">
      <c r="A212" s="103"/>
      <c r="B212" s="12" t="s">
        <v>12</v>
      </c>
      <c r="C212" s="10" t="s">
        <v>71</v>
      </c>
      <c r="D212" s="152"/>
      <c r="E212" s="170"/>
      <c r="F212" s="153" t="str">
        <f t="shared" si="21"/>
        <v/>
      </c>
      <c r="G212" s="256"/>
      <c r="H212" s="166">
        <f>IF(ISNUMBER(E212),E212,0)+IF(ISNUMBER(F212),F212,0)-IF(ISNUMBER(G212),G212,0)</f>
        <v>0</v>
      </c>
      <c r="I212" s="10" t="s">
        <v>27</v>
      </c>
      <c r="J212" s="11">
        <v>13.7</v>
      </c>
      <c r="K212" s="12">
        <f>H212*J212</f>
        <v>0</v>
      </c>
    </row>
    <row r="213" spans="1:11" ht="15.5" hidden="1" x14ac:dyDescent="0.35">
      <c r="A213" s="108" t="s">
        <v>361</v>
      </c>
      <c r="B213" s="108"/>
      <c r="C213" s="108"/>
      <c r="D213" s="223"/>
      <c r="E213" s="250"/>
      <c r="F213" s="165" t="str">
        <f t="shared" si="21"/>
        <v/>
      </c>
      <c r="G213" s="186"/>
      <c r="H213" s="247"/>
      <c r="I213" s="108"/>
      <c r="J213" s="106" t="s">
        <v>18</v>
      </c>
      <c r="K213" s="269">
        <f>SUM(K214:K217)</f>
        <v>0</v>
      </c>
    </row>
    <row r="214" spans="1:11" hidden="1" x14ac:dyDescent="0.35">
      <c r="A214" s="103"/>
      <c r="B214" s="12" t="s">
        <v>10</v>
      </c>
      <c r="C214" s="10" t="s">
        <v>362</v>
      </c>
      <c r="D214" s="152"/>
      <c r="E214" s="170"/>
      <c r="F214" s="153" t="str">
        <f t="shared" si="21"/>
        <v/>
      </c>
      <c r="G214" s="256"/>
      <c r="H214" s="166">
        <f>IF(ISNUMBER(E214),E214,0)+IF(ISNUMBER(F214),F214,0)-IF(ISNUMBER(G214),G214,0)</f>
        <v>0</v>
      </c>
      <c r="I214" s="10" t="s">
        <v>20</v>
      </c>
      <c r="J214" s="11">
        <v>11.08</v>
      </c>
      <c r="K214" s="12">
        <f>H214*J214</f>
        <v>0</v>
      </c>
    </row>
    <row r="215" spans="1:11" hidden="1" x14ac:dyDescent="0.35">
      <c r="A215" s="103"/>
      <c r="B215" s="12" t="s">
        <v>10</v>
      </c>
      <c r="C215" s="10" t="s">
        <v>363</v>
      </c>
      <c r="D215" s="152"/>
      <c r="E215" s="170"/>
      <c r="F215" s="153" t="str">
        <f t="shared" si="21"/>
        <v/>
      </c>
      <c r="G215" s="256"/>
      <c r="H215" s="166">
        <f>IF(ISNUMBER(E215),E215,0)+IF(ISNUMBER(F215),F215,0)-IF(ISNUMBER(G215),G215,0)</f>
        <v>0</v>
      </c>
      <c r="I215" s="10" t="s">
        <v>27</v>
      </c>
      <c r="J215" s="11">
        <v>16.21</v>
      </c>
      <c r="K215" s="12">
        <f t="shared" ref="K215:K217" si="27">H215*J215</f>
        <v>0</v>
      </c>
    </row>
    <row r="216" spans="1:11" hidden="1" x14ac:dyDescent="0.35">
      <c r="A216" s="103"/>
      <c r="B216" s="12" t="s">
        <v>10</v>
      </c>
      <c r="C216" s="10" t="s">
        <v>364</v>
      </c>
      <c r="D216" s="152"/>
      <c r="E216" s="170"/>
      <c r="F216" s="153" t="str">
        <f t="shared" si="21"/>
        <v/>
      </c>
      <c r="G216" s="256"/>
      <c r="H216" s="166">
        <f>IF(ISNUMBER(E216),E216,0)+IF(ISNUMBER(F216),F216,0)-IF(ISNUMBER(G216),G216,0)</f>
        <v>0</v>
      </c>
      <c r="I216" s="10" t="s">
        <v>27</v>
      </c>
      <c r="J216" s="11">
        <v>19.350000000000001</v>
      </c>
      <c r="K216" s="12">
        <f t="shared" si="27"/>
        <v>0</v>
      </c>
    </row>
    <row r="217" spans="1:11" hidden="1" x14ac:dyDescent="0.35">
      <c r="A217" s="103"/>
      <c r="B217" s="12" t="s">
        <v>10</v>
      </c>
      <c r="C217" s="10" t="s">
        <v>365</v>
      </c>
      <c r="D217" s="152"/>
      <c r="E217" s="170"/>
      <c r="F217" s="153" t="str">
        <f t="shared" si="21"/>
        <v/>
      </c>
      <c r="G217" s="256"/>
      <c r="H217" s="166">
        <f>IF(ISNUMBER(E217),E217,0)+IF(ISNUMBER(F217),F217,0)-IF(ISNUMBER(G217),G217,0)</f>
        <v>0</v>
      </c>
      <c r="I217" s="10" t="s">
        <v>27</v>
      </c>
      <c r="J217" s="11">
        <v>19.809999999999999</v>
      </c>
      <c r="K217" s="12">
        <f t="shared" si="27"/>
        <v>0</v>
      </c>
    </row>
    <row r="218" spans="1:11" ht="15.5" hidden="1" x14ac:dyDescent="0.35">
      <c r="A218" s="108" t="s">
        <v>366</v>
      </c>
      <c r="B218" s="108"/>
      <c r="C218" s="108"/>
      <c r="D218" s="223"/>
      <c r="E218" s="170"/>
      <c r="F218" s="165" t="str">
        <f t="shared" si="21"/>
        <v/>
      </c>
      <c r="G218" s="186"/>
      <c r="H218" s="247"/>
      <c r="I218" s="108"/>
      <c r="J218" s="106" t="s">
        <v>18</v>
      </c>
      <c r="K218" s="269">
        <f>SUM(K219:K219)</f>
        <v>0</v>
      </c>
    </row>
    <row r="219" spans="1:11" hidden="1" x14ac:dyDescent="0.35">
      <c r="A219" s="103"/>
      <c r="B219" s="12" t="s">
        <v>28</v>
      </c>
      <c r="C219" s="10" t="s">
        <v>29</v>
      </c>
      <c r="D219" s="152"/>
      <c r="E219" s="170"/>
      <c r="F219" s="153" t="str">
        <f t="shared" si="21"/>
        <v/>
      </c>
      <c r="G219" s="256"/>
      <c r="H219" s="166">
        <f>IF(ISNUMBER(E219),E219,0)+IF(ISNUMBER(F219),F219,0)-IF(ISNUMBER(G219),G219,0)</f>
        <v>0</v>
      </c>
      <c r="I219" s="10" t="s">
        <v>54</v>
      </c>
      <c r="J219" s="11">
        <v>104</v>
      </c>
      <c r="K219" s="12">
        <f>+J219*G219</f>
        <v>0</v>
      </c>
    </row>
    <row r="220" spans="1:11" ht="15.5" x14ac:dyDescent="0.35">
      <c r="A220" s="108" t="s">
        <v>367</v>
      </c>
      <c r="B220" s="108"/>
      <c r="C220" s="108"/>
      <c r="D220" s="223"/>
      <c r="E220" s="250"/>
      <c r="F220" s="165" t="str">
        <f t="shared" ref="F220:F255" si="28">IF(E220="","",IF(D220-E220&gt;0,D220-E220,""))</f>
        <v/>
      </c>
      <c r="G220" s="186"/>
      <c r="H220" s="247"/>
      <c r="I220" s="108"/>
      <c r="J220" s="106" t="s">
        <v>18</v>
      </c>
      <c r="K220" s="269">
        <f>SUM(K224:K239)</f>
        <v>0</v>
      </c>
    </row>
    <row r="221" spans="1:11" x14ac:dyDescent="0.35">
      <c r="A221" s="103"/>
      <c r="B221" s="12" t="s">
        <v>9</v>
      </c>
      <c r="C221" s="10" t="s">
        <v>423</v>
      </c>
      <c r="D221" s="152"/>
      <c r="E221" s="170"/>
      <c r="F221" s="153" t="str">
        <f t="shared" si="28"/>
        <v/>
      </c>
      <c r="G221" s="256"/>
      <c r="H221" s="166">
        <f t="shared" ref="H221:H240" si="29">IF(ISNUMBER(E221),E221,0)+IF(ISNUMBER(F221),F221,0)-IF(ISNUMBER(G221),G221,0)</f>
        <v>0</v>
      </c>
      <c r="I221" s="10" t="s">
        <v>20</v>
      </c>
      <c r="J221" s="11">
        <v>78</v>
      </c>
      <c r="K221" s="50">
        <f t="shared" ref="K221:K240" si="30">G221*J221</f>
        <v>0</v>
      </c>
    </row>
    <row r="222" spans="1:11" x14ac:dyDescent="0.35">
      <c r="A222" s="103"/>
      <c r="B222" s="12" t="s">
        <v>9</v>
      </c>
      <c r="C222" s="10" t="s">
        <v>424</v>
      </c>
      <c r="D222" s="152"/>
      <c r="E222" s="170"/>
      <c r="F222" s="153" t="str">
        <f t="shared" si="28"/>
        <v/>
      </c>
      <c r="G222" s="256"/>
      <c r="H222" s="166">
        <f t="shared" si="29"/>
        <v>0</v>
      </c>
      <c r="I222" s="10" t="s">
        <v>61</v>
      </c>
      <c r="J222" s="51">
        <v>107.12</v>
      </c>
      <c r="K222" s="50">
        <f t="shared" si="30"/>
        <v>0</v>
      </c>
    </row>
    <row r="223" spans="1:11" x14ac:dyDescent="0.35">
      <c r="A223" s="103"/>
      <c r="B223" s="12" t="s">
        <v>9</v>
      </c>
      <c r="C223" s="10" t="s">
        <v>369</v>
      </c>
      <c r="D223" s="152"/>
      <c r="E223" s="170"/>
      <c r="F223" s="153" t="str">
        <f t="shared" si="28"/>
        <v/>
      </c>
      <c r="G223" s="256"/>
      <c r="H223" s="166">
        <f t="shared" si="29"/>
        <v>0</v>
      </c>
      <c r="I223" s="10" t="s">
        <v>20</v>
      </c>
      <c r="J223" s="11">
        <v>0.04</v>
      </c>
      <c r="K223" s="50">
        <f t="shared" si="30"/>
        <v>0</v>
      </c>
    </row>
    <row r="224" spans="1:11" x14ac:dyDescent="0.35">
      <c r="A224" s="103"/>
      <c r="B224" s="12" t="s">
        <v>9</v>
      </c>
      <c r="C224" s="10" t="s">
        <v>370</v>
      </c>
      <c r="D224" s="152"/>
      <c r="E224" s="170"/>
      <c r="F224" s="153" t="str">
        <f t="shared" si="28"/>
        <v/>
      </c>
      <c r="G224" s="256"/>
      <c r="H224" s="166">
        <f t="shared" si="29"/>
        <v>0</v>
      </c>
      <c r="I224" s="10" t="s">
        <v>20</v>
      </c>
      <c r="J224" s="11">
        <v>7.0999999999999994E-2</v>
      </c>
      <c r="K224" s="233">
        <f>H224*J224</f>
        <v>0</v>
      </c>
    </row>
    <row r="225" spans="1:11" x14ac:dyDescent="0.35">
      <c r="A225" s="103"/>
      <c r="B225" s="12" t="s">
        <v>9</v>
      </c>
      <c r="C225" s="10" t="s">
        <v>411</v>
      </c>
      <c r="D225" s="152"/>
      <c r="E225" s="170"/>
      <c r="F225" s="153" t="str">
        <f t="shared" si="28"/>
        <v/>
      </c>
      <c r="G225" s="256"/>
      <c r="H225" s="166">
        <f t="shared" si="29"/>
        <v>0</v>
      </c>
      <c r="I225" s="10" t="s">
        <v>20</v>
      </c>
      <c r="J225" s="11">
        <v>1.97</v>
      </c>
      <c r="K225" s="233">
        <f>H225*J225</f>
        <v>0</v>
      </c>
    </row>
    <row r="226" spans="1:11" x14ac:dyDescent="0.35">
      <c r="A226" s="103"/>
      <c r="B226" s="12" t="s">
        <v>9</v>
      </c>
      <c r="C226" s="10" t="s">
        <v>371</v>
      </c>
      <c r="D226" s="152"/>
      <c r="E226" s="170"/>
      <c r="F226" s="153" t="str">
        <f t="shared" si="28"/>
        <v/>
      </c>
      <c r="G226" s="256"/>
      <c r="H226" s="166">
        <f t="shared" si="29"/>
        <v>0</v>
      </c>
      <c r="I226" s="10" t="s">
        <v>61</v>
      </c>
      <c r="J226" s="11">
        <v>163.80000000000001</v>
      </c>
      <c r="K226" s="233">
        <f t="shared" ref="K226:K239" si="31">H226*J226</f>
        <v>0</v>
      </c>
    </row>
    <row r="227" spans="1:11" x14ac:dyDescent="0.35">
      <c r="A227" s="103"/>
      <c r="B227" s="12" t="s">
        <v>9</v>
      </c>
      <c r="C227" s="10" t="s">
        <v>410</v>
      </c>
      <c r="D227" s="152"/>
      <c r="E227" s="170"/>
      <c r="F227" s="153" t="str">
        <f t="shared" si="28"/>
        <v/>
      </c>
      <c r="G227" s="256"/>
      <c r="H227" s="166">
        <f t="shared" si="29"/>
        <v>0</v>
      </c>
      <c r="I227" s="10" t="s">
        <v>61</v>
      </c>
      <c r="J227" s="11">
        <v>49.33</v>
      </c>
      <c r="K227" s="233">
        <f t="shared" si="31"/>
        <v>0</v>
      </c>
    </row>
    <row r="228" spans="1:11" x14ac:dyDescent="0.35">
      <c r="A228" s="103"/>
      <c r="B228" s="12" t="s">
        <v>9</v>
      </c>
      <c r="C228" s="10" t="s">
        <v>373</v>
      </c>
      <c r="D228" s="152"/>
      <c r="E228" s="170"/>
      <c r="F228" s="153" t="str">
        <f t="shared" si="28"/>
        <v/>
      </c>
      <c r="G228" s="256"/>
      <c r="H228" s="166">
        <f t="shared" si="29"/>
        <v>0</v>
      </c>
      <c r="I228" s="10" t="s">
        <v>61</v>
      </c>
      <c r="J228" s="11">
        <v>105.6</v>
      </c>
      <c r="K228" s="233">
        <f t="shared" si="31"/>
        <v>0</v>
      </c>
    </row>
    <row r="229" spans="1:11" x14ac:dyDescent="0.35">
      <c r="A229" s="103"/>
      <c r="B229" s="12" t="s">
        <v>9</v>
      </c>
      <c r="C229" s="10" t="s">
        <v>374</v>
      </c>
      <c r="D229" s="152"/>
      <c r="E229" s="170"/>
      <c r="F229" s="153" t="str">
        <f t="shared" si="28"/>
        <v/>
      </c>
      <c r="G229" s="256"/>
      <c r="H229" s="166">
        <f t="shared" si="29"/>
        <v>0</v>
      </c>
      <c r="I229" s="10" t="s">
        <v>61</v>
      </c>
      <c r="J229" s="11">
        <v>114.75</v>
      </c>
      <c r="K229" s="233">
        <f t="shared" si="31"/>
        <v>0</v>
      </c>
    </row>
    <row r="230" spans="1:11" x14ac:dyDescent="0.35">
      <c r="A230" s="103"/>
      <c r="B230" s="12" t="s">
        <v>9</v>
      </c>
      <c r="C230" s="10" t="s">
        <v>375</v>
      </c>
      <c r="D230" s="152"/>
      <c r="E230" s="170"/>
      <c r="F230" s="153" t="str">
        <f t="shared" si="28"/>
        <v/>
      </c>
      <c r="G230" s="256"/>
      <c r="H230" s="166">
        <f t="shared" si="29"/>
        <v>0</v>
      </c>
      <c r="I230" s="10" t="s">
        <v>61</v>
      </c>
      <c r="J230" s="11">
        <v>105.55</v>
      </c>
      <c r="K230" s="233">
        <f t="shared" si="31"/>
        <v>0</v>
      </c>
    </row>
    <row r="231" spans="1:11" x14ac:dyDescent="0.35">
      <c r="A231" s="103"/>
      <c r="B231" s="12" t="s">
        <v>9</v>
      </c>
      <c r="C231" s="10" t="s">
        <v>376</v>
      </c>
      <c r="D231" s="152">
        <v>1</v>
      </c>
      <c r="E231" s="170"/>
      <c r="F231" s="153" t="str">
        <f t="shared" si="28"/>
        <v/>
      </c>
      <c r="G231" s="256"/>
      <c r="H231" s="166">
        <f t="shared" si="29"/>
        <v>0</v>
      </c>
      <c r="I231" s="10" t="s">
        <v>61</v>
      </c>
      <c r="J231" s="11">
        <v>33.25</v>
      </c>
      <c r="K231" s="233">
        <f t="shared" si="31"/>
        <v>0</v>
      </c>
    </row>
    <row r="232" spans="1:11" x14ac:dyDescent="0.35">
      <c r="A232" s="103"/>
      <c r="B232" s="12" t="s">
        <v>9</v>
      </c>
      <c r="C232" s="10" t="s">
        <v>377</v>
      </c>
      <c r="D232" s="152"/>
      <c r="E232" s="170"/>
      <c r="F232" s="153" t="str">
        <f t="shared" si="28"/>
        <v/>
      </c>
      <c r="G232" s="256"/>
      <c r="H232" s="166">
        <f t="shared" si="29"/>
        <v>0</v>
      </c>
      <c r="I232" s="10" t="s">
        <v>20</v>
      </c>
      <c r="J232" s="11">
        <v>0.28999999999999998</v>
      </c>
      <c r="K232" s="233">
        <f t="shared" si="31"/>
        <v>0</v>
      </c>
    </row>
    <row r="233" spans="1:11" x14ac:dyDescent="0.35">
      <c r="A233" s="103"/>
      <c r="B233" s="12" t="s">
        <v>9</v>
      </c>
      <c r="C233" s="10" t="s">
        <v>378</v>
      </c>
      <c r="D233" s="152"/>
      <c r="E233" s="170"/>
      <c r="F233" s="153" t="str">
        <f t="shared" si="28"/>
        <v/>
      </c>
      <c r="G233" s="256"/>
      <c r="H233" s="166">
        <f t="shared" si="29"/>
        <v>0</v>
      </c>
      <c r="I233" s="10" t="s">
        <v>61</v>
      </c>
      <c r="J233" s="35">
        <v>37.85</v>
      </c>
      <c r="K233" s="233">
        <f t="shared" si="31"/>
        <v>0</v>
      </c>
    </row>
    <row r="234" spans="1:11" x14ac:dyDescent="0.35">
      <c r="A234" s="103"/>
      <c r="B234" s="12" t="s">
        <v>9</v>
      </c>
      <c r="C234" s="10" t="s">
        <v>425</v>
      </c>
      <c r="D234" s="152">
        <v>1</v>
      </c>
      <c r="E234" s="170"/>
      <c r="F234" s="153" t="str">
        <f t="shared" si="28"/>
        <v/>
      </c>
      <c r="G234" s="256"/>
      <c r="H234" s="166">
        <f t="shared" si="29"/>
        <v>0</v>
      </c>
      <c r="I234" s="10" t="s">
        <v>61</v>
      </c>
      <c r="J234" s="35">
        <v>111.47</v>
      </c>
      <c r="K234" s="233">
        <f t="shared" si="31"/>
        <v>0</v>
      </c>
    </row>
    <row r="235" spans="1:11" x14ac:dyDescent="0.35">
      <c r="A235" s="103"/>
      <c r="B235" s="12" t="s">
        <v>9</v>
      </c>
      <c r="C235" s="10" t="s">
        <v>379</v>
      </c>
      <c r="D235" s="152"/>
      <c r="E235" s="170"/>
      <c r="F235" s="153" t="str">
        <f t="shared" si="28"/>
        <v/>
      </c>
      <c r="G235" s="256"/>
      <c r="H235" s="166">
        <f t="shared" si="29"/>
        <v>0</v>
      </c>
      <c r="I235" s="10" t="s">
        <v>61</v>
      </c>
      <c r="J235" s="35">
        <v>174.97</v>
      </c>
      <c r="K235" s="233">
        <f t="shared" si="31"/>
        <v>0</v>
      </c>
    </row>
    <row r="236" spans="1:11" x14ac:dyDescent="0.35">
      <c r="A236" s="103"/>
      <c r="B236" s="12" t="s">
        <v>9</v>
      </c>
      <c r="C236" s="10" t="s">
        <v>380</v>
      </c>
      <c r="D236" s="152"/>
      <c r="E236" s="170"/>
      <c r="F236" s="153" t="str">
        <f t="shared" si="28"/>
        <v/>
      </c>
      <c r="G236" s="256"/>
      <c r="H236" s="166">
        <f t="shared" si="29"/>
        <v>0</v>
      </c>
      <c r="I236" s="10" t="s">
        <v>61</v>
      </c>
      <c r="J236" s="35">
        <v>44.93</v>
      </c>
      <c r="K236" s="233">
        <f t="shared" si="31"/>
        <v>0</v>
      </c>
    </row>
    <row r="237" spans="1:11" x14ac:dyDescent="0.35">
      <c r="A237" s="103"/>
      <c r="B237" s="12" t="s">
        <v>9</v>
      </c>
      <c r="C237" s="10" t="s">
        <v>426</v>
      </c>
      <c r="D237" s="152">
        <v>1</v>
      </c>
      <c r="E237" s="170"/>
      <c r="F237" s="153" t="str">
        <f t="shared" si="28"/>
        <v/>
      </c>
      <c r="G237" s="256"/>
      <c r="H237" s="166">
        <f t="shared" si="29"/>
        <v>0</v>
      </c>
      <c r="I237" s="10" t="s">
        <v>61</v>
      </c>
      <c r="J237" s="35"/>
      <c r="K237" s="233">
        <f t="shared" si="31"/>
        <v>0</v>
      </c>
    </row>
    <row r="238" spans="1:11" x14ac:dyDescent="0.35">
      <c r="A238" s="103"/>
      <c r="B238" s="12" t="s">
        <v>9</v>
      </c>
      <c r="C238" s="10" t="s">
        <v>427</v>
      </c>
      <c r="D238" s="152"/>
      <c r="E238" s="170"/>
      <c r="F238" s="153" t="str">
        <f t="shared" si="28"/>
        <v/>
      </c>
      <c r="G238" s="256"/>
      <c r="H238" s="166">
        <f t="shared" si="29"/>
        <v>0</v>
      </c>
      <c r="I238" s="10" t="s">
        <v>61</v>
      </c>
      <c r="J238" s="35"/>
      <c r="K238" s="233">
        <f>H238*J238</f>
        <v>0</v>
      </c>
    </row>
    <row r="239" spans="1:11" x14ac:dyDescent="0.35">
      <c r="A239" s="103"/>
      <c r="B239" s="12" t="s">
        <v>9</v>
      </c>
      <c r="C239" s="10" t="s">
        <v>428</v>
      </c>
      <c r="D239" s="152">
        <v>1</v>
      </c>
      <c r="E239" s="170"/>
      <c r="F239" s="153" t="str">
        <f t="shared" si="28"/>
        <v/>
      </c>
      <c r="G239" s="256"/>
      <c r="H239" s="166">
        <f t="shared" si="29"/>
        <v>0</v>
      </c>
      <c r="I239" s="10" t="s">
        <v>61</v>
      </c>
      <c r="J239" s="35"/>
      <c r="K239" s="233">
        <f t="shared" si="31"/>
        <v>0</v>
      </c>
    </row>
    <row r="240" spans="1:11" x14ac:dyDescent="0.35">
      <c r="A240" s="103"/>
      <c r="B240" s="12" t="s">
        <v>9</v>
      </c>
      <c r="C240" s="10" t="s">
        <v>381</v>
      </c>
      <c r="D240" s="152"/>
      <c r="E240" s="170"/>
      <c r="F240" s="153" t="str">
        <f t="shared" si="28"/>
        <v/>
      </c>
      <c r="G240" s="256"/>
      <c r="H240" s="166">
        <f t="shared" si="29"/>
        <v>0</v>
      </c>
      <c r="I240" s="10" t="s">
        <v>61</v>
      </c>
      <c r="J240" s="35">
        <v>0.02</v>
      </c>
      <c r="K240" s="50">
        <f t="shared" si="30"/>
        <v>0</v>
      </c>
    </row>
    <row r="241" spans="1:18" ht="15.5" x14ac:dyDescent="0.35">
      <c r="A241" s="108" t="s">
        <v>382</v>
      </c>
      <c r="B241" s="108"/>
      <c r="C241" s="108"/>
      <c r="D241" s="223"/>
      <c r="E241" s="250"/>
      <c r="F241" s="165" t="str">
        <f t="shared" si="28"/>
        <v/>
      </c>
      <c r="G241" s="186"/>
      <c r="H241" s="247"/>
      <c r="I241" s="108">
        <v>29.2</v>
      </c>
      <c r="J241" s="106" t="s">
        <v>18</v>
      </c>
      <c r="K241" s="269">
        <f>SUM(K242:K252)</f>
        <v>16.93</v>
      </c>
    </row>
    <row r="242" spans="1:18" hidden="1" x14ac:dyDescent="0.35">
      <c r="A242" s="103"/>
      <c r="B242" s="12" t="s">
        <v>31</v>
      </c>
      <c r="C242" s="10" t="s">
        <v>383</v>
      </c>
      <c r="D242" s="152"/>
      <c r="E242" s="170"/>
      <c r="F242" s="153" t="str">
        <f t="shared" si="28"/>
        <v/>
      </c>
      <c r="G242" s="256"/>
      <c r="H242" s="166">
        <f t="shared" ref="H242:H255" si="32">IF(ISNUMBER(E242),E242,0)+IF(ISNUMBER(F242),F242,0)-IF(ISNUMBER(G242),G242,0)</f>
        <v>0</v>
      </c>
      <c r="I242" s="10">
        <v>19.03</v>
      </c>
      <c r="J242" s="11">
        <v>5.5</v>
      </c>
      <c r="K242" s="12">
        <f t="shared" ref="K242" si="33">G242*J242</f>
        <v>0</v>
      </c>
    </row>
    <row r="243" spans="1:18" x14ac:dyDescent="0.35">
      <c r="A243" s="103"/>
      <c r="B243" s="12" t="s">
        <v>31</v>
      </c>
      <c r="C243" s="10" t="s">
        <v>39</v>
      </c>
      <c r="D243" s="152">
        <v>1</v>
      </c>
      <c r="E243" s="170"/>
      <c r="F243" s="153" t="str">
        <f t="shared" si="28"/>
        <v/>
      </c>
      <c r="G243" s="256"/>
      <c r="H243" s="166">
        <f t="shared" si="32"/>
        <v>0</v>
      </c>
      <c r="I243" s="10">
        <v>8.4600000000000009</v>
      </c>
      <c r="J243" s="11">
        <v>4.55</v>
      </c>
      <c r="K243" s="12">
        <f>H243*J243</f>
        <v>0</v>
      </c>
      <c r="R243" s="87"/>
    </row>
    <row r="244" spans="1:18" x14ac:dyDescent="0.35">
      <c r="A244" s="103"/>
      <c r="B244" s="12" t="s">
        <v>31</v>
      </c>
      <c r="C244" s="10" t="s">
        <v>422</v>
      </c>
      <c r="D244" s="152">
        <v>1</v>
      </c>
      <c r="E244" s="170"/>
      <c r="F244" s="153" t="str">
        <f t="shared" si="28"/>
        <v/>
      </c>
      <c r="G244" s="256"/>
      <c r="H244" s="166">
        <f t="shared" si="32"/>
        <v>0</v>
      </c>
      <c r="I244" s="10" t="s">
        <v>20</v>
      </c>
      <c r="J244" s="11">
        <v>3.7</v>
      </c>
      <c r="K244" s="12">
        <f t="shared" ref="K244:K255" si="34">H244*J244</f>
        <v>0</v>
      </c>
    </row>
    <row r="245" spans="1:18" x14ac:dyDescent="0.35">
      <c r="A245" s="103"/>
      <c r="B245" s="12" t="s">
        <v>31</v>
      </c>
      <c r="C245" s="10" t="s">
        <v>67</v>
      </c>
      <c r="D245" s="152">
        <v>1</v>
      </c>
      <c r="E245" s="170"/>
      <c r="F245" s="153" t="str">
        <f t="shared" si="28"/>
        <v/>
      </c>
      <c r="G245" s="256"/>
      <c r="H245" s="166">
        <f t="shared" si="32"/>
        <v>0</v>
      </c>
      <c r="I245" s="10" t="s">
        <v>20</v>
      </c>
      <c r="J245" s="11">
        <v>15.56</v>
      </c>
      <c r="K245" s="12">
        <f t="shared" si="34"/>
        <v>0</v>
      </c>
    </row>
    <row r="246" spans="1:18" hidden="1" x14ac:dyDescent="0.35">
      <c r="A246" s="103"/>
      <c r="B246" s="12" t="s">
        <v>31</v>
      </c>
      <c r="C246" s="10" t="s">
        <v>384</v>
      </c>
      <c r="D246" s="152"/>
      <c r="E246" s="170"/>
      <c r="F246" s="153" t="str">
        <f t="shared" si="28"/>
        <v/>
      </c>
      <c r="G246" s="256"/>
      <c r="H246" s="166">
        <f t="shared" si="32"/>
        <v>0</v>
      </c>
      <c r="I246" s="10" t="s">
        <v>20</v>
      </c>
      <c r="J246" s="11">
        <v>0.8</v>
      </c>
      <c r="K246" s="12">
        <f t="shared" si="34"/>
        <v>0</v>
      </c>
    </row>
    <row r="247" spans="1:18" hidden="1" x14ac:dyDescent="0.35">
      <c r="A247" s="103"/>
      <c r="B247" s="12" t="s">
        <v>31</v>
      </c>
      <c r="C247" s="10" t="s">
        <v>385</v>
      </c>
      <c r="D247" s="152"/>
      <c r="E247" s="170"/>
      <c r="F247" s="153" t="str">
        <f t="shared" si="28"/>
        <v/>
      </c>
      <c r="G247" s="256"/>
      <c r="H247" s="166">
        <f t="shared" si="32"/>
        <v>0</v>
      </c>
      <c r="I247" s="10" t="s">
        <v>20</v>
      </c>
      <c r="J247" s="11">
        <v>1.83</v>
      </c>
      <c r="K247" s="12">
        <f t="shared" si="34"/>
        <v>0</v>
      </c>
    </row>
    <row r="248" spans="1:18" x14ac:dyDescent="0.35">
      <c r="A248" s="103"/>
      <c r="B248" s="12" t="s">
        <v>31</v>
      </c>
      <c r="C248" s="10" t="s">
        <v>386</v>
      </c>
      <c r="D248" s="152">
        <v>1</v>
      </c>
      <c r="E248" s="170"/>
      <c r="F248" s="153" t="str">
        <f t="shared" si="28"/>
        <v/>
      </c>
      <c r="G248" s="256"/>
      <c r="H248" s="166">
        <f t="shared" si="32"/>
        <v>0</v>
      </c>
      <c r="I248" s="10" t="s">
        <v>20</v>
      </c>
      <c r="J248" s="11">
        <v>2.65</v>
      </c>
      <c r="K248" s="12">
        <f t="shared" si="34"/>
        <v>0</v>
      </c>
    </row>
    <row r="249" spans="1:18" x14ac:dyDescent="0.35">
      <c r="A249" s="103"/>
      <c r="B249" s="12" t="s">
        <v>31</v>
      </c>
      <c r="C249" s="10" t="s">
        <v>65</v>
      </c>
      <c r="D249" s="152">
        <v>1</v>
      </c>
      <c r="E249" s="170">
        <v>1</v>
      </c>
      <c r="F249" s="153" t="str">
        <f t="shared" si="28"/>
        <v/>
      </c>
      <c r="G249" s="256"/>
      <c r="H249" s="166">
        <f t="shared" si="32"/>
        <v>1</v>
      </c>
      <c r="I249" s="10" t="s">
        <v>20</v>
      </c>
      <c r="J249" s="11">
        <v>13.43</v>
      </c>
      <c r="K249" s="12">
        <f t="shared" si="34"/>
        <v>13.43</v>
      </c>
    </row>
    <row r="250" spans="1:18" hidden="1" x14ac:dyDescent="0.35">
      <c r="A250" s="103"/>
      <c r="B250" s="12" t="s">
        <v>31</v>
      </c>
      <c r="C250" s="10" t="s">
        <v>66</v>
      </c>
      <c r="D250" s="152"/>
      <c r="E250" s="170"/>
      <c r="F250" s="153" t="str">
        <f t="shared" si="28"/>
        <v/>
      </c>
      <c r="G250" s="256"/>
      <c r="H250" s="166">
        <f t="shared" si="32"/>
        <v>0</v>
      </c>
      <c r="I250" s="10" t="s">
        <v>20</v>
      </c>
      <c r="J250" s="11">
        <v>75.38</v>
      </c>
      <c r="K250" s="12">
        <f t="shared" si="34"/>
        <v>0</v>
      </c>
    </row>
    <row r="251" spans="1:18" x14ac:dyDescent="0.35">
      <c r="A251" s="103"/>
      <c r="B251" s="12" t="s">
        <v>31</v>
      </c>
      <c r="C251" s="10" t="s">
        <v>412</v>
      </c>
      <c r="D251" s="152">
        <v>1</v>
      </c>
      <c r="E251" s="170"/>
      <c r="F251" s="153" t="str">
        <f t="shared" si="28"/>
        <v/>
      </c>
      <c r="G251" s="256"/>
      <c r="H251" s="166">
        <f t="shared" si="32"/>
        <v>0</v>
      </c>
      <c r="I251" s="10" t="s">
        <v>20</v>
      </c>
      <c r="J251" s="11">
        <v>8.43</v>
      </c>
      <c r="K251" s="12">
        <f t="shared" si="34"/>
        <v>0</v>
      </c>
    </row>
    <row r="252" spans="1:18" x14ac:dyDescent="0.35">
      <c r="A252" s="103"/>
      <c r="B252" s="12" t="s">
        <v>31</v>
      </c>
      <c r="C252" s="10" t="s">
        <v>69</v>
      </c>
      <c r="D252" s="152">
        <v>1</v>
      </c>
      <c r="E252" s="170">
        <v>1</v>
      </c>
      <c r="F252" s="153" t="str">
        <f t="shared" si="28"/>
        <v/>
      </c>
      <c r="G252" s="256"/>
      <c r="H252" s="166">
        <f t="shared" si="32"/>
        <v>1</v>
      </c>
      <c r="I252" s="10" t="s">
        <v>63</v>
      </c>
      <c r="J252" s="11">
        <v>3.5</v>
      </c>
      <c r="K252" s="12">
        <f t="shared" si="34"/>
        <v>3.5</v>
      </c>
    </row>
    <row r="253" spans="1:18" ht="15.5" hidden="1" x14ac:dyDescent="0.35">
      <c r="A253" s="108" t="s">
        <v>57</v>
      </c>
      <c r="B253" s="108"/>
      <c r="C253" s="108"/>
      <c r="D253" s="111"/>
      <c r="E253" s="162"/>
      <c r="F253" s="165" t="str">
        <f t="shared" si="28"/>
        <v/>
      </c>
      <c r="G253" s="186"/>
      <c r="H253" s="247"/>
      <c r="I253" s="108"/>
      <c r="J253" s="106" t="s">
        <v>18</v>
      </c>
      <c r="K253" s="270">
        <f>K254+K255</f>
        <v>0</v>
      </c>
    </row>
    <row r="254" spans="1:18" hidden="1" x14ac:dyDescent="0.35">
      <c r="A254" s="103"/>
      <c r="B254" s="12" t="s">
        <v>56</v>
      </c>
      <c r="C254" s="10" t="s">
        <v>58</v>
      </c>
      <c r="D254" s="135"/>
      <c r="E254" s="187"/>
      <c r="F254" s="153" t="str">
        <f t="shared" si="28"/>
        <v/>
      </c>
      <c r="G254" s="256"/>
      <c r="H254" s="166">
        <f t="shared" si="32"/>
        <v>0</v>
      </c>
      <c r="I254" s="10" t="s">
        <v>20</v>
      </c>
      <c r="J254" s="11">
        <v>54.05</v>
      </c>
      <c r="K254" s="12">
        <f t="shared" si="34"/>
        <v>0</v>
      </c>
    </row>
    <row r="255" spans="1:18" hidden="1" x14ac:dyDescent="0.35">
      <c r="A255" s="103"/>
      <c r="B255" s="12" t="s">
        <v>56</v>
      </c>
      <c r="C255" s="10" t="s">
        <v>388</v>
      </c>
      <c r="D255" s="135"/>
      <c r="E255" s="187"/>
      <c r="F255" s="153" t="str">
        <f t="shared" si="28"/>
        <v/>
      </c>
      <c r="G255" s="256"/>
      <c r="H255" s="166">
        <f t="shared" si="32"/>
        <v>0</v>
      </c>
      <c r="I255" s="10" t="s">
        <v>20</v>
      </c>
      <c r="J255" s="11">
        <v>0</v>
      </c>
      <c r="K255" s="12">
        <f t="shared" si="34"/>
        <v>0</v>
      </c>
    </row>
  </sheetData>
  <mergeCells count="2">
    <mergeCell ref="B1:C1"/>
    <mergeCell ref="B2:C2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32F9B-72A5-4C0A-88AE-48F32B3BCE62}">
  <sheetPr codeName="Feuil35">
    <tabColor rgb="FFFF5050"/>
  </sheetPr>
  <dimension ref="A1:R260"/>
  <sheetViews>
    <sheetView topLeftCell="B21" zoomScale="112" zoomScaleNormal="112" workbookViewId="0">
      <selection activeCell="M244" sqref="M244"/>
    </sheetView>
  </sheetViews>
  <sheetFormatPr baseColWidth="10" defaultColWidth="10.7265625" defaultRowHeight="14.5" x14ac:dyDescent="0.35"/>
  <cols>
    <col min="1" max="1" width="2.81640625" customWidth="1"/>
    <col min="2" max="2" width="30.1796875" bestFit="1" customWidth="1"/>
    <col min="3" max="3" width="44.54296875" bestFit="1" customWidth="1"/>
    <col min="4" max="4" width="14.26953125" style="13" bestFit="1" customWidth="1"/>
    <col min="5" max="5" width="17.1796875" style="34" bestFit="1" customWidth="1"/>
    <col min="6" max="6" width="17" bestFit="1" customWidth="1"/>
    <col min="7" max="7" width="15.26953125" style="253" bestFit="1" customWidth="1"/>
    <col min="8" max="8" width="10.26953125" style="16" customWidth="1"/>
    <col min="9" max="9" width="6.81640625" bestFit="1" customWidth="1"/>
    <col min="10" max="10" width="10.26953125" customWidth="1"/>
    <col min="11" max="11" width="19.54296875" bestFit="1" customWidth="1"/>
  </cols>
  <sheetData>
    <row r="1" spans="2:6" ht="15" thickBot="1" x14ac:dyDescent="0.4">
      <c r="B1" s="321" t="s">
        <v>198</v>
      </c>
      <c r="C1" s="322"/>
      <c r="E1" s="154"/>
      <c r="F1" s="89"/>
    </row>
    <row r="2" spans="2:6" ht="15" thickBot="1" x14ac:dyDescent="0.4">
      <c r="B2" s="319"/>
      <c r="C2" s="320"/>
      <c r="E2" s="155"/>
      <c r="F2" s="90"/>
    </row>
    <row r="3" spans="2:6" x14ac:dyDescent="0.35">
      <c r="B3" s="75"/>
      <c r="C3" s="75"/>
      <c r="E3" s="156"/>
      <c r="F3" s="75"/>
    </row>
    <row r="4" spans="2:6" ht="15.5" x14ac:dyDescent="0.35">
      <c r="B4" s="70" t="s">
        <v>0</v>
      </c>
      <c r="C4" s="70" t="s">
        <v>1</v>
      </c>
      <c r="E4" s="157"/>
      <c r="F4" s="91"/>
    </row>
    <row r="5" spans="2:6" x14ac:dyDescent="0.35">
      <c r="B5" s="71" t="s">
        <v>2</v>
      </c>
      <c r="C5" s="72">
        <f>K23</f>
        <v>0</v>
      </c>
      <c r="E5" s="156"/>
      <c r="F5" s="75"/>
    </row>
    <row r="6" spans="2:6" x14ac:dyDescent="0.35">
      <c r="B6" s="71" t="s">
        <v>7</v>
      </c>
      <c r="C6" s="72">
        <f>K41</f>
        <v>0</v>
      </c>
      <c r="E6" s="156"/>
      <c r="F6" s="75"/>
    </row>
    <row r="7" spans="2:6" x14ac:dyDescent="0.35">
      <c r="B7" s="71" t="s">
        <v>13</v>
      </c>
      <c r="C7" s="72">
        <f>K50</f>
        <v>95.6</v>
      </c>
      <c r="E7" s="156"/>
      <c r="F7" s="75"/>
    </row>
    <row r="8" spans="2:6" x14ac:dyDescent="0.35">
      <c r="B8" s="71" t="s">
        <v>3</v>
      </c>
      <c r="C8" s="72">
        <f>K78</f>
        <v>0</v>
      </c>
      <c r="E8" s="156"/>
      <c r="F8" s="75"/>
    </row>
    <row r="9" spans="2:6" x14ac:dyDescent="0.35">
      <c r="B9" s="71" t="s">
        <v>4</v>
      </c>
      <c r="C9" s="72">
        <f>K122</f>
        <v>362.22</v>
      </c>
      <c r="E9" s="156"/>
      <c r="F9" s="75"/>
    </row>
    <row r="10" spans="2:6" x14ac:dyDescent="0.35">
      <c r="B10" s="71" t="s">
        <v>199</v>
      </c>
      <c r="C10" s="72">
        <f>K176</f>
        <v>0</v>
      </c>
      <c r="E10" s="156"/>
      <c r="F10" s="75"/>
    </row>
    <row r="11" spans="2:6" x14ac:dyDescent="0.35">
      <c r="B11" s="71" t="s">
        <v>200</v>
      </c>
      <c r="C11" s="72">
        <f>K187</f>
        <v>154.80000000000001</v>
      </c>
      <c r="E11" s="156"/>
      <c r="F11" s="75"/>
    </row>
    <row r="12" spans="2:6" x14ac:dyDescent="0.35">
      <c r="B12" s="71" t="s">
        <v>201</v>
      </c>
      <c r="C12" s="72">
        <f>K193</f>
        <v>0</v>
      </c>
      <c r="E12" s="156"/>
      <c r="F12" s="75"/>
    </row>
    <row r="13" spans="2:6" x14ac:dyDescent="0.35">
      <c r="B13" s="71" t="s">
        <v>202</v>
      </c>
      <c r="C13" s="72">
        <f>K195</f>
        <v>0</v>
      </c>
      <c r="E13" s="156"/>
      <c r="F13" s="75"/>
    </row>
    <row r="14" spans="2:6" x14ac:dyDescent="0.35">
      <c r="B14" s="71" t="s">
        <v>203</v>
      </c>
      <c r="C14" s="72">
        <f>K208</f>
        <v>0</v>
      </c>
      <c r="E14" s="285"/>
      <c r="F14" s="75"/>
    </row>
    <row r="15" spans="2:6" x14ac:dyDescent="0.35">
      <c r="B15" s="71" t="s">
        <v>416</v>
      </c>
      <c r="C15" s="72">
        <f>K213</f>
        <v>0</v>
      </c>
      <c r="E15" s="156"/>
      <c r="F15" s="75"/>
    </row>
    <row r="16" spans="2:6" x14ac:dyDescent="0.35">
      <c r="B16" s="71" t="s">
        <v>204</v>
      </c>
      <c r="C16" s="72">
        <f>K218</f>
        <v>0</v>
      </c>
      <c r="E16" s="156"/>
      <c r="F16" s="75"/>
    </row>
    <row r="17" spans="1:17" x14ac:dyDescent="0.35">
      <c r="B17" s="71" t="s">
        <v>9</v>
      </c>
      <c r="C17" s="72">
        <f>K220</f>
        <v>111.47</v>
      </c>
      <c r="E17" s="156"/>
      <c r="F17" s="75"/>
    </row>
    <row r="18" spans="1:17" x14ac:dyDescent="0.35">
      <c r="B18" s="71" t="s">
        <v>205</v>
      </c>
      <c r="C18" s="72">
        <f>K241</f>
        <v>47.94</v>
      </c>
      <c r="E18" s="156"/>
      <c r="F18" s="75"/>
    </row>
    <row r="19" spans="1:17" x14ac:dyDescent="0.35">
      <c r="B19" s="71" t="s">
        <v>56</v>
      </c>
      <c r="C19" s="72">
        <f>K253</f>
        <v>0</v>
      </c>
      <c r="E19" s="156"/>
      <c r="F19" s="75"/>
    </row>
    <row r="20" spans="1:17" x14ac:dyDescent="0.35">
      <c r="B20" s="73" t="s">
        <v>14</v>
      </c>
      <c r="C20" s="74">
        <f>C5+C6+C7+C8+C9+C10+C11+C12+C13+C14+C15+C16+C17+C18+C19</f>
        <v>772.0300000000002</v>
      </c>
      <c r="E20" s="248"/>
      <c r="F20" s="243"/>
    </row>
    <row r="21" spans="1:17" ht="18.5" x14ac:dyDescent="0.45">
      <c r="A21" s="76" t="s">
        <v>397</v>
      </c>
      <c r="B21" s="76"/>
      <c r="C21" s="76"/>
      <c r="D21" s="234"/>
      <c r="E21" s="160"/>
      <c r="F21" s="76"/>
      <c r="G21" s="254"/>
      <c r="H21" s="69"/>
      <c r="I21" s="76"/>
      <c r="J21" s="76"/>
      <c r="K21" s="76"/>
    </row>
    <row r="22" spans="1:17" x14ac:dyDescent="0.35">
      <c r="A22" s="129"/>
      <c r="B22" s="129" t="s">
        <v>15</v>
      </c>
      <c r="C22" s="129" t="s">
        <v>16</v>
      </c>
      <c r="D22" s="235" t="s">
        <v>398</v>
      </c>
      <c r="E22" s="185" t="s">
        <v>404</v>
      </c>
      <c r="F22" s="130" t="s">
        <v>399</v>
      </c>
      <c r="G22" s="255" t="s">
        <v>405</v>
      </c>
      <c r="H22" s="131" t="s">
        <v>408</v>
      </c>
      <c r="I22" s="129" t="s">
        <v>406</v>
      </c>
      <c r="J22" s="133" t="s">
        <v>45</v>
      </c>
      <c r="K22" s="129" t="s">
        <v>1</v>
      </c>
    </row>
    <row r="23" spans="1:17" ht="15.5" hidden="1" x14ac:dyDescent="0.35">
      <c r="A23" s="108" t="s">
        <v>208</v>
      </c>
      <c r="B23" s="108"/>
      <c r="C23" s="108"/>
      <c r="D23" s="111"/>
      <c r="E23" s="162"/>
      <c r="F23" s="108"/>
      <c r="G23" s="186"/>
      <c r="H23" s="109"/>
      <c r="I23" s="108"/>
      <c r="J23" s="110" t="s">
        <v>18</v>
      </c>
      <c r="K23" s="269">
        <f>SUM(K24:K40)</f>
        <v>0</v>
      </c>
    </row>
    <row r="24" spans="1:17" hidden="1" x14ac:dyDescent="0.35">
      <c r="A24" s="103"/>
      <c r="B24" s="7" t="s">
        <v>2</v>
      </c>
      <c r="C24" s="14" t="s">
        <v>19</v>
      </c>
      <c r="D24" s="152"/>
      <c r="E24" s="187"/>
      <c r="F24" s="153" t="str">
        <f t="shared" ref="F24:F88" si="0">IF(E24="","",IF(D24-E24&gt;0,D24-E24,""))</f>
        <v/>
      </c>
      <c r="G24" s="256"/>
      <c r="H24" s="166">
        <f t="shared" ref="H24:H45" si="1">IF(ISNUMBER(E24),E24,0)+IF(ISNUMBER(F24),F24,0)-IF(ISNUMBER(G24),G24,0)</f>
        <v>0</v>
      </c>
      <c r="I24" s="10" t="s">
        <v>20</v>
      </c>
      <c r="J24" s="11">
        <v>55.95</v>
      </c>
      <c r="K24" s="12">
        <f t="shared" ref="K24:K27" si="2">G24*J24</f>
        <v>0</v>
      </c>
    </row>
    <row r="25" spans="1:17" hidden="1" x14ac:dyDescent="0.35">
      <c r="A25" s="103"/>
      <c r="B25" s="7" t="s">
        <v>2</v>
      </c>
      <c r="C25" s="14" t="s">
        <v>209</v>
      </c>
      <c r="D25" s="152"/>
      <c r="E25" s="187"/>
      <c r="F25" s="153" t="str">
        <f t="shared" si="0"/>
        <v/>
      </c>
      <c r="G25" s="256"/>
      <c r="H25" s="166">
        <f t="shared" si="1"/>
        <v>0</v>
      </c>
      <c r="I25" s="10" t="s">
        <v>20</v>
      </c>
      <c r="J25" s="11">
        <v>173.1</v>
      </c>
      <c r="K25" s="12">
        <f t="shared" si="2"/>
        <v>0</v>
      </c>
    </row>
    <row r="26" spans="1:17" hidden="1" x14ac:dyDescent="0.35">
      <c r="A26" s="103"/>
      <c r="B26" s="12" t="s">
        <v>2</v>
      </c>
      <c r="C26" s="10" t="s">
        <v>21</v>
      </c>
      <c r="D26" s="152"/>
      <c r="E26" s="187"/>
      <c r="F26" s="153" t="str">
        <f t="shared" si="0"/>
        <v/>
      </c>
      <c r="G26" s="256"/>
      <c r="H26" s="166">
        <f t="shared" si="1"/>
        <v>0</v>
      </c>
      <c r="I26" s="10" t="s">
        <v>20</v>
      </c>
      <c r="J26" s="11">
        <v>75.400000000000006</v>
      </c>
      <c r="K26" s="12">
        <f t="shared" si="2"/>
        <v>0</v>
      </c>
    </row>
    <row r="27" spans="1:17" hidden="1" x14ac:dyDescent="0.35">
      <c r="A27" s="103"/>
      <c r="B27" s="12" t="s">
        <v>2</v>
      </c>
      <c r="C27" s="10" t="s">
        <v>210</v>
      </c>
      <c r="D27" s="152"/>
      <c r="E27" s="187"/>
      <c r="F27" s="153" t="str">
        <f t="shared" si="0"/>
        <v/>
      </c>
      <c r="G27" s="257"/>
      <c r="H27" s="166">
        <f t="shared" si="1"/>
        <v>0</v>
      </c>
      <c r="I27" s="10" t="s">
        <v>20</v>
      </c>
      <c r="J27" s="11">
        <v>84.9</v>
      </c>
      <c r="K27" s="12">
        <f t="shared" si="2"/>
        <v>0</v>
      </c>
    </row>
    <row r="28" spans="1:17" hidden="1" x14ac:dyDescent="0.35">
      <c r="A28" s="103"/>
      <c r="B28" s="12" t="s">
        <v>2</v>
      </c>
      <c r="C28" s="10" t="s">
        <v>211</v>
      </c>
      <c r="D28" s="152"/>
      <c r="E28" s="187"/>
      <c r="F28" s="153" t="str">
        <f t="shared" si="0"/>
        <v/>
      </c>
      <c r="G28" s="256"/>
      <c r="H28" s="166">
        <f t="shared" si="1"/>
        <v>0</v>
      </c>
      <c r="I28" s="10" t="s">
        <v>20</v>
      </c>
      <c r="J28" s="11">
        <v>2.96</v>
      </c>
      <c r="K28" s="12">
        <f>H28*J28</f>
        <v>0</v>
      </c>
    </row>
    <row r="29" spans="1:17" hidden="1" x14ac:dyDescent="0.35">
      <c r="A29" s="103"/>
      <c r="B29" s="12" t="s">
        <v>2</v>
      </c>
      <c r="C29" s="10" t="s">
        <v>212</v>
      </c>
      <c r="D29" s="152"/>
      <c r="E29" s="187"/>
      <c r="F29" s="153" t="str">
        <f t="shared" si="0"/>
        <v/>
      </c>
      <c r="G29" s="256"/>
      <c r="H29" s="166">
        <f t="shared" si="1"/>
        <v>0</v>
      </c>
      <c r="I29" s="10" t="s">
        <v>20</v>
      </c>
      <c r="J29" s="11">
        <v>2.96</v>
      </c>
      <c r="K29" s="12">
        <f t="shared" ref="K29:K40" si="3">H29*J29</f>
        <v>0</v>
      </c>
    </row>
    <row r="30" spans="1:17" hidden="1" x14ac:dyDescent="0.35">
      <c r="A30" s="103"/>
      <c r="B30" s="12" t="s">
        <v>2</v>
      </c>
      <c r="C30" s="10" t="s">
        <v>213</v>
      </c>
      <c r="D30" s="152"/>
      <c r="E30" s="187"/>
      <c r="F30" s="153" t="str">
        <f t="shared" si="0"/>
        <v/>
      </c>
      <c r="G30" s="256"/>
      <c r="H30" s="166">
        <f t="shared" si="1"/>
        <v>0</v>
      </c>
      <c r="I30" s="10" t="s">
        <v>20</v>
      </c>
      <c r="J30" s="11">
        <v>2.96</v>
      </c>
      <c r="K30" s="12">
        <f t="shared" si="3"/>
        <v>0</v>
      </c>
      <c r="Q30" s="268"/>
    </row>
    <row r="31" spans="1:17" hidden="1" x14ac:dyDescent="0.35">
      <c r="A31" s="103"/>
      <c r="B31" s="7" t="s">
        <v>2</v>
      </c>
      <c r="C31" s="14" t="s">
        <v>22</v>
      </c>
      <c r="D31" s="152"/>
      <c r="E31" s="187"/>
      <c r="F31" s="153" t="str">
        <f t="shared" si="0"/>
        <v/>
      </c>
      <c r="G31" s="256"/>
      <c r="H31" s="166">
        <f t="shared" si="1"/>
        <v>0</v>
      </c>
      <c r="I31" s="10" t="s">
        <v>20</v>
      </c>
      <c r="J31" s="11">
        <v>107.2</v>
      </c>
      <c r="K31" s="12">
        <f t="shared" si="3"/>
        <v>0</v>
      </c>
    </row>
    <row r="32" spans="1:17" hidden="1" x14ac:dyDescent="0.35">
      <c r="A32" s="103"/>
      <c r="B32" s="7" t="s">
        <v>2</v>
      </c>
      <c r="C32" s="14" t="s">
        <v>214</v>
      </c>
      <c r="D32" s="152"/>
      <c r="E32" s="187"/>
      <c r="F32" s="153" t="str">
        <f t="shared" si="0"/>
        <v/>
      </c>
      <c r="G32" s="256"/>
      <c r="H32" s="166">
        <f t="shared" si="1"/>
        <v>0</v>
      </c>
      <c r="I32" s="10" t="s">
        <v>20</v>
      </c>
      <c r="J32" s="11">
        <v>170.7</v>
      </c>
      <c r="K32" s="12">
        <f t="shared" si="3"/>
        <v>0</v>
      </c>
      <c r="M32" s="87"/>
    </row>
    <row r="33" spans="1:14" hidden="1" x14ac:dyDescent="0.35">
      <c r="A33" s="103"/>
      <c r="B33" s="12" t="s">
        <v>2</v>
      </c>
      <c r="C33" s="10" t="s">
        <v>215</v>
      </c>
      <c r="D33" s="152"/>
      <c r="E33" s="187"/>
      <c r="F33" s="153" t="str">
        <f t="shared" si="0"/>
        <v/>
      </c>
      <c r="G33" s="256"/>
      <c r="H33" s="166">
        <f t="shared" si="1"/>
        <v>0</v>
      </c>
      <c r="I33" s="10" t="s">
        <v>216</v>
      </c>
      <c r="J33" s="11">
        <v>3.77</v>
      </c>
      <c r="K33" s="12">
        <f t="shared" si="3"/>
        <v>0</v>
      </c>
    </row>
    <row r="34" spans="1:14" hidden="1" x14ac:dyDescent="0.35">
      <c r="A34" s="103"/>
      <c r="B34" s="12" t="s">
        <v>2</v>
      </c>
      <c r="C34" s="10" t="s">
        <v>217</v>
      </c>
      <c r="D34" s="152"/>
      <c r="E34" s="187"/>
      <c r="F34" s="153" t="str">
        <f t="shared" si="0"/>
        <v/>
      </c>
      <c r="G34" s="256"/>
      <c r="H34" s="166">
        <f t="shared" si="1"/>
        <v>0</v>
      </c>
      <c r="I34" s="10" t="s">
        <v>20</v>
      </c>
      <c r="J34" s="11">
        <v>2.56</v>
      </c>
      <c r="K34" s="12">
        <f t="shared" si="3"/>
        <v>0</v>
      </c>
      <c r="N34" s="87"/>
    </row>
    <row r="35" spans="1:14" hidden="1" x14ac:dyDescent="0.35">
      <c r="A35" s="103"/>
      <c r="B35" s="12" t="s">
        <v>2</v>
      </c>
      <c r="C35" s="10" t="s">
        <v>218</v>
      </c>
      <c r="D35" s="152"/>
      <c r="E35" s="187"/>
      <c r="F35" s="153" t="str">
        <f t="shared" si="0"/>
        <v/>
      </c>
      <c r="G35" s="256"/>
      <c r="H35" s="166">
        <f t="shared" si="1"/>
        <v>0</v>
      </c>
      <c r="I35" s="10" t="s">
        <v>20</v>
      </c>
      <c r="J35" s="11">
        <v>3.08</v>
      </c>
      <c r="K35" s="12">
        <f t="shared" si="3"/>
        <v>0</v>
      </c>
    </row>
    <row r="36" spans="1:14" hidden="1" x14ac:dyDescent="0.35">
      <c r="A36" s="103"/>
      <c r="B36" s="12" t="s">
        <v>2</v>
      </c>
      <c r="C36" s="10" t="s">
        <v>219</v>
      </c>
      <c r="D36" s="152"/>
      <c r="E36" s="187"/>
      <c r="F36" s="153" t="str">
        <f t="shared" si="0"/>
        <v/>
      </c>
      <c r="G36" s="256"/>
      <c r="H36" s="166">
        <f t="shared" si="1"/>
        <v>0</v>
      </c>
      <c r="I36" s="10" t="s">
        <v>20</v>
      </c>
      <c r="J36" s="11">
        <v>2.56</v>
      </c>
      <c r="K36" s="12">
        <f t="shared" si="3"/>
        <v>0</v>
      </c>
    </row>
    <row r="37" spans="1:14" hidden="1" x14ac:dyDescent="0.35">
      <c r="A37" s="103"/>
      <c r="B37" s="12" t="s">
        <v>2</v>
      </c>
      <c r="C37" s="10" t="s">
        <v>220</v>
      </c>
      <c r="D37" s="152"/>
      <c r="E37" s="187"/>
      <c r="F37" s="153" t="str">
        <f t="shared" si="0"/>
        <v/>
      </c>
      <c r="G37" s="256"/>
      <c r="H37" s="166">
        <f t="shared" si="1"/>
        <v>0</v>
      </c>
      <c r="I37" s="10" t="s">
        <v>20</v>
      </c>
      <c r="J37" s="11">
        <v>1.41</v>
      </c>
      <c r="K37" s="12">
        <f t="shared" si="3"/>
        <v>0</v>
      </c>
    </row>
    <row r="38" spans="1:14" hidden="1" x14ac:dyDescent="0.35">
      <c r="A38" s="103"/>
      <c r="B38" s="12" t="s">
        <v>2</v>
      </c>
      <c r="C38" s="10" t="s">
        <v>221</v>
      </c>
      <c r="D38" s="152"/>
      <c r="E38" s="187"/>
      <c r="F38" s="153" t="str">
        <f t="shared" si="0"/>
        <v/>
      </c>
      <c r="G38" s="256"/>
      <c r="H38" s="166">
        <f t="shared" si="1"/>
        <v>0</v>
      </c>
      <c r="I38" s="10" t="s">
        <v>20</v>
      </c>
      <c r="J38" s="11">
        <v>1.73</v>
      </c>
      <c r="K38" s="12">
        <f t="shared" si="3"/>
        <v>0</v>
      </c>
    </row>
    <row r="39" spans="1:14" hidden="1" x14ac:dyDescent="0.35">
      <c r="A39" s="103"/>
      <c r="B39" s="12" t="s">
        <v>2</v>
      </c>
      <c r="C39" s="10" t="s">
        <v>222</v>
      </c>
      <c r="D39" s="152"/>
      <c r="E39" s="187"/>
      <c r="F39" s="153" t="str">
        <f t="shared" si="0"/>
        <v/>
      </c>
      <c r="G39" s="256"/>
      <c r="H39" s="166">
        <f t="shared" si="1"/>
        <v>0</v>
      </c>
      <c r="I39" s="10" t="s">
        <v>20</v>
      </c>
      <c r="J39" s="11">
        <v>1.46</v>
      </c>
      <c r="K39" s="12">
        <f t="shared" si="3"/>
        <v>0</v>
      </c>
    </row>
    <row r="40" spans="1:14" hidden="1" x14ac:dyDescent="0.35">
      <c r="A40" s="103"/>
      <c r="B40" s="12" t="s">
        <v>2</v>
      </c>
      <c r="C40" s="10" t="s">
        <v>223</v>
      </c>
      <c r="D40" s="222"/>
      <c r="E40" s="249"/>
      <c r="F40" s="153" t="str">
        <f t="shared" si="0"/>
        <v/>
      </c>
      <c r="G40" s="256"/>
      <c r="H40" s="166">
        <f t="shared" si="1"/>
        <v>0</v>
      </c>
      <c r="I40" s="10" t="s">
        <v>20</v>
      </c>
      <c r="J40" s="77">
        <v>3.45</v>
      </c>
      <c r="K40" s="12">
        <f t="shared" si="3"/>
        <v>0</v>
      </c>
    </row>
    <row r="41" spans="1:14" ht="15.5" x14ac:dyDescent="0.35">
      <c r="A41" s="108" t="s">
        <v>119</v>
      </c>
      <c r="B41" s="108"/>
      <c r="C41" s="108"/>
      <c r="D41" s="223"/>
      <c r="E41" s="286" t="s">
        <v>421</v>
      </c>
      <c r="F41" s="165"/>
      <c r="G41" s="286"/>
      <c r="H41" s="247"/>
      <c r="I41" s="108"/>
      <c r="J41" s="106" t="s">
        <v>18</v>
      </c>
      <c r="K41" s="269">
        <f>SUM(K42:K49)</f>
        <v>0</v>
      </c>
    </row>
    <row r="42" spans="1:14" hidden="1" x14ac:dyDescent="0.35">
      <c r="A42" s="103"/>
      <c r="B42" s="12" t="s">
        <v>7</v>
      </c>
      <c r="C42" s="10" t="s">
        <v>224</v>
      </c>
      <c r="D42" s="152"/>
      <c r="E42" s="187"/>
      <c r="F42" s="153" t="str">
        <f t="shared" si="0"/>
        <v/>
      </c>
      <c r="G42" s="256"/>
      <c r="H42" s="166">
        <f t="shared" si="1"/>
        <v>0</v>
      </c>
      <c r="I42" s="10" t="s">
        <v>20</v>
      </c>
      <c r="J42" s="11">
        <v>100</v>
      </c>
      <c r="K42" s="12">
        <f t="shared" ref="K42:K49" si="4">G42*J42</f>
        <v>0</v>
      </c>
    </row>
    <row r="43" spans="1:14" hidden="1" x14ac:dyDescent="0.35">
      <c r="A43" s="103"/>
      <c r="B43" s="12" t="s">
        <v>7</v>
      </c>
      <c r="C43" s="10" t="s">
        <v>225</v>
      </c>
      <c r="D43" s="152"/>
      <c r="E43" s="187"/>
      <c r="F43" s="153" t="str">
        <f t="shared" si="0"/>
        <v/>
      </c>
      <c r="G43" s="256"/>
      <c r="H43" s="166">
        <f t="shared" si="1"/>
        <v>0</v>
      </c>
      <c r="I43" s="10" t="s">
        <v>20</v>
      </c>
      <c r="J43" s="11">
        <v>12.2</v>
      </c>
      <c r="K43" s="12">
        <f t="shared" si="4"/>
        <v>0</v>
      </c>
    </row>
    <row r="44" spans="1:14" hidden="1" x14ac:dyDescent="0.35">
      <c r="A44" s="103"/>
      <c r="B44" s="12" t="s">
        <v>7</v>
      </c>
      <c r="C44" s="10" t="s">
        <v>226</v>
      </c>
      <c r="D44" s="152"/>
      <c r="E44" s="187"/>
      <c r="F44" s="153" t="str">
        <f t="shared" si="0"/>
        <v/>
      </c>
      <c r="G44" s="256"/>
      <c r="H44" s="166">
        <f t="shared" si="1"/>
        <v>0</v>
      </c>
      <c r="I44" s="10" t="s">
        <v>20</v>
      </c>
      <c r="J44" s="11">
        <v>11</v>
      </c>
      <c r="K44" s="12">
        <f t="shared" si="4"/>
        <v>0</v>
      </c>
    </row>
    <row r="45" spans="1:14" hidden="1" x14ac:dyDescent="0.35">
      <c r="A45" s="103"/>
      <c r="B45" s="12" t="s">
        <v>7</v>
      </c>
      <c r="C45" s="10" t="s">
        <v>227</v>
      </c>
      <c r="D45" s="152"/>
      <c r="E45" s="187"/>
      <c r="F45" s="153" t="str">
        <f t="shared" si="0"/>
        <v/>
      </c>
      <c r="G45" s="256"/>
      <c r="H45" s="166">
        <f t="shared" si="1"/>
        <v>0</v>
      </c>
      <c r="I45" s="10" t="s">
        <v>20</v>
      </c>
      <c r="J45" s="11">
        <v>5</v>
      </c>
      <c r="K45" s="12">
        <f t="shared" si="4"/>
        <v>0</v>
      </c>
    </row>
    <row r="46" spans="1:14" x14ac:dyDescent="0.35">
      <c r="A46" s="103"/>
      <c r="B46" s="12" t="s">
        <v>7</v>
      </c>
      <c r="C46" s="10" t="s">
        <v>46</v>
      </c>
      <c r="D46" s="152"/>
      <c r="E46" s="170"/>
      <c r="F46" s="153" t="str">
        <f t="shared" si="0"/>
        <v/>
      </c>
      <c r="G46" s="256"/>
      <c r="H46" s="166">
        <f>IF(ISNUMBER(E46),E46,0)+IF(ISNUMBER(F46),F46,0)-IF(ISNUMBER(G46),G46,0)</f>
        <v>0</v>
      </c>
      <c r="I46" s="10" t="s">
        <v>20</v>
      </c>
      <c r="J46" s="11">
        <v>5</v>
      </c>
      <c r="K46" s="12">
        <f>H46*J46</f>
        <v>0</v>
      </c>
    </row>
    <row r="47" spans="1:14" hidden="1" x14ac:dyDescent="0.35">
      <c r="A47" s="103"/>
      <c r="B47" s="12" t="s">
        <v>7</v>
      </c>
      <c r="C47" s="10" t="s">
        <v>228</v>
      </c>
      <c r="D47" s="152"/>
      <c r="E47" s="170"/>
      <c r="F47" s="153" t="str">
        <f t="shared" si="0"/>
        <v/>
      </c>
      <c r="G47" s="256"/>
      <c r="H47" s="166">
        <f t="shared" ref="H47:H110" si="5">IF(ISNUMBER(E47),E47,0)+IF(ISNUMBER(F47),F47,0)-IF(ISNUMBER(G47),G47,0)</f>
        <v>0</v>
      </c>
      <c r="I47" s="10" t="s">
        <v>20</v>
      </c>
      <c r="J47" s="11">
        <v>11</v>
      </c>
      <c r="K47" s="12">
        <f t="shared" ref="K47:K48" si="6">H47*J47</f>
        <v>0</v>
      </c>
    </row>
    <row r="48" spans="1:14" hidden="1" x14ac:dyDescent="0.35">
      <c r="A48" s="103"/>
      <c r="B48" s="12" t="s">
        <v>7</v>
      </c>
      <c r="C48" s="10" t="s">
        <v>229</v>
      </c>
      <c r="D48" s="152"/>
      <c r="E48" s="170"/>
      <c r="F48" s="153" t="str">
        <f t="shared" si="0"/>
        <v/>
      </c>
      <c r="G48" s="256"/>
      <c r="H48" s="166">
        <f t="shared" si="5"/>
        <v>0</v>
      </c>
      <c r="I48" s="10" t="s">
        <v>20</v>
      </c>
      <c r="J48" s="11">
        <v>50</v>
      </c>
      <c r="K48" s="12">
        <f t="shared" si="6"/>
        <v>0</v>
      </c>
    </row>
    <row r="49" spans="1:12" hidden="1" x14ac:dyDescent="0.35">
      <c r="A49" s="103"/>
      <c r="B49" s="12" t="s">
        <v>7</v>
      </c>
      <c r="C49" s="78" t="s">
        <v>206</v>
      </c>
      <c r="D49" s="224"/>
      <c r="E49" s="170"/>
      <c r="F49" s="153" t="str">
        <f t="shared" si="0"/>
        <v/>
      </c>
      <c r="G49" s="256"/>
      <c r="H49" s="166">
        <f t="shared" si="5"/>
        <v>0</v>
      </c>
      <c r="I49" s="10" t="s">
        <v>20</v>
      </c>
      <c r="J49" s="79">
        <v>5</v>
      </c>
      <c r="K49" s="12">
        <f t="shared" si="4"/>
        <v>0</v>
      </c>
    </row>
    <row r="50" spans="1:12" ht="15.5" x14ac:dyDescent="0.35">
      <c r="A50" s="103"/>
      <c r="B50" s="104" t="s">
        <v>230</v>
      </c>
      <c r="C50" s="105"/>
      <c r="D50" s="225"/>
      <c r="E50" s="250"/>
      <c r="F50" s="165" t="str">
        <f t="shared" si="0"/>
        <v/>
      </c>
      <c r="G50" s="258"/>
      <c r="H50" s="247"/>
      <c r="I50" s="105"/>
      <c r="J50" s="106" t="s">
        <v>18</v>
      </c>
      <c r="K50" s="269">
        <f>SUM(K52:K77)</f>
        <v>95.6</v>
      </c>
    </row>
    <row r="51" spans="1:12" ht="15.5" x14ac:dyDescent="0.35">
      <c r="A51" s="111"/>
      <c r="B51" s="126" t="s">
        <v>231</v>
      </c>
      <c r="C51" s="127"/>
      <c r="D51" s="226"/>
      <c r="E51" s="250"/>
      <c r="F51" s="165" t="str">
        <f t="shared" si="0"/>
        <v/>
      </c>
      <c r="G51" s="259"/>
      <c r="H51" s="247"/>
      <c r="I51" s="127"/>
      <c r="J51" s="127"/>
      <c r="K51" s="128"/>
    </row>
    <row r="52" spans="1:12" hidden="1" x14ac:dyDescent="0.35">
      <c r="A52" s="103"/>
      <c r="B52" s="12" t="s">
        <v>13</v>
      </c>
      <c r="C52" s="10" t="s">
        <v>78</v>
      </c>
      <c r="D52" s="152"/>
      <c r="E52" s="170"/>
      <c r="F52" s="153" t="str">
        <f t="shared" si="0"/>
        <v/>
      </c>
      <c r="G52" s="256"/>
      <c r="H52" s="166">
        <f t="shared" si="5"/>
        <v>0</v>
      </c>
      <c r="I52" s="10" t="s">
        <v>20</v>
      </c>
      <c r="J52" s="11">
        <v>13</v>
      </c>
      <c r="K52" s="12">
        <f>H52*J52</f>
        <v>0</v>
      </c>
    </row>
    <row r="53" spans="1:12" hidden="1" x14ac:dyDescent="0.35">
      <c r="A53" s="103"/>
      <c r="B53" s="12" t="s">
        <v>13</v>
      </c>
      <c r="C53" s="10" t="s">
        <v>232</v>
      </c>
      <c r="D53" s="152"/>
      <c r="E53" s="170"/>
      <c r="F53" s="153" t="str">
        <f t="shared" si="0"/>
        <v/>
      </c>
      <c r="G53" s="256"/>
      <c r="H53" s="166">
        <f t="shared" si="5"/>
        <v>0</v>
      </c>
      <c r="I53" s="10" t="s">
        <v>20</v>
      </c>
      <c r="J53" s="11">
        <v>13</v>
      </c>
      <c r="K53" s="12">
        <f t="shared" ref="K53:K77" si="7">H53*J53</f>
        <v>0</v>
      </c>
      <c r="L53" s="87"/>
    </row>
    <row r="54" spans="1:12" hidden="1" x14ac:dyDescent="0.35">
      <c r="A54" s="103"/>
      <c r="B54" s="12" t="s">
        <v>13</v>
      </c>
      <c r="C54" s="10" t="s">
        <v>233</v>
      </c>
      <c r="D54" s="152"/>
      <c r="E54" s="170"/>
      <c r="F54" s="153" t="str">
        <f t="shared" si="0"/>
        <v/>
      </c>
      <c r="G54" s="256"/>
      <c r="H54" s="166">
        <f t="shared" si="5"/>
        <v>0</v>
      </c>
      <c r="I54" s="10" t="s">
        <v>20</v>
      </c>
      <c r="J54" s="11">
        <v>8.9</v>
      </c>
      <c r="K54" s="12">
        <f t="shared" si="7"/>
        <v>0</v>
      </c>
    </row>
    <row r="55" spans="1:12" x14ac:dyDescent="0.35">
      <c r="A55" s="103"/>
      <c r="B55" s="12" t="s">
        <v>13</v>
      </c>
      <c r="C55" s="10" t="s">
        <v>32</v>
      </c>
      <c r="D55" s="152">
        <v>2</v>
      </c>
      <c r="E55" s="170">
        <v>2</v>
      </c>
      <c r="F55" s="153" t="str">
        <f t="shared" si="0"/>
        <v/>
      </c>
      <c r="G55" s="256"/>
      <c r="H55" s="166">
        <f t="shared" si="5"/>
        <v>2</v>
      </c>
      <c r="I55" s="10" t="s">
        <v>20</v>
      </c>
      <c r="J55" s="11">
        <v>8.35</v>
      </c>
      <c r="K55" s="12">
        <f t="shared" si="7"/>
        <v>16.7</v>
      </c>
    </row>
    <row r="56" spans="1:12" x14ac:dyDescent="0.35">
      <c r="A56" s="103"/>
      <c r="B56" s="12" t="s">
        <v>13</v>
      </c>
      <c r="C56" s="10" t="s">
        <v>33</v>
      </c>
      <c r="D56" s="152">
        <v>2</v>
      </c>
      <c r="E56" s="170">
        <v>3</v>
      </c>
      <c r="F56" s="153" t="str">
        <f t="shared" si="0"/>
        <v/>
      </c>
      <c r="G56" s="256"/>
      <c r="H56" s="166">
        <f t="shared" si="5"/>
        <v>3</v>
      </c>
      <c r="I56" s="10" t="s">
        <v>20</v>
      </c>
      <c r="J56" s="11">
        <v>8.9</v>
      </c>
      <c r="K56" s="12">
        <f t="shared" si="7"/>
        <v>26.700000000000003</v>
      </c>
    </row>
    <row r="57" spans="1:12" x14ac:dyDescent="0.35">
      <c r="A57" s="103"/>
      <c r="B57" s="12" t="s">
        <v>13</v>
      </c>
      <c r="C57" s="10" t="s">
        <v>59</v>
      </c>
      <c r="D57" s="152">
        <v>2</v>
      </c>
      <c r="E57" s="170">
        <v>6</v>
      </c>
      <c r="F57" s="153" t="str">
        <f t="shared" si="0"/>
        <v/>
      </c>
      <c r="G57" s="256"/>
      <c r="H57" s="166">
        <f t="shared" si="5"/>
        <v>6</v>
      </c>
      <c r="I57" s="10" t="s">
        <v>20</v>
      </c>
      <c r="J57" s="11">
        <v>8.6999999999999993</v>
      </c>
      <c r="K57" s="12">
        <f t="shared" si="7"/>
        <v>52.199999999999996</v>
      </c>
    </row>
    <row r="58" spans="1:12" hidden="1" x14ac:dyDescent="0.35">
      <c r="A58" s="103"/>
      <c r="B58" s="12" t="s">
        <v>13</v>
      </c>
      <c r="C58" s="10" t="s">
        <v>234</v>
      </c>
      <c r="D58" s="152"/>
      <c r="E58" s="170"/>
      <c r="F58" s="153" t="str">
        <f t="shared" si="0"/>
        <v/>
      </c>
      <c r="G58" s="256"/>
      <c r="H58" s="166">
        <f t="shared" si="5"/>
        <v>0</v>
      </c>
      <c r="I58" s="10" t="s">
        <v>20</v>
      </c>
      <c r="J58" s="11">
        <v>12.15</v>
      </c>
      <c r="K58" s="12">
        <f t="shared" si="7"/>
        <v>0</v>
      </c>
    </row>
    <row r="59" spans="1:12" hidden="1" x14ac:dyDescent="0.35">
      <c r="A59" s="103"/>
      <c r="B59" s="12" t="s">
        <v>13</v>
      </c>
      <c r="C59" s="10" t="s">
        <v>235</v>
      </c>
      <c r="D59" s="152"/>
      <c r="E59" s="170"/>
      <c r="F59" s="153" t="str">
        <f t="shared" si="0"/>
        <v/>
      </c>
      <c r="G59" s="256"/>
      <c r="H59" s="166">
        <f t="shared" si="5"/>
        <v>0</v>
      </c>
      <c r="I59" s="10" t="s">
        <v>20</v>
      </c>
      <c r="J59" s="11">
        <v>11.35</v>
      </c>
      <c r="K59" s="12">
        <f t="shared" si="7"/>
        <v>0</v>
      </c>
    </row>
    <row r="60" spans="1:12" hidden="1" x14ac:dyDescent="0.35">
      <c r="A60" s="103"/>
      <c r="B60" s="12" t="s">
        <v>13</v>
      </c>
      <c r="C60" s="10" t="s">
        <v>236</v>
      </c>
      <c r="D60" s="152"/>
      <c r="E60" s="170"/>
      <c r="F60" s="153" t="str">
        <f t="shared" si="0"/>
        <v/>
      </c>
      <c r="G60" s="256"/>
      <c r="H60" s="166">
        <f t="shared" si="5"/>
        <v>0</v>
      </c>
      <c r="I60" s="10" t="s">
        <v>20</v>
      </c>
      <c r="J60" s="11">
        <v>14.65</v>
      </c>
      <c r="K60" s="12">
        <f t="shared" si="7"/>
        <v>0</v>
      </c>
    </row>
    <row r="61" spans="1:12" hidden="1" x14ac:dyDescent="0.35">
      <c r="A61" s="103"/>
      <c r="B61" s="12" t="s">
        <v>13</v>
      </c>
      <c r="C61" s="10" t="s">
        <v>237</v>
      </c>
      <c r="D61" s="152"/>
      <c r="E61" s="170"/>
      <c r="F61" s="153" t="str">
        <f t="shared" si="0"/>
        <v/>
      </c>
      <c r="G61" s="256"/>
      <c r="H61" s="166">
        <f t="shared" si="5"/>
        <v>0</v>
      </c>
      <c r="I61" s="10" t="s">
        <v>20</v>
      </c>
      <c r="J61" s="11">
        <v>16.25</v>
      </c>
      <c r="K61" s="12">
        <f t="shared" si="7"/>
        <v>0</v>
      </c>
    </row>
    <row r="62" spans="1:12" hidden="1" x14ac:dyDescent="0.35">
      <c r="A62" s="103"/>
      <c r="B62" s="12" t="s">
        <v>13</v>
      </c>
      <c r="C62" s="10" t="s">
        <v>238</v>
      </c>
      <c r="D62" s="152"/>
      <c r="E62" s="170"/>
      <c r="F62" s="153" t="str">
        <f t="shared" si="0"/>
        <v/>
      </c>
      <c r="G62" s="256"/>
      <c r="H62" s="166">
        <f t="shared" si="5"/>
        <v>0</v>
      </c>
      <c r="I62" s="10" t="s">
        <v>20</v>
      </c>
      <c r="J62" s="11">
        <v>17.899999999999999</v>
      </c>
      <c r="K62" s="12">
        <f t="shared" si="7"/>
        <v>0</v>
      </c>
    </row>
    <row r="63" spans="1:12" hidden="1" x14ac:dyDescent="0.35">
      <c r="A63" s="103"/>
      <c r="B63" s="12" t="s">
        <v>13</v>
      </c>
      <c r="C63" s="10" t="s">
        <v>239</v>
      </c>
      <c r="D63" s="152"/>
      <c r="E63" s="170"/>
      <c r="F63" s="153" t="str">
        <f t="shared" si="0"/>
        <v/>
      </c>
      <c r="G63" s="256"/>
      <c r="H63" s="166">
        <f t="shared" si="5"/>
        <v>0</v>
      </c>
      <c r="I63" s="10" t="s">
        <v>20</v>
      </c>
      <c r="J63" s="11">
        <v>15.95</v>
      </c>
      <c r="K63" s="12">
        <f t="shared" si="7"/>
        <v>0</v>
      </c>
    </row>
    <row r="64" spans="1:12" hidden="1" x14ac:dyDescent="0.35">
      <c r="A64" s="103"/>
      <c r="B64" s="12" t="s">
        <v>13</v>
      </c>
      <c r="C64" s="10" t="s">
        <v>240</v>
      </c>
      <c r="D64" s="152"/>
      <c r="E64" s="170"/>
      <c r="F64" s="153" t="str">
        <f t="shared" si="0"/>
        <v/>
      </c>
      <c r="G64" s="256"/>
      <c r="H64" s="166">
        <f t="shared" si="5"/>
        <v>0</v>
      </c>
      <c r="I64" s="10" t="s">
        <v>20</v>
      </c>
      <c r="J64" s="11">
        <v>15.45</v>
      </c>
      <c r="K64" s="12">
        <f t="shared" si="7"/>
        <v>0</v>
      </c>
    </row>
    <row r="65" spans="1:15" ht="15.5" hidden="1" x14ac:dyDescent="0.35">
      <c r="A65" s="111"/>
      <c r="B65" s="126" t="s">
        <v>241</v>
      </c>
      <c r="C65" s="127"/>
      <c r="D65" s="226"/>
      <c r="E65" s="250"/>
      <c r="F65" s="165" t="str">
        <f t="shared" si="0"/>
        <v/>
      </c>
      <c r="G65" s="259"/>
      <c r="H65" s="247"/>
      <c r="I65" s="127"/>
      <c r="J65" s="127"/>
      <c r="K65" s="270"/>
    </row>
    <row r="66" spans="1:15" hidden="1" x14ac:dyDescent="0.35">
      <c r="A66" s="103"/>
      <c r="B66" s="12" t="s">
        <v>13</v>
      </c>
      <c r="C66" s="10" t="s">
        <v>242</v>
      </c>
      <c r="D66" s="152"/>
      <c r="E66" s="170"/>
      <c r="F66" s="153" t="str">
        <f t="shared" si="0"/>
        <v/>
      </c>
      <c r="G66" s="256"/>
      <c r="H66" s="166">
        <f t="shared" si="5"/>
        <v>0</v>
      </c>
      <c r="I66" s="10" t="s">
        <v>20</v>
      </c>
      <c r="J66" s="11">
        <v>31.05</v>
      </c>
      <c r="K66" s="12">
        <f t="shared" si="7"/>
        <v>0</v>
      </c>
    </row>
    <row r="67" spans="1:15" hidden="1" x14ac:dyDescent="0.35">
      <c r="A67" s="103"/>
      <c r="B67" s="12" t="s">
        <v>13</v>
      </c>
      <c r="C67" s="10" t="s">
        <v>243</v>
      </c>
      <c r="D67" s="152"/>
      <c r="E67" s="170"/>
      <c r="F67" s="153" t="str">
        <f t="shared" si="0"/>
        <v/>
      </c>
      <c r="G67" s="256"/>
      <c r="H67" s="166">
        <f t="shared" si="5"/>
        <v>0</v>
      </c>
      <c r="I67" s="10" t="s">
        <v>20</v>
      </c>
      <c r="J67" s="11">
        <v>60.79</v>
      </c>
      <c r="K67" s="12">
        <f t="shared" si="7"/>
        <v>0</v>
      </c>
    </row>
    <row r="68" spans="1:15" hidden="1" x14ac:dyDescent="0.35">
      <c r="A68" s="103"/>
      <c r="B68" s="12" t="s">
        <v>13</v>
      </c>
      <c r="C68" s="10" t="s">
        <v>244</v>
      </c>
      <c r="D68" s="152"/>
      <c r="E68" s="170"/>
      <c r="F68" s="153" t="str">
        <f t="shared" si="0"/>
        <v/>
      </c>
      <c r="G68" s="256"/>
      <c r="H68" s="166">
        <f t="shared" si="5"/>
        <v>0</v>
      </c>
      <c r="I68" s="10" t="s">
        <v>20</v>
      </c>
      <c r="J68" s="11">
        <v>56.55</v>
      </c>
      <c r="K68" s="12">
        <f t="shared" si="7"/>
        <v>0</v>
      </c>
    </row>
    <row r="69" spans="1:15" hidden="1" x14ac:dyDescent="0.35">
      <c r="A69" s="103"/>
      <c r="B69" s="12" t="s">
        <v>13</v>
      </c>
      <c r="C69" s="10" t="s">
        <v>245</v>
      </c>
      <c r="D69" s="152"/>
      <c r="E69" s="170"/>
      <c r="F69" s="153" t="str">
        <f t="shared" si="0"/>
        <v/>
      </c>
      <c r="G69" s="256"/>
      <c r="H69" s="166">
        <f t="shared" si="5"/>
        <v>0</v>
      </c>
      <c r="I69" s="10" t="s">
        <v>20</v>
      </c>
      <c r="J69" s="11">
        <v>107.44</v>
      </c>
      <c r="K69" s="12">
        <f t="shared" si="7"/>
        <v>0</v>
      </c>
    </row>
    <row r="70" spans="1:15" hidden="1" x14ac:dyDescent="0.35">
      <c r="A70" s="103"/>
      <c r="B70" s="12" t="s">
        <v>13</v>
      </c>
      <c r="C70" s="10" t="s">
        <v>246</v>
      </c>
      <c r="D70" s="152"/>
      <c r="E70" s="170"/>
      <c r="F70" s="153" t="str">
        <f t="shared" si="0"/>
        <v/>
      </c>
      <c r="G70" s="256"/>
      <c r="H70" s="166">
        <f t="shared" si="5"/>
        <v>0</v>
      </c>
      <c r="I70" s="10" t="s">
        <v>20</v>
      </c>
      <c r="J70" s="11">
        <v>47.4</v>
      </c>
      <c r="K70" s="12">
        <f t="shared" si="7"/>
        <v>0</v>
      </c>
    </row>
    <row r="71" spans="1:15" hidden="1" x14ac:dyDescent="0.35">
      <c r="A71" s="103"/>
      <c r="B71" s="12" t="s">
        <v>13</v>
      </c>
      <c r="C71" s="10" t="s">
        <v>247</v>
      </c>
      <c r="D71" s="152"/>
      <c r="E71" s="170"/>
      <c r="F71" s="153" t="str">
        <f t="shared" si="0"/>
        <v/>
      </c>
      <c r="G71" s="256"/>
      <c r="H71" s="166">
        <f t="shared" si="5"/>
        <v>0</v>
      </c>
      <c r="I71" s="10" t="s">
        <v>20</v>
      </c>
      <c r="J71" s="11">
        <v>87.63</v>
      </c>
      <c r="K71" s="12">
        <f t="shared" si="7"/>
        <v>0</v>
      </c>
    </row>
    <row r="72" spans="1:15" hidden="1" x14ac:dyDescent="0.35">
      <c r="A72" s="103"/>
      <c r="B72" s="12" t="s">
        <v>13</v>
      </c>
      <c r="C72" s="10" t="s">
        <v>248</v>
      </c>
      <c r="D72" s="152"/>
      <c r="E72" s="170"/>
      <c r="F72" s="153" t="str">
        <f t="shared" si="0"/>
        <v/>
      </c>
      <c r="G72" s="256"/>
      <c r="H72" s="166">
        <f t="shared" si="5"/>
        <v>0</v>
      </c>
      <c r="I72" s="10" t="s">
        <v>20</v>
      </c>
      <c r="J72" s="11">
        <v>52.31</v>
      </c>
      <c r="K72" s="12">
        <f t="shared" si="7"/>
        <v>0</v>
      </c>
    </row>
    <row r="73" spans="1:15" ht="15.5" hidden="1" x14ac:dyDescent="0.35">
      <c r="A73" s="111"/>
      <c r="B73" s="126" t="s">
        <v>249</v>
      </c>
      <c r="C73" s="127"/>
      <c r="D73" s="226"/>
      <c r="E73" s="170"/>
      <c r="F73" s="153" t="str">
        <f t="shared" si="0"/>
        <v/>
      </c>
      <c r="G73" s="259"/>
      <c r="H73" s="166">
        <f t="shared" si="5"/>
        <v>0</v>
      </c>
      <c r="I73" s="127"/>
      <c r="J73" s="127"/>
      <c r="K73" s="271"/>
    </row>
    <row r="74" spans="1:15" hidden="1" x14ac:dyDescent="0.35">
      <c r="A74" s="103"/>
      <c r="B74" s="12" t="s">
        <v>13</v>
      </c>
      <c r="C74" s="10" t="s">
        <v>250</v>
      </c>
      <c r="D74" s="152"/>
      <c r="E74" s="170"/>
      <c r="F74" s="153" t="str">
        <f t="shared" si="0"/>
        <v/>
      </c>
      <c r="G74" s="256"/>
      <c r="H74" s="166">
        <f t="shared" si="5"/>
        <v>0</v>
      </c>
      <c r="I74" s="10" t="s">
        <v>20</v>
      </c>
      <c r="J74" s="11">
        <v>10.8</v>
      </c>
      <c r="K74" s="12">
        <f t="shared" si="7"/>
        <v>0</v>
      </c>
    </row>
    <row r="75" spans="1:15" hidden="1" x14ac:dyDescent="0.35">
      <c r="A75" s="103"/>
      <c r="B75" s="12" t="s">
        <v>13</v>
      </c>
      <c r="C75" s="10" t="s">
        <v>251</v>
      </c>
      <c r="D75" s="152"/>
      <c r="E75" s="170"/>
      <c r="F75" s="153" t="str">
        <f t="shared" si="0"/>
        <v/>
      </c>
      <c r="G75" s="256"/>
      <c r="H75" s="166">
        <f t="shared" si="5"/>
        <v>0</v>
      </c>
      <c r="I75" s="10" t="s">
        <v>20</v>
      </c>
      <c r="J75" s="11">
        <v>11.2</v>
      </c>
      <c r="K75" s="12">
        <f t="shared" si="7"/>
        <v>0</v>
      </c>
    </row>
    <row r="76" spans="1:15" hidden="1" x14ac:dyDescent="0.35">
      <c r="A76" s="103"/>
      <c r="B76" s="12" t="s">
        <v>13</v>
      </c>
      <c r="C76" s="10" t="s">
        <v>252</v>
      </c>
      <c r="D76" s="152"/>
      <c r="E76" s="170"/>
      <c r="F76" s="153" t="str">
        <f t="shared" si="0"/>
        <v/>
      </c>
      <c r="G76" s="256"/>
      <c r="H76" s="166">
        <f t="shared" si="5"/>
        <v>0</v>
      </c>
      <c r="I76" s="10" t="s">
        <v>23</v>
      </c>
      <c r="J76" s="11">
        <v>4.5599999999999996</v>
      </c>
      <c r="K76" s="12">
        <f t="shared" si="7"/>
        <v>0</v>
      </c>
    </row>
    <row r="77" spans="1:15" x14ac:dyDescent="0.35">
      <c r="A77" s="103"/>
      <c r="B77" s="12" t="s">
        <v>13</v>
      </c>
      <c r="C77" s="10" t="s">
        <v>253</v>
      </c>
      <c r="D77" s="152"/>
      <c r="E77" s="170"/>
      <c r="F77" s="153" t="str">
        <f t="shared" si="0"/>
        <v/>
      </c>
      <c r="G77" s="256"/>
      <c r="H77" s="166">
        <f t="shared" si="5"/>
        <v>0</v>
      </c>
      <c r="I77" s="10" t="s">
        <v>23</v>
      </c>
      <c r="J77" s="11">
        <v>37.700000000000003</v>
      </c>
      <c r="K77" s="12">
        <f t="shared" si="7"/>
        <v>0</v>
      </c>
      <c r="O77" s="87"/>
    </row>
    <row r="78" spans="1:15" ht="15.5" x14ac:dyDescent="0.35">
      <c r="A78" s="108" t="s">
        <v>254</v>
      </c>
      <c r="B78" s="108"/>
      <c r="C78" s="108"/>
      <c r="D78" s="223"/>
      <c r="E78" s="250"/>
      <c r="F78" s="165" t="str">
        <f t="shared" si="0"/>
        <v/>
      </c>
      <c r="G78" s="186"/>
      <c r="H78" s="247"/>
      <c r="I78" s="108"/>
      <c r="J78" s="110" t="s">
        <v>18</v>
      </c>
      <c r="K78" s="269">
        <f>SUM(K80:K121)</f>
        <v>0</v>
      </c>
    </row>
    <row r="79" spans="1:15" ht="15.5" hidden="1" x14ac:dyDescent="0.35">
      <c r="A79" s="111"/>
      <c r="B79" s="126" t="s">
        <v>255</v>
      </c>
      <c r="C79" s="127"/>
      <c r="D79" s="226"/>
      <c r="E79" s="250"/>
      <c r="F79" s="153" t="str">
        <f t="shared" si="0"/>
        <v/>
      </c>
      <c r="G79" s="259"/>
      <c r="H79" s="247"/>
      <c r="I79" s="127"/>
      <c r="J79" s="127"/>
      <c r="K79" s="128"/>
    </row>
    <row r="80" spans="1:15" hidden="1" x14ac:dyDescent="0.35">
      <c r="A80" s="103"/>
      <c r="B80" s="12" t="s">
        <v>3</v>
      </c>
      <c r="C80" s="10" t="s">
        <v>256</v>
      </c>
      <c r="D80" s="152"/>
      <c r="E80" s="170"/>
      <c r="F80" s="153" t="str">
        <f t="shared" si="0"/>
        <v/>
      </c>
      <c r="G80" s="256"/>
      <c r="H80" s="166">
        <f t="shared" si="5"/>
        <v>0</v>
      </c>
      <c r="I80" s="10" t="s">
        <v>20</v>
      </c>
      <c r="J80" s="11">
        <v>32.950000000000003</v>
      </c>
      <c r="K80" s="12">
        <f t="shared" ref="K80:K86" si="8">G80*J80</f>
        <v>0</v>
      </c>
    </row>
    <row r="81" spans="1:11" hidden="1" x14ac:dyDescent="0.35">
      <c r="A81" s="103"/>
      <c r="B81" s="12" t="s">
        <v>3</v>
      </c>
      <c r="C81" s="10" t="s">
        <v>257</v>
      </c>
      <c r="D81" s="152"/>
      <c r="E81" s="170"/>
      <c r="F81" s="153" t="str">
        <f t="shared" si="0"/>
        <v/>
      </c>
      <c r="G81" s="256"/>
      <c r="H81" s="166">
        <f t="shared" si="5"/>
        <v>0</v>
      </c>
      <c r="I81" s="10" t="s">
        <v>20</v>
      </c>
      <c r="J81" s="11">
        <v>56.95</v>
      </c>
      <c r="K81" s="12">
        <f t="shared" si="8"/>
        <v>0</v>
      </c>
    </row>
    <row r="82" spans="1:11" hidden="1" x14ac:dyDescent="0.35">
      <c r="A82" s="103"/>
      <c r="B82" s="12" t="s">
        <v>3</v>
      </c>
      <c r="C82" s="10" t="s">
        <v>258</v>
      </c>
      <c r="D82" s="152"/>
      <c r="E82" s="170"/>
      <c r="F82" s="153" t="str">
        <f t="shared" si="0"/>
        <v/>
      </c>
      <c r="G82" s="256"/>
      <c r="H82" s="166">
        <f t="shared" si="5"/>
        <v>0</v>
      </c>
      <c r="I82" s="10" t="s">
        <v>20</v>
      </c>
      <c r="J82" s="11">
        <v>15.95</v>
      </c>
      <c r="K82" s="12">
        <f t="shared" si="8"/>
        <v>0</v>
      </c>
    </row>
    <row r="83" spans="1:11" hidden="1" x14ac:dyDescent="0.35">
      <c r="A83" s="103"/>
      <c r="B83" s="12" t="s">
        <v>3</v>
      </c>
      <c r="C83" s="10" t="s">
        <v>259</v>
      </c>
      <c r="D83" s="152"/>
      <c r="E83" s="170"/>
      <c r="F83" s="153" t="str">
        <f t="shared" si="0"/>
        <v/>
      </c>
      <c r="G83" s="256"/>
      <c r="H83" s="166">
        <f t="shared" si="5"/>
        <v>0</v>
      </c>
      <c r="I83" s="10" t="s">
        <v>20</v>
      </c>
      <c r="J83" s="11">
        <v>19.95</v>
      </c>
      <c r="K83" s="12">
        <f t="shared" si="8"/>
        <v>0</v>
      </c>
    </row>
    <row r="84" spans="1:11" hidden="1" x14ac:dyDescent="0.35">
      <c r="A84" s="103"/>
      <c r="B84" s="12" t="s">
        <v>3</v>
      </c>
      <c r="C84" s="10" t="s">
        <v>260</v>
      </c>
      <c r="D84" s="152"/>
      <c r="E84" s="170"/>
      <c r="F84" s="153" t="str">
        <f t="shared" si="0"/>
        <v/>
      </c>
      <c r="G84" s="256"/>
      <c r="H84" s="166">
        <f t="shared" si="5"/>
        <v>0</v>
      </c>
      <c r="I84" s="10" t="s">
        <v>20</v>
      </c>
      <c r="J84" s="11">
        <v>46.95</v>
      </c>
      <c r="K84" s="12">
        <f t="shared" si="8"/>
        <v>0</v>
      </c>
    </row>
    <row r="85" spans="1:11" hidden="1" x14ac:dyDescent="0.35">
      <c r="A85" s="103"/>
      <c r="B85" s="12" t="s">
        <v>3</v>
      </c>
      <c r="C85" s="10" t="s">
        <v>261</v>
      </c>
      <c r="D85" s="152"/>
      <c r="E85" s="170"/>
      <c r="F85" s="153" t="str">
        <f t="shared" si="0"/>
        <v/>
      </c>
      <c r="G85" s="256"/>
      <c r="H85" s="166">
        <f t="shared" si="5"/>
        <v>0</v>
      </c>
      <c r="I85" s="10" t="s">
        <v>20</v>
      </c>
      <c r="J85" s="11">
        <v>34.950000000000003</v>
      </c>
      <c r="K85" s="12">
        <f t="shared" si="8"/>
        <v>0</v>
      </c>
    </row>
    <row r="86" spans="1:11" hidden="1" x14ac:dyDescent="0.35">
      <c r="A86" s="103"/>
      <c r="B86" s="12" t="s">
        <v>3</v>
      </c>
      <c r="C86" s="10" t="s">
        <v>262</v>
      </c>
      <c r="D86" s="152"/>
      <c r="E86" s="170"/>
      <c r="F86" s="153" t="str">
        <f t="shared" si="0"/>
        <v/>
      </c>
      <c r="G86" s="256"/>
      <c r="H86" s="166">
        <f t="shared" si="5"/>
        <v>0</v>
      </c>
      <c r="I86" s="10" t="s">
        <v>20</v>
      </c>
      <c r="J86" s="11">
        <v>24.95</v>
      </c>
      <c r="K86" s="12">
        <f t="shared" si="8"/>
        <v>0</v>
      </c>
    </row>
    <row r="87" spans="1:11" ht="15.5" hidden="1" x14ac:dyDescent="0.35">
      <c r="A87" s="111"/>
      <c r="B87" s="126" t="s">
        <v>263</v>
      </c>
      <c r="C87" s="127"/>
      <c r="D87" s="226"/>
      <c r="E87" s="250"/>
      <c r="F87" s="165" t="str">
        <f t="shared" si="0"/>
        <v/>
      </c>
      <c r="G87" s="259"/>
      <c r="H87" s="247"/>
      <c r="I87" s="127"/>
      <c r="J87" s="127"/>
      <c r="K87" s="272"/>
    </row>
    <row r="88" spans="1:11" hidden="1" x14ac:dyDescent="0.35">
      <c r="A88" s="103"/>
      <c r="B88" s="12" t="s">
        <v>3</v>
      </c>
      <c r="C88" s="10" t="s">
        <v>264</v>
      </c>
      <c r="D88" s="152"/>
      <c r="E88" s="170"/>
      <c r="F88" s="153" t="str">
        <f t="shared" si="0"/>
        <v/>
      </c>
      <c r="G88" s="256"/>
      <c r="H88" s="166">
        <f t="shared" si="5"/>
        <v>0</v>
      </c>
      <c r="I88" s="10" t="s">
        <v>20</v>
      </c>
      <c r="J88" s="11">
        <v>19.5</v>
      </c>
      <c r="K88" s="12">
        <f t="shared" ref="K88:K94" si="9">G88*J88</f>
        <v>0</v>
      </c>
    </row>
    <row r="89" spans="1:11" hidden="1" x14ac:dyDescent="0.35">
      <c r="A89" s="103"/>
      <c r="B89" s="12" t="s">
        <v>3</v>
      </c>
      <c r="C89" s="10" t="s">
        <v>265</v>
      </c>
      <c r="D89" s="152"/>
      <c r="E89" s="170"/>
      <c r="F89" s="153" t="str">
        <f t="shared" ref="F89:F152" si="10">IF(E89="","",IF(D89-E89&gt;0,D89-E89,""))</f>
        <v/>
      </c>
      <c r="G89" s="256"/>
      <c r="H89" s="166">
        <f t="shared" si="5"/>
        <v>0</v>
      </c>
      <c r="I89" s="10" t="s">
        <v>20</v>
      </c>
      <c r="J89" s="11">
        <v>16.95</v>
      </c>
      <c r="K89" s="12">
        <f t="shared" si="9"/>
        <v>0</v>
      </c>
    </row>
    <row r="90" spans="1:11" hidden="1" x14ac:dyDescent="0.35">
      <c r="A90" s="103"/>
      <c r="B90" s="12" t="s">
        <v>3</v>
      </c>
      <c r="C90" s="10" t="s">
        <v>266</v>
      </c>
      <c r="D90" s="152"/>
      <c r="E90" s="170"/>
      <c r="F90" s="153" t="str">
        <f t="shared" si="10"/>
        <v/>
      </c>
      <c r="G90" s="256"/>
      <c r="H90" s="166">
        <f t="shared" si="5"/>
        <v>0</v>
      </c>
      <c r="I90" s="10" t="s">
        <v>20</v>
      </c>
      <c r="J90" s="11">
        <v>17.95</v>
      </c>
      <c r="K90" s="12">
        <f t="shared" si="9"/>
        <v>0</v>
      </c>
    </row>
    <row r="91" spans="1:11" hidden="1" x14ac:dyDescent="0.35">
      <c r="A91" s="103"/>
      <c r="B91" s="12" t="s">
        <v>3</v>
      </c>
      <c r="C91" s="10" t="s">
        <v>267</v>
      </c>
      <c r="D91" s="152"/>
      <c r="E91" s="170"/>
      <c r="F91" s="153" t="str">
        <f t="shared" si="10"/>
        <v/>
      </c>
      <c r="G91" s="256"/>
      <c r="H91" s="166">
        <f t="shared" si="5"/>
        <v>0</v>
      </c>
      <c r="I91" s="10" t="s">
        <v>20</v>
      </c>
      <c r="J91" s="11">
        <v>15.95</v>
      </c>
      <c r="K91" s="12">
        <f t="shared" si="9"/>
        <v>0</v>
      </c>
    </row>
    <row r="92" spans="1:11" hidden="1" x14ac:dyDescent="0.35">
      <c r="A92" s="103"/>
      <c r="B92" s="12" t="s">
        <v>3</v>
      </c>
      <c r="C92" s="10" t="s">
        <v>268</v>
      </c>
      <c r="D92" s="152"/>
      <c r="E92" s="170"/>
      <c r="F92" s="153" t="str">
        <f t="shared" si="10"/>
        <v/>
      </c>
      <c r="G92" s="256"/>
      <c r="H92" s="166">
        <f t="shared" si="5"/>
        <v>0</v>
      </c>
      <c r="I92" s="10" t="s">
        <v>20</v>
      </c>
      <c r="J92" s="11">
        <v>20.95</v>
      </c>
      <c r="K92" s="12">
        <f t="shared" si="9"/>
        <v>0</v>
      </c>
    </row>
    <row r="93" spans="1:11" hidden="1" x14ac:dyDescent="0.35">
      <c r="A93" s="103"/>
      <c r="B93" s="12" t="s">
        <v>3</v>
      </c>
      <c r="C93" s="10" t="s">
        <v>269</v>
      </c>
      <c r="D93" s="152"/>
      <c r="E93" s="170"/>
      <c r="F93" s="153" t="str">
        <f t="shared" si="10"/>
        <v/>
      </c>
      <c r="G93" s="256"/>
      <c r="H93" s="166">
        <f t="shared" si="5"/>
        <v>0</v>
      </c>
      <c r="I93" s="10" t="s">
        <v>20</v>
      </c>
      <c r="J93" s="11">
        <v>26.95</v>
      </c>
      <c r="K93" s="12">
        <f t="shared" si="9"/>
        <v>0</v>
      </c>
    </row>
    <row r="94" spans="1:11" hidden="1" x14ac:dyDescent="0.35">
      <c r="A94" s="103"/>
      <c r="B94" s="12" t="s">
        <v>3</v>
      </c>
      <c r="C94" s="10" t="s">
        <v>270</v>
      </c>
      <c r="D94" s="152"/>
      <c r="E94" s="170"/>
      <c r="F94" s="153" t="str">
        <f t="shared" si="10"/>
        <v/>
      </c>
      <c r="G94" s="256"/>
      <c r="H94" s="166">
        <f t="shared" si="5"/>
        <v>0</v>
      </c>
      <c r="I94" s="10" t="s">
        <v>20</v>
      </c>
      <c r="J94" s="11">
        <v>26.95</v>
      </c>
      <c r="K94" s="12">
        <f t="shared" si="9"/>
        <v>0</v>
      </c>
    </row>
    <row r="95" spans="1:11" ht="15.5" hidden="1" x14ac:dyDescent="0.35">
      <c r="A95" s="111"/>
      <c r="B95" s="126" t="s">
        <v>271</v>
      </c>
      <c r="C95" s="127"/>
      <c r="D95" s="226"/>
      <c r="E95" s="250"/>
      <c r="F95" s="165" t="str">
        <f t="shared" si="10"/>
        <v/>
      </c>
      <c r="G95" s="259"/>
      <c r="H95" s="247"/>
      <c r="I95" s="127"/>
      <c r="J95" s="127"/>
      <c r="K95" s="272"/>
    </row>
    <row r="96" spans="1:11" hidden="1" x14ac:dyDescent="0.35">
      <c r="A96" s="103"/>
      <c r="B96" s="12" t="s">
        <v>3</v>
      </c>
      <c r="C96" s="10" t="s">
        <v>272</v>
      </c>
      <c r="D96" s="152"/>
      <c r="E96" s="170"/>
      <c r="F96" s="153" t="str">
        <f t="shared" si="10"/>
        <v/>
      </c>
      <c r="G96" s="256"/>
      <c r="H96" s="166">
        <f t="shared" si="5"/>
        <v>0</v>
      </c>
      <c r="I96" s="10" t="s">
        <v>20</v>
      </c>
      <c r="J96" s="11">
        <v>20.95</v>
      </c>
      <c r="K96" s="12">
        <f>G96*J96</f>
        <v>0</v>
      </c>
    </row>
    <row r="97" spans="1:11" hidden="1" x14ac:dyDescent="0.35">
      <c r="A97" s="103"/>
      <c r="B97" s="12" t="s">
        <v>3</v>
      </c>
      <c r="C97" s="10" t="s">
        <v>273</v>
      </c>
      <c r="D97" s="152"/>
      <c r="E97" s="170"/>
      <c r="F97" s="153" t="str">
        <f t="shared" si="10"/>
        <v/>
      </c>
      <c r="G97" s="256"/>
      <c r="H97" s="166">
        <f t="shared" si="5"/>
        <v>0</v>
      </c>
      <c r="I97" s="10" t="s">
        <v>20</v>
      </c>
      <c r="J97" s="11">
        <v>23.95</v>
      </c>
      <c r="K97" s="12">
        <f>G97*J97</f>
        <v>0</v>
      </c>
    </row>
    <row r="98" spans="1:11" hidden="1" x14ac:dyDescent="0.35">
      <c r="A98" s="103"/>
      <c r="B98" s="12" t="s">
        <v>3</v>
      </c>
      <c r="C98" s="10" t="s">
        <v>274</v>
      </c>
      <c r="D98" s="152"/>
      <c r="E98" s="170"/>
      <c r="F98" s="153" t="str">
        <f t="shared" si="10"/>
        <v/>
      </c>
      <c r="G98" s="256"/>
      <c r="H98" s="166">
        <f t="shared" si="5"/>
        <v>0</v>
      </c>
      <c r="I98" s="10" t="s">
        <v>20</v>
      </c>
      <c r="J98" s="11">
        <v>22.5</v>
      </c>
      <c r="K98" s="12">
        <f>G98*J98</f>
        <v>0</v>
      </c>
    </row>
    <row r="99" spans="1:11" hidden="1" x14ac:dyDescent="0.35">
      <c r="A99" s="103"/>
      <c r="B99" s="12" t="s">
        <v>3</v>
      </c>
      <c r="C99" s="10" t="s">
        <v>275</v>
      </c>
      <c r="D99" s="152"/>
      <c r="E99" s="170"/>
      <c r="F99" s="153" t="str">
        <f t="shared" si="10"/>
        <v/>
      </c>
      <c r="G99" s="256"/>
      <c r="H99" s="166">
        <f t="shared" si="5"/>
        <v>0</v>
      </c>
      <c r="I99" s="10" t="s">
        <v>20</v>
      </c>
      <c r="J99" s="11">
        <v>29.95</v>
      </c>
      <c r="K99" s="12">
        <f>G99*J99</f>
        <v>0</v>
      </c>
    </row>
    <row r="100" spans="1:11" ht="15.5" hidden="1" x14ac:dyDescent="0.35">
      <c r="A100" s="111"/>
      <c r="B100" s="126" t="s">
        <v>276</v>
      </c>
      <c r="C100" s="127"/>
      <c r="D100" s="226"/>
      <c r="E100" s="250"/>
      <c r="F100" s="165" t="str">
        <f t="shared" si="10"/>
        <v/>
      </c>
      <c r="G100" s="259"/>
      <c r="H100" s="247"/>
      <c r="I100" s="127"/>
      <c r="J100" s="127"/>
      <c r="K100" s="272"/>
    </row>
    <row r="101" spans="1:11" hidden="1" x14ac:dyDescent="0.35">
      <c r="A101" s="103"/>
      <c r="B101" s="12" t="s">
        <v>3</v>
      </c>
      <c r="C101" s="10" t="s">
        <v>277</v>
      </c>
      <c r="D101" s="152"/>
      <c r="E101" s="170"/>
      <c r="F101" s="153" t="str">
        <f t="shared" si="10"/>
        <v/>
      </c>
      <c r="G101" s="256"/>
      <c r="H101" s="166">
        <f t="shared" si="5"/>
        <v>0</v>
      </c>
      <c r="I101" s="10" t="s">
        <v>20</v>
      </c>
      <c r="J101" s="11">
        <v>17.95</v>
      </c>
      <c r="K101" s="12">
        <f>G101*J101</f>
        <v>0</v>
      </c>
    </row>
    <row r="102" spans="1:11" hidden="1" x14ac:dyDescent="0.35">
      <c r="A102" s="103"/>
      <c r="B102" s="12" t="s">
        <v>3</v>
      </c>
      <c r="C102" s="10" t="s">
        <v>278</v>
      </c>
      <c r="D102" s="152"/>
      <c r="E102" s="170"/>
      <c r="F102" s="153" t="str">
        <f t="shared" si="10"/>
        <v/>
      </c>
      <c r="G102" s="256"/>
      <c r="H102" s="166">
        <f t="shared" si="5"/>
        <v>0</v>
      </c>
      <c r="I102" s="10" t="s">
        <v>20</v>
      </c>
      <c r="J102" s="11">
        <v>20.95</v>
      </c>
      <c r="K102" s="12">
        <f>G102*J102</f>
        <v>0</v>
      </c>
    </row>
    <row r="103" spans="1:11" hidden="1" x14ac:dyDescent="0.35">
      <c r="A103" s="103"/>
      <c r="B103" s="12" t="s">
        <v>3</v>
      </c>
      <c r="C103" s="10" t="s">
        <v>279</v>
      </c>
      <c r="D103" s="152"/>
      <c r="E103" s="170"/>
      <c r="F103" s="153" t="str">
        <f t="shared" si="10"/>
        <v/>
      </c>
      <c r="G103" s="256"/>
      <c r="H103" s="166">
        <f t="shared" si="5"/>
        <v>0</v>
      </c>
      <c r="I103" s="10" t="s">
        <v>20</v>
      </c>
      <c r="J103" s="11">
        <v>19.95</v>
      </c>
      <c r="K103" s="12">
        <f>G103*J103</f>
        <v>0</v>
      </c>
    </row>
    <row r="104" spans="1:11" hidden="1" x14ac:dyDescent="0.35">
      <c r="A104" s="103"/>
      <c r="B104" s="40" t="s">
        <v>3</v>
      </c>
      <c r="C104" s="41" t="s">
        <v>280</v>
      </c>
      <c r="D104" s="227"/>
      <c r="E104" s="170"/>
      <c r="F104" s="153" t="str">
        <f t="shared" si="10"/>
        <v/>
      </c>
      <c r="G104" s="256"/>
      <c r="H104" s="166">
        <f t="shared" si="5"/>
        <v>0</v>
      </c>
      <c r="I104" s="41" t="s">
        <v>20</v>
      </c>
      <c r="J104" s="42">
        <v>59.95</v>
      </c>
      <c r="K104" s="40">
        <f>G104*J104</f>
        <v>0</v>
      </c>
    </row>
    <row r="105" spans="1:11" ht="15.5" hidden="1" x14ac:dyDescent="0.35">
      <c r="A105" s="111"/>
      <c r="B105" s="126" t="s">
        <v>281</v>
      </c>
      <c r="C105" s="127"/>
      <c r="D105" s="226"/>
      <c r="E105" s="170"/>
      <c r="F105" s="153" t="str">
        <f t="shared" si="10"/>
        <v/>
      </c>
      <c r="G105" s="259"/>
      <c r="H105" s="166">
        <f t="shared" si="5"/>
        <v>0</v>
      </c>
      <c r="I105" s="127"/>
      <c r="J105" s="127"/>
      <c r="K105" s="272"/>
    </row>
    <row r="106" spans="1:11" hidden="1" x14ac:dyDescent="0.35">
      <c r="A106" s="103"/>
      <c r="B106" s="12" t="s">
        <v>3</v>
      </c>
      <c r="C106" s="10" t="s">
        <v>282</v>
      </c>
      <c r="D106" s="152"/>
      <c r="E106" s="170"/>
      <c r="F106" s="153" t="str">
        <f t="shared" si="10"/>
        <v/>
      </c>
      <c r="G106" s="256"/>
      <c r="H106" s="166">
        <f t="shared" si="5"/>
        <v>0</v>
      </c>
      <c r="I106" s="10" t="s">
        <v>20</v>
      </c>
      <c r="J106" s="11">
        <v>54.95</v>
      </c>
      <c r="K106" s="12">
        <f>G106*J106</f>
        <v>0</v>
      </c>
    </row>
    <row r="107" spans="1:11" hidden="1" x14ac:dyDescent="0.35">
      <c r="A107" s="103"/>
      <c r="B107" s="12" t="s">
        <v>3</v>
      </c>
      <c r="C107" s="10" t="s">
        <v>283</v>
      </c>
      <c r="D107" s="152"/>
      <c r="E107" s="170"/>
      <c r="F107" s="153" t="str">
        <f t="shared" si="10"/>
        <v/>
      </c>
      <c r="G107" s="256"/>
      <c r="H107" s="166">
        <f t="shared" si="5"/>
        <v>0</v>
      </c>
      <c r="I107" s="10" t="s">
        <v>20</v>
      </c>
      <c r="J107" s="11">
        <v>49.95</v>
      </c>
      <c r="K107" s="12">
        <f>G107*J107</f>
        <v>0</v>
      </c>
    </row>
    <row r="108" spans="1:11" ht="15.5" hidden="1" x14ac:dyDescent="0.35">
      <c r="A108" s="111"/>
      <c r="B108" s="126" t="s">
        <v>284</v>
      </c>
      <c r="C108" s="127"/>
      <c r="D108" s="226"/>
      <c r="E108" s="250"/>
      <c r="F108" s="165" t="str">
        <f t="shared" si="10"/>
        <v/>
      </c>
      <c r="G108" s="259"/>
      <c r="H108" s="247"/>
      <c r="I108" s="127"/>
      <c r="J108" s="127"/>
      <c r="K108" s="272"/>
    </row>
    <row r="109" spans="1:11" hidden="1" x14ac:dyDescent="0.35">
      <c r="A109" s="103"/>
      <c r="B109" s="12" t="s">
        <v>3</v>
      </c>
      <c r="C109" s="10" t="s">
        <v>285</v>
      </c>
      <c r="D109" s="152"/>
      <c r="E109" s="170"/>
      <c r="F109" s="153" t="str">
        <f t="shared" si="10"/>
        <v/>
      </c>
      <c r="G109" s="256"/>
      <c r="H109" s="166">
        <f t="shared" si="5"/>
        <v>0</v>
      </c>
      <c r="I109" s="10" t="s">
        <v>20</v>
      </c>
      <c r="J109" s="11">
        <v>41.5</v>
      </c>
      <c r="K109" s="12">
        <f t="shared" ref="K109:K114" si="11">G109*J109</f>
        <v>0</v>
      </c>
    </row>
    <row r="110" spans="1:11" hidden="1" x14ac:dyDescent="0.35">
      <c r="A110" s="103"/>
      <c r="B110" s="12" t="s">
        <v>3</v>
      </c>
      <c r="C110" s="10" t="s">
        <v>286</v>
      </c>
      <c r="D110" s="152"/>
      <c r="E110" s="170"/>
      <c r="F110" s="153" t="str">
        <f t="shared" si="10"/>
        <v/>
      </c>
      <c r="G110" s="256"/>
      <c r="H110" s="166">
        <f t="shared" si="5"/>
        <v>0</v>
      </c>
      <c r="I110" s="10" t="s">
        <v>20</v>
      </c>
      <c r="J110" s="11">
        <v>36.200000000000003</v>
      </c>
      <c r="K110" s="12">
        <f t="shared" si="11"/>
        <v>0</v>
      </c>
    </row>
    <row r="111" spans="1:11" hidden="1" x14ac:dyDescent="0.35">
      <c r="A111" s="103"/>
      <c r="B111" s="12" t="s">
        <v>3</v>
      </c>
      <c r="C111" s="10" t="s">
        <v>287</v>
      </c>
      <c r="D111" s="152"/>
      <c r="E111" s="170"/>
      <c r="F111" s="153" t="str">
        <f t="shared" si="10"/>
        <v/>
      </c>
      <c r="G111" s="256"/>
      <c r="H111" s="166">
        <f t="shared" ref="H111:H174" si="12">IF(ISNUMBER(E111),E111,0)+IF(ISNUMBER(F111),F111,0)-IF(ISNUMBER(G111),G111,0)</f>
        <v>0</v>
      </c>
      <c r="I111" s="10" t="s">
        <v>20</v>
      </c>
      <c r="J111" s="11">
        <v>25.95</v>
      </c>
      <c r="K111" s="12">
        <f t="shared" si="11"/>
        <v>0</v>
      </c>
    </row>
    <row r="112" spans="1:11" hidden="1" x14ac:dyDescent="0.35">
      <c r="A112" s="103"/>
      <c r="B112" s="12" t="s">
        <v>3</v>
      </c>
      <c r="C112" s="10" t="s">
        <v>288</v>
      </c>
      <c r="D112" s="152"/>
      <c r="E112" s="170"/>
      <c r="F112" s="153" t="str">
        <f t="shared" si="10"/>
        <v/>
      </c>
      <c r="G112" s="256"/>
      <c r="H112" s="166">
        <f t="shared" si="12"/>
        <v>0</v>
      </c>
      <c r="I112" s="10" t="s">
        <v>20</v>
      </c>
      <c r="J112" s="11">
        <v>32.799999999999997</v>
      </c>
      <c r="K112" s="12">
        <f t="shared" si="11"/>
        <v>0</v>
      </c>
    </row>
    <row r="113" spans="1:11" hidden="1" x14ac:dyDescent="0.35">
      <c r="A113" s="103"/>
      <c r="B113" s="12" t="s">
        <v>3</v>
      </c>
      <c r="C113" s="10" t="s">
        <v>289</v>
      </c>
      <c r="D113" s="152"/>
      <c r="E113" s="170"/>
      <c r="F113" s="153" t="str">
        <f t="shared" si="10"/>
        <v/>
      </c>
      <c r="G113" s="256"/>
      <c r="H113" s="166">
        <f t="shared" si="12"/>
        <v>0</v>
      </c>
      <c r="I113" s="10" t="s">
        <v>20</v>
      </c>
      <c r="J113" s="11">
        <v>29.2</v>
      </c>
      <c r="K113" s="12">
        <f t="shared" si="11"/>
        <v>0</v>
      </c>
    </row>
    <row r="114" spans="1:11" hidden="1" x14ac:dyDescent="0.35">
      <c r="A114" s="103"/>
      <c r="B114" s="12" t="s">
        <v>3</v>
      </c>
      <c r="C114" s="10" t="s">
        <v>290</v>
      </c>
      <c r="D114" s="152"/>
      <c r="E114" s="170"/>
      <c r="F114" s="153" t="str">
        <f t="shared" si="10"/>
        <v/>
      </c>
      <c r="G114" s="256"/>
      <c r="H114" s="166">
        <f t="shared" si="12"/>
        <v>0</v>
      </c>
      <c r="I114" s="10" t="s">
        <v>20</v>
      </c>
      <c r="J114" s="11">
        <v>22.95</v>
      </c>
      <c r="K114" s="12">
        <f t="shared" si="11"/>
        <v>0</v>
      </c>
    </row>
    <row r="115" spans="1:11" ht="15.5" hidden="1" x14ac:dyDescent="0.35">
      <c r="A115" s="111"/>
      <c r="B115" s="126" t="s">
        <v>291</v>
      </c>
      <c r="C115" s="127"/>
      <c r="D115" s="226"/>
      <c r="E115" s="250"/>
      <c r="F115" s="165" t="str">
        <f t="shared" si="10"/>
        <v/>
      </c>
      <c r="G115" s="259"/>
      <c r="H115" s="247"/>
      <c r="I115" s="127"/>
      <c r="J115" s="127"/>
      <c r="K115" s="272"/>
    </row>
    <row r="116" spans="1:11" hidden="1" x14ac:dyDescent="0.35">
      <c r="A116" s="103"/>
      <c r="B116" s="12" t="s">
        <v>3</v>
      </c>
      <c r="C116" s="10" t="s">
        <v>292</v>
      </c>
      <c r="D116" s="152"/>
      <c r="E116" s="170"/>
      <c r="F116" s="153" t="str">
        <f t="shared" si="10"/>
        <v/>
      </c>
      <c r="G116" s="256"/>
      <c r="H116" s="166">
        <f t="shared" si="12"/>
        <v>0</v>
      </c>
      <c r="I116" s="10" t="s">
        <v>20</v>
      </c>
      <c r="J116" s="11">
        <v>17.95</v>
      </c>
      <c r="K116" s="12">
        <f t="shared" ref="K116:K121" si="13">G116*J116</f>
        <v>0</v>
      </c>
    </row>
    <row r="117" spans="1:11" hidden="1" x14ac:dyDescent="0.35">
      <c r="A117" s="103"/>
      <c r="B117" s="12" t="s">
        <v>3</v>
      </c>
      <c r="C117" s="10" t="s">
        <v>293</v>
      </c>
      <c r="D117" s="152"/>
      <c r="E117" s="170"/>
      <c r="F117" s="153" t="str">
        <f t="shared" si="10"/>
        <v/>
      </c>
      <c r="G117" s="256"/>
      <c r="H117" s="166">
        <f t="shared" si="12"/>
        <v>0</v>
      </c>
      <c r="I117" s="10" t="s">
        <v>20</v>
      </c>
      <c r="J117" s="11">
        <v>12.95</v>
      </c>
      <c r="K117" s="12">
        <f t="shared" si="13"/>
        <v>0</v>
      </c>
    </row>
    <row r="118" spans="1:11" hidden="1" x14ac:dyDescent="0.35">
      <c r="A118" s="103"/>
      <c r="B118" s="12" t="s">
        <v>3</v>
      </c>
      <c r="C118" s="10" t="s">
        <v>294</v>
      </c>
      <c r="D118" s="152"/>
      <c r="E118" s="170"/>
      <c r="F118" s="153" t="str">
        <f t="shared" si="10"/>
        <v/>
      </c>
      <c r="G118" s="256"/>
      <c r="H118" s="166">
        <f t="shared" si="12"/>
        <v>0</v>
      </c>
      <c r="I118" s="10" t="s">
        <v>20</v>
      </c>
      <c r="J118" s="11">
        <v>21.95</v>
      </c>
      <c r="K118" s="12">
        <f t="shared" si="13"/>
        <v>0</v>
      </c>
    </row>
    <row r="119" spans="1:11" hidden="1" x14ac:dyDescent="0.35">
      <c r="A119" s="103"/>
      <c r="B119" s="12" t="s">
        <v>3</v>
      </c>
      <c r="C119" s="10" t="s">
        <v>295</v>
      </c>
      <c r="D119" s="152"/>
      <c r="E119" s="170"/>
      <c r="F119" s="153" t="str">
        <f t="shared" si="10"/>
        <v/>
      </c>
      <c r="G119" s="256"/>
      <c r="H119" s="166">
        <f t="shared" si="12"/>
        <v>0</v>
      </c>
      <c r="I119" s="10" t="s">
        <v>20</v>
      </c>
      <c r="J119" s="11"/>
      <c r="K119" s="12">
        <f t="shared" si="13"/>
        <v>0</v>
      </c>
    </row>
    <row r="120" spans="1:11" hidden="1" x14ac:dyDescent="0.35">
      <c r="A120" s="103"/>
      <c r="B120" s="12" t="s">
        <v>3</v>
      </c>
      <c r="C120" s="10" t="s">
        <v>296</v>
      </c>
      <c r="D120" s="152"/>
      <c r="E120" s="170"/>
      <c r="F120" s="153" t="str">
        <f t="shared" si="10"/>
        <v/>
      </c>
      <c r="G120" s="256"/>
      <c r="H120" s="166">
        <f t="shared" si="12"/>
        <v>0</v>
      </c>
      <c r="I120" s="10" t="s">
        <v>20</v>
      </c>
      <c r="J120" s="11"/>
      <c r="K120" s="12">
        <f t="shared" si="13"/>
        <v>0</v>
      </c>
    </row>
    <row r="121" spans="1:11" hidden="1" x14ac:dyDescent="0.35">
      <c r="A121" s="103"/>
      <c r="B121" s="12" t="s">
        <v>3</v>
      </c>
      <c r="C121" s="10" t="s">
        <v>297</v>
      </c>
      <c r="D121" s="152"/>
      <c r="E121" s="170"/>
      <c r="F121" s="153" t="str">
        <f t="shared" si="10"/>
        <v/>
      </c>
      <c r="G121" s="256"/>
      <c r="H121" s="166">
        <f t="shared" si="12"/>
        <v>0</v>
      </c>
      <c r="I121" s="10" t="s">
        <v>20</v>
      </c>
      <c r="J121" s="11">
        <v>22.95</v>
      </c>
      <c r="K121" s="12">
        <f t="shared" si="13"/>
        <v>0</v>
      </c>
    </row>
    <row r="122" spans="1:11" ht="15.5" hidden="1" x14ac:dyDescent="0.35">
      <c r="A122" s="112" t="s">
        <v>298</v>
      </c>
      <c r="B122" s="116"/>
      <c r="C122" s="116"/>
      <c r="D122" s="228"/>
      <c r="E122" s="250"/>
      <c r="F122" s="165" t="str">
        <f t="shared" si="10"/>
        <v/>
      </c>
      <c r="G122" s="260"/>
      <c r="H122" s="247"/>
      <c r="I122" s="117"/>
      <c r="J122" s="106" t="s">
        <v>18</v>
      </c>
      <c r="K122" s="269">
        <f>SUM(K123:K175)</f>
        <v>362.22</v>
      </c>
    </row>
    <row r="123" spans="1:11" hidden="1" x14ac:dyDescent="0.35">
      <c r="A123" s="103"/>
      <c r="B123" s="20" t="s">
        <v>4</v>
      </c>
      <c r="C123" s="18" t="s">
        <v>62</v>
      </c>
      <c r="D123" s="229"/>
      <c r="E123" s="250"/>
      <c r="F123" s="153" t="str">
        <f t="shared" si="10"/>
        <v/>
      </c>
      <c r="G123" s="256"/>
      <c r="H123" s="166">
        <f t="shared" si="12"/>
        <v>0</v>
      </c>
      <c r="I123" s="18" t="s">
        <v>20</v>
      </c>
      <c r="J123" s="19">
        <v>7.35</v>
      </c>
      <c r="K123" s="20">
        <f>G123*J123</f>
        <v>0</v>
      </c>
    </row>
    <row r="124" spans="1:11" hidden="1" x14ac:dyDescent="0.35">
      <c r="A124" s="103"/>
      <c r="B124" s="20" t="s">
        <v>4</v>
      </c>
      <c r="C124" s="18" t="s">
        <v>60</v>
      </c>
      <c r="D124" s="229"/>
      <c r="E124" s="250"/>
      <c r="F124" s="153" t="str">
        <f t="shared" si="10"/>
        <v/>
      </c>
      <c r="G124" s="256"/>
      <c r="H124" s="166">
        <f t="shared" si="12"/>
        <v>0</v>
      </c>
      <c r="I124" s="18" t="s">
        <v>20</v>
      </c>
      <c r="J124" s="19">
        <v>10.65</v>
      </c>
      <c r="K124" s="20">
        <f>G124*J124</f>
        <v>0</v>
      </c>
    </row>
    <row r="125" spans="1:11" hidden="1" x14ac:dyDescent="0.35">
      <c r="A125" s="113" t="s">
        <v>40</v>
      </c>
      <c r="B125" s="124"/>
      <c r="C125" s="124"/>
      <c r="D125" s="230"/>
      <c r="E125" s="250"/>
      <c r="F125" s="153" t="str">
        <f t="shared" si="10"/>
        <v/>
      </c>
      <c r="G125" s="261"/>
      <c r="H125" s="166">
        <f t="shared" si="12"/>
        <v>0</v>
      </c>
      <c r="I125" s="124"/>
      <c r="J125" s="124"/>
      <c r="K125" s="273"/>
    </row>
    <row r="126" spans="1:11" hidden="1" x14ac:dyDescent="0.35">
      <c r="A126" s="103"/>
      <c r="B126" s="20" t="s">
        <v>4</v>
      </c>
      <c r="C126" s="18" t="s">
        <v>299</v>
      </c>
      <c r="D126" s="229"/>
      <c r="E126" s="250"/>
      <c r="F126" s="153" t="str">
        <f t="shared" si="10"/>
        <v/>
      </c>
      <c r="G126" s="256"/>
      <c r="H126" s="166">
        <f t="shared" si="12"/>
        <v>0</v>
      </c>
      <c r="I126" s="18" t="s">
        <v>20</v>
      </c>
      <c r="J126" s="19">
        <v>1.31</v>
      </c>
      <c r="K126" s="12">
        <f t="shared" ref="K126:K137" si="14">G126*J126</f>
        <v>0</v>
      </c>
    </row>
    <row r="127" spans="1:11" hidden="1" x14ac:dyDescent="0.35">
      <c r="A127" s="103"/>
      <c r="B127" s="12" t="s">
        <v>4</v>
      </c>
      <c r="C127" s="10" t="s">
        <v>300</v>
      </c>
      <c r="D127" s="152"/>
      <c r="E127" s="250"/>
      <c r="F127" s="153" t="str">
        <f t="shared" si="10"/>
        <v/>
      </c>
      <c r="G127" s="256"/>
      <c r="H127" s="166">
        <f t="shared" si="12"/>
        <v>0</v>
      </c>
      <c r="I127" s="10" t="s">
        <v>20</v>
      </c>
      <c r="J127" s="11">
        <v>1.31</v>
      </c>
      <c r="K127" s="12">
        <f t="shared" si="14"/>
        <v>0</v>
      </c>
    </row>
    <row r="128" spans="1:11" hidden="1" x14ac:dyDescent="0.35">
      <c r="A128" s="103"/>
      <c r="B128" s="20" t="s">
        <v>4</v>
      </c>
      <c r="C128" s="18" t="s">
        <v>301</v>
      </c>
      <c r="D128" s="229"/>
      <c r="E128" s="250"/>
      <c r="F128" s="153" t="str">
        <f t="shared" si="10"/>
        <v/>
      </c>
      <c r="G128" s="256"/>
      <c r="H128" s="166">
        <f t="shared" si="12"/>
        <v>0</v>
      </c>
      <c r="I128" s="18" t="s">
        <v>20</v>
      </c>
      <c r="J128" s="19">
        <v>1.4039999999999999</v>
      </c>
      <c r="K128" s="12">
        <f t="shared" si="14"/>
        <v>0</v>
      </c>
    </row>
    <row r="129" spans="1:11" hidden="1" x14ac:dyDescent="0.35">
      <c r="A129" s="103"/>
      <c r="B129" s="12" t="s">
        <v>4</v>
      </c>
      <c r="C129" s="10" t="s">
        <v>302</v>
      </c>
      <c r="D129" s="152"/>
      <c r="E129" s="250"/>
      <c r="F129" s="153" t="str">
        <f t="shared" si="10"/>
        <v/>
      </c>
      <c r="G129" s="256"/>
      <c r="H129" s="166">
        <f t="shared" si="12"/>
        <v>0</v>
      </c>
      <c r="I129" s="10" t="s">
        <v>20</v>
      </c>
      <c r="J129" s="11">
        <v>1.4039999999999999</v>
      </c>
      <c r="K129" s="12">
        <f t="shared" si="14"/>
        <v>0</v>
      </c>
    </row>
    <row r="130" spans="1:11" hidden="1" x14ac:dyDescent="0.35">
      <c r="A130" s="103"/>
      <c r="B130" s="12" t="s">
        <v>4</v>
      </c>
      <c r="C130" s="10" t="s">
        <v>303</v>
      </c>
      <c r="D130" s="152"/>
      <c r="E130" s="250"/>
      <c r="F130" s="153" t="str">
        <f t="shared" si="10"/>
        <v/>
      </c>
      <c r="G130" s="256"/>
      <c r="H130" s="166">
        <f t="shared" si="12"/>
        <v>0</v>
      </c>
      <c r="I130" s="10" t="s">
        <v>20</v>
      </c>
      <c r="J130" s="11">
        <v>1.53</v>
      </c>
      <c r="K130" s="12">
        <f t="shared" si="14"/>
        <v>0</v>
      </c>
    </row>
    <row r="131" spans="1:11" hidden="1" x14ac:dyDescent="0.35">
      <c r="A131" s="103"/>
      <c r="B131" s="12" t="s">
        <v>4</v>
      </c>
      <c r="C131" s="10" t="s">
        <v>304</v>
      </c>
      <c r="D131" s="152"/>
      <c r="E131" s="250"/>
      <c r="F131" s="153" t="str">
        <f t="shared" si="10"/>
        <v/>
      </c>
      <c r="G131" s="256"/>
      <c r="H131" s="166">
        <f t="shared" si="12"/>
        <v>0</v>
      </c>
      <c r="I131" s="10" t="s">
        <v>20</v>
      </c>
      <c r="J131" s="11">
        <v>1.65</v>
      </c>
      <c r="K131" s="12">
        <f t="shared" si="14"/>
        <v>0</v>
      </c>
    </row>
    <row r="132" spans="1:11" hidden="1" x14ac:dyDescent="0.35">
      <c r="A132" s="103"/>
      <c r="B132" s="12" t="s">
        <v>4</v>
      </c>
      <c r="C132" s="10" t="s">
        <v>83</v>
      </c>
      <c r="D132" s="152"/>
      <c r="E132" s="250"/>
      <c r="F132" s="153" t="str">
        <f t="shared" si="10"/>
        <v/>
      </c>
      <c r="G132" s="256"/>
      <c r="H132" s="166">
        <f t="shared" si="12"/>
        <v>0</v>
      </c>
      <c r="I132" s="10" t="s">
        <v>20</v>
      </c>
      <c r="J132" s="11">
        <v>1.04</v>
      </c>
      <c r="K132" s="12">
        <f t="shared" si="14"/>
        <v>0</v>
      </c>
    </row>
    <row r="133" spans="1:11" hidden="1" x14ac:dyDescent="0.35">
      <c r="A133" s="103"/>
      <c r="B133" s="12" t="s">
        <v>4</v>
      </c>
      <c r="C133" s="10" t="s">
        <v>305</v>
      </c>
      <c r="D133" s="152"/>
      <c r="E133" s="250"/>
      <c r="F133" s="153" t="str">
        <f t="shared" si="10"/>
        <v/>
      </c>
      <c r="G133" s="256"/>
      <c r="H133" s="166">
        <f t="shared" si="12"/>
        <v>0</v>
      </c>
      <c r="I133" s="10" t="s">
        <v>20</v>
      </c>
      <c r="J133" s="11">
        <v>1.04</v>
      </c>
      <c r="K133" s="12">
        <f t="shared" si="14"/>
        <v>0</v>
      </c>
    </row>
    <row r="134" spans="1:11" hidden="1" x14ac:dyDescent="0.35">
      <c r="A134" s="103"/>
      <c r="B134" s="12" t="s">
        <v>4</v>
      </c>
      <c r="C134" s="10" t="s">
        <v>306</v>
      </c>
      <c r="D134" s="152"/>
      <c r="E134" s="250"/>
      <c r="F134" s="153" t="str">
        <f t="shared" si="10"/>
        <v/>
      </c>
      <c r="G134" s="256"/>
      <c r="H134" s="166">
        <f t="shared" si="12"/>
        <v>0</v>
      </c>
      <c r="I134" s="10" t="s">
        <v>20</v>
      </c>
      <c r="J134" s="11">
        <v>1.06</v>
      </c>
      <c r="K134" s="12">
        <f t="shared" si="14"/>
        <v>0</v>
      </c>
    </row>
    <row r="135" spans="1:11" hidden="1" x14ac:dyDescent="0.35">
      <c r="A135" s="103"/>
      <c r="B135" s="12" t="s">
        <v>4</v>
      </c>
      <c r="C135" s="10" t="s">
        <v>307</v>
      </c>
      <c r="D135" s="152"/>
      <c r="E135" s="250"/>
      <c r="F135" s="153" t="str">
        <f t="shared" si="10"/>
        <v/>
      </c>
      <c r="G135" s="256"/>
      <c r="H135" s="166">
        <f t="shared" si="12"/>
        <v>0</v>
      </c>
      <c r="I135" s="10" t="s">
        <v>20</v>
      </c>
      <c r="J135" s="11">
        <v>1.06</v>
      </c>
      <c r="K135" s="12">
        <f t="shared" si="14"/>
        <v>0</v>
      </c>
    </row>
    <row r="136" spans="1:11" hidden="1" x14ac:dyDescent="0.35">
      <c r="A136" s="103"/>
      <c r="B136" s="12" t="s">
        <v>4</v>
      </c>
      <c r="C136" s="10" t="s">
        <v>308</v>
      </c>
      <c r="D136" s="152"/>
      <c r="E136" s="250"/>
      <c r="F136" s="153" t="str">
        <f t="shared" si="10"/>
        <v/>
      </c>
      <c r="G136" s="256"/>
      <c r="H136" s="166">
        <f t="shared" si="12"/>
        <v>0</v>
      </c>
      <c r="I136" s="10" t="s">
        <v>20</v>
      </c>
      <c r="J136" s="11">
        <v>1.2869999999999999</v>
      </c>
      <c r="K136" s="12">
        <f t="shared" si="14"/>
        <v>0</v>
      </c>
    </row>
    <row r="137" spans="1:11" hidden="1" x14ac:dyDescent="0.35">
      <c r="A137" s="103"/>
      <c r="B137" s="12" t="s">
        <v>4</v>
      </c>
      <c r="C137" s="10" t="s">
        <v>309</v>
      </c>
      <c r="D137" s="152"/>
      <c r="E137" s="250"/>
      <c r="F137" s="153" t="str">
        <f t="shared" si="10"/>
        <v/>
      </c>
      <c r="G137" s="256"/>
      <c r="H137" s="166">
        <f t="shared" si="12"/>
        <v>0</v>
      </c>
      <c r="I137" s="10" t="s">
        <v>20</v>
      </c>
      <c r="J137" s="11">
        <v>1.59</v>
      </c>
      <c r="K137" s="12">
        <f t="shared" si="14"/>
        <v>0</v>
      </c>
    </row>
    <row r="138" spans="1:11" hidden="1" x14ac:dyDescent="0.35">
      <c r="A138" s="113" t="s">
        <v>310</v>
      </c>
      <c r="B138" s="124"/>
      <c r="C138" s="124"/>
      <c r="D138" s="230"/>
      <c r="E138" s="250"/>
      <c r="F138" s="153" t="str">
        <f t="shared" si="10"/>
        <v/>
      </c>
      <c r="G138" s="261"/>
      <c r="H138" s="166">
        <f t="shared" si="12"/>
        <v>0</v>
      </c>
      <c r="I138" s="124"/>
      <c r="J138" s="124"/>
      <c r="K138" s="273"/>
    </row>
    <row r="139" spans="1:11" hidden="1" x14ac:dyDescent="0.35">
      <c r="A139" s="103"/>
      <c r="B139" s="12" t="s">
        <v>4</v>
      </c>
      <c r="C139" s="10" t="s">
        <v>311</v>
      </c>
      <c r="D139" s="152"/>
      <c r="E139" s="250"/>
      <c r="F139" s="153" t="str">
        <f t="shared" si="10"/>
        <v/>
      </c>
      <c r="G139" s="256"/>
      <c r="H139" s="166">
        <f t="shared" si="12"/>
        <v>0</v>
      </c>
      <c r="I139" s="10" t="s">
        <v>20</v>
      </c>
      <c r="J139" s="11">
        <v>1.1000000000000001</v>
      </c>
      <c r="K139" s="12">
        <f t="shared" ref="K139:K149" si="15">G139*J139</f>
        <v>0</v>
      </c>
    </row>
    <row r="140" spans="1:11" hidden="1" x14ac:dyDescent="0.35">
      <c r="A140" s="103"/>
      <c r="B140" s="12" t="s">
        <v>4</v>
      </c>
      <c r="C140" s="10" t="s">
        <v>312</v>
      </c>
      <c r="D140" s="152"/>
      <c r="E140" s="250"/>
      <c r="F140" s="153" t="str">
        <f t="shared" si="10"/>
        <v/>
      </c>
      <c r="G140" s="256"/>
      <c r="H140" s="166">
        <f t="shared" si="12"/>
        <v>0</v>
      </c>
      <c r="I140" s="10" t="s">
        <v>20</v>
      </c>
      <c r="J140" s="11">
        <v>1.1000000000000001</v>
      </c>
      <c r="K140" s="12">
        <f t="shared" si="15"/>
        <v>0</v>
      </c>
    </row>
    <row r="141" spans="1:11" hidden="1" x14ac:dyDescent="0.35">
      <c r="A141" s="103"/>
      <c r="B141" s="12" t="s">
        <v>4</v>
      </c>
      <c r="C141" s="10" t="s">
        <v>313</v>
      </c>
      <c r="D141" s="152"/>
      <c r="E141" s="250"/>
      <c r="F141" s="153" t="str">
        <f t="shared" si="10"/>
        <v/>
      </c>
      <c r="G141" s="256"/>
      <c r="H141" s="166">
        <f t="shared" si="12"/>
        <v>0</v>
      </c>
      <c r="I141" s="10" t="s">
        <v>20</v>
      </c>
      <c r="J141" s="11">
        <v>1.3</v>
      </c>
      <c r="K141" s="12">
        <f t="shared" si="15"/>
        <v>0</v>
      </c>
    </row>
    <row r="142" spans="1:11" hidden="1" x14ac:dyDescent="0.35">
      <c r="A142" s="103"/>
      <c r="B142" s="12" t="s">
        <v>4</v>
      </c>
      <c r="C142" s="10" t="s">
        <v>314</v>
      </c>
      <c r="D142" s="152"/>
      <c r="E142" s="250"/>
      <c r="F142" s="153" t="str">
        <f t="shared" si="10"/>
        <v/>
      </c>
      <c r="G142" s="256"/>
      <c r="H142" s="166">
        <f t="shared" si="12"/>
        <v>0</v>
      </c>
      <c r="I142" s="10" t="s">
        <v>20</v>
      </c>
      <c r="J142" s="11">
        <v>1.36</v>
      </c>
      <c r="K142" s="12">
        <f t="shared" si="15"/>
        <v>0</v>
      </c>
    </row>
    <row r="143" spans="1:11" hidden="1" x14ac:dyDescent="0.35">
      <c r="A143" s="103"/>
      <c r="B143" s="12" t="s">
        <v>4</v>
      </c>
      <c r="C143" s="10" t="s">
        <v>315</v>
      </c>
      <c r="D143" s="152"/>
      <c r="E143" s="250"/>
      <c r="F143" s="153" t="str">
        <f t="shared" si="10"/>
        <v/>
      </c>
      <c r="G143" s="256"/>
      <c r="H143" s="166">
        <f t="shared" si="12"/>
        <v>0</v>
      </c>
      <c r="I143" s="10" t="s">
        <v>20</v>
      </c>
      <c r="J143" s="11">
        <v>1.3</v>
      </c>
      <c r="K143" s="12">
        <f t="shared" si="15"/>
        <v>0</v>
      </c>
    </row>
    <row r="144" spans="1:11" hidden="1" x14ac:dyDescent="0.35">
      <c r="A144" s="103"/>
      <c r="B144" s="12" t="s">
        <v>4</v>
      </c>
      <c r="C144" s="10" t="s">
        <v>316</v>
      </c>
      <c r="D144" s="152"/>
      <c r="E144" s="250"/>
      <c r="F144" s="153" t="str">
        <f t="shared" si="10"/>
        <v/>
      </c>
      <c r="G144" s="256"/>
      <c r="H144" s="166">
        <f t="shared" si="12"/>
        <v>0</v>
      </c>
      <c r="I144" s="10" t="s">
        <v>20</v>
      </c>
      <c r="J144" s="11">
        <v>1.35</v>
      </c>
      <c r="K144" s="12">
        <f t="shared" si="15"/>
        <v>0</v>
      </c>
    </row>
    <row r="145" spans="1:11" hidden="1" x14ac:dyDescent="0.35">
      <c r="A145" s="103"/>
      <c r="B145" s="12" t="s">
        <v>4</v>
      </c>
      <c r="C145" s="10" t="s">
        <v>317</v>
      </c>
      <c r="D145" s="152"/>
      <c r="E145" s="250"/>
      <c r="F145" s="153" t="str">
        <f t="shared" si="10"/>
        <v/>
      </c>
      <c r="G145" s="256"/>
      <c r="H145" s="166">
        <f t="shared" si="12"/>
        <v>0</v>
      </c>
      <c r="I145" s="10" t="s">
        <v>20</v>
      </c>
      <c r="J145" s="11">
        <v>1.28</v>
      </c>
      <c r="K145" s="12">
        <f t="shared" si="15"/>
        <v>0</v>
      </c>
    </row>
    <row r="146" spans="1:11" hidden="1" x14ac:dyDescent="0.35">
      <c r="A146" s="103"/>
      <c r="B146" s="12" t="s">
        <v>4</v>
      </c>
      <c r="C146" s="10" t="s">
        <v>318</v>
      </c>
      <c r="D146" s="152"/>
      <c r="E146" s="250"/>
      <c r="F146" s="153" t="str">
        <f t="shared" si="10"/>
        <v/>
      </c>
      <c r="G146" s="256"/>
      <c r="H146" s="166">
        <f t="shared" si="12"/>
        <v>0</v>
      </c>
      <c r="I146" s="10" t="s">
        <v>20</v>
      </c>
      <c r="J146" s="11">
        <v>1.1000000000000001</v>
      </c>
      <c r="K146" s="12">
        <f t="shared" si="15"/>
        <v>0</v>
      </c>
    </row>
    <row r="147" spans="1:11" hidden="1" x14ac:dyDescent="0.35">
      <c r="A147" s="103"/>
      <c r="B147" s="12" t="s">
        <v>4</v>
      </c>
      <c r="C147" s="10" t="s">
        <v>319</v>
      </c>
      <c r="D147" s="152"/>
      <c r="E147" s="250"/>
      <c r="F147" s="153" t="str">
        <f t="shared" si="10"/>
        <v/>
      </c>
      <c r="G147" s="256"/>
      <c r="H147" s="166">
        <f t="shared" si="12"/>
        <v>0</v>
      </c>
      <c r="I147" s="10" t="s">
        <v>20</v>
      </c>
      <c r="J147" s="11">
        <v>1.1000000000000001</v>
      </c>
      <c r="K147" s="12">
        <f t="shared" si="15"/>
        <v>0</v>
      </c>
    </row>
    <row r="148" spans="1:11" hidden="1" x14ac:dyDescent="0.35">
      <c r="A148" s="103"/>
      <c r="B148" s="12" t="s">
        <v>4</v>
      </c>
      <c r="C148" s="10" t="s">
        <v>320</v>
      </c>
      <c r="D148" s="152"/>
      <c r="E148" s="250"/>
      <c r="F148" s="153" t="str">
        <f t="shared" si="10"/>
        <v/>
      </c>
      <c r="G148" s="256"/>
      <c r="H148" s="166">
        <f t="shared" si="12"/>
        <v>0</v>
      </c>
      <c r="I148" s="10" t="s">
        <v>20</v>
      </c>
      <c r="J148" s="11">
        <v>1.1000000000000001</v>
      </c>
      <c r="K148" s="12">
        <f t="shared" si="15"/>
        <v>0</v>
      </c>
    </row>
    <row r="149" spans="1:11" hidden="1" x14ac:dyDescent="0.35">
      <c r="A149" s="103"/>
      <c r="B149" s="12" t="s">
        <v>4</v>
      </c>
      <c r="C149" s="10" t="s">
        <v>321</v>
      </c>
      <c r="D149" s="152"/>
      <c r="E149" s="250"/>
      <c r="F149" s="153" t="str">
        <f t="shared" si="10"/>
        <v/>
      </c>
      <c r="G149" s="256"/>
      <c r="H149" s="166">
        <f t="shared" si="12"/>
        <v>0</v>
      </c>
      <c r="I149" s="10" t="s">
        <v>20</v>
      </c>
      <c r="J149" s="11">
        <v>1.1000000000000001</v>
      </c>
      <c r="K149" s="12">
        <f t="shared" si="15"/>
        <v>0</v>
      </c>
    </row>
    <row r="150" spans="1:11" x14ac:dyDescent="0.35">
      <c r="A150" s="113" t="s">
        <v>41</v>
      </c>
      <c r="B150" s="124"/>
      <c r="C150" s="124"/>
      <c r="D150" s="230"/>
      <c r="E150" s="250"/>
      <c r="F150" s="165" t="str">
        <f t="shared" si="10"/>
        <v/>
      </c>
      <c r="G150" s="261"/>
      <c r="H150" s="247"/>
      <c r="I150" s="124"/>
      <c r="J150" s="124"/>
      <c r="K150" s="273"/>
    </row>
    <row r="151" spans="1:11" x14ac:dyDescent="0.35">
      <c r="A151" s="103"/>
      <c r="B151" s="12" t="s">
        <v>4</v>
      </c>
      <c r="C151" s="10" t="s">
        <v>24</v>
      </c>
      <c r="D151" s="152">
        <v>18</v>
      </c>
      <c r="E151" s="170">
        <v>15</v>
      </c>
      <c r="F151" s="153">
        <f t="shared" si="10"/>
        <v>3</v>
      </c>
      <c r="G151" s="256"/>
      <c r="H151" s="166">
        <f t="shared" si="12"/>
        <v>18</v>
      </c>
      <c r="I151" s="10" t="s">
        <v>20</v>
      </c>
      <c r="J151" s="11">
        <v>3.04</v>
      </c>
      <c r="K151" s="12">
        <f>H151*J151</f>
        <v>54.72</v>
      </c>
    </row>
    <row r="152" spans="1:11" x14ac:dyDescent="0.35">
      <c r="A152" s="103"/>
      <c r="B152" s="12" t="s">
        <v>4</v>
      </c>
      <c r="C152" s="10" t="s">
        <v>80</v>
      </c>
      <c r="D152" s="152">
        <v>30</v>
      </c>
      <c r="E152" s="170">
        <v>27</v>
      </c>
      <c r="F152" s="153">
        <f t="shared" si="10"/>
        <v>3</v>
      </c>
      <c r="G152" s="256"/>
      <c r="H152" s="166">
        <f t="shared" si="12"/>
        <v>30</v>
      </c>
      <c r="I152" s="10" t="s">
        <v>20</v>
      </c>
      <c r="J152" s="11">
        <v>2.31</v>
      </c>
      <c r="K152" s="12">
        <f t="shared" ref="K152:K168" si="16">H152*J152</f>
        <v>69.3</v>
      </c>
    </row>
    <row r="153" spans="1:11" x14ac:dyDescent="0.35">
      <c r="A153" s="103"/>
      <c r="B153" s="12" t="s">
        <v>4</v>
      </c>
      <c r="C153" s="10" t="s">
        <v>84</v>
      </c>
      <c r="D153" s="152">
        <v>18</v>
      </c>
      <c r="E153" s="170">
        <v>16</v>
      </c>
      <c r="F153" s="153">
        <f t="shared" ref="F153:F219" si="17">IF(E153="","",IF(D153-E153&gt;0,D153-E153,""))</f>
        <v>2</v>
      </c>
      <c r="G153" s="256"/>
      <c r="H153" s="166">
        <f t="shared" si="12"/>
        <v>18</v>
      </c>
      <c r="I153" s="10" t="s">
        <v>20</v>
      </c>
      <c r="J153" s="11">
        <v>2.31</v>
      </c>
      <c r="K153" s="12">
        <f t="shared" si="16"/>
        <v>41.58</v>
      </c>
    </row>
    <row r="154" spans="1:11" hidden="1" x14ac:dyDescent="0.35">
      <c r="A154" s="103"/>
      <c r="B154" s="12" t="s">
        <v>4</v>
      </c>
      <c r="C154" s="10" t="s">
        <v>394</v>
      </c>
      <c r="D154" s="152"/>
      <c r="E154" s="170"/>
      <c r="F154" s="153" t="str">
        <f t="shared" si="17"/>
        <v/>
      </c>
      <c r="G154" s="256"/>
      <c r="H154" s="166">
        <f t="shared" si="12"/>
        <v>0</v>
      </c>
      <c r="I154" s="10" t="s">
        <v>20</v>
      </c>
      <c r="J154" s="11">
        <v>2.54</v>
      </c>
      <c r="K154" s="12">
        <f t="shared" si="16"/>
        <v>0</v>
      </c>
    </row>
    <row r="155" spans="1:11" hidden="1" x14ac:dyDescent="0.35">
      <c r="A155" s="103"/>
      <c r="B155" s="12" t="s">
        <v>4</v>
      </c>
      <c r="C155" s="10" t="s">
        <v>394</v>
      </c>
      <c r="D155" s="152"/>
      <c r="E155" s="170"/>
      <c r="F155" s="153" t="str">
        <f t="shared" si="17"/>
        <v/>
      </c>
      <c r="G155" s="256"/>
      <c r="H155" s="166">
        <f t="shared" si="12"/>
        <v>0</v>
      </c>
      <c r="I155" s="10" t="s">
        <v>20</v>
      </c>
      <c r="J155" s="11">
        <v>2.54</v>
      </c>
      <c r="K155" s="12">
        <f t="shared" si="16"/>
        <v>0</v>
      </c>
    </row>
    <row r="156" spans="1:11" x14ac:dyDescent="0.35">
      <c r="A156" s="103"/>
      <c r="B156" s="12" t="s">
        <v>4</v>
      </c>
      <c r="C156" s="10" t="s">
        <v>25</v>
      </c>
      <c r="D156" s="152">
        <v>18</v>
      </c>
      <c r="E156" s="170">
        <v>15</v>
      </c>
      <c r="F156" s="153">
        <f t="shared" si="17"/>
        <v>3</v>
      </c>
      <c r="G156" s="256"/>
      <c r="H156" s="166">
        <f t="shared" si="12"/>
        <v>18</v>
      </c>
      <c r="I156" s="10" t="s">
        <v>20</v>
      </c>
      <c r="J156" s="11">
        <v>1.79</v>
      </c>
      <c r="K156" s="12">
        <f t="shared" si="16"/>
        <v>32.22</v>
      </c>
    </row>
    <row r="157" spans="1:11" hidden="1" x14ac:dyDescent="0.35">
      <c r="A157" s="103"/>
      <c r="B157" s="12" t="s">
        <v>4</v>
      </c>
      <c r="C157" s="10" t="s">
        <v>322</v>
      </c>
      <c r="D157" s="152"/>
      <c r="E157" s="170"/>
      <c r="F157" s="153" t="str">
        <f t="shared" si="17"/>
        <v/>
      </c>
      <c r="G157" s="256"/>
      <c r="H157" s="166">
        <f t="shared" si="12"/>
        <v>0</v>
      </c>
      <c r="I157" s="10" t="s">
        <v>20</v>
      </c>
      <c r="J157" s="11">
        <v>2.46</v>
      </c>
      <c r="K157" s="12">
        <f t="shared" si="16"/>
        <v>0</v>
      </c>
    </row>
    <row r="158" spans="1:11" x14ac:dyDescent="0.35">
      <c r="A158" s="103"/>
      <c r="B158" s="12" t="s">
        <v>4</v>
      </c>
      <c r="C158" s="10" t="s">
        <v>393</v>
      </c>
      <c r="D158" s="152">
        <v>30</v>
      </c>
      <c r="E158" s="170">
        <v>28</v>
      </c>
      <c r="F158" s="153">
        <f t="shared" si="17"/>
        <v>2</v>
      </c>
      <c r="G158" s="256"/>
      <c r="H158" s="166">
        <f t="shared" si="12"/>
        <v>30</v>
      </c>
      <c r="I158" s="10" t="s">
        <v>20</v>
      </c>
      <c r="J158" s="11">
        <v>2.46</v>
      </c>
      <c r="K158" s="12">
        <f t="shared" si="16"/>
        <v>73.8</v>
      </c>
    </row>
    <row r="159" spans="1:11" hidden="1" x14ac:dyDescent="0.35">
      <c r="A159" s="103"/>
      <c r="B159" s="12" t="s">
        <v>4</v>
      </c>
      <c r="C159" s="10" t="s">
        <v>43</v>
      </c>
      <c r="D159" s="152"/>
      <c r="E159" s="170"/>
      <c r="F159" s="153" t="str">
        <f t="shared" si="17"/>
        <v/>
      </c>
      <c r="G159" s="256"/>
      <c r="H159" s="166">
        <f t="shared" si="12"/>
        <v>0</v>
      </c>
      <c r="I159" s="10" t="s">
        <v>20</v>
      </c>
      <c r="J159" s="11">
        <v>2.5499999999999998</v>
      </c>
      <c r="K159" s="12">
        <f t="shared" si="16"/>
        <v>0</v>
      </c>
    </row>
    <row r="160" spans="1:11" x14ac:dyDescent="0.35">
      <c r="A160" s="103"/>
      <c r="B160" s="12" t="s">
        <v>4</v>
      </c>
      <c r="C160" s="10" t="s">
        <v>81</v>
      </c>
      <c r="D160" s="152">
        <v>30</v>
      </c>
      <c r="E160" s="170">
        <v>27</v>
      </c>
      <c r="F160" s="153">
        <f t="shared" si="17"/>
        <v>3</v>
      </c>
      <c r="G160" s="256"/>
      <c r="H160" s="166">
        <f t="shared" si="12"/>
        <v>30</v>
      </c>
      <c r="I160" s="10" t="s">
        <v>20</v>
      </c>
      <c r="J160" s="11">
        <v>1.51</v>
      </c>
      <c r="K160" s="12">
        <f t="shared" si="16"/>
        <v>45.3</v>
      </c>
    </row>
    <row r="161" spans="1:11" x14ac:dyDescent="0.35">
      <c r="A161" s="103"/>
      <c r="B161" s="12" t="s">
        <v>4</v>
      </c>
      <c r="C161" s="10" t="s">
        <v>82</v>
      </c>
      <c r="D161" s="152">
        <v>30</v>
      </c>
      <c r="E161" s="170">
        <v>23</v>
      </c>
      <c r="F161" s="153">
        <f t="shared" si="17"/>
        <v>7</v>
      </c>
      <c r="G161" s="256"/>
      <c r="H161" s="166">
        <f t="shared" si="12"/>
        <v>30</v>
      </c>
      <c r="I161" s="10" t="s">
        <v>20</v>
      </c>
      <c r="J161" s="11">
        <v>1.51</v>
      </c>
      <c r="K161" s="12">
        <f t="shared" si="16"/>
        <v>45.3</v>
      </c>
    </row>
    <row r="162" spans="1:11" hidden="1" x14ac:dyDescent="0.35">
      <c r="A162" s="103"/>
      <c r="B162" s="12" t="s">
        <v>4</v>
      </c>
      <c r="C162" s="10" t="s">
        <v>323</v>
      </c>
      <c r="D162" s="152"/>
      <c r="E162" s="170"/>
      <c r="F162" s="153" t="str">
        <f t="shared" si="17"/>
        <v/>
      </c>
      <c r="G162" s="256"/>
      <c r="H162" s="166">
        <f t="shared" si="12"/>
        <v>0</v>
      </c>
      <c r="I162" s="10" t="s">
        <v>20</v>
      </c>
      <c r="J162" s="11">
        <v>1.54</v>
      </c>
      <c r="K162" s="12">
        <f t="shared" si="16"/>
        <v>0</v>
      </c>
    </row>
    <row r="163" spans="1:11" hidden="1" x14ac:dyDescent="0.35">
      <c r="A163" s="103"/>
      <c r="B163" s="12" t="s">
        <v>4</v>
      </c>
      <c r="C163" s="10" t="s">
        <v>324</v>
      </c>
      <c r="D163" s="152"/>
      <c r="E163" s="170"/>
      <c r="F163" s="153" t="str">
        <f t="shared" si="17"/>
        <v/>
      </c>
      <c r="G163" s="256"/>
      <c r="H163" s="166">
        <f t="shared" si="12"/>
        <v>0</v>
      </c>
      <c r="I163" s="10" t="s">
        <v>20</v>
      </c>
      <c r="J163" s="11">
        <v>1.6</v>
      </c>
      <c r="K163" s="12">
        <f t="shared" si="16"/>
        <v>0</v>
      </c>
    </row>
    <row r="164" spans="1:11" hidden="1" x14ac:dyDescent="0.35">
      <c r="A164" s="103"/>
      <c r="B164" s="12" t="s">
        <v>4</v>
      </c>
      <c r="C164" s="78" t="s">
        <v>325</v>
      </c>
      <c r="D164" s="224"/>
      <c r="E164" s="170"/>
      <c r="F164" s="153" t="str">
        <f t="shared" si="17"/>
        <v/>
      </c>
      <c r="G164" s="256"/>
      <c r="H164" s="166">
        <f t="shared" si="12"/>
        <v>0</v>
      </c>
      <c r="I164" s="10" t="s">
        <v>20</v>
      </c>
      <c r="J164" s="79">
        <v>49.95</v>
      </c>
      <c r="K164" s="12">
        <f t="shared" si="16"/>
        <v>0</v>
      </c>
    </row>
    <row r="165" spans="1:11" hidden="1" x14ac:dyDescent="0.35">
      <c r="A165" s="113" t="s">
        <v>44</v>
      </c>
      <c r="B165" s="124"/>
      <c r="C165" s="124"/>
      <c r="D165" s="230"/>
      <c r="E165" s="250"/>
      <c r="F165" s="165" t="str">
        <f t="shared" si="17"/>
        <v/>
      </c>
      <c r="G165" s="261"/>
      <c r="H165" s="247"/>
      <c r="I165" s="124"/>
      <c r="J165" s="124"/>
      <c r="K165" s="270"/>
    </row>
    <row r="166" spans="1:11" hidden="1" x14ac:dyDescent="0.35">
      <c r="A166" s="103"/>
      <c r="B166" s="12" t="s">
        <v>4</v>
      </c>
      <c r="C166" s="10" t="s">
        <v>48</v>
      </c>
      <c r="D166" s="152"/>
      <c r="E166" s="170"/>
      <c r="F166" s="153" t="str">
        <f t="shared" si="17"/>
        <v/>
      </c>
      <c r="G166" s="256"/>
      <c r="H166" s="166">
        <f t="shared" si="12"/>
        <v>0</v>
      </c>
      <c r="I166" s="10" t="s">
        <v>20</v>
      </c>
      <c r="J166" s="11">
        <v>1.94</v>
      </c>
      <c r="K166" s="12">
        <f t="shared" si="16"/>
        <v>0</v>
      </c>
    </row>
    <row r="167" spans="1:11" hidden="1" x14ac:dyDescent="0.35">
      <c r="A167" s="103"/>
      <c r="B167" s="12" t="s">
        <v>4</v>
      </c>
      <c r="C167" s="10" t="s">
        <v>49</v>
      </c>
      <c r="D167" s="152"/>
      <c r="E167" s="170"/>
      <c r="F167" s="153" t="str">
        <f t="shared" si="17"/>
        <v/>
      </c>
      <c r="G167" s="256"/>
      <c r="H167" s="166">
        <f t="shared" si="12"/>
        <v>0</v>
      </c>
      <c r="I167" s="10" t="s">
        <v>20</v>
      </c>
      <c r="J167" s="11">
        <v>1.94</v>
      </c>
      <c r="K167" s="12">
        <f t="shared" si="16"/>
        <v>0</v>
      </c>
    </row>
    <row r="168" spans="1:11" hidden="1" x14ac:dyDescent="0.35">
      <c r="A168" s="103"/>
      <c r="B168" s="12" t="s">
        <v>4</v>
      </c>
      <c r="C168" s="10" t="s">
        <v>50</v>
      </c>
      <c r="D168" s="152"/>
      <c r="E168" s="170"/>
      <c r="F168" s="153" t="str">
        <f t="shared" si="17"/>
        <v/>
      </c>
      <c r="G168" s="256"/>
      <c r="H168" s="166">
        <f t="shared" si="12"/>
        <v>0</v>
      </c>
      <c r="I168" s="10" t="s">
        <v>20</v>
      </c>
      <c r="J168" s="11">
        <v>1.94</v>
      </c>
      <c r="K168" s="12">
        <f t="shared" si="16"/>
        <v>0</v>
      </c>
    </row>
    <row r="169" spans="1:11" hidden="1" x14ac:dyDescent="0.35">
      <c r="A169" s="103"/>
      <c r="B169" s="12" t="s">
        <v>4</v>
      </c>
      <c r="C169" s="10" t="s">
        <v>415</v>
      </c>
      <c r="D169" s="152"/>
      <c r="E169" s="170"/>
      <c r="F169" s="153" t="str">
        <f t="shared" si="17"/>
        <v/>
      </c>
      <c r="G169" s="256"/>
      <c r="H169" s="166">
        <f t="shared" si="12"/>
        <v>0</v>
      </c>
      <c r="I169" s="10" t="s">
        <v>20</v>
      </c>
      <c r="J169" s="11">
        <v>1.98</v>
      </c>
      <c r="K169" s="12">
        <f t="shared" ref="K169:K175" si="18">G169*J169</f>
        <v>0</v>
      </c>
    </row>
    <row r="170" spans="1:11" hidden="1" x14ac:dyDescent="0.35">
      <c r="A170" s="103"/>
      <c r="B170" s="12" t="s">
        <v>4</v>
      </c>
      <c r="C170" s="10" t="s">
        <v>414</v>
      </c>
      <c r="D170" s="152"/>
      <c r="E170" s="170"/>
      <c r="F170" s="153" t="str">
        <f t="shared" si="17"/>
        <v/>
      </c>
      <c r="G170" s="256"/>
      <c r="H170" s="166">
        <f t="shared" si="12"/>
        <v>0</v>
      </c>
      <c r="I170" s="10" t="s">
        <v>20</v>
      </c>
      <c r="J170" s="11">
        <v>1.98</v>
      </c>
      <c r="K170" s="12">
        <f t="shared" si="18"/>
        <v>0</v>
      </c>
    </row>
    <row r="171" spans="1:11" hidden="1" x14ac:dyDescent="0.35">
      <c r="A171" s="103"/>
      <c r="B171" s="12" t="s">
        <v>4</v>
      </c>
      <c r="C171" s="10" t="s">
        <v>415</v>
      </c>
      <c r="D171" s="152"/>
      <c r="E171" s="170"/>
      <c r="F171" s="153" t="str">
        <f t="shared" si="17"/>
        <v/>
      </c>
      <c r="G171" s="256"/>
      <c r="H171" s="166">
        <f t="shared" si="12"/>
        <v>0</v>
      </c>
      <c r="I171" s="10" t="s">
        <v>20</v>
      </c>
      <c r="J171" s="11">
        <v>1.98</v>
      </c>
      <c r="K171" s="12">
        <f t="shared" si="18"/>
        <v>0</v>
      </c>
    </row>
    <row r="172" spans="1:11" hidden="1" x14ac:dyDescent="0.35">
      <c r="A172" s="103"/>
      <c r="B172" s="12" t="s">
        <v>4</v>
      </c>
      <c r="C172" s="10" t="s">
        <v>432</v>
      </c>
      <c r="D172" s="152"/>
      <c r="E172" s="170"/>
      <c r="F172" s="153" t="str">
        <f t="shared" si="17"/>
        <v/>
      </c>
      <c r="G172" s="256"/>
      <c r="H172" s="166">
        <f t="shared" si="12"/>
        <v>0</v>
      </c>
      <c r="I172" s="10" t="s">
        <v>20</v>
      </c>
      <c r="J172" s="11">
        <v>1.98</v>
      </c>
      <c r="K172" s="12">
        <f t="shared" si="18"/>
        <v>0</v>
      </c>
    </row>
    <row r="173" spans="1:11" hidden="1" x14ac:dyDescent="0.35">
      <c r="A173" s="103"/>
      <c r="B173" s="40" t="s">
        <v>4</v>
      </c>
      <c r="C173" s="41" t="s">
        <v>330</v>
      </c>
      <c r="D173" s="227"/>
      <c r="E173" s="170"/>
      <c r="F173" s="153" t="str">
        <f t="shared" si="17"/>
        <v/>
      </c>
      <c r="G173" s="256"/>
      <c r="H173" s="166">
        <f t="shared" si="12"/>
        <v>0</v>
      </c>
      <c r="I173" s="10" t="s">
        <v>20</v>
      </c>
      <c r="J173" s="11">
        <v>1.98</v>
      </c>
      <c r="K173" s="12">
        <f t="shared" si="18"/>
        <v>0</v>
      </c>
    </row>
    <row r="174" spans="1:11" hidden="1" x14ac:dyDescent="0.35">
      <c r="A174" s="103"/>
      <c r="B174" s="40" t="s">
        <v>4</v>
      </c>
      <c r="C174" s="41" t="s">
        <v>331</v>
      </c>
      <c r="D174" s="227"/>
      <c r="E174" s="170"/>
      <c r="F174" s="153" t="str">
        <f t="shared" si="17"/>
        <v/>
      </c>
      <c r="G174" s="256"/>
      <c r="H174" s="166">
        <f t="shared" si="12"/>
        <v>0</v>
      </c>
      <c r="I174" s="10" t="s">
        <v>20</v>
      </c>
      <c r="J174" s="11">
        <v>1.98</v>
      </c>
      <c r="K174" s="12">
        <f t="shared" si="18"/>
        <v>0</v>
      </c>
    </row>
    <row r="175" spans="1:11" hidden="1" x14ac:dyDescent="0.35">
      <c r="A175" s="103"/>
      <c r="B175" s="40" t="s">
        <v>4</v>
      </c>
      <c r="C175" s="41" t="s">
        <v>413</v>
      </c>
      <c r="D175" s="227"/>
      <c r="E175" s="170"/>
      <c r="F175" s="153" t="str">
        <f t="shared" si="17"/>
        <v/>
      </c>
      <c r="G175" s="256"/>
      <c r="H175" s="166">
        <f t="shared" ref="H175:H240" si="19">IF(ISNUMBER(E175),E175,0)+IF(ISNUMBER(F175),F175,0)-IF(ISNUMBER(G175),G175,0)</f>
        <v>0</v>
      </c>
      <c r="I175" s="41" t="s">
        <v>20</v>
      </c>
      <c r="J175" s="42">
        <v>1.98</v>
      </c>
      <c r="K175" s="12">
        <f t="shared" si="18"/>
        <v>0</v>
      </c>
    </row>
    <row r="176" spans="1:11" ht="15.5" hidden="1" x14ac:dyDescent="0.35">
      <c r="A176" s="114" t="s">
        <v>333</v>
      </c>
      <c r="B176" s="120"/>
      <c r="C176" s="120"/>
      <c r="D176" s="228"/>
      <c r="E176" s="170"/>
      <c r="F176" s="153" t="str">
        <f t="shared" si="17"/>
        <v/>
      </c>
      <c r="G176" s="292"/>
      <c r="H176" s="166">
        <f t="shared" si="19"/>
        <v>0</v>
      </c>
      <c r="I176" s="121"/>
      <c r="J176" s="122" t="s">
        <v>18</v>
      </c>
      <c r="K176" s="274">
        <f>SUM(K177:K186)</f>
        <v>0</v>
      </c>
    </row>
    <row r="177" spans="1:11" hidden="1" x14ac:dyDescent="0.35">
      <c r="A177" s="103"/>
      <c r="B177" s="12" t="s">
        <v>26</v>
      </c>
      <c r="C177" s="10" t="s">
        <v>334</v>
      </c>
      <c r="D177" s="152"/>
      <c r="E177" s="170"/>
      <c r="F177" s="153" t="str">
        <f t="shared" si="17"/>
        <v/>
      </c>
      <c r="G177" s="256"/>
      <c r="H177" s="166">
        <f t="shared" si="19"/>
        <v>0</v>
      </c>
      <c r="I177" s="10" t="s">
        <v>335</v>
      </c>
      <c r="J177" s="11">
        <v>20</v>
      </c>
      <c r="K177" s="12">
        <f t="shared" ref="K177:K186" si="20">G177*J177</f>
        <v>0</v>
      </c>
    </row>
    <row r="178" spans="1:11" hidden="1" x14ac:dyDescent="0.35">
      <c r="A178" s="103"/>
      <c r="B178" s="20" t="s">
        <v>26</v>
      </c>
      <c r="C178" s="18" t="s">
        <v>53</v>
      </c>
      <c r="D178" s="229"/>
      <c r="E178" s="170"/>
      <c r="F178" s="153" t="str">
        <f t="shared" si="17"/>
        <v/>
      </c>
      <c r="G178" s="256"/>
      <c r="H178" s="166">
        <f t="shared" si="19"/>
        <v>0</v>
      </c>
      <c r="I178" s="18" t="s">
        <v>20</v>
      </c>
      <c r="J178" s="19">
        <v>0.43</v>
      </c>
      <c r="K178" s="20">
        <f t="shared" si="20"/>
        <v>0</v>
      </c>
    </row>
    <row r="179" spans="1:11" hidden="1" x14ac:dyDescent="0.35">
      <c r="A179" s="103"/>
      <c r="B179" s="20" t="s">
        <v>26</v>
      </c>
      <c r="C179" s="18" t="s">
        <v>336</v>
      </c>
      <c r="D179" s="229"/>
      <c r="E179" s="170"/>
      <c r="F179" s="153" t="str">
        <f t="shared" si="17"/>
        <v/>
      </c>
      <c r="G179" s="256"/>
      <c r="H179" s="166">
        <f t="shared" si="19"/>
        <v>0</v>
      </c>
      <c r="I179" s="18" t="s">
        <v>20</v>
      </c>
      <c r="J179" s="19">
        <v>0.43</v>
      </c>
      <c r="K179" s="20">
        <f t="shared" si="20"/>
        <v>0</v>
      </c>
    </row>
    <row r="180" spans="1:11" hidden="1" x14ac:dyDescent="0.35">
      <c r="A180" s="103"/>
      <c r="B180" s="12" t="s">
        <v>26</v>
      </c>
      <c r="C180" s="10" t="s">
        <v>337</v>
      </c>
      <c r="D180" s="152"/>
      <c r="E180" s="170"/>
      <c r="F180" s="153" t="str">
        <f t="shared" si="17"/>
        <v/>
      </c>
      <c r="G180" s="256"/>
      <c r="H180" s="166">
        <f t="shared" si="19"/>
        <v>0</v>
      </c>
      <c r="I180" s="10" t="s">
        <v>20</v>
      </c>
      <c r="J180" s="11">
        <v>0.43</v>
      </c>
      <c r="K180" s="12">
        <f t="shared" si="20"/>
        <v>0</v>
      </c>
    </row>
    <row r="181" spans="1:11" hidden="1" x14ac:dyDescent="0.35">
      <c r="A181" s="103"/>
      <c r="B181" s="12" t="s">
        <v>26</v>
      </c>
      <c r="C181" s="10" t="s">
        <v>51</v>
      </c>
      <c r="D181" s="152"/>
      <c r="E181" s="170"/>
      <c r="F181" s="153" t="str">
        <f t="shared" si="17"/>
        <v/>
      </c>
      <c r="G181" s="256"/>
      <c r="H181" s="166">
        <f t="shared" si="19"/>
        <v>0</v>
      </c>
      <c r="I181" s="10" t="s">
        <v>61</v>
      </c>
      <c r="J181" s="11">
        <v>14</v>
      </c>
      <c r="K181" s="12">
        <f t="shared" si="20"/>
        <v>0</v>
      </c>
    </row>
    <row r="182" spans="1:11" hidden="1" x14ac:dyDescent="0.35">
      <c r="A182" s="103"/>
      <c r="B182" s="12" t="s">
        <v>26</v>
      </c>
      <c r="C182" s="10" t="s">
        <v>338</v>
      </c>
      <c r="D182" s="152"/>
      <c r="E182" s="170"/>
      <c r="F182" s="153" t="str">
        <f t="shared" si="17"/>
        <v/>
      </c>
      <c r="G182" s="256"/>
      <c r="H182" s="166">
        <f t="shared" si="19"/>
        <v>0</v>
      </c>
      <c r="I182" s="10" t="s">
        <v>61</v>
      </c>
      <c r="J182" s="11">
        <v>14.78</v>
      </c>
      <c r="K182" s="12">
        <f t="shared" si="20"/>
        <v>0</v>
      </c>
    </row>
    <row r="183" spans="1:11" hidden="1" x14ac:dyDescent="0.35">
      <c r="A183" s="103"/>
      <c r="B183" s="12" t="s">
        <v>26</v>
      </c>
      <c r="C183" s="10" t="s">
        <v>339</v>
      </c>
      <c r="D183" s="152"/>
      <c r="E183" s="170"/>
      <c r="F183" s="153" t="str">
        <f t="shared" si="17"/>
        <v/>
      </c>
      <c r="G183" s="256"/>
      <c r="H183" s="166">
        <f t="shared" si="19"/>
        <v>0</v>
      </c>
      <c r="I183" s="10" t="s">
        <v>61</v>
      </c>
      <c r="J183" s="11">
        <v>14.78</v>
      </c>
      <c r="K183" s="12">
        <f t="shared" si="20"/>
        <v>0</v>
      </c>
    </row>
    <row r="184" spans="1:11" hidden="1" x14ac:dyDescent="0.35">
      <c r="A184" s="103"/>
      <c r="B184" s="12" t="s">
        <v>26</v>
      </c>
      <c r="C184" s="10" t="s">
        <v>340</v>
      </c>
      <c r="D184" s="152"/>
      <c r="E184" s="170"/>
      <c r="F184" s="153" t="str">
        <f t="shared" si="17"/>
        <v/>
      </c>
      <c r="G184" s="256"/>
      <c r="H184" s="166">
        <f t="shared" si="19"/>
        <v>0</v>
      </c>
      <c r="I184" s="10" t="s">
        <v>61</v>
      </c>
      <c r="J184" s="11">
        <v>14.78</v>
      </c>
      <c r="K184" s="12">
        <f t="shared" si="20"/>
        <v>0</v>
      </c>
    </row>
    <row r="185" spans="1:11" hidden="1" x14ac:dyDescent="0.35">
      <c r="A185" s="103"/>
      <c r="B185" s="12" t="s">
        <v>26</v>
      </c>
      <c r="C185" s="10" t="s">
        <v>341</v>
      </c>
      <c r="D185" s="152"/>
      <c r="E185" s="170"/>
      <c r="F185" s="153" t="str">
        <f t="shared" si="17"/>
        <v/>
      </c>
      <c r="G185" s="256"/>
      <c r="H185" s="166">
        <f t="shared" si="19"/>
        <v>0</v>
      </c>
      <c r="I185" s="10" t="s">
        <v>61</v>
      </c>
      <c r="J185" s="11">
        <v>14.78</v>
      </c>
      <c r="K185" s="12">
        <f t="shared" si="20"/>
        <v>0</v>
      </c>
    </row>
    <row r="186" spans="1:11" hidden="1" x14ac:dyDescent="0.35">
      <c r="A186" s="103"/>
      <c r="B186" s="12" t="s">
        <v>26</v>
      </c>
      <c r="C186" s="10" t="s">
        <v>342</v>
      </c>
      <c r="D186" s="152"/>
      <c r="E186" s="170"/>
      <c r="F186" s="153" t="str">
        <f t="shared" si="17"/>
        <v/>
      </c>
      <c r="G186" s="256"/>
      <c r="H186" s="166">
        <f t="shared" si="19"/>
        <v>0</v>
      </c>
      <c r="I186" s="10" t="s">
        <v>61</v>
      </c>
      <c r="J186" s="11">
        <v>14.78</v>
      </c>
      <c r="K186" s="10">
        <f t="shared" si="20"/>
        <v>0</v>
      </c>
    </row>
    <row r="187" spans="1:11" ht="15.5" x14ac:dyDescent="0.35">
      <c r="A187" s="108" t="s">
        <v>343</v>
      </c>
      <c r="B187" s="108"/>
      <c r="C187" s="108"/>
      <c r="D187" s="223"/>
      <c r="E187" s="250"/>
      <c r="F187" s="165" t="str">
        <f t="shared" si="17"/>
        <v/>
      </c>
      <c r="G187" s="186"/>
      <c r="H187" s="247"/>
      <c r="I187" s="108"/>
      <c r="J187" s="106" t="s">
        <v>18</v>
      </c>
      <c r="K187" s="269">
        <f>SUM(K188:K192)</f>
        <v>154.80000000000001</v>
      </c>
    </row>
    <row r="188" spans="1:11" hidden="1" x14ac:dyDescent="0.35">
      <c r="A188" s="103"/>
      <c r="B188" s="7" t="s">
        <v>6</v>
      </c>
      <c r="C188" s="14" t="s">
        <v>344</v>
      </c>
      <c r="D188" s="152"/>
      <c r="E188" s="170"/>
      <c r="F188" s="153" t="str">
        <f t="shared" si="17"/>
        <v/>
      </c>
      <c r="G188" s="256"/>
      <c r="H188" s="166">
        <f t="shared" si="19"/>
        <v>0</v>
      </c>
      <c r="I188" s="14" t="s">
        <v>20</v>
      </c>
      <c r="J188" s="35">
        <v>0.79</v>
      </c>
      <c r="K188" s="7">
        <f>G188*J188</f>
        <v>0</v>
      </c>
    </row>
    <row r="189" spans="1:11" x14ac:dyDescent="0.35">
      <c r="A189" s="103"/>
      <c r="B189" s="7" t="s">
        <v>6</v>
      </c>
      <c r="C189" s="14" t="s">
        <v>345</v>
      </c>
      <c r="D189" s="152">
        <v>30</v>
      </c>
      <c r="E189" s="170">
        <v>30</v>
      </c>
      <c r="F189" s="153" t="str">
        <f t="shared" si="17"/>
        <v/>
      </c>
      <c r="G189" s="256"/>
      <c r="H189" s="166">
        <f t="shared" si="19"/>
        <v>30</v>
      </c>
      <c r="I189" s="14" t="s">
        <v>20</v>
      </c>
      <c r="J189" s="35">
        <v>2.76</v>
      </c>
      <c r="K189" s="7">
        <f>H189*J189</f>
        <v>82.8</v>
      </c>
    </row>
    <row r="190" spans="1:11" x14ac:dyDescent="0.35">
      <c r="A190" s="103"/>
      <c r="B190" s="7" t="s">
        <v>6</v>
      </c>
      <c r="C190" s="14" t="s">
        <v>346</v>
      </c>
      <c r="D190" s="152"/>
      <c r="E190" s="170">
        <v>0</v>
      </c>
      <c r="F190" s="153" t="str">
        <f t="shared" si="17"/>
        <v/>
      </c>
      <c r="G190" s="256"/>
      <c r="H190" s="166">
        <f t="shared" si="19"/>
        <v>0</v>
      </c>
      <c r="I190" s="14" t="s">
        <v>20</v>
      </c>
      <c r="J190" s="35">
        <v>1</v>
      </c>
      <c r="K190" s="7">
        <f t="shared" ref="K190:K192" si="21">H190*J190</f>
        <v>0</v>
      </c>
    </row>
    <row r="191" spans="1:11" x14ac:dyDescent="0.35">
      <c r="A191" s="103"/>
      <c r="B191" s="7" t="s">
        <v>6</v>
      </c>
      <c r="C191" s="14" t="s">
        <v>34</v>
      </c>
      <c r="D191" s="152">
        <v>20</v>
      </c>
      <c r="E191" s="170">
        <v>17</v>
      </c>
      <c r="F191" s="153">
        <f t="shared" si="17"/>
        <v>3</v>
      </c>
      <c r="G191" s="256"/>
      <c r="H191" s="166">
        <f t="shared" si="19"/>
        <v>20</v>
      </c>
      <c r="I191" s="14" t="s">
        <v>20</v>
      </c>
      <c r="J191" s="35">
        <v>1.8</v>
      </c>
      <c r="K191" s="7">
        <f t="shared" si="21"/>
        <v>36</v>
      </c>
    </row>
    <row r="192" spans="1:11" x14ac:dyDescent="0.35">
      <c r="A192" s="103"/>
      <c r="B192" s="7" t="s">
        <v>6</v>
      </c>
      <c r="C192" s="14" t="s">
        <v>35</v>
      </c>
      <c r="D192" s="152">
        <v>20</v>
      </c>
      <c r="E192" s="170">
        <v>11</v>
      </c>
      <c r="F192" s="153">
        <f t="shared" si="17"/>
        <v>9</v>
      </c>
      <c r="G192" s="256"/>
      <c r="H192" s="166">
        <f t="shared" si="19"/>
        <v>20</v>
      </c>
      <c r="I192" s="14" t="s">
        <v>20</v>
      </c>
      <c r="J192" s="35">
        <v>1.8</v>
      </c>
      <c r="K192" s="7">
        <f t="shared" si="21"/>
        <v>36</v>
      </c>
    </row>
    <row r="193" spans="1:11" ht="15.5" hidden="1" x14ac:dyDescent="0.35">
      <c r="A193" s="112" t="s">
        <v>347</v>
      </c>
      <c r="B193" s="116"/>
      <c r="C193" s="116"/>
      <c r="D193" s="228"/>
      <c r="E193" s="250"/>
      <c r="F193" s="165" t="str">
        <f t="shared" si="17"/>
        <v/>
      </c>
      <c r="G193" s="260"/>
      <c r="H193" s="247"/>
      <c r="I193" s="117"/>
      <c r="J193" s="118" t="s">
        <v>18</v>
      </c>
      <c r="K193" s="275">
        <f>SUM(K194:K194)</f>
        <v>0</v>
      </c>
    </row>
    <row r="194" spans="1:11" hidden="1" x14ac:dyDescent="0.35">
      <c r="A194" s="103"/>
      <c r="B194" s="12" t="s">
        <v>5</v>
      </c>
      <c r="C194" s="10" t="s">
        <v>55</v>
      </c>
      <c r="D194" s="152"/>
      <c r="E194" s="170"/>
      <c r="F194" s="153" t="str">
        <f t="shared" si="17"/>
        <v/>
      </c>
      <c r="G194" s="256"/>
      <c r="H194" s="166">
        <f t="shared" si="19"/>
        <v>0</v>
      </c>
      <c r="I194" s="10" t="s">
        <v>20</v>
      </c>
      <c r="J194" s="11">
        <v>1.01</v>
      </c>
      <c r="K194" s="12">
        <f>H194*J194</f>
        <v>0</v>
      </c>
    </row>
    <row r="195" spans="1:11" ht="15.5" hidden="1" x14ac:dyDescent="0.35">
      <c r="A195" s="112" t="s">
        <v>348</v>
      </c>
      <c r="B195" s="116"/>
      <c r="C195" s="116"/>
      <c r="D195" s="228"/>
      <c r="E195" s="250"/>
      <c r="F195" s="165" t="str">
        <f t="shared" si="17"/>
        <v/>
      </c>
      <c r="G195" s="260"/>
      <c r="H195" s="247"/>
      <c r="I195" s="117"/>
      <c r="J195" s="118" t="s">
        <v>18</v>
      </c>
      <c r="K195" s="275">
        <f>SUM(K196:K207)</f>
        <v>0</v>
      </c>
    </row>
    <row r="196" spans="1:11" hidden="1" x14ac:dyDescent="0.35">
      <c r="A196" s="103"/>
      <c r="B196" s="20" t="s">
        <v>8</v>
      </c>
      <c r="C196" s="18" t="s">
        <v>349</v>
      </c>
      <c r="D196" s="229"/>
      <c r="E196" s="170"/>
      <c r="F196" s="153" t="str">
        <f t="shared" si="17"/>
        <v/>
      </c>
      <c r="G196" s="256"/>
      <c r="H196" s="166">
        <f t="shared" si="19"/>
        <v>0</v>
      </c>
      <c r="I196" s="18" t="s">
        <v>27</v>
      </c>
      <c r="J196" s="20">
        <v>28.62</v>
      </c>
      <c r="K196" s="12">
        <f t="shared" ref="K196:K207" si="22">G196*J196</f>
        <v>0</v>
      </c>
    </row>
    <row r="197" spans="1:11" hidden="1" x14ac:dyDescent="0.35">
      <c r="A197" s="103"/>
      <c r="B197" s="12" t="s">
        <v>8</v>
      </c>
      <c r="C197" s="10" t="s">
        <v>350</v>
      </c>
      <c r="D197" s="152"/>
      <c r="E197" s="170"/>
      <c r="F197" s="153" t="str">
        <f t="shared" si="17"/>
        <v/>
      </c>
      <c r="G197" s="256"/>
      <c r="H197" s="166">
        <f t="shared" si="19"/>
        <v>0</v>
      </c>
      <c r="I197" s="10" t="s">
        <v>335</v>
      </c>
      <c r="J197" s="12">
        <v>30</v>
      </c>
      <c r="K197" s="12">
        <f t="shared" si="22"/>
        <v>0</v>
      </c>
    </row>
    <row r="198" spans="1:11" hidden="1" x14ac:dyDescent="0.35">
      <c r="A198" s="103"/>
      <c r="B198" s="12" t="s">
        <v>8</v>
      </c>
      <c r="C198" s="10" t="s">
        <v>351</v>
      </c>
      <c r="D198" s="152"/>
      <c r="E198" s="170"/>
      <c r="F198" s="153" t="str">
        <f t="shared" si="17"/>
        <v/>
      </c>
      <c r="G198" s="256"/>
      <c r="H198" s="166">
        <f t="shared" si="19"/>
        <v>0</v>
      </c>
      <c r="I198" s="10" t="s">
        <v>335</v>
      </c>
      <c r="J198" s="11">
        <v>1.1499999999999999</v>
      </c>
      <c r="K198" s="12">
        <f t="shared" si="22"/>
        <v>0</v>
      </c>
    </row>
    <row r="199" spans="1:11" hidden="1" x14ac:dyDescent="0.35">
      <c r="A199" s="103"/>
      <c r="B199" s="12" t="s">
        <v>8</v>
      </c>
      <c r="C199" s="10" t="s">
        <v>352</v>
      </c>
      <c r="D199" s="152"/>
      <c r="E199" s="170"/>
      <c r="F199" s="153" t="str">
        <f t="shared" si="17"/>
        <v/>
      </c>
      <c r="G199" s="256"/>
      <c r="H199" s="166">
        <f t="shared" si="19"/>
        <v>0</v>
      </c>
      <c r="I199" s="10">
        <v>23.83</v>
      </c>
      <c r="J199" s="11">
        <v>30.95</v>
      </c>
      <c r="K199" s="12">
        <f>H199*J199</f>
        <v>0</v>
      </c>
    </row>
    <row r="200" spans="1:11" hidden="1" x14ac:dyDescent="0.35">
      <c r="A200" s="103"/>
      <c r="B200" s="12" t="s">
        <v>8</v>
      </c>
      <c r="C200" s="10" t="s">
        <v>353</v>
      </c>
      <c r="D200" s="152"/>
      <c r="E200" s="170"/>
      <c r="F200" s="153" t="str">
        <f t="shared" si="17"/>
        <v/>
      </c>
      <c r="G200" s="256"/>
      <c r="H200" s="166">
        <f t="shared" si="19"/>
        <v>0</v>
      </c>
      <c r="I200" s="10" t="s">
        <v>27</v>
      </c>
      <c r="J200" s="11">
        <v>28.89</v>
      </c>
      <c r="K200" s="12">
        <f t="shared" ref="K200" si="23">H200*J200</f>
        <v>0</v>
      </c>
    </row>
    <row r="201" spans="1:11" hidden="1" x14ac:dyDescent="0.35">
      <c r="A201" s="103"/>
      <c r="B201" s="12" t="s">
        <v>8</v>
      </c>
      <c r="C201" s="10" t="s">
        <v>354</v>
      </c>
      <c r="D201" s="152"/>
      <c r="E201" s="170"/>
      <c r="F201" s="153" t="str">
        <f>IF(E201="","",IF(D201-E201&gt;0,D201-E201,""))</f>
        <v/>
      </c>
      <c r="G201" s="256"/>
      <c r="H201" s="166">
        <f>IF(ISNUMBER(E201),E201,0)+IF(ISNUMBER(F201),F201,0)-IF(ISNUMBER(G201),G201,0)</f>
        <v>0</v>
      </c>
      <c r="I201" s="10" t="s">
        <v>27</v>
      </c>
      <c r="J201" s="11">
        <v>19.37</v>
      </c>
      <c r="K201" s="12">
        <f>H201*J201</f>
        <v>0</v>
      </c>
    </row>
    <row r="202" spans="1:11" hidden="1" x14ac:dyDescent="0.35">
      <c r="A202" s="103"/>
      <c r="B202" s="12" t="s">
        <v>8</v>
      </c>
      <c r="C202" s="10" t="s">
        <v>429</v>
      </c>
      <c r="D202" s="152"/>
      <c r="E202" s="170"/>
      <c r="F202" s="153"/>
      <c r="G202" s="256"/>
      <c r="H202" s="166">
        <f t="shared" ref="H202:H204" si="24">IF(ISNUMBER(E202),E202,0)+IF(ISNUMBER(F202),F202,0)-IF(ISNUMBER(G202),G202,0)</f>
        <v>0</v>
      </c>
      <c r="I202" s="10">
        <v>14.07</v>
      </c>
      <c r="J202" s="11"/>
      <c r="K202" s="12"/>
    </row>
    <row r="203" spans="1:11" hidden="1" x14ac:dyDescent="0.35">
      <c r="A203" s="103"/>
      <c r="B203" s="12" t="s">
        <v>8</v>
      </c>
      <c r="C203" s="10" t="s">
        <v>430</v>
      </c>
      <c r="D203" s="152"/>
      <c r="E203" s="170"/>
      <c r="F203" s="153"/>
      <c r="G203" s="256"/>
      <c r="H203" s="166">
        <f t="shared" si="24"/>
        <v>0</v>
      </c>
      <c r="I203" s="10">
        <v>16.07</v>
      </c>
      <c r="J203" s="11"/>
      <c r="K203" s="12"/>
    </row>
    <row r="204" spans="1:11" hidden="1" x14ac:dyDescent="0.35">
      <c r="A204" s="103"/>
      <c r="B204" s="12" t="s">
        <v>8</v>
      </c>
      <c r="C204" s="10" t="s">
        <v>431</v>
      </c>
      <c r="D204" s="152"/>
      <c r="G204" s="256"/>
      <c r="H204" s="166">
        <f t="shared" si="24"/>
        <v>0</v>
      </c>
      <c r="I204" s="289">
        <v>14.62</v>
      </c>
      <c r="J204" s="11"/>
    </row>
    <row r="205" spans="1:11" hidden="1" x14ac:dyDescent="0.35">
      <c r="A205" s="103"/>
      <c r="B205" s="12" t="s">
        <v>8</v>
      </c>
      <c r="C205" s="10" t="s">
        <v>355</v>
      </c>
      <c r="D205" s="152"/>
      <c r="E205" s="170"/>
      <c r="F205" s="153" t="str">
        <f t="shared" si="17"/>
        <v/>
      </c>
      <c r="G205" s="256"/>
      <c r="H205" s="166">
        <f t="shared" si="19"/>
        <v>0</v>
      </c>
      <c r="I205" s="10" t="s">
        <v>61</v>
      </c>
      <c r="J205" s="11">
        <v>17.11</v>
      </c>
      <c r="K205" s="12">
        <f t="shared" si="22"/>
        <v>0</v>
      </c>
    </row>
    <row r="206" spans="1:11" hidden="1" x14ac:dyDescent="0.35">
      <c r="A206" s="103"/>
      <c r="B206" s="12" t="s">
        <v>8</v>
      </c>
      <c r="C206" s="10" t="s">
        <v>356</v>
      </c>
      <c r="D206" s="152"/>
      <c r="E206" s="170"/>
      <c r="F206" s="153" t="str">
        <f t="shared" si="17"/>
        <v/>
      </c>
      <c r="G206" s="256"/>
      <c r="H206" s="166">
        <f t="shared" si="19"/>
        <v>0</v>
      </c>
      <c r="I206" s="10" t="s">
        <v>61</v>
      </c>
      <c r="J206" s="11">
        <v>22.13</v>
      </c>
      <c r="K206" s="12">
        <f t="shared" si="22"/>
        <v>0</v>
      </c>
    </row>
    <row r="207" spans="1:11" hidden="1" x14ac:dyDescent="0.35">
      <c r="A207" s="103"/>
      <c r="B207" s="40" t="s">
        <v>8</v>
      </c>
      <c r="C207" s="41" t="s">
        <v>357</v>
      </c>
      <c r="D207" s="227"/>
      <c r="E207" s="170"/>
      <c r="F207" s="153" t="str">
        <f t="shared" si="17"/>
        <v/>
      </c>
      <c r="G207" s="256"/>
      <c r="H207" s="166">
        <f t="shared" si="19"/>
        <v>0</v>
      </c>
      <c r="I207" s="41" t="s">
        <v>61</v>
      </c>
      <c r="J207" s="42">
        <v>18.8</v>
      </c>
      <c r="K207" s="40">
        <f t="shared" si="22"/>
        <v>0</v>
      </c>
    </row>
    <row r="208" spans="1:11" ht="15.5" hidden="1" x14ac:dyDescent="0.35">
      <c r="A208" s="112" t="s">
        <v>358</v>
      </c>
      <c r="B208" s="116"/>
      <c r="C208" s="116"/>
      <c r="D208" s="228"/>
      <c r="E208" s="170"/>
      <c r="F208" s="165" t="str">
        <f t="shared" si="17"/>
        <v/>
      </c>
      <c r="G208" s="260"/>
      <c r="H208" s="247"/>
      <c r="I208" s="117"/>
      <c r="J208" s="118" t="s">
        <v>18</v>
      </c>
      <c r="K208" s="275">
        <f>SUM(K209)</f>
        <v>0</v>
      </c>
    </row>
    <row r="209" spans="1:11" hidden="1" x14ac:dyDescent="0.35">
      <c r="A209" s="103"/>
      <c r="B209" s="13" t="s">
        <v>11</v>
      </c>
      <c r="C209" s="18" t="s">
        <v>359</v>
      </c>
      <c r="D209" s="229"/>
      <c r="E209" s="170"/>
      <c r="F209" s="153" t="str">
        <f t="shared" si="17"/>
        <v/>
      </c>
      <c r="G209" s="256"/>
      <c r="H209" s="166">
        <f t="shared" si="19"/>
        <v>0</v>
      </c>
      <c r="I209" s="10" t="s">
        <v>52</v>
      </c>
      <c r="J209" s="11">
        <v>11.63</v>
      </c>
      <c r="K209" s="12">
        <f>G209*J209</f>
        <v>0</v>
      </c>
    </row>
    <row r="210" spans="1:11" ht="15.5" hidden="1" x14ac:dyDescent="0.35">
      <c r="A210" s="108" t="s">
        <v>360</v>
      </c>
      <c r="B210" s="108"/>
      <c r="C210" s="108"/>
      <c r="D210" s="223"/>
      <c r="E210" s="250"/>
      <c r="F210" s="165" t="str">
        <f t="shared" si="17"/>
        <v/>
      </c>
      <c r="G210" s="186"/>
      <c r="H210" s="247"/>
      <c r="I210" s="108"/>
      <c r="J210" s="106" t="s">
        <v>18</v>
      </c>
      <c r="K210" s="269">
        <f>SUM(K211:K212)</f>
        <v>0</v>
      </c>
    </row>
    <row r="211" spans="1:11" hidden="1" x14ac:dyDescent="0.35">
      <c r="A211" s="103"/>
      <c r="B211" s="12" t="s">
        <v>12</v>
      </c>
      <c r="C211" s="10" t="s">
        <v>70</v>
      </c>
      <c r="D211" s="152"/>
      <c r="E211" s="170"/>
      <c r="F211" s="153" t="str">
        <f t="shared" si="17"/>
        <v/>
      </c>
      <c r="G211" s="256"/>
      <c r="H211" s="166">
        <f t="shared" si="19"/>
        <v>0</v>
      </c>
      <c r="I211" s="10" t="s">
        <v>27</v>
      </c>
      <c r="J211" s="11">
        <v>20.7</v>
      </c>
      <c r="K211" s="12">
        <f>H211*J211</f>
        <v>0</v>
      </c>
    </row>
    <row r="212" spans="1:11" hidden="1" x14ac:dyDescent="0.35">
      <c r="A212" s="103"/>
      <c r="B212" s="12" t="s">
        <v>12</v>
      </c>
      <c r="C212" s="10" t="s">
        <v>71</v>
      </c>
      <c r="D212" s="152"/>
      <c r="E212" s="170"/>
      <c r="F212" s="153" t="str">
        <f t="shared" si="17"/>
        <v/>
      </c>
      <c r="G212" s="256"/>
      <c r="H212" s="166">
        <f t="shared" si="19"/>
        <v>0</v>
      </c>
      <c r="I212" s="10" t="s">
        <v>27</v>
      </c>
      <c r="J212" s="11">
        <v>13.7</v>
      </c>
      <c r="K212" s="12">
        <f>H212*J212</f>
        <v>0</v>
      </c>
    </row>
    <row r="213" spans="1:11" ht="15.5" hidden="1" x14ac:dyDescent="0.35">
      <c r="A213" s="108" t="s">
        <v>361</v>
      </c>
      <c r="B213" s="108"/>
      <c r="C213" s="108"/>
      <c r="D213" s="223"/>
      <c r="E213" s="250"/>
      <c r="F213" s="165" t="str">
        <f t="shared" si="17"/>
        <v/>
      </c>
      <c r="G213" s="186"/>
      <c r="H213" s="247"/>
      <c r="I213" s="108"/>
      <c r="J213" s="106" t="s">
        <v>18</v>
      </c>
      <c r="K213" s="269">
        <f>SUM(K214:K217)</f>
        <v>0</v>
      </c>
    </row>
    <row r="214" spans="1:11" hidden="1" x14ac:dyDescent="0.35">
      <c r="A214" s="103"/>
      <c r="B214" s="12" t="s">
        <v>10</v>
      </c>
      <c r="C214" s="10" t="s">
        <v>362</v>
      </c>
      <c r="D214" s="152"/>
      <c r="E214" s="170"/>
      <c r="F214" s="153" t="str">
        <f t="shared" si="17"/>
        <v/>
      </c>
      <c r="G214" s="256"/>
      <c r="H214" s="166">
        <f t="shared" si="19"/>
        <v>0</v>
      </c>
      <c r="I214" s="10" t="s">
        <v>20</v>
      </c>
      <c r="J214" s="11">
        <v>11.08</v>
      </c>
      <c r="K214" s="12">
        <f>H214*J214</f>
        <v>0</v>
      </c>
    </row>
    <row r="215" spans="1:11" hidden="1" x14ac:dyDescent="0.35">
      <c r="A215" s="103"/>
      <c r="B215" s="12" t="s">
        <v>10</v>
      </c>
      <c r="C215" s="10" t="s">
        <v>363</v>
      </c>
      <c r="D215" s="152"/>
      <c r="E215" s="170"/>
      <c r="F215" s="153" t="str">
        <f t="shared" si="17"/>
        <v/>
      </c>
      <c r="G215" s="256"/>
      <c r="H215" s="166">
        <f t="shared" si="19"/>
        <v>0</v>
      </c>
      <c r="I215" s="10" t="s">
        <v>27</v>
      </c>
      <c r="J215" s="11">
        <v>16.21</v>
      </c>
      <c r="K215" s="12">
        <f t="shared" ref="K215:K217" si="25">H215*J215</f>
        <v>0</v>
      </c>
    </row>
    <row r="216" spans="1:11" hidden="1" x14ac:dyDescent="0.35">
      <c r="A216" s="103"/>
      <c r="B216" s="12" t="s">
        <v>10</v>
      </c>
      <c r="C216" s="10" t="s">
        <v>364</v>
      </c>
      <c r="D216" s="152"/>
      <c r="E216" s="170"/>
      <c r="F216" s="153" t="str">
        <f t="shared" si="17"/>
        <v/>
      </c>
      <c r="G216" s="256"/>
      <c r="H216" s="166">
        <f t="shared" si="19"/>
        <v>0</v>
      </c>
      <c r="I216" s="10" t="s">
        <v>27</v>
      </c>
      <c r="J216" s="11">
        <v>19.350000000000001</v>
      </c>
      <c r="K216" s="12">
        <f t="shared" si="25"/>
        <v>0</v>
      </c>
    </row>
    <row r="217" spans="1:11" hidden="1" x14ac:dyDescent="0.35">
      <c r="A217" s="103"/>
      <c r="B217" s="12" t="s">
        <v>10</v>
      </c>
      <c r="C217" s="10" t="s">
        <v>365</v>
      </c>
      <c r="D217" s="152"/>
      <c r="E217" s="170"/>
      <c r="F217" s="153" t="str">
        <f t="shared" si="17"/>
        <v/>
      </c>
      <c r="G217" s="256"/>
      <c r="H217" s="166">
        <f t="shared" si="19"/>
        <v>0</v>
      </c>
      <c r="I217" s="10" t="s">
        <v>27</v>
      </c>
      <c r="J217" s="11">
        <v>19.809999999999999</v>
      </c>
      <c r="K217" s="12">
        <f t="shared" si="25"/>
        <v>0</v>
      </c>
    </row>
    <row r="218" spans="1:11" ht="15.5" hidden="1" x14ac:dyDescent="0.35">
      <c r="A218" s="108" t="s">
        <v>366</v>
      </c>
      <c r="B218" s="108"/>
      <c r="C218" s="108"/>
      <c r="D218" s="223"/>
      <c r="E218" s="170"/>
      <c r="F218" s="165" t="str">
        <f t="shared" si="17"/>
        <v/>
      </c>
      <c r="G218" s="186"/>
      <c r="H218" s="247"/>
      <c r="I218" s="108"/>
      <c r="J218" s="106" t="s">
        <v>18</v>
      </c>
      <c r="K218" s="269">
        <f>SUM(K219:K219)</f>
        <v>0</v>
      </c>
    </row>
    <row r="219" spans="1:11" hidden="1" x14ac:dyDescent="0.35">
      <c r="A219" s="103"/>
      <c r="B219" s="12" t="s">
        <v>28</v>
      </c>
      <c r="C219" s="10" t="s">
        <v>29</v>
      </c>
      <c r="D219" s="152"/>
      <c r="E219" s="170"/>
      <c r="F219" s="153" t="str">
        <f t="shared" si="17"/>
        <v/>
      </c>
      <c r="G219" s="256"/>
      <c r="H219" s="166">
        <f t="shared" si="19"/>
        <v>0</v>
      </c>
      <c r="I219" s="10" t="s">
        <v>54</v>
      </c>
      <c r="J219" s="11">
        <v>104</v>
      </c>
      <c r="K219" s="12">
        <f>+J219*G219</f>
        <v>0</v>
      </c>
    </row>
    <row r="220" spans="1:11" ht="15.5" x14ac:dyDescent="0.35">
      <c r="A220" s="108" t="s">
        <v>367</v>
      </c>
      <c r="B220" s="108"/>
      <c r="C220" s="108"/>
      <c r="D220" s="223"/>
      <c r="E220" s="250"/>
      <c r="F220" s="165" t="str">
        <f t="shared" ref="F220:F255" si="26">IF(E220="","",IF(D220-E220&gt;0,D220-E220,""))</f>
        <v/>
      </c>
      <c r="G220" s="186"/>
      <c r="H220" s="247"/>
      <c r="I220" s="108"/>
      <c r="J220" s="106" t="s">
        <v>18</v>
      </c>
      <c r="K220" s="269">
        <f>SUM(K224:K239)</f>
        <v>111.47</v>
      </c>
    </row>
    <row r="221" spans="1:11" x14ac:dyDescent="0.35">
      <c r="A221" s="103"/>
      <c r="B221" s="12" t="s">
        <v>9</v>
      </c>
      <c r="C221" s="10" t="s">
        <v>423</v>
      </c>
      <c r="D221" s="152"/>
      <c r="E221" s="170"/>
      <c r="F221" s="153" t="str">
        <f t="shared" si="26"/>
        <v/>
      </c>
      <c r="G221" s="256"/>
      <c r="H221" s="166">
        <f t="shared" si="19"/>
        <v>0</v>
      </c>
      <c r="I221" s="10" t="s">
        <v>20</v>
      </c>
      <c r="J221" s="11">
        <v>78</v>
      </c>
      <c r="K221" s="50">
        <f t="shared" ref="K221:K240" si="27">G221*J221</f>
        <v>0</v>
      </c>
    </row>
    <row r="222" spans="1:11" x14ac:dyDescent="0.35">
      <c r="A222" s="103"/>
      <c r="B222" s="12" t="s">
        <v>9</v>
      </c>
      <c r="C222" s="10" t="s">
        <v>424</v>
      </c>
      <c r="D222" s="152"/>
      <c r="E222" s="170"/>
      <c r="F222" s="153" t="str">
        <f t="shared" si="26"/>
        <v/>
      </c>
      <c r="G222" s="256"/>
      <c r="H222" s="166">
        <f t="shared" si="19"/>
        <v>0</v>
      </c>
      <c r="I222" s="10" t="s">
        <v>61</v>
      </c>
      <c r="J222" s="51">
        <v>107.12</v>
      </c>
      <c r="K222" s="50">
        <f t="shared" si="27"/>
        <v>0</v>
      </c>
    </row>
    <row r="223" spans="1:11" x14ac:dyDescent="0.35">
      <c r="A223" s="103"/>
      <c r="B223" s="12" t="s">
        <v>9</v>
      </c>
      <c r="C223" s="10" t="s">
        <v>369</v>
      </c>
      <c r="D223" s="152"/>
      <c r="E223" s="170"/>
      <c r="F223" s="153" t="str">
        <f t="shared" si="26"/>
        <v/>
      </c>
      <c r="G223" s="256"/>
      <c r="H223" s="166">
        <f t="shared" si="19"/>
        <v>0</v>
      </c>
      <c r="I223" s="10" t="s">
        <v>20</v>
      </c>
      <c r="J223" s="11">
        <v>0.04</v>
      </c>
      <c r="K223" s="50">
        <f t="shared" si="27"/>
        <v>0</v>
      </c>
    </row>
    <row r="224" spans="1:11" x14ac:dyDescent="0.35">
      <c r="A224" s="103"/>
      <c r="B224" s="12" t="s">
        <v>9</v>
      </c>
      <c r="C224" s="10" t="s">
        <v>370</v>
      </c>
      <c r="D224" s="152"/>
      <c r="E224" s="170"/>
      <c r="F224" s="153" t="str">
        <f t="shared" si="26"/>
        <v/>
      </c>
      <c r="G224" s="256"/>
      <c r="H224" s="166">
        <f t="shared" si="19"/>
        <v>0</v>
      </c>
      <c r="I224" s="10" t="s">
        <v>20</v>
      </c>
      <c r="J224" s="11">
        <v>7.0999999999999994E-2</v>
      </c>
      <c r="K224" s="233">
        <f>H224*J224</f>
        <v>0</v>
      </c>
    </row>
    <row r="225" spans="1:11" x14ac:dyDescent="0.35">
      <c r="A225" s="103"/>
      <c r="B225" s="12" t="s">
        <v>9</v>
      </c>
      <c r="C225" s="10" t="s">
        <v>411</v>
      </c>
      <c r="D225" s="152"/>
      <c r="E225" s="170"/>
      <c r="F225" s="153" t="str">
        <f t="shared" si="26"/>
        <v/>
      </c>
      <c r="G225" s="256"/>
      <c r="H225" s="166">
        <f t="shared" si="19"/>
        <v>0</v>
      </c>
      <c r="I225" s="10" t="s">
        <v>20</v>
      </c>
      <c r="J225" s="11">
        <v>1.97</v>
      </c>
      <c r="K225" s="233">
        <f>H225*J225</f>
        <v>0</v>
      </c>
    </row>
    <row r="226" spans="1:11" x14ac:dyDescent="0.35">
      <c r="A226" s="103"/>
      <c r="B226" s="12" t="s">
        <v>9</v>
      </c>
      <c r="C226" s="10" t="s">
        <v>371</v>
      </c>
      <c r="D226" s="152"/>
      <c r="E226" s="170"/>
      <c r="F226" s="153" t="str">
        <f t="shared" si="26"/>
        <v/>
      </c>
      <c r="G226" s="256"/>
      <c r="H226" s="166">
        <f t="shared" si="19"/>
        <v>0</v>
      </c>
      <c r="I226" s="10" t="s">
        <v>61</v>
      </c>
      <c r="J226" s="11">
        <v>163.80000000000001</v>
      </c>
      <c r="K226" s="233">
        <f t="shared" ref="K226:K239" si="28">H226*J226</f>
        <v>0</v>
      </c>
    </row>
    <row r="227" spans="1:11" x14ac:dyDescent="0.35">
      <c r="A227" s="103"/>
      <c r="B227" s="12" t="s">
        <v>9</v>
      </c>
      <c r="C227" s="10" t="s">
        <v>410</v>
      </c>
      <c r="D227" s="152"/>
      <c r="E227" s="170"/>
      <c r="F227" s="153" t="str">
        <f t="shared" si="26"/>
        <v/>
      </c>
      <c r="G227" s="256"/>
      <c r="H227" s="166">
        <f t="shared" si="19"/>
        <v>0</v>
      </c>
      <c r="I227" s="10" t="s">
        <v>61</v>
      </c>
      <c r="J227" s="11">
        <v>49.33</v>
      </c>
      <c r="K227" s="233">
        <f t="shared" si="28"/>
        <v>0</v>
      </c>
    </row>
    <row r="228" spans="1:11" x14ac:dyDescent="0.35">
      <c r="A228" s="103"/>
      <c r="B228" s="12" t="s">
        <v>9</v>
      </c>
      <c r="C228" s="10" t="s">
        <v>373</v>
      </c>
      <c r="D228" s="152"/>
      <c r="E228" s="170"/>
      <c r="F228" s="153" t="str">
        <f t="shared" si="26"/>
        <v/>
      </c>
      <c r="G228" s="256"/>
      <c r="H228" s="166">
        <f t="shared" si="19"/>
        <v>0</v>
      </c>
      <c r="I228" s="10" t="s">
        <v>61</v>
      </c>
      <c r="J228" s="11">
        <v>105.6</v>
      </c>
      <c r="K228" s="233">
        <f t="shared" si="28"/>
        <v>0</v>
      </c>
    </row>
    <row r="229" spans="1:11" x14ac:dyDescent="0.35">
      <c r="A229" s="103"/>
      <c r="B229" s="12" t="s">
        <v>9</v>
      </c>
      <c r="C229" s="10" t="s">
        <v>374</v>
      </c>
      <c r="D229" s="152"/>
      <c r="E229" s="170"/>
      <c r="F229" s="153" t="str">
        <f t="shared" si="26"/>
        <v/>
      </c>
      <c r="G229" s="256"/>
      <c r="H229" s="166">
        <f t="shared" si="19"/>
        <v>0</v>
      </c>
      <c r="I229" s="10" t="s">
        <v>61</v>
      </c>
      <c r="J229" s="11">
        <v>114.75</v>
      </c>
      <c r="K229" s="233">
        <f t="shared" si="28"/>
        <v>0</v>
      </c>
    </row>
    <row r="230" spans="1:11" x14ac:dyDescent="0.35">
      <c r="A230" s="103"/>
      <c r="B230" s="12" t="s">
        <v>9</v>
      </c>
      <c r="C230" s="10" t="s">
        <v>375</v>
      </c>
      <c r="D230" s="152"/>
      <c r="E230" s="170"/>
      <c r="F230" s="153" t="str">
        <f t="shared" si="26"/>
        <v/>
      </c>
      <c r="G230" s="256"/>
      <c r="H230" s="166">
        <f t="shared" si="19"/>
        <v>0</v>
      </c>
      <c r="I230" s="10" t="s">
        <v>61</v>
      </c>
      <c r="J230" s="11">
        <v>105.55</v>
      </c>
      <c r="K230" s="233">
        <f t="shared" si="28"/>
        <v>0</v>
      </c>
    </row>
    <row r="231" spans="1:11" x14ac:dyDescent="0.35">
      <c r="A231" s="103"/>
      <c r="B231" s="12" t="s">
        <v>9</v>
      </c>
      <c r="C231" s="10" t="s">
        <v>376</v>
      </c>
      <c r="D231" s="152">
        <v>1</v>
      </c>
      <c r="E231" s="170"/>
      <c r="F231" s="153" t="str">
        <f t="shared" si="26"/>
        <v/>
      </c>
      <c r="G231" s="256"/>
      <c r="H231" s="166">
        <f t="shared" si="19"/>
        <v>0</v>
      </c>
      <c r="I231" s="10" t="s">
        <v>61</v>
      </c>
      <c r="J231" s="11">
        <v>33.25</v>
      </c>
      <c r="K231" s="233">
        <f t="shared" si="28"/>
        <v>0</v>
      </c>
    </row>
    <row r="232" spans="1:11" x14ac:dyDescent="0.35">
      <c r="A232" s="103"/>
      <c r="B232" s="12" t="s">
        <v>9</v>
      </c>
      <c r="C232" s="10" t="s">
        <v>377</v>
      </c>
      <c r="D232" s="152"/>
      <c r="E232" s="170"/>
      <c r="F232" s="153" t="str">
        <f t="shared" si="26"/>
        <v/>
      </c>
      <c r="G232" s="256"/>
      <c r="H232" s="166">
        <f t="shared" si="19"/>
        <v>0</v>
      </c>
      <c r="I232" s="10" t="s">
        <v>20</v>
      </c>
      <c r="J232" s="11">
        <v>0.28999999999999998</v>
      </c>
      <c r="K232" s="233">
        <f t="shared" si="28"/>
        <v>0</v>
      </c>
    </row>
    <row r="233" spans="1:11" x14ac:dyDescent="0.35">
      <c r="A233" s="103"/>
      <c r="B233" s="12" t="s">
        <v>9</v>
      </c>
      <c r="C233" s="10" t="s">
        <v>378</v>
      </c>
      <c r="D233" s="152"/>
      <c r="E233" s="170"/>
      <c r="F233" s="153" t="str">
        <f t="shared" si="26"/>
        <v/>
      </c>
      <c r="G233" s="256"/>
      <c r="H233" s="166">
        <f t="shared" si="19"/>
        <v>0</v>
      </c>
      <c r="I233" s="10" t="s">
        <v>61</v>
      </c>
      <c r="J233" s="35">
        <v>37.85</v>
      </c>
      <c r="K233" s="233">
        <f t="shared" si="28"/>
        <v>0</v>
      </c>
    </row>
    <row r="234" spans="1:11" x14ac:dyDescent="0.35">
      <c r="A234" s="103"/>
      <c r="B234" s="12" t="s">
        <v>9</v>
      </c>
      <c r="C234" s="10" t="s">
        <v>425</v>
      </c>
      <c r="D234" s="152">
        <v>1</v>
      </c>
      <c r="E234" s="170">
        <v>1</v>
      </c>
      <c r="F234" s="153" t="str">
        <f t="shared" si="26"/>
        <v/>
      </c>
      <c r="G234" s="256"/>
      <c r="H234" s="166">
        <f t="shared" si="19"/>
        <v>1</v>
      </c>
      <c r="I234" s="10" t="s">
        <v>61</v>
      </c>
      <c r="J234" s="35">
        <v>111.47</v>
      </c>
      <c r="K234" s="233">
        <f t="shared" si="28"/>
        <v>111.47</v>
      </c>
    </row>
    <row r="235" spans="1:11" x14ac:dyDescent="0.35">
      <c r="A235" s="103"/>
      <c r="B235" s="12" t="s">
        <v>9</v>
      </c>
      <c r="C235" s="10" t="s">
        <v>379</v>
      </c>
      <c r="D235" s="152"/>
      <c r="E235" s="170"/>
      <c r="F235" s="153" t="str">
        <f t="shared" si="26"/>
        <v/>
      </c>
      <c r="G235" s="256"/>
      <c r="H235" s="166">
        <f t="shared" si="19"/>
        <v>0</v>
      </c>
      <c r="I235" s="10" t="s">
        <v>61</v>
      </c>
      <c r="J235" s="35">
        <v>174.97</v>
      </c>
      <c r="K235" s="233">
        <f t="shared" si="28"/>
        <v>0</v>
      </c>
    </row>
    <row r="236" spans="1:11" x14ac:dyDescent="0.35">
      <c r="A236" s="103"/>
      <c r="B236" s="12" t="s">
        <v>9</v>
      </c>
      <c r="C236" s="10" t="s">
        <v>380</v>
      </c>
      <c r="D236" s="152"/>
      <c r="E236" s="170"/>
      <c r="F236" s="153" t="str">
        <f t="shared" si="26"/>
        <v/>
      </c>
      <c r="G236" s="256"/>
      <c r="H236" s="166">
        <f t="shared" si="19"/>
        <v>0</v>
      </c>
      <c r="I236" s="10" t="s">
        <v>61</v>
      </c>
      <c r="J236" s="35">
        <v>44.93</v>
      </c>
      <c r="K236" s="233">
        <f t="shared" si="28"/>
        <v>0</v>
      </c>
    </row>
    <row r="237" spans="1:11" x14ac:dyDescent="0.35">
      <c r="A237" s="103"/>
      <c r="B237" s="12" t="s">
        <v>9</v>
      </c>
      <c r="C237" s="10" t="s">
        <v>426</v>
      </c>
      <c r="D237" s="152">
        <v>1</v>
      </c>
      <c r="E237" s="170"/>
      <c r="F237" s="153" t="str">
        <f t="shared" si="26"/>
        <v/>
      </c>
      <c r="G237" s="256"/>
      <c r="H237" s="166">
        <f t="shared" si="19"/>
        <v>0</v>
      </c>
      <c r="I237" s="10" t="s">
        <v>61</v>
      </c>
      <c r="J237" s="35"/>
      <c r="K237" s="233">
        <f t="shared" si="28"/>
        <v>0</v>
      </c>
    </row>
    <row r="238" spans="1:11" x14ac:dyDescent="0.35">
      <c r="A238" s="103"/>
      <c r="B238" s="12" t="s">
        <v>9</v>
      </c>
      <c r="C238" s="10" t="s">
        <v>427</v>
      </c>
      <c r="D238" s="152">
        <v>1</v>
      </c>
      <c r="E238" s="170"/>
      <c r="F238" s="153" t="str">
        <f t="shared" si="26"/>
        <v/>
      </c>
      <c r="G238" s="256"/>
      <c r="H238" s="166">
        <f t="shared" si="19"/>
        <v>0</v>
      </c>
      <c r="I238" s="10" t="s">
        <v>61</v>
      </c>
      <c r="J238" s="35"/>
      <c r="K238" s="233">
        <f>H238*J238</f>
        <v>0</v>
      </c>
    </row>
    <row r="239" spans="1:11" x14ac:dyDescent="0.35">
      <c r="A239" s="103"/>
      <c r="B239" s="12" t="s">
        <v>9</v>
      </c>
      <c r="C239" s="10" t="s">
        <v>428</v>
      </c>
      <c r="D239" s="152">
        <v>1</v>
      </c>
      <c r="E239" s="170">
        <v>1</v>
      </c>
      <c r="F239" s="153" t="str">
        <f t="shared" si="26"/>
        <v/>
      </c>
      <c r="G239" s="256"/>
      <c r="H239" s="166">
        <f t="shared" si="19"/>
        <v>1</v>
      </c>
      <c r="I239" s="10" t="s">
        <v>61</v>
      </c>
      <c r="J239" s="35"/>
      <c r="K239" s="233">
        <f t="shared" si="28"/>
        <v>0</v>
      </c>
    </row>
    <row r="240" spans="1:11" x14ac:dyDescent="0.35">
      <c r="A240" s="103"/>
      <c r="B240" s="12" t="s">
        <v>9</v>
      </c>
      <c r="C240" s="10" t="s">
        <v>381</v>
      </c>
      <c r="D240" s="152"/>
      <c r="E240" s="170"/>
      <c r="F240" s="153" t="str">
        <f t="shared" si="26"/>
        <v/>
      </c>
      <c r="G240" s="256"/>
      <c r="H240" s="166">
        <f t="shared" si="19"/>
        <v>0</v>
      </c>
      <c r="I240" s="10" t="s">
        <v>61</v>
      </c>
      <c r="J240" s="35">
        <v>0.02</v>
      </c>
      <c r="K240" s="50">
        <f t="shared" si="27"/>
        <v>0</v>
      </c>
    </row>
    <row r="241" spans="1:18" ht="15.5" x14ac:dyDescent="0.35">
      <c r="A241" s="108" t="s">
        <v>382</v>
      </c>
      <c r="B241" s="108"/>
      <c r="C241" s="108"/>
      <c r="D241" s="223"/>
      <c r="E241" s="250"/>
      <c r="F241" s="165" t="str">
        <f t="shared" si="26"/>
        <v/>
      </c>
      <c r="G241" s="186"/>
      <c r="H241" s="247"/>
      <c r="I241" s="108">
        <v>29.2</v>
      </c>
      <c r="J241" s="106" t="s">
        <v>18</v>
      </c>
      <c r="K241" s="269">
        <f>SUM(K242:K252)</f>
        <v>47.94</v>
      </c>
    </row>
    <row r="242" spans="1:18" hidden="1" x14ac:dyDescent="0.35">
      <c r="A242" s="103"/>
      <c r="B242" s="12" t="s">
        <v>31</v>
      </c>
      <c r="C242" s="10" t="s">
        <v>383</v>
      </c>
      <c r="D242" s="152"/>
      <c r="E242" s="170"/>
      <c r="F242" s="153" t="str">
        <f t="shared" si="26"/>
        <v/>
      </c>
      <c r="G242" s="256"/>
      <c r="H242" s="166">
        <f t="shared" ref="H242:H255" si="29">IF(ISNUMBER(E242),E242,0)+IF(ISNUMBER(F242),F242,0)-IF(ISNUMBER(G242),G242,0)</f>
        <v>0</v>
      </c>
      <c r="I242" s="10">
        <v>19.03</v>
      </c>
      <c r="J242" s="11">
        <v>5.5</v>
      </c>
      <c r="K242" s="12">
        <f t="shared" ref="K242" si="30">G242*J242</f>
        <v>0</v>
      </c>
    </row>
    <row r="243" spans="1:18" x14ac:dyDescent="0.35">
      <c r="A243" s="103"/>
      <c r="B243" s="12" t="s">
        <v>31</v>
      </c>
      <c r="C243" s="10" t="s">
        <v>39</v>
      </c>
      <c r="D243" s="152">
        <v>1</v>
      </c>
      <c r="E243" s="170">
        <v>2</v>
      </c>
      <c r="F243" s="153" t="str">
        <f t="shared" si="26"/>
        <v/>
      </c>
      <c r="G243" s="256"/>
      <c r="H243" s="166">
        <f t="shared" si="29"/>
        <v>2</v>
      </c>
      <c r="I243" s="10">
        <v>8.4600000000000009</v>
      </c>
      <c r="J243" s="11">
        <v>4.55</v>
      </c>
      <c r="K243" s="12">
        <f>H243*J243</f>
        <v>9.1</v>
      </c>
      <c r="R243" s="87"/>
    </row>
    <row r="244" spans="1:18" x14ac:dyDescent="0.35">
      <c r="A244" s="103"/>
      <c r="B244" s="12" t="s">
        <v>31</v>
      </c>
      <c r="C244" s="10" t="s">
        <v>422</v>
      </c>
      <c r="D244" s="152">
        <v>1</v>
      </c>
      <c r="E244" s="170">
        <v>1</v>
      </c>
      <c r="F244" s="153" t="str">
        <f t="shared" si="26"/>
        <v/>
      </c>
      <c r="G244" s="256"/>
      <c r="H244" s="166">
        <f t="shared" si="29"/>
        <v>1</v>
      </c>
      <c r="I244" s="10" t="s">
        <v>20</v>
      </c>
      <c r="J244" s="11">
        <v>3.7</v>
      </c>
      <c r="K244" s="12">
        <f t="shared" ref="K244:K255" si="31">H244*J244</f>
        <v>3.7</v>
      </c>
    </row>
    <row r="245" spans="1:18" x14ac:dyDescent="0.35">
      <c r="A245" s="103"/>
      <c r="B245" s="12" t="s">
        <v>31</v>
      </c>
      <c r="C245" s="10" t="s">
        <v>67</v>
      </c>
      <c r="D245" s="152">
        <v>1</v>
      </c>
      <c r="E245" s="170">
        <v>0</v>
      </c>
      <c r="F245" s="153">
        <f t="shared" si="26"/>
        <v>1</v>
      </c>
      <c r="G245" s="256"/>
      <c r="H245" s="166">
        <f t="shared" si="29"/>
        <v>1</v>
      </c>
      <c r="I245" s="10" t="s">
        <v>20</v>
      </c>
      <c r="J245" s="11">
        <v>15.56</v>
      </c>
      <c r="K245" s="12">
        <f t="shared" si="31"/>
        <v>15.56</v>
      </c>
    </row>
    <row r="246" spans="1:18" hidden="1" x14ac:dyDescent="0.35">
      <c r="A246" s="103"/>
      <c r="B246" s="12" t="s">
        <v>31</v>
      </c>
      <c r="C246" s="10" t="s">
        <v>384</v>
      </c>
      <c r="D246" s="152"/>
      <c r="E246" s="170"/>
      <c r="F246" s="153" t="str">
        <f t="shared" si="26"/>
        <v/>
      </c>
      <c r="G246" s="256"/>
      <c r="H246" s="166">
        <f t="shared" si="29"/>
        <v>0</v>
      </c>
      <c r="I246" s="10" t="s">
        <v>20</v>
      </c>
      <c r="J246" s="11">
        <v>0.8</v>
      </c>
      <c r="K246" s="12">
        <f t="shared" si="31"/>
        <v>0</v>
      </c>
    </row>
    <row r="247" spans="1:18" hidden="1" x14ac:dyDescent="0.35">
      <c r="A247" s="103"/>
      <c r="B247" s="12" t="s">
        <v>31</v>
      </c>
      <c r="C247" s="10" t="s">
        <v>385</v>
      </c>
      <c r="D247" s="152"/>
      <c r="E247" s="170"/>
      <c r="F247" s="153" t="str">
        <f t="shared" si="26"/>
        <v/>
      </c>
      <c r="G247" s="256"/>
      <c r="H247" s="166">
        <f t="shared" si="29"/>
        <v>0</v>
      </c>
      <c r="I247" s="10" t="s">
        <v>20</v>
      </c>
      <c r="J247" s="11">
        <v>1.83</v>
      </c>
      <c r="K247" s="12">
        <f t="shared" si="31"/>
        <v>0</v>
      </c>
    </row>
    <row r="248" spans="1:18" x14ac:dyDescent="0.35">
      <c r="A248" s="103"/>
      <c r="B248" s="12" t="s">
        <v>31</v>
      </c>
      <c r="C248" s="10" t="s">
        <v>386</v>
      </c>
      <c r="D248" s="152">
        <v>1</v>
      </c>
      <c r="E248" s="170">
        <v>1</v>
      </c>
      <c r="F248" s="153" t="str">
        <f t="shared" si="26"/>
        <v/>
      </c>
      <c r="G248" s="256"/>
      <c r="H248" s="166">
        <f t="shared" si="29"/>
        <v>1</v>
      </c>
      <c r="I248" s="10" t="s">
        <v>20</v>
      </c>
      <c r="J248" s="11">
        <v>2.65</v>
      </c>
      <c r="K248" s="12">
        <f t="shared" si="31"/>
        <v>2.65</v>
      </c>
    </row>
    <row r="249" spans="1:18" x14ac:dyDescent="0.35">
      <c r="A249" s="103"/>
      <c r="B249" s="12" t="s">
        <v>31</v>
      </c>
      <c r="C249" s="10" t="s">
        <v>65</v>
      </c>
      <c r="D249" s="152">
        <v>1</v>
      </c>
      <c r="E249" s="170">
        <v>1</v>
      </c>
      <c r="F249" s="153" t="str">
        <f t="shared" si="26"/>
        <v/>
      </c>
      <c r="G249" s="256"/>
      <c r="H249" s="166">
        <f t="shared" si="29"/>
        <v>1</v>
      </c>
      <c r="I249" s="10" t="s">
        <v>20</v>
      </c>
      <c r="J249" s="11">
        <v>13.43</v>
      </c>
      <c r="K249" s="12">
        <f t="shared" si="31"/>
        <v>13.43</v>
      </c>
    </row>
    <row r="250" spans="1:18" hidden="1" x14ac:dyDescent="0.35">
      <c r="A250" s="103"/>
      <c r="B250" s="12" t="s">
        <v>31</v>
      </c>
      <c r="C250" s="10" t="s">
        <v>66</v>
      </c>
      <c r="D250" s="152"/>
      <c r="E250" s="170"/>
      <c r="F250" s="153" t="str">
        <f t="shared" si="26"/>
        <v/>
      </c>
      <c r="G250" s="256"/>
      <c r="H250" s="166">
        <f t="shared" si="29"/>
        <v>0</v>
      </c>
      <c r="I250" s="10" t="s">
        <v>20</v>
      </c>
      <c r="J250" s="11">
        <v>75.38</v>
      </c>
      <c r="K250" s="12">
        <f t="shared" si="31"/>
        <v>0</v>
      </c>
    </row>
    <row r="251" spans="1:18" x14ac:dyDescent="0.35">
      <c r="A251" s="103"/>
      <c r="B251" s="12" t="s">
        <v>31</v>
      </c>
      <c r="C251" s="10" t="s">
        <v>412</v>
      </c>
      <c r="D251" s="152">
        <v>1</v>
      </c>
      <c r="E251" s="170"/>
      <c r="F251" s="153" t="str">
        <f t="shared" si="26"/>
        <v/>
      </c>
      <c r="G251" s="256"/>
      <c r="H251" s="166">
        <f t="shared" si="29"/>
        <v>0</v>
      </c>
      <c r="I251" s="10" t="s">
        <v>20</v>
      </c>
      <c r="J251" s="11">
        <v>8.43</v>
      </c>
      <c r="K251" s="12">
        <f t="shared" si="31"/>
        <v>0</v>
      </c>
    </row>
    <row r="252" spans="1:18" x14ac:dyDescent="0.35">
      <c r="A252" s="103"/>
      <c r="B252" s="12" t="s">
        <v>31</v>
      </c>
      <c r="C252" s="10" t="s">
        <v>69</v>
      </c>
      <c r="D252" s="152">
        <v>1</v>
      </c>
      <c r="E252" s="170">
        <v>1</v>
      </c>
      <c r="F252" s="153" t="str">
        <f t="shared" si="26"/>
        <v/>
      </c>
      <c r="G252" s="256"/>
      <c r="H252" s="166">
        <f t="shared" si="29"/>
        <v>1</v>
      </c>
      <c r="I252" s="10" t="s">
        <v>63</v>
      </c>
      <c r="J252" s="11">
        <v>3.5</v>
      </c>
      <c r="K252" s="12">
        <f t="shared" si="31"/>
        <v>3.5</v>
      </c>
    </row>
    <row r="253" spans="1:18" ht="15.5" hidden="1" x14ac:dyDescent="0.35">
      <c r="A253" s="108" t="s">
        <v>57</v>
      </c>
      <c r="B253" s="108"/>
      <c r="C253" s="108"/>
      <c r="D253" s="111"/>
      <c r="E253" s="162"/>
      <c r="F253" s="165" t="str">
        <f t="shared" si="26"/>
        <v/>
      </c>
      <c r="G253" s="186"/>
      <c r="H253" s="247"/>
      <c r="I253" s="108"/>
      <c r="J253" s="106" t="s">
        <v>18</v>
      </c>
      <c r="K253" s="270">
        <f>K254+K255</f>
        <v>0</v>
      </c>
    </row>
    <row r="254" spans="1:18" hidden="1" x14ac:dyDescent="0.35">
      <c r="A254" s="103"/>
      <c r="B254" s="12" t="s">
        <v>56</v>
      </c>
      <c r="C254" s="10" t="s">
        <v>58</v>
      </c>
      <c r="D254" s="135"/>
      <c r="E254" s="187"/>
      <c r="F254" s="153" t="str">
        <f t="shared" si="26"/>
        <v/>
      </c>
      <c r="G254" s="256"/>
      <c r="H254" s="166">
        <f t="shared" si="29"/>
        <v>0</v>
      </c>
      <c r="I254" s="10" t="s">
        <v>20</v>
      </c>
      <c r="J254" s="11">
        <v>54.05</v>
      </c>
      <c r="K254" s="12">
        <f t="shared" si="31"/>
        <v>0</v>
      </c>
    </row>
    <row r="255" spans="1:18" hidden="1" x14ac:dyDescent="0.35">
      <c r="A255" s="103"/>
      <c r="B255" s="12" t="s">
        <v>56</v>
      </c>
      <c r="C255" s="10" t="s">
        <v>388</v>
      </c>
      <c r="D255" s="135"/>
      <c r="E255" s="187"/>
      <c r="F255" s="153" t="str">
        <f t="shared" si="26"/>
        <v/>
      </c>
      <c r="G255" s="256"/>
      <c r="H255" s="166">
        <f t="shared" si="29"/>
        <v>0</v>
      </c>
      <c r="I255" s="10" t="s">
        <v>20</v>
      </c>
      <c r="J255" s="11">
        <v>0</v>
      </c>
      <c r="K255" s="12">
        <f t="shared" si="31"/>
        <v>0</v>
      </c>
    </row>
    <row r="260" hidden="1" x14ac:dyDescent="0.35"/>
  </sheetData>
  <mergeCells count="2">
    <mergeCell ref="B1:C1"/>
    <mergeCell ref="B2:C2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03EA8-5723-4C9D-BEE7-152A4F435270}">
  <sheetPr codeName="Feuil36">
    <tabColor rgb="FFFF5050"/>
  </sheetPr>
  <dimension ref="A1:R255"/>
  <sheetViews>
    <sheetView topLeftCell="B3" zoomScale="112" zoomScaleNormal="112" workbookViewId="0">
      <selection activeCell="M244" sqref="M244"/>
    </sheetView>
  </sheetViews>
  <sheetFormatPr baseColWidth="10" defaultColWidth="10.7265625" defaultRowHeight="14.5" x14ac:dyDescent="0.35"/>
  <cols>
    <col min="1" max="1" width="2.81640625" customWidth="1"/>
    <col min="2" max="2" width="30.1796875" bestFit="1" customWidth="1"/>
    <col min="3" max="3" width="44.54296875" bestFit="1" customWidth="1"/>
    <col min="4" max="4" width="9.7265625" style="13" bestFit="1" customWidth="1"/>
    <col min="5" max="5" width="17.1796875" style="34" bestFit="1" customWidth="1"/>
    <col min="6" max="6" width="17" bestFit="1" customWidth="1"/>
    <col min="7" max="7" width="15.26953125" style="253" bestFit="1" customWidth="1"/>
    <col min="8" max="8" width="10.26953125" style="16" customWidth="1"/>
    <col min="9" max="9" width="6.81640625" bestFit="1" customWidth="1"/>
    <col min="10" max="10" width="10.26953125" customWidth="1"/>
    <col min="11" max="11" width="19.54296875" bestFit="1" customWidth="1"/>
  </cols>
  <sheetData>
    <row r="1" spans="2:6" ht="15" thickBot="1" x14ac:dyDescent="0.4">
      <c r="B1" s="321" t="s">
        <v>198</v>
      </c>
      <c r="C1" s="322"/>
      <c r="E1" s="154"/>
      <c r="F1" s="89"/>
    </row>
    <row r="2" spans="2:6" ht="15" thickBot="1" x14ac:dyDescent="0.4">
      <c r="B2" s="319"/>
      <c r="C2" s="320"/>
      <c r="E2" s="155"/>
      <c r="F2" s="90"/>
    </row>
    <row r="3" spans="2:6" x14ac:dyDescent="0.35">
      <c r="B3" s="75"/>
      <c r="C3" s="75"/>
      <c r="E3" s="156"/>
      <c r="F3" s="75"/>
    </row>
    <row r="4" spans="2:6" ht="15.5" x14ac:dyDescent="0.35">
      <c r="B4" s="70" t="s">
        <v>0</v>
      </c>
      <c r="C4" s="70" t="s">
        <v>1</v>
      </c>
      <c r="E4" s="157"/>
      <c r="F4" s="91"/>
    </row>
    <row r="5" spans="2:6" x14ac:dyDescent="0.35">
      <c r="B5" s="71" t="s">
        <v>2</v>
      </c>
      <c r="C5" s="72">
        <f>K23</f>
        <v>0</v>
      </c>
      <c r="E5" s="156"/>
      <c r="F5" s="75"/>
    </row>
    <row r="6" spans="2:6" x14ac:dyDescent="0.35">
      <c r="B6" s="71" t="s">
        <v>7</v>
      </c>
      <c r="C6" s="72">
        <f>K41</f>
        <v>0</v>
      </c>
      <c r="E6" s="156"/>
      <c r="F6" s="75"/>
    </row>
    <row r="7" spans="2:6" x14ac:dyDescent="0.35">
      <c r="B7" s="71" t="s">
        <v>13</v>
      </c>
      <c r="C7" s="72">
        <f>K50</f>
        <v>147.35</v>
      </c>
      <c r="E7" s="156"/>
      <c r="F7" s="75"/>
    </row>
    <row r="8" spans="2:6" x14ac:dyDescent="0.35">
      <c r="B8" s="71" t="s">
        <v>3</v>
      </c>
      <c r="C8" s="72">
        <f>K78</f>
        <v>0</v>
      </c>
      <c r="E8" s="156"/>
      <c r="F8" s="75"/>
    </row>
    <row r="9" spans="2:6" x14ac:dyDescent="0.35">
      <c r="B9" s="71" t="s">
        <v>4</v>
      </c>
      <c r="C9" s="72">
        <f>K122</f>
        <v>357.13</v>
      </c>
      <c r="E9" s="156"/>
      <c r="F9" s="75"/>
    </row>
    <row r="10" spans="2:6" x14ac:dyDescent="0.35">
      <c r="B10" s="71" t="s">
        <v>199</v>
      </c>
      <c r="C10" s="72">
        <f>K176</f>
        <v>0</v>
      </c>
      <c r="E10" s="156"/>
      <c r="F10" s="75"/>
    </row>
    <row r="11" spans="2:6" x14ac:dyDescent="0.35">
      <c r="B11" s="71" t="s">
        <v>200</v>
      </c>
      <c r="C11" s="72">
        <f>K187</f>
        <v>113.39999999999999</v>
      </c>
      <c r="E11" s="156"/>
      <c r="F11" s="75"/>
    </row>
    <row r="12" spans="2:6" x14ac:dyDescent="0.35">
      <c r="B12" s="71" t="s">
        <v>201</v>
      </c>
      <c r="C12" s="72">
        <f>K193</f>
        <v>0</v>
      </c>
      <c r="E12" s="156"/>
      <c r="F12" s="75"/>
    </row>
    <row r="13" spans="2:6" x14ac:dyDescent="0.35">
      <c r="B13" s="71" t="s">
        <v>202</v>
      </c>
      <c r="C13" s="72">
        <f>K195</f>
        <v>100.64</v>
      </c>
      <c r="E13" s="156"/>
      <c r="F13" s="75"/>
    </row>
    <row r="14" spans="2:6" x14ac:dyDescent="0.35">
      <c r="B14" s="71" t="s">
        <v>203</v>
      </c>
      <c r="C14" s="72">
        <f>K208</f>
        <v>0</v>
      </c>
      <c r="E14" s="285"/>
      <c r="F14" s="75"/>
    </row>
    <row r="15" spans="2:6" x14ac:dyDescent="0.35">
      <c r="B15" s="71" t="s">
        <v>416</v>
      </c>
      <c r="C15" s="72">
        <f>K213</f>
        <v>0</v>
      </c>
      <c r="E15" s="156"/>
      <c r="F15" s="75"/>
    </row>
    <row r="16" spans="2:6" x14ac:dyDescent="0.35">
      <c r="B16" s="71" t="s">
        <v>204</v>
      </c>
      <c r="C16" s="72">
        <f>K218</f>
        <v>0</v>
      </c>
      <c r="E16" s="156"/>
      <c r="F16" s="75"/>
    </row>
    <row r="17" spans="1:17" x14ac:dyDescent="0.35">
      <c r="B17" s="71" t="s">
        <v>9</v>
      </c>
      <c r="C17" s="72">
        <f>K220</f>
        <v>33.25</v>
      </c>
      <c r="E17" s="156"/>
      <c r="F17" s="75"/>
    </row>
    <row r="18" spans="1:17" x14ac:dyDescent="0.35">
      <c r="B18" s="71" t="s">
        <v>205</v>
      </c>
      <c r="C18" s="72">
        <f>K241</f>
        <v>21.6</v>
      </c>
      <c r="E18" s="156"/>
      <c r="F18" s="75"/>
    </row>
    <row r="19" spans="1:17" x14ac:dyDescent="0.35">
      <c r="B19" s="71" t="s">
        <v>56</v>
      </c>
      <c r="C19" s="72">
        <f>K253</f>
        <v>162.14999999999998</v>
      </c>
      <c r="E19" s="156"/>
      <c r="F19" s="75"/>
    </row>
    <row r="20" spans="1:17" x14ac:dyDescent="0.35">
      <c r="B20" s="73" t="s">
        <v>14</v>
      </c>
      <c r="C20" s="74">
        <f>C5+C6+C7+C8+C9+C10+C11+C12+C13+C14+C15+C16+C17+C18+C19</f>
        <v>935.52</v>
      </c>
      <c r="E20" s="248"/>
      <c r="F20" s="243"/>
    </row>
    <row r="21" spans="1:17" ht="18.5" x14ac:dyDescent="0.45">
      <c r="A21" s="76" t="s">
        <v>397</v>
      </c>
      <c r="B21" s="76"/>
      <c r="C21" s="76"/>
      <c r="D21" s="234"/>
      <c r="E21" s="160"/>
      <c r="F21" s="76"/>
      <c r="G21" s="254"/>
      <c r="H21" s="69"/>
      <c r="I21" s="76"/>
      <c r="J21" s="76"/>
      <c r="K21" s="76"/>
    </row>
    <row r="22" spans="1:17" x14ac:dyDescent="0.35">
      <c r="A22" s="129"/>
      <c r="B22" s="129" t="s">
        <v>15</v>
      </c>
      <c r="C22" s="129" t="s">
        <v>16</v>
      </c>
      <c r="D22" s="235" t="s">
        <v>398</v>
      </c>
      <c r="E22" s="185" t="s">
        <v>404</v>
      </c>
      <c r="F22" s="130" t="s">
        <v>399</v>
      </c>
      <c r="G22" s="255" t="s">
        <v>405</v>
      </c>
      <c r="H22" s="131" t="s">
        <v>408</v>
      </c>
      <c r="I22" s="129" t="s">
        <v>406</v>
      </c>
      <c r="J22" s="133" t="s">
        <v>45</v>
      </c>
      <c r="K22" s="129" t="s">
        <v>1</v>
      </c>
    </row>
    <row r="23" spans="1:17" ht="15.5" x14ac:dyDescent="0.35">
      <c r="A23" s="108" t="s">
        <v>208</v>
      </c>
      <c r="B23" s="108"/>
      <c r="C23" s="108"/>
      <c r="D23" s="111"/>
      <c r="E23" s="286" t="s">
        <v>421</v>
      </c>
      <c r="F23" s="108"/>
      <c r="G23" s="286" t="s">
        <v>421</v>
      </c>
      <c r="H23" s="109"/>
      <c r="I23" s="108"/>
      <c r="J23" s="110" t="s">
        <v>18</v>
      </c>
      <c r="K23" s="269">
        <f>SUM(K24:K40)</f>
        <v>0</v>
      </c>
    </row>
    <row r="24" spans="1:17" x14ac:dyDescent="0.35">
      <c r="A24" s="103"/>
      <c r="B24" s="7" t="s">
        <v>2</v>
      </c>
      <c r="C24" s="14" t="s">
        <v>19</v>
      </c>
      <c r="D24" s="152"/>
      <c r="E24" s="170"/>
      <c r="F24" s="153" t="str">
        <f t="shared" ref="F24:F88" si="0">IF(E24="","",IF(D24-E24&gt;0,D24-E24,""))</f>
        <v/>
      </c>
      <c r="G24" s="256"/>
      <c r="H24" s="166">
        <f t="shared" ref="H24:H45" si="1">IF(ISNUMBER(E24),E24,0)+IF(ISNUMBER(F24),F24,0)-IF(ISNUMBER(G24),G24,0)</f>
        <v>0</v>
      </c>
      <c r="I24" s="10" t="s">
        <v>20</v>
      </c>
      <c r="J24" s="11">
        <v>55.95</v>
      </c>
      <c r="K24" s="12">
        <f t="shared" ref="K24:K27" si="2">G24*J24</f>
        <v>0</v>
      </c>
    </row>
    <row r="25" spans="1:17" hidden="1" x14ac:dyDescent="0.35">
      <c r="A25" s="103"/>
      <c r="B25" s="7" t="s">
        <v>2</v>
      </c>
      <c r="C25" s="14" t="s">
        <v>209</v>
      </c>
      <c r="D25" s="152"/>
      <c r="E25" s="170"/>
      <c r="F25" s="153" t="str">
        <f t="shared" si="0"/>
        <v/>
      </c>
      <c r="G25" s="256"/>
      <c r="H25" s="166">
        <f t="shared" si="1"/>
        <v>0</v>
      </c>
      <c r="I25" s="10" t="s">
        <v>20</v>
      </c>
      <c r="J25" s="11">
        <v>173.1</v>
      </c>
      <c r="K25" s="12">
        <f t="shared" si="2"/>
        <v>0</v>
      </c>
    </row>
    <row r="26" spans="1:17" x14ac:dyDescent="0.35">
      <c r="A26" s="103"/>
      <c r="B26" s="12" t="s">
        <v>2</v>
      </c>
      <c r="C26" s="10" t="s">
        <v>21</v>
      </c>
      <c r="D26" s="152">
        <v>5</v>
      </c>
      <c r="E26" s="170">
        <v>5</v>
      </c>
      <c r="F26" s="153" t="str">
        <f t="shared" si="0"/>
        <v/>
      </c>
      <c r="G26" s="256"/>
      <c r="H26" s="166">
        <f t="shared" si="1"/>
        <v>5</v>
      </c>
      <c r="I26" s="10" t="s">
        <v>20</v>
      </c>
      <c r="J26" s="11">
        <v>75.400000000000006</v>
      </c>
      <c r="K26" s="12">
        <f t="shared" si="2"/>
        <v>0</v>
      </c>
    </row>
    <row r="27" spans="1:17" hidden="1" x14ac:dyDescent="0.35">
      <c r="A27" s="103"/>
      <c r="B27" s="12" t="s">
        <v>2</v>
      </c>
      <c r="C27" s="10" t="s">
        <v>210</v>
      </c>
      <c r="D27" s="152"/>
      <c r="E27" s="170"/>
      <c r="F27" s="153" t="str">
        <f t="shared" si="0"/>
        <v/>
      </c>
      <c r="G27" s="257"/>
      <c r="H27" s="166">
        <f t="shared" si="1"/>
        <v>0</v>
      </c>
      <c r="I27" s="10" t="s">
        <v>20</v>
      </c>
      <c r="J27" s="11">
        <v>84.9</v>
      </c>
      <c r="K27" s="12">
        <f t="shared" si="2"/>
        <v>0</v>
      </c>
    </row>
    <row r="28" spans="1:17" hidden="1" x14ac:dyDescent="0.35">
      <c r="A28" s="103"/>
      <c r="B28" s="12" t="s">
        <v>2</v>
      </c>
      <c r="C28" s="10" t="s">
        <v>211</v>
      </c>
      <c r="D28" s="152"/>
      <c r="E28" s="170"/>
      <c r="F28" s="153" t="str">
        <f t="shared" si="0"/>
        <v/>
      </c>
      <c r="G28" s="256"/>
      <c r="H28" s="166">
        <f t="shared" si="1"/>
        <v>0</v>
      </c>
      <c r="I28" s="10" t="s">
        <v>20</v>
      </c>
      <c r="J28" s="11">
        <v>2.96</v>
      </c>
      <c r="K28" s="12">
        <f>H28*J28</f>
        <v>0</v>
      </c>
    </row>
    <row r="29" spans="1:17" hidden="1" x14ac:dyDescent="0.35">
      <c r="A29" s="103"/>
      <c r="B29" s="12" t="s">
        <v>2</v>
      </c>
      <c r="C29" s="10" t="s">
        <v>212</v>
      </c>
      <c r="D29" s="152"/>
      <c r="E29" s="170"/>
      <c r="F29" s="153" t="str">
        <f t="shared" si="0"/>
        <v/>
      </c>
      <c r="G29" s="256"/>
      <c r="H29" s="166">
        <f t="shared" si="1"/>
        <v>0</v>
      </c>
      <c r="I29" s="10" t="s">
        <v>20</v>
      </c>
      <c r="J29" s="11">
        <v>2.96</v>
      </c>
      <c r="K29" s="12">
        <f t="shared" ref="K29:K40" si="3">H29*J29</f>
        <v>0</v>
      </c>
    </row>
    <row r="30" spans="1:17" hidden="1" x14ac:dyDescent="0.35">
      <c r="A30" s="103"/>
      <c r="B30" s="12" t="s">
        <v>2</v>
      </c>
      <c r="C30" s="10" t="s">
        <v>213</v>
      </c>
      <c r="D30" s="152"/>
      <c r="E30" s="170"/>
      <c r="F30" s="153" t="str">
        <f t="shared" si="0"/>
        <v/>
      </c>
      <c r="G30" s="256"/>
      <c r="H30" s="166">
        <f t="shared" si="1"/>
        <v>0</v>
      </c>
      <c r="I30" s="10" t="s">
        <v>20</v>
      </c>
      <c r="J30" s="11">
        <v>2.96</v>
      </c>
      <c r="K30" s="12">
        <f t="shared" si="3"/>
        <v>0</v>
      </c>
      <c r="Q30" s="268"/>
    </row>
    <row r="31" spans="1:17" hidden="1" x14ac:dyDescent="0.35">
      <c r="A31" s="103"/>
      <c r="B31" s="7" t="s">
        <v>2</v>
      </c>
      <c r="C31" s="14" t="s">
        <v>22</v>
      </c>
      <c r="D31" s="152"/>
      <c r="E31" s="170"/>
      <c r="F31" s="153" t="str">
        <f t="shared" si="0"/>
        <v/>
      </c>
      <c r="G31" s="256"/>
      <c r="H31" s="166">
        <f t="shared" si="1"/>
        <v>0</v>
      </c>
      <c r="I31" s="10" t="s">
        <v>20</v>
      </c>
      <c r="J31" s="11">
        <v>107.2</v>
      </c>
      <c r="K31" s="12">
        <f t="shared" si="3"/>
        <v>0</v>
      </c>
    </row>
    <row r="32" spans="1:17" hidden="1" x14ac:dyDescent="0.35">
      <c r="A32" s="103"/>
      <c r="B32" s="7" t="s">
        <v>2</v>
      </c>
      <c r="C32" s="14" t="s">
        <v>214</v>
      </c>
      <c r="D32" s="152"/>
      <c r="E32" s="170"/>
      <c r="F32" s="153" t="str">
        <f t="shared" si="0"/>
        <v/>
      </c>
      <c r="G32" s="256"/>
      <c r="H32" s="166">
        <f t="shared" si="1"/>
        <v>0</v>
      </c>
      <c r="I32" s="10" t="s">
        <v>20</v>
      </c>
      <c r="J32" s="11">
        <v>170.7</v>
      </c>
      <c r="K32" s="12">
        <f t="shared" si="3"/>
        <v>0</v>
      </c>
      <c r="M32" s="87"/>
    </row>
    <row r="33" spans="1:14" hidden="1" x14ac:dyDescent="0.35">
      <c r="A33" s="103"/>
      <c r="B33" s="12" t="s">
        <v>2</v>
      </c>
      <c r="C33" s="10" t="s">
        <v>215</v>
      </c>
      <c r="D33" s="152"/>
      <c r="E33" s="170"/>
      <c r="F33" s="153" t="str">
        <f t="shared" si="0"/>
        <v/>
      </c>
      <c r="G33" s="256"/>
      <c r="H33" s="166">
        <f t="shared" si="1"/>
        <v>0</v>
      </c>
      <c r="I33" s="10" t="s">
        <v>216</v>
      </c>
      <c r="J33" s="11">
        <v>3.77</v>
      </c>
      <c r="K33" s="12">
        <f t="shared" si="3"/>
        <v>0</v>
      </c>
    </row>
    <row r="34" spans="1:14" hidden="1" x14ac:dyDescent="0.35">
      <c r="A34" s="103"/>
      <c r="B34" s="12" t="s">
        <v>2</v>
      </c>
      <c r="C34" s="10" t="s">
        <v>217</v>
      </c>
      <c r="D34" s="152"/>
      <c r="E34" s="170"/>
      <c r="F34" s="153" t="str">
        <f t="shared" si="0"/>
        <v/>
      </c>
      <c r="G34" s="256"/>
      <c r="H34" s="166">
        <f t="shared" si="1"/>
        <v>0</v>
      </c>
      <c r="I34" s="10" t="s">
        <v>20</v>
      </c>
      <c r="J34" s="11">
        <v>2.56</v>
      </c>
      <c r="K34" s="12">
        <f t="shared" si="3"/>
        <v>0</v>
      </c>
      <c r="N34" s="87"/>
    </row>
    <row r="35" spans="1:14" hidden="1" x14ac:dyDescent="0.35">
      <c r="A35" s="103"/>
      <c r="B35" s="12" t="s">
        <v>2</v>
      </c>
      <c r="C35" s="10" t="s">
        <v>218</v>
      </c>
      <c r="D35" s="152"/>
      <c r="E35" s="170"/>
      <c r="F35" s="153" t="str">
        <f t="shared" si="0"/>
        <v/>
      </c>
      <c r="G35" s="256"/>
      <c r="H35" s="166">
        <f t="shared" si="1"/>
        <v>0</v>
      </c>
      <c r="I35" s="10" t="s">
        <v>20</v>
      </c>
      <c r="J35" s="11">
        <v>3.08</v>
      </c>
      <c r="K35" s="12">
        <f t="shared" si="3"/>
        <v>0</v>
      </c>
    </row>
    <row r="36" spans="1:14" hidden="1" x14ac:dyDescent="0.35">
      <c r="A36" s="103"/>
      <c r="B36" s="12" t="s">
        <v>2</v>
      </c>
      <c r="C36" s="10" t="s">
        <v>219</v>
      </c>
      <c r="D36" s="152"/>
      <c r="E36" s="170"/>
      <c r="F36" s="153" t="str">
        <f t="shared" si="0"/>
        <v/>
      </c>
      <c r="G36" s="256"/>
      <c r="H36" s="166">
        <f t="shared" si="1"/>
        <v>0</v>
      </c>
      <c r="I36" s="10" t="s">
        <v>20</v>
      </c>
      <c r="J36" s="11">
        <v>2.56</v>
      </c>
      <c r="K36" s="12">
        <f t="shared" si="3"/>
        <v>0</v>
      </c>
    </row>
    <row r="37" spans="1:14" hidden="1" x14ac:dyDescent="0.35">
      <c r="A37" s="103"/>
      <c r="B37" s="12" t="s">
        <v>2</v>
      </c>
      <c r="C37" s="10" t="s">
        <v>220</v>
      </c>
      <c r="D37" s="152"/>
      <c r="E37" s="170"/>
      <c r="F37" s="153" t="str">
        <f t="shared" si="0"/>
        <v/>
      </c>
      <c r="G37" s="256"/>
      <c r="H37" s="166">
        <f t="shared" si="1"/>
        <v>0</v>
      </c>
      <c r="I37" s="10" t="s">
        <v>20</v>
      </c>
      <c r="J37" s="11">
        <v>1.41</v>
      </c>
      <c r="K37" s="12">
        <f t="shared" si="3"/>
        <v>0</v>
      </c>
    </row>
    <row r="38" spans="1:14" hidden="1" x14ac:dyDescent="0.35">
      <c r="A38" s="103"/>
      <c r="B38" s="12" t="s">
        <v>2</v>
      </c>
      <c r="C38" s="10" t="s">
        <v>221</v>
      </c>
      <c r="D38" s="152"/>
      <c r="E38" s="170"/>
      <c r="F38" s="153" t="str">
        <f t="shared" si="0"/>
        <v/>
      </c>
      <c r="G38" s="256"/>
      <c r="H38" s="166">
        <f t="shared" si="1"/>
        <v>0</v>
      </c>
      <c r="I38" s="10" t="s">
        <v>20</v>
      </c>
      <c r="J38" s="11">
        <v>1.73</v>
      </c>
      <c r="K38" s="12">
        <f t="shared" si="3"/>
        <v>0</v>
      </c>
    </row>
    <row r="39" spans="1:14" hidden="1" x14ac:dyDescent="0.35">
      <c r="A39" s="103"/>
      <c r="B39" s="12" t="s">
        <v>2</v>
      </c>
      <c r="C39" s="10" t="s">
        <v>222</v>
      </c>
      <c r="D39" s="152"/>
      <c r="E39" s="170"/>
      <c r="F39" s="153" t="str">
        <f t="shared" si="0"/>
        <v/>
      </c>
      <c r="G39" s="256"/>
      <c r="H39" s="166">
        <f t="shared" si="1"/>
        <v>0</v>
      </c>
      <c r="I39" s="10" t="s">
        <v>20</v>
      </c>
      <c r="J39" s="11">
        <v>1.46</v>
      </c>
      <c r="K39" s="12">
        <f t="shared" si="3"/>
        <v>0</v>
      </c>
    </row>
    <row r="40" spans="1:14" hidden="1" x14ac:dyDescent="0.35">
      <c r="A40" s="103"/>
      <c r="B40" s="12" t="s">
        <v>2</v>
      </c>
      <c r="C40" s="10" t="s">
        <v>223</v>
      </c>
      <c r="D40" s="222"/>
      <c r="E40" s="170"/>
      <c r="F40" s="153" t="str">
        <f t="shared" si="0"/>
        <v/>
      </c>
      <c r="G40" s="256"/>
      <c r="H40" s="166">
        <f t="shared" si="1"/>
        <v>0</v>
      </c>
      <c r="I40" s="10" t="s">
        <v>20</v>
      </c>
      <c r="J40" s="77">
        <v>3.45</v>
      </c>
      <c r="K40" s="12">
        <f t="shared" si="3"/>
        <v>0</v>
      </c>
    </row>
    <row r="41" spans="1:14" ht="15.5" x14ac:dyDescent="0.35">
      <c r="A41" s="108" t="s">
        <v>119</v>
      </c>
      <c r="B41" s="108"/>
      <c r="C41" s="108"/>
      <c r="D41" s="223"/>
      <c r="E41" s="287"/>
      <c r="F41" s="165"/>
      <c r="G41" s="286"/>
      <c r="H41" s="247"/>
      <c r="I41" s="108"/>
      <c r="J41" s="106" t="s">
        <v>18</v>
      </c>
      <c r="K41" s="269">
        <f>SUM(K42:K49)</f>
        <v>0</v>
      </c>
    </row>
    <row r="42" spans="1:14" x14ac:dyDescent="0.35">
      <c r="A42" s="103"/>
      <c r="B42" s="12" t="s">
        <v>7</v>
      </c>
      <c r="C42" s="10" t="s">
        <v>224</v>
      </c>
      <c r="D42" s="152"/>
      <c r="E42" s="170"/>
      <c r="F42" s="153" t="str">
        <f t="shared" si="0"/>
        <v/>
      </c>
      <c r="G42" s="256"/>
      <c r="H42" s="166">
        <f t="shared" si="1"/>
        <v>0</v>
      </c>
      <c r="I42" s="10" t="s">
        <v>20</v>
      </c>
      <c r="J42" s="11">
        <v>100</v>
      </c>
      <c r="K42" s="12">
        <f t="shared" ref="K42:K49" si="4">G42*J42</f>
        <v>0</v>
      </c>
    </row>
    <row r="43" spans="1:14" hidden="1" x14ac:dyDescent="0.35">
      <c r="A43" s="103"/>
      <c r="B43" s="12" t="s">
        <v>7</v>
      </c>
      <c r="C43" s="10" t="s">
        <v>225</v>
      </c>
      <c r="D43" s="152"/>
      <c r="E43" s="170">
        <f>'[4]Chalet 1 (2)'!E43</f>
        <v>0</v>
      </c>
      <c r="F43" s="153" t="str">
        <f t="shared" si="0"/>
        <v/>
      </c>
      <c r="G43" s="256"/>
      <c r="H43" s="166">
        <f t="shared" si="1"/>
        <v>0</v>
      </c>
      <c r="I43" s="10" t="s">
        <v>20</v>
      </c>
      <c r="J43" s="11">
        <v>12.2</v>
      </c>
      <c r="K43" s="12">
        <f t="shared" si="4"/>
        <v>0</v>
      </c>
    </row>
    <row r="44" spans="1:14" hidden="1" x14ac:dyDescent="0.35">
      <c r="A44" s="103"/>
      <c r="B44" s="12" t="s">
        <v>7</v>
      </c>
      <c r="C44" s="10" t="s">
        <v>226</v>
      </c>
      <c r="D44" s="152"/>
      <c r="E44" s="170">
        <f>'[4]Chalet 1 (2)'!E44</f>
        <v>0</v>
      </c>
      <c r="F44" s="153" t="str">
        <f t="shared" si="0"/>
        <v/>
      </c>
      <c r="G44" s="256"/>
      <c r="H44" s="166">
        <f t="shared" si="1"/>
        <v>0</v>
      </c>
      <c r="I44" s="10" t="s">
        <v>20</v>
      </c>
      <c r="J44" s="11">
        <v>11</v>
      </c>
      <c r="K44" s="12">
        <f t="shared" si="4"/>
        <v>0</v>
      </c>
    </row>
    <row r="45" spans="1:14" hidden="1" x14ac:dyDescent="0.35">
      <c r="A45" s="103"/>
      <c r="B45" s="12" t="s">
        <v>7</v>
      </c>
      <c r="C45" s="10" t="s">
        <v>227</v>
      </c>
      <c r="D45" s="152"/>
      <c r="E45" s="170">
        <f>'[4]Chalet 1 (2)'!E45</f>
        <v>0</v>
      </c>
      <c r="F45" s="153" t="str">
        <f t="shared" si="0"/>
        <v/>
      </c>
      <c r="G45" s="256"/>
      <c r="H45" s="166">
        <f t="shared" si="1"/>
        <v>0</v>
      </c>
      <c r="I45" s="10" t="s">
        <v>20</v>
      </c>
      <c r="J45" s="11">
        <v>5</v>
      </c>
      <c r="K45" s="12">
        <f t="shared" si="4"/>
        <v>0</v>
      </c>
    </row>
    <row r="46" spans="1:14" x14ac:dyDescent="0.35">
      <c r="A46" s="103"/>
      <c r="B46" s="12" t="s">
        <v>7</v>
      </c>
      <c r="C46" s="10" t="s">
        <v>46</v>
      </c>
      <c r="D46" s="152"/>
      <c r="E46" s="170"/>
      <c r="F46" s="153" t="str">
        <f t="shared" si="0"/>
        <v/>
      </c>
      <c r="G46" s="256"/>
      <c r="H46" s="166">
        <f>IF(ISNUMBER(E46),E46,0)+IF(ISNUMBER(F46),F46,0)-IF(ISNUMBER(G46),G46,0)</f>
        <v>0</v>
      </c>
      <c r="I46" s="10" t="s">
        <v>20</v>
      </c>
      <c r="J46" s="11">
        <v>5</v>
      </c>
      <c r="K46" s="12">
        <f>H46*J46</f>
        <v>0</v>
      </c>
    </row>
    <row r="47" spans="1:14" hidden="1" x14ac:dyDescent="0.35">
      <c r="A47" s="103"/>
      <c r="B47" s="12" t="s">
        <v>7</v>
      </c>
      <c r="C47" s="10" t="s">
        <v>228</v>
      </c>
      <c r="D47" s="152"/>
      <c r="E47" s="170"/>
      <c r="F47" s="153" t="str">
        <f t="shared" si="0"/>
        <v/>
      </c>
      <c r="G47" s="256"/>
      <c r="H47" s="166">
        <f t="shared" ref="H47:H110" si="5">IF(ISNUMBER(E47),E47,0)+IF(ISNUMBER(F47),F47,0)-IF(ISNUMBER(G47),G47,0)</f>
        <v>0</v>
      </c>
      <c r="I47" s="10" t="s">
        <v>20</v>
      </c>
      <c r="J47" s="11">
        <v>11</v>
      </c>
      <c r="K47" s="12">
        <f t="shared" ref="K47:K48" si="6">H47*J47</f>
        <v>0</v>
      </c>
    </row>
    <row r="48" spans="1:14" x14ac:dyDescent="0.35">
      <c r="A48" s="103"/>
      <c r="B48" s="12" t="s">
        <v>7</v>
      </c>
      <c r="C48" s="10" t="s">
        <v>229</v>
      </c>
      <c r="D48" s="152"/>
      <c r="E48" s="170"/>
      <c r="F48" s="153" t="str">
        <f t="shared" si="0"/>
        <v/>
      </c>
      <c r="G48" s="256"/>
      <c r="H48" s="166">
        <f t="shared" si="5"/>
        <v>0</v>
      </c>
      <c r="I48" s="10" t="s">
        <v>20</v>
      </c>
      <c r="J48" s="11">
        <v>50</v>
      </c>
      <c r="K48" s="12">
        <f t="shared" si="6"/>
        <v>0</v>
      </c>
    </row>
    <row r="49" spans="1:12" hidden="1" x14ac:dyDescent="0.35">
      <c r="A49" s="103"/>
      <c r="B49" s="12" t="s">
        <v>7</v>
      </c>
      <c r="C49" s="78" t="s">
        <v>206</v>
      </c>
      <c r="D49" s="224"/>
      <c r="E49" s="170"/>
      <c r="F49" s="153" t="str">
        <f t="shared" si="0"/>
        <v/>
      </c>
      <c r="G49" s="256"/>
      <c r="H49" s="166">
        <f t="shared" si="5"/>
        <v>0</v>
      </c>
      <c r="I49" s="10" t="s">
        <v>20</v>
      </c>
      <c r="J49" s="79">
        <v>5</v>
      </c>
      <c r="K49" s="12">
        <f t="shared" si="4"/>
        <v>0</v>
      </c>
    </row>
    <row r="50" spans="1:12" ht="15.5" x14ac:dyDescent="0.35">
      <c r="A50" s="103"/>
      <c r="B50" s="104" t="s">
        <v>230</v>
      </c>
      <c r="C50" s="105"/>
      <c r="D50" s="225"/>
      <c r="E50" s="250"/>
      <c r="F50" s="165" t="str">
        <f t="shared" si="0"/>
        <v/>
      </c>
      <c r="G50" s="258"/>
      <c r="H50" s="247"/>
      <c r="I50" s="105"/>
      <c r="J50" s="106" t="s">
        <v>18</v>
      </c>
      <c r="K50" s="269">
        <f>SUM(K52:K77)</f>
        <v>147.35</v>
      </c>
    </row>
    <row r="51" spans="1:12" ht="15.5" x14ac:dyDescent="0.35">
      <c r="A51" s="111"/>
      <c r="B51" s="126" t="s">
        <v>231</v>
      </c>
      <c r="C51" s="127"/>
      <c r="D51" s="226"/>
      <c r="E51" s="250"/>
      <c r="F51" s="165" t="str">
        <f t="shared" si="0"/>
        <v/>
      </c>
      <c r="G51" s="259"/>
      <c r="H51" s="247"/>
      <c r="I51" s="127"/>
      <c r="J51" s="127"/>
      <c r="K51" s="128"/>
    </row>
    <row r="52" spans="1:12" hidden="1" x14ac:dyDescent="0.35">
      <c r="A52" s="103"/>
      <c r="B52" s="12" t="s">
        <v>13</v>
      </c>
      <c r="C52" s="10" t="s">
        <v>78</v>
      </c>
      <c r="D52" s="152"/>
      <c r="E52" s="170"/>
      <c r="F52" s="153" t="str">
        <f t="shared" si="0"/>
        <v/>
      </c>
      <c r="G52" s="256"/>
      <c r="H52" s="166">
        <f t="shared" si="5"/>
        <v>0</v>
      </c>
      <c r="I52" s="10" t="s">
        <v>20</v>
      </c>
      <c r="J52" s="11">
        <v>13</v>
      </c>
      <c r="K52" s="12">
        <f>H52*J52</f>
        <v>0</v>
      </c>
    </row>
    <row r="53" spans="1:12" hidden="1" x14ac:dyDescent="0.35">
      <c r="A53" s="103"/>
      <c r="B53" s="12" t="s">
        <v>13</v>
      </c>
      <c r="C53" s="10" t="s">
        <v>232</v>
      </c>
      <c r="D53" s="152"/>
      <c r="E53" s="170"/>
      <c r="F53" s="153" t="str">
        <f t="shared" si="0"/>
        <v/>
      </c>
      <c r="G53" s="256"/>
      <c r="H53" s="166">
        <f t="shared" si="5"/>
        <v>0</v>
      </c>
      <c r="I53" s="10" t="s">
        <v>20</v>
      </c>
      <c r="J53" s="11">
        <v>13</v>
      </c>
      <c r="K53" s="12">
        <f t="shared" ref="K53:K77" si="7">H53*J53</f>
        <v>0</v>
      </c>
      <c r="L53" s="87"/>
    </row>
    <row r="54" spans="1:12" hidden="1" x14ac:dyDescent="0.35">
      <c r="A54" s="103"/>
      <c r="B54" s="12" t="s">
        <v>13</v>
      </c>
      <c r="C54" s="10" t="s">
        <v>233</v>
      </c>
      <c r="D54" s="152"/>
      <c r="E54" s="170"/>
      <c r="F54" s="153" t="str">
        <f t="shared" si="0"/>
        <v/>
      </c>
      <c r="G54" s="256"/>
      <c r="H54" s="166">
        <f t="shared" si="5"/>
        <v>0</v>
      </c>
      <c r="I54" s="10" t="s">
        <v>20</v>
      </c>
      <c r="J54" s="11">
        <v>8.9</v>
      </c>
      <c r="K54" s="12">
        <f t="shared" si="7"/>
        <v>0</v>
      </c>
    </row>
    <row r="55" spans="1:12" x14ac:dyDescent="0.35">
      <c r="A55" s="103"/>
      <c r="B55" s="12" t="s">
        <v>13</v>
      </c>
      <c r="C55" s="10" t="s">
        <v>32</v>
      </c>
      <c r="D55" s="152">
        <v>2</v>
      </c>
      <c r="E55" s="170">
        <v>5</v>
      </c>
      <c r="F55" s="153" t="str">
        <f t="shared" si="0"/>
        <v/>
      </c>
      <c r="G55" s="256"/>
      <c r="H55" s="166">
        <f t="shared" si="5"/>
        <v>5</v>
      </c>
      <c r="I55" s="10" t="s">
        <v>20</v>
      </c>
      <c r="J55" s="11">
        <v>8.35</v>
      </c>
      <c r="K55" s="12">
        <f t="shared" si="7"/>
        <v>41.75</v>
      </c>
    </row>
    <row r="56" spans="1:12" x14ac:dyDescent="0.35">
      <c r="A56" s="103"/>
      <c r="B56" s="12" t="s">
        <v>13</v>
      </c>
      <c r="C56" s="10" t="s">
        <v>33</v>
      </c>
      <c r="D56" s="152">
        <v>2</v>
      </c>
      <c r="E56" s="170">
        <v>6</v>
      </c>
      <c r="F56" s="153" t="str">
        <f t="shared" si="0"/>
        <v/>
      </c>
      <c r="G56" s="256"/>
      <c r="H56" s="166">
        <f t="shared" si="5"/>
        <v>6</v>
      </c>
      <c r="I56" s="10" t="s">
        <v>20</v>
      </c>
      <c r="J56" s="11">
        <v>8.9</v>
      </c>
      <c r="K56" s="12">
        <f t="shared" si="7"/>
        <v>53.400000000000006</v>
      </c>
    </row>
    <row r="57" spans="1:12" x14ac:dyDescent="0.35">
      <c r="A57" s="103"/>
      <c r="B57" s="12" t="s">
        <v>13</v>
      </c>
      <c r="C57" s="10" t="s">
        <v>59</v>
      </c>
      <c r="D57" s="152">
        <v>2</v>
      </c>
      <c r="E57" s="170">
        <v>6</v>
      </c>
      <c r="F57" s="153" t="str">
        <f t="shared" si="0"/>
        <v/>
      </c>
      <c r="G57" s="256"/>
      <c r="H57" s="166">
        <f t="shared" si="5"/>
        <v>6</v>
      </c>
      <c r="I57" s="10" t="s">
        <v>20</v>
      </c>
      <c r="J57" s="11">
        <v>8.6999999999999993</v>
      </c>
      <c r="K57" s="12">
        <f t="shared" si="7"/>
        <v>52.199999999999996</v>
      </c>
    </row>
    <row r="58" spans="1:12" hidden="1" x14ac:dyDescent="0.35">
      <c r="A58" s="103"/>
      <c r="B58" s="12" t="s">
        <v>13</v>
      </c>
      <c r="C58" s="10" t="s">
        <v>234</v>
      </c>
      <c r="D58" s="152"/>
      <c r="E58" s="170"/>
      <c r="F58" s="153" t="str">
        <f t="shared" si="0"/>
        <v/>
      </c>
      <c r="G58" s="256"/>
      <c r="H58" s="166">
        <f t="shared" si="5"/>
        <v>0</v>
      </c>
      <c r="I58" s="10" t="s">
        <v>20</v>
      </c>
      <c r="J58" s="11">
        <v>12.15</v>
      </c>
      <c r="K58" s="12">
        <f t="shared" si="7"/>
        <v>0</v>
      </c>
    </row>
    <row r="59" spans="1:12" hidden="1" x14ac:dyDescent="0.35">
      <c r="A59" s="103"/>
      <c r="B59" s="12" t="s">
        <v>13</v>
      </c>
      <c r="C59" s="10" t="s">
        <v>235</v>
      </c>
      <c r="D59" s="152"/>
      <c r="E59" s="170"/>
      <c r="F59" s="153" t="str">
        <f t="shared" si="0"/>
        <v/>
      </c>
      <c r="G59" s="256"/>
      <c r="H59" s="166">
        <f t="shared" si="5"/>
        <v>0</v>
      </c>
      <c r="I59" s="10" t="s">
        <v>20</v>
      </c>
      <c r="J59" s="11">
        <v>11.35</v>
      </c>
      <c r="K59" s="12">
        <f t="shared" si="7"/>
        <v>0</v>
      </c>
    </row>
    <row r="60" spans="1:12" hidden="1" x14ac:dyDescent="0.35">
      <c r="A60" s="103"/>
      <c r="B60" s="12" t="s">
        <v>13</v>
      </c>
      <c r="C60" s="10" t="s">
        <v>236</v>
      </c>
      <c r="D60" s="152"/>
      <c r="E60" s="170"/>
      <c r="F60" s="153" t="str">
        <f t="shared" si="0"/>
        <v/>
      </c>
      <c r="G60" s="256"/>
      <c r="H60" s="166">
        <f t="shared" si="5"/>
        <v>0</v>
      </c>
      <c r="I60" s="10" t="s">
        <v>20</v>
      </c>
      <c r="J60" s="11">
        <v>14.65</v>
      </c>
      <c r="K60" s="12">
        <f t="shared" si="7"/>
        <v>0</v>
      </c>
    </row>
    <row r="61" spans="1:12" hidden="1" x14ac:dyDescent="0.35">
      <c r="A61" s="103"/>
      <c r="B61" s="12" t="s">
        <v>13</v>
      </c>
      <c r="C61" s="10" t="s">
        <v>237</v>
      </c>
      <c r="D61" s="152"/>
      <c r="E61" s="170"/>
      <c r="F61" s="153" t="str">
        <f t="shared" si="0"/>
        <v/>
      </c>
      <c r="G61" s="256"/>
      <c r="H61" s="166">
        <f t="shared" si="5"/>
        <v>0</v>
      </c>
      <c r="I61" s="10" t="s">
        <v>20</v>
      </c>
      <c r="J61" s="11">
        <v>16.25</v>
      </c>
      <c r="K61" s="12">
        <f t="shared" si="7"/>
        <v>0</v>
      </c>
    </row>
    <row r="62" spans="1:12" hidden="1" x14ac:dyDescent="0.35">
      <c r="A62" s="103"/>
      <c r="B62" s="12" t="s">
        <v>13</v>
      </c>
      <c r="C62" s="10" t="s">
        <v>238</v>
      </c>
      <c r="D62" s="152"/>
      <c r="E62" s="170"/>
      <c r="F62" s="153" t="str">
        <f t="shared" si="0"/>
        <v/>
      </c>
      <c r="G62" s="256"/>
      <c r="H62" s="166">
        <f t="shared" si="5"/>
        <v>0</v>
      </c>
      <c r="I62" s="10" t="s">
        <v>20</v>
      </c>
      <c r="J62" s="11">
        <v>17.899999999999999</v>
      </c>
      <c r="K62" s="12">
        <f t="shared" si="7"/>
        <v>0</v>
      </c>
    </row>
    <row r="63" spans="1:12" hidden="1" x14ac:dyDescent="0.35">
      <c r="A63" s="103"/>
      <c r="B63" s="12" t="s">
        <v>13</v>
      </c>
      <c r="C63" s="10" t="s">
        <v>239</v>
      </c>
      <c r="D63" s="152"/>
      <c r="E63" s="170"/>
      <c r="F63" s="153" t="str">
        <f t="shared" si="0"/>
        <v/>
      </c>
      <c r="G63" s="256"/>
      <c r="H63" s="166">
        <f t="shared" si="5"/>
        <v>0</v>
      </c>
      <c r="I63" s="10" t="s">
        <v>20</v>
      </c>
      <c r="J63" s="11">
        <v>15.95</v>
      </c>
      <c r="K63" s="12">
        <f t="shared" si="7"/>
        <v>0</v>
      </c>
    </row>
    <row r="64" spans="1:12" hidden="1" x14ac:dyDescent="0.35">
      <c r="A64" s="103"/>
      <c r="B64" s="12" t="s">
        <v>13</v>
      </c>
      <c r="C64" s="10" t="s">
        <v>240</v>
      </c>
      <c r="D64" s="152"/>
      <c r="E64" s="170"/>
      <c r="F64" s="153" t="str">
        <f t="shared" si="0"/>
        <v/>
      </c>
      <c r="G64" s="256"/>
      <c r="H64" s="166">
        <f t="shared" si="5"/>
        <v>0</v>
      </c>
      <c r="I64" s="10" t="s">
        <v>20</v>
      </c>
      <c r="J64" s="11">
        <v>15.45</v>
      </c>
      <c r="K64" s="12">
        <f t="shared" si="7"/>
        <v>0</v>
      </c>
    </row>
    <row r="65" spans="1:15" ht="15.5" hidden="1" x14ac:dyDescent="0.35">
      <c r="A65" s="111"/>
      <c r="B65" s="126" t="s">
        <v>241</v>
      </c>
      <c r="C65" s="127"/>
      <c r="D65" s="226"/>
      <c r="E65" s="250"/>
      <c r="F65" s="165" t="str">
        <f t="shared" si="0"/>
        <v/>
      </c>
      <c r="G65" s="259"/>
      <c r="H65" s="247"/>
      <c r="I65" s="127"/>
      <c r="J65" s="127"/>
      <c r="K65" s="270"/>
    </row>
    <row r="66" spans="1:15" hidden="1" x14ac:dyDescent="0.35">
      <c r="A66" s="103"/>
      <c r="B66" s="12" t="s">
        <v>13</v>
      </c>
      <c r="C66" s="10" t="s">
        <v>242</v>
      </c>
      <c r="D66" s="152"/>
      <c r="E66" s="170"/>
      <c r="F66" s="153" t="str">
        <f t="shared" si="0"/>
        <v/>
      </c>
      <c r="G66" s="256"/>
      <c r="H66" s="166">
        <f t="shared" si="5"/>
        <v>0</v>
      </c>
      <c r="I66" s="10" t="s">
        <v>20</v>
      </c>
      <c r="J66" s="11">
        <v>31.05</v>
      </c>
      <c r="K66" s="12">
        <f t="shared" si="7"/>
        <v>0</v>
      </c>
    </row>
    <row r="67" spans="1:15" hidden="1" x14ac:dyDescent="0.35">
      <c r="A67" s="103"/>
      <c r="B67" s="12" t="s">
        <v>13</v>
      </c>
      <c r="C67" s="10" t="s">
        <v>243</v>
      </c>
      <c r="D67" s="152"/>
      <c r="E67" s="170"/>
      <c r="F67" s="153" t="str">
        <f t="shared" si="0"/>
        <v/>
      </c>
      <c r="G67" s="256"/>
      <c r="H67" s="166">
        <f t="shared" si="5"/>
        <v>0</v>
      </c>
      <c r="I67" s="10" t="s">
        <v>20</v>
      </c>
      <c r="J67" s="11">
        <v>60.79</v>
      </c>
      <c r="K67" s="12">
        <f t="shared" si="7"/>
        <v>0</v>
      </c>
    </row>
    <row r="68" spans="1:15" hidden="1" x14ac:dyDescent="0.35">
      <c r="A68" s="103"/>
      <c r="B68" s="12" t="s">
        <v>13</v>
      </c>
      <c r="C68" s="10" t="s">
        <v>244</v>
      </c>
      <c r="D68" s="152"/>
      <c r="E68" s="170"/>
      <c r="F68" s="153" t="str">
        <f t="shared" si="0"/>
        <v/>
      </c>
      <c r="G68" s="256"/>
      <c r="H68" s="166">
        <f t="shared" si="5"/>
        <v>0</v>
      </c>
      <c r="I68" s="10" t="s">
        <v>20</v>
      </c>
      <c r="J68" s="11">
        <v>56.55</v>
      </c>
      <c r="K68" s="12">
        <f t="shared" si="7"/>
        <v>0</v>
      </c>
    </row>
    <row r="69" spans="1:15" hidden="1" x14ac:dyDescent="0.35">
      <c r="A69" s="103"/>
      <c r="B69" s="12" t="s">
        <v>13</v>
      </c>
      <c r="C69" s="10" t="s">
        <v>245</v>
      </c>
      <c r="D69" s="152"/>
      <c r="E69" s="170"/>
      <c r="F69" s="153" t="str">
        <f t="shared" si="0"/>
        <v/>
      </c>
      <c r="G69" s="256"/>
      <c r="H69" s="166">
        <f t="shared" si="5"/>
        <v>0</v>
      </c>
      <c r="I69" s="10" t="s">
        <v>20</v>
      </c>
      <c r="J69" s="11">
        <v>107.44</v>
      </c>
      <c r="K69" s="12">
        <f t="shared" si="7"/>
        <v>0</v>
      </c>
    </row>
    <row r="70" spans="1:15" hidden="1" x14ac:dyDescent="0.35">
      <c r="A70" s="103"/>
      <c r="B70" s="12" t="s">
        <v>13</v>
      </c>
      <c r="C70" s="10" t="s">
        <v>246</v>
      </c>
      <c r="D70" s="152"/>
      <c r="E70" s="170"/>
      <c r="F70" s="153" t="str">
        <f t="shared" si="0"/>
        <v/>
      </c>
      <c r="G70" s="256"/>
      <c r="H70" s="166">
        <f t="shared" si="5"/>
        <v>0</v>
      </c>
      <c r="I70" s="10" t="s">
        <v>20</v>
      </c>
      <c r="J70" s="11">
        <v>47.4</v>
      </c>
      <c r="K70" s="12">
        <f t="shared" si="7"/>
        <v>0</v>
      </c>
    </row>
    <row r="71" spans="1:15" hidden="1" x14ac:dyDescent="0.35">
      <c r="A71" s="103"/>
      <c r="B71" s="12" t="s">
        <v>13</v>
      </c>
      <c r="C71" s="10" t="s">
        <v>247</v>
      </c>
      <c r="D71" s="152"/>
      <c r="E71" s="170"/>
      <c r="F71" s="153" t="str">
        <f t="shared" si="0"/>
        <v/>
      </c>
      <c r="G71" s="256"/>
      <c r="H71" s="166">
        <f t="shared" si="5"/>
        <v>0</v>
      </c>
      <c r="I71" s="10" t="s">
        <v>20</v>
      </c>
      <c r="J71" s="11">
        <v>87.63</v>
      </c>
      <c r="K71" s="12">
        <f t="shared" si="7"/>
        <v>0</v>
      </c>
    </row>
    <row r="72" spans="1:15" hidden="1" x14ac:dyDescent="0.35">
      <c r="A72" s="103"/>
      <c r="B72" s="12" t="s">
        <v>13</v>
      </c>
      <c r="C72" s="10" t="s">
        <v>248</v>
      </c>
      <c r="D72" s="152"/>
      <c r="E72" s="170"/>
      <c r="F72" s="153" t="str">
        <f t="shared" si="0"/>
        <v/>
      </c>
      <c r="G72" s="256"/>
      <c r="H72" s="166">
        <f t="shared" si="5"/>
        <v>0</v>
      </c>
      <c r="I72" s="10" t="s">
        <v>20</v>
      </c>
      <c r="J72" s="11">
        <v>52.31</v>
      </c>
      <c r="K72" s="12">
        <f t="shared" si="7"/>
        <v>0</v>
      </c>
    </row>
    <row r="73" spans="1:15" ht="15.5" hidden="1" x14ac:dyDescent="0.35">
      <c r="A73" s="111"/>
      <c r="B73" s="126" t="s">
        <v>249</v>
      </c>
      <c r="C73" s="127"/>
      <c r="D73" s="226"/>
      <c r="E73" s="170"/>
      <c r="F73" s="153" t="str">
        <f t="shared" si="0"/>
        <v/>
      </c>
      <c r="G73" s="259"/>
      <c r="H73" s="166">
        <f t="shared" si="5"/>
        <v>0</v>
      </c>
      <c r="I73" s="127"/>
      <c r="J73" s="127"/>
      <c r="K73" s="271"/>
    </row>
    <row r="74" spans="1:15" hidden="1" x14ac:dyDescent="0.35">
      <c r="A74" s="103"/>
      <c r="B74" s="12" t="s">
        <v>13</v>
      </c>
      <c r="C74" s="10" t="s">
        <v>250</v>
      </c>
      <c r="D74" s="152"/>
      <c r="E74" s="170"/>
      <c r="F74" s="153" t="str">
        <f t="shared" si="0"/>
        <v/>
      </c>
      <c r="G74" s="256"/>
      <c r="H74" s="166">
        <f t="shared" si="5"/>
        <v>0</v>
      </c>
      <c r="I74" s="10" t="s">
        <v>20</v>
      </c>
      <c r="J74" s="11">
        <v>10.8</v>
      </c>
      <c r="K74" s="12">
        <f t="shared" si="7"/>
        <v>0</v>
      </c>
    </row>
    <row r="75" spans="1:15" hidden="1" x14ac:dyDescent="0.35">
      <c r="A75" s="103"/>
      <c r="B75" s="12" t="s">
        <v>13</v>
      </c>
      <c r="C75" s="10" t="s">
        <v>251</v>
      </c>
      <c r="D75" s="152"/>
      <c r="E75" s="170"/>
      <c r="F75" s="153" t="str">
        <f t="shared" si="0"/>
        <v/>
      </c>
      <c r="G75" s="256"/>
      <c r="H75" s="166">
        <f t="shared" si="5"/>
        <v>0</v>
      </c>
      <c r="I75" s="10" t="s">
        <v>20</v>
      </c>
      <c r="J75" s="11">
        <v>11.2</v>
      </c>
      <c r="K75" s="12">
        <f t="shared" si="7"/>
        <v>0</v>
      </c>
    </row>
    <row r="76" spans="1:15" x14ac:dyDescent="0.35">
      <c r="A76" s="103"/>
      <c r="B76" s="12" t="s">
        <v>13</v>
      </c>
      <c r="C76" s="10" t="s">
        <v>252</v>
      </c>
      <c r="D76" s="152"/>
      <c r="E76" s="170"/>
      <c r="F76" s="153" t="str">
        <f t="shared" si="0"/>
        <v/>
      </c>
      <c r="G76" s="256"/>
      <c r="H76" s="166">
        <f t="shared" si="5"/>
        <v>0</v>
      </c>
      <c r="I76" s="10" t="s">
        <v>23</v>
      </c>
      <c r="J76" s="11">
        <v>4.5599999999999996</v>
      </c>
      <c r="K76" s="12">
        <f t="shared" si="7"/>
        <v>0</v>
      </c>
    </row>
    <row r="77" spans="1:15" x14ac:dyDescent="0.35">
      <c r="A77" s="103"/>
      <c r="B77" s="12" t="s">
        <v>13</v>
      </c>
      <c r="C77" s="10" t="s">
        <v>253</v>
      </c>
      <c r="D77" s="152"/>
      <c r="E77" s="170"/>
      <c r="F77" s="153" t="str">
        <f t="shared" si="0"/>
        <v/>
      </c>
      <c r="G77" s="256"/>
      <c r="H77" s="166">
        <f t="shared" si="5"/>
        <v>0</v>
      </c>
      <c r="I77" s="10" t="s">
        <v>23</v>
      </c>
      <c r="J77" s="11">
        <v>37.700000000000003</v>
      </c>
      <c r="K77" s="12">
        <f t="shared" si="7"/>
        <v>0</v>
      </c>
      <c r="O77" s="87"/>
    </row>
    <row r="78" spans="1:15" ht="15.5" x14ac:dyDescent="0.35">
      <c r="A78" s="108" t="s">
        <v>254</v>
      </c>
      <c r="B78" s="108"/>
      <c r="C78" s="108"/>
      <c r="D78" s="223"/>
      <c r="E78" s="250"/>
      <c r="F78" s="165" t="str">
        <f t="shared" si="0"/>
        <v/>
      </c>
      <c r="G78" s="186"/>
      <c r="H78" s="247"/>
      <c r="I78" s="108"/>
      <c r="J78" s="110" t="s">
        <v>18</v>
      </c>
      <c r="K78" s="269">
        <f>SUM(K80:K121)</f>
        <v>0</v>
      </c>
    </row>
    <row r="79" spans="1:15" ht="15.5" hidden="1" x14ac:dyDescent="0.35">
      <c r="A79" s="111"/>
      <c r="B79" s="126" t="s">
        <v>255</v>
      </c>
      <c r="C79" s="127"/>
      <c r="D79" s="226"/>
      <c r="E79" s="250"/>
      <c r="F79" s="153" t="str">
        <f t="shared" si="0"/>
        <v/>
      </c>
      <c r="G79" s="259"/>
      <c r="H79" s="247"/>
      <c r="I79" s="127"/>
      <c r="J79" s="127"/>
      <c r="K79" s="128"/>
    </row>
    <row r="80" spans="1:15" hidden="1" x14ac:dyDescent="0.35">
      <c r="A80" s="103"/>
      <c r="B80" s="12" t="s">
        <v>3</v>
      </c>
      <c r="C80" s="10" t="s">
        <v>256</v>
      </c>
      <c r="D80" s="152"/>
      <c r="E80" s="170"/>
      <c r="F80" s="153" t="str">
        <f t="shared" si="0"/>
        <v/>
      </c>
      <c r="G80" s="256"/>
      <c r="H80" s="166">
        <f t="shared" si="5"/>
        <v>0</v>
      </c>
      <c r="I80" s="10" t="s">
        <v>20</v>
      </c>
      <c r="J80" s="11">
        <v>32.950000000000003</v>
      </c>
      <c r="K80" s="12">
        <f t="shared" ref="K80:K86" si="8">G80*J80</f>
        <v>0</v>
      </c>
    </row>
    <row r="81" spans="1:11" hidden="1" x14ac:dyDescent="0.35">
      <c r="A81" s="103"/>
      <c r="B81" s="12" t="s">
        <v>3</v>
      </c>
      <c r="C81" s="10" t="s">
        <v>257</v>
      </c>
      <c r="D81" s="152"/>
      <c r="E81" s="170"/>
      <c r="F81" s="153" t="str">
        <f t="shared" si="0"/>
        <v/>
      </c>
      <c r="G81" s="256"/>
      <c r="H81" s="166">
        <f t="shared" si="5"/>
        <v>0</v>
      </c>
      <c r="I81" s="10" t="s">
        <v>20</v>
      </c>
      <c r="J81" s="11">
        <v>56.95</v>
      </c>
      <c r="K81" s="12">
        <f t="shared" si="8"/>
        <v>0</v>
      </c>
    </row>
    <row r="82" spans="1:11" hidden="1" x14ac:dyDescent="0.35">
      <c r="A82" s="103"/>
      <c r="B82" s="12" t="s">
        <v>3</v>
      </c>
      <c r="C82" s="10" t="s">
        <v>258</v>
      </c>
      <c r="D82" s="152"/>
      <c r="E82" s="170"/>
      <c r="F82" s="153" t="str">
        <f t="shared" si="0"/>
        <v/>
      </c>
      <c r="G82" s="256"/>
      <c r="H82" s="166">
        <f t="shared" si="5"/>
        <v>0</v>
      </c>
      <c r="I82" s="10" t="s">
        <v>20</v>
      </c>
      <c r="J82" s="11">
        <v>15.95</v>
      </c>
      <c r="K82" s="12">
        <f t="shared" si="8"/>
        <v>0</v>
      </c>
    </row>
    <row r="83" spans="1:11" hidden="1" x14ac:dyDescent="0.35">
      <c r="A83" s="103"/>
      <c r="B83" s="12" t="s">
        <v>3</v>
      </c>
      <c r="C83" s="10" t="s">
        <v>259</v>
      </c>
      <c r="D83" s="152"/>
      <c r="E83" s="170"/>
      <c r="F83" s="153" t="str">
        <f t="shared" si="0"/>
        <v/>
      </c>
      <c r="G83" s="256"/>
      <c r="H83" s="166">
        <f t="shared" si="5"/>
        <v>0</v>
      </c>
      <c r="I83" s="10" t="s">
        <v>20</v>
      </c>
      <c r="J83" s="11">
        <v>19.95</v>
      </c>
      <c r="K83" s="12">
        <f t="shared" si="8"/>
        <v>0</v>
      </c>
    </row>
    <row r="84" spans="1:11" hidden="1" x14ac:dyDescent="0.35">
      <c r="A84" s="103"/>
      <c r="B84" s="12" t="s">
        <v>3</v>
      </c>
      <c r="C84" s="10" t="s">
        <v>260</v>
      </c>
      <c r="D84" s="152"/>
      <c r="E84" s="170"/>
      <c r="F84" s="153" t="str">
        <f t="shared" si="0"/>
        <v/>
      </c>
      <c r="G84" s="256"/>
      <c r="H84" s="166">
        <f t="shared" si="5"/>
        <v>0</v>
      </c>
      <c r="I84" s="10" t="s">
        <v>20</v>
      </c>
      <c r="J84" s="11">
        <v>46.95</v>
      </c>
      <c r="K84" s="12">
        <f t="shared" si="8"/>
        <v>0</v>
      </c>
    </row>
    <row r="85" spans="1:11" hidden="1" x14ac:dyDescent="0.35">
      <c r="A85" s="103"/>
      <c r="B85" s="12" t="s">
        <v>3</v>
      </c>
      <c r="C85" s="10" t="s">
        <v>261</v>
      </c>
      <c r="D85" s="152"/>
      <c r="E85" s="170"/>
      <c r="F85" s="153" t="str">
        <f t="shared" si="0"/>
        <v/>
      </c>
      <c r="G85" s="256"/>
      <c r="H85" s="166">
        <f t="shared" si="5"/>
        <v>0</v>
      </c>
      <c r="I85" s="10" t="s">
        <v>20</v>
      </c>
      <c r="J85" s="11">
        <v>34.950000000000003</v>
      </c>
      <c r="K85" s="12">
        <f t="shared" si="8"/>
        <v>0</v>
      </c>
    </row>
    <row r="86" spans="1:11" hidden="1" x14ac:dyDescent="0.35">
      <c r="A86" s="103"/>
      <c r="B86" s="12" t="s">
        <v>3</v>
      </c>
      <c r="C86" s="10" t="s">
        <v>262</v>
      </c>
      <c r="D86" s="152"/>
      <c r="E86" s="170"/>
      <c r="F86" s="153" t="str">
        <f t="shared" si="0"/>
        <v/>
      </c>
      <c r="G86" s="256"/>
      <c r="H86" s="166">
        <f t="shared" si="5"/>
        <v>0</v>
      </c>
      <c r="I86" s="10" t="s">
        <v>20</v>
      </c>
      <c r="J86" s="11">
        <v>24.95</v>
      </c>
      <c r="K86" s="12">
        <f t="shared" si="8"/>
        <v>0</v>
      </c>
    </row>
    <row r="87" spans="1:11" ht="15.5" hidden="1" x14ac:dyDescent="0.35">
      <c r="A87" s="111"/>
      <c r="B87" s="126" t="s">
        <v>263</v>
      </c>
      <c r="C87" s="127"/>
      <c r="D87" s="226"/>
      <c r="E87" s="250"/>
      <c r="F87" s="165" t="str">
        <f t="shared" si="0"/>
        <v/>
      </c>
      <c r="G87" s="259"/>
      <c r="H87" s="247"/>
      <c r="I87" s="127"/>
      <c r="J87" s="127"/>
      <c r="K87" s="272"/>
    </row>
    <row r="88" spans="1:11" hidden="1" x14ac:dyDescent="0.35">
      <c r="A88" s="103"/>
      <c r="B88" s="12" t="s">
        <v>3</v>
      </c>
      <c r="C88" s="10" t="s">
        <v>264</v>
      </c>
      <c r="D88" s="152"/>
      <c r="E88" s="170"/>
      <c r="F88" s="153" t="str">
        <f t="shared" si="0"/>
        <v/>
      </c>
      <c r="G88" s="256"/>
      <c r="H88" s="166">
        <f t="shared" si="5"/>
        <v>0</v>
      </c>
      <c r="I88" s="10" t="s">
        <v>20</v>
      </c>
      <c r="J88" s="11">
        <v>19.5</v>
      </c>
      <c r="K88" s="12">
        <f t="shared" ref="K88:K94" si="9">G88*J88</f>
        <v>0</v>
      </c>
    </row>
    <row r="89" spans="1:11" hidden="1" x14ac:dyDescent="0.35">
      <c r="A89" s="103"/>
      <c r="B89" s="12" t="s">
        <v>3</v>
      </c>
      <c r="C89" s="10" t="s">
        <v>265</v>
      </c>
      <c r="D89" s="152"/>
      <c r="E89" s="170"/>
      <c r="F89" s="153" t="str">
        <f t="shared" ref="F89:F152" si="10">IF(E89="","",IF(D89-E89&gt;0,D89-E89,""))</f>
        <v/>
      </c>
      <c r="G89" s="256"/>
      <c r="H89" s="166">
        <f t="shared" si="5"/>
        <v>0</v>
      </c>
      <c r="I89" s="10" t="s">
        <v>20</v>
      </c>
      <c r="J89" s="11">
        <v>16.95</v>
      </c>
      <c r="K89" s="12">
        <f t="shared" si="9"/>
        <v>0</v>
      </c>
    </row>
    <row r="90" spans="1:11" hidden="1" x14ac:dyDescent="0.35">
      <c r="A90" s="103"/>
      <c r="B90" s="12" t="s">
        <v>3</v>
      </c>
      <c r="C90" s="10" t="s">
        <v>266</v>
      </c>
      <c r="D90" s="152"/>
      <c r="E90" s="170"/>
      <c r="F90" s="153" t="str">
        <f t="shared" si="10"/>
        <v/>
      </c>
      <c r="G90" s="256"/>
      <c r="H90" s="166">
        <f t="shared" si="5"/>
        <v>0</v>
      </c>
      <c r="I90" s="10" t="s">
        <v>20</v>
      </c>
      <c r="J90" s="11">
        <v>17.95</v>
      </c>
      <c r="K90" s="12">
        <f t="shared" si="9"/>
        <v>0</v>
      </c>
    </row>
    <row r="91" spans="1:11" hidden="1" x14ac:dyDescent="0.35">
      <c r="A91" s="103"/>
      <c r="B91" s="12" t="s">
        <v>3</v>
      </c>
      <c r="C91" s="10" t="s">
        <v>267</v>
      </c>
      <c r="D91" s="152"/>
      <c r="E91" s="170"/>
      <c r="F91" s="153" t="str">
        <f t="shared" si="10"/>
        <v/>
      </c>
      <c r="G91" s="256"/>
      <c r="H91" s="166">
        <f t="shared" si="5"/>
        <v>0</v>
      </c>
      <c r="I91" s="10" t="s">
        <v>20</v>
      </c>
      <c r="J91" s="11">
        <v>15.95</v>
      </c>
      <c r="K91" s="12">
        <f t="shared" si="9"/>
        <v>0</v>
      </c>
    </row>
    <row r="92" spans="1:11" hidden="1" x14ac:dyDescent="0.35">
      <c r="A92" s="103"/>
      <c r="B92" s="12" t="s">
        <v>3</v>
      </c>
      <c r="C92" s="10" t="s">
        <v>268</v>
      </c>
      <c r="D92" s="152"/>
      <c r="E92" s="170"/>
      <c r="F92" s="153" t="str">
        <f t="shared" si="10"/>
        <v/>
      </c>
      <c r="G92" s="256"/>
      <c r="H92" s="166">
        <f t="shared" si="5"/>
        <v>0</v>
      </c>
      <c r="I92" s="10" t="s">
        <v>20</v>
      </c>
      <c r="J92" s="11">
        <v>20.95</v>
      </c>
      <c r="K92" s="12">
        <f t="shared" si="9"/>
        <v>0</v>
      </c>
    </row>
    <row r="93" spans="1:11" hidden="1" x14ac:dyDescent="0.35">
      <c r="A93" s="103"/>
      <c r="B93" s="12" t="s">
        <v>3</v>
      </c>
      <c r="C93" s="10" t="s">
        <v>269</v>
      </c>
      <c r="D93" s="152"/>
      <c r="E93" s="170"/>
      <c r="F93" s="153" t="str">
        <f t="shared" si="10"/>
        <v/>
      </c>
      <c r="G93" s="256"/>
      <c r="H93" s="166">
        <f t="shared" si="5"/>
        <v>0</v>
      </c>
      <c r="I93" s="10" t="s">
        <v>20</v>
      </c>
      <c r="J93" s="11">
        <v>26.95</v>
      </c>
      <c r="K93" s="12">
        <f t="shared" si="9"/>
        <v>0</v>
      </c>
    </row>
    <row r="94" spans="1:11" hidden="1" x14ac:dyDescent="0.35">
      <c r="A94" s="103"/>
      <c r="B94" s="12" t="s">
        <v>3</v>
      </c>
      <c r="C94" s="10" t="s">
        <v>270</v>
      </c>
      <c r="D94" s="152"/>
      <c r="E94" s="170"/>
      <c r="F94" s="153" t="str">
        <f t="shared" si="10"/>
        <v/>
      </c>
      <c r="G94" s="256"/>
      <c r="H94" s="166">
        <f t="shared" si="5"/>
        <v>0</v>
      </c>
      <c r="I94" s="10" t="s">
        <v>20</v>
      </c>
      <c r="J94" s="11">
        <v>26.95</v>
      </c>
      <c r="K94" s="12">
        <f t="shared" si="9"/>
        <v>0</v>
      </c>
    </row>
    <row r="95" spans="1:11" ht="15.5" hidden="1" x14ac:dyDescent="0.35">
      <c r="A95" s="111"/>
      <c r="B95" s="126" t="s">
        <v>271</v>
      </c>
      <c r="C95" s="127"/>
      <c r="D95" s="226"/>
      <c r="E95" s="250"/>
      <c r="F95" s="165" t="str">
        <f t="shared" si="10"/>
        <v/>
      </c>
      <c r="G95" s="259"/>
      <c r="H95" s="247"/>
      <c r="I95" s="127"/>
      <c r="J95" s="127"/>
      <c r="K95" s="272"/>
    </row>
    <row r="96" spans="1:11" hidden="1" x14ac:dyDescent="0.35">
      <c r="A96" s="103"/>
      <c r="B96" s="12" t="s">
        <v>3</v>
      </c>
      <c r="C96" s="10" t="s">
        <v>272</v>
      </c>
      <c r="D96" s="152"/>
      <c r="E96" s="170"/>
      <c r="F96" s="153" t="str">
        <f t="shared" si="10"/>
        <v/>
      </c>
      <c r="G96" s="256"/>
      <c r="H96" s="166">
        <f t="shared" si="5"/>
        <v>0</v>
      </c>
      <c r="I96" s="10" t="s">
        <v>20</v>
      </c>
      <c r="J96" s="11">
        <v>20.95</v>
      </c>
      <c r="K96" s="12">
        <f>G96*J96</f>
        <v>0</v>
      </c>
    </row>
    <row r="97" spans="1:11" hidden="1" x14ac:dyDescent="0.35">
      <c r="A97" s="103"/>
      <c r="B97" s="12" t="s">
        <v>3</v>
      </c>
      <c r="C97" s="10" t="s">
        <v>273</v>
      </c>
      <c r="D97" s="152"/>
      <c r="E97" s="170"/>
      <c r="F97" s="153" t="str">
        <f t="shared" si="10"/>
        <v/>
      </c>
      <c r="G97" s="256"/>
      <c r="H97" s="166">
        <f t="shared" si="5"/>
        <v>0</v>
      </c>
      <c r="I97" s="10" t="s">
        <v>20</v>
      </c>
      <c r="J97" s="11">
        <v>23.95</v>
      </c>
      <c r="K97" s="12">
        <f>G97*J97</f>
        <v>0</v>
      </c>
    </row>
    <row r="98" spans="1:11" hidden="1" x14ac:dyDescent="0.35">
      <c r="A98" s="103"/>
      <c r="B98" s="12" t="s">
        <v>3</v>
      </c>
      <c r="C98" s="10" t="s">
        <v>274</v>
      </c>
      <c r="D98" s="152"/>
      <c r="E98" s="170"/>
      <c r="F98" s="153" t="str">
        <f t="shared" si="10"/>
        <v/>
      </c>
      <c r="G98" s="256"/>
      <c r="H98" s="166">
        <f t="shared" si="5"/>
        <v>0</v>
      </c>
      <c r="I98" s="10" t="s">
        <v>20</v>
      </c>
      <c r="J98" s="11">
        <v>22.5</v>
      </c>
      <c r="K98" s="12">
        <f>G98*J98</f>
        <v>0</v>
      </c>
    </row>
    <row r="99" spans="1:11" hidden="1" x14ac:dyDescent="0.35">
      <c r="A99" s="103"/>
      <c r="B99" s="12" t="s">
        <v>3</v>
      </c>
      <c r="C99" s="10" t="s">
        <v>275</v>
      </c>
      <c r="D99" s="152"/>
      <c r="E99" s="170"/>
      <c r="F99" s="153" t="str">
        <f t="shared" si="10"/>
        <v/>
      </c>
      <c r="G99" s="256"/>
      <c r="H99" s="166">
        <f t="shared" si="5"/>
        <v>0</v>
      </c>
      <c r="I99" s="10" t="s">
        <v>20</v>
      </c>
      <c r="J99" s="11">
        <v>29.95</v>
      </c>
      <c r="K99" s="12">
        <f>G99*J99</f>
        <v>0</v>
      </c>
    </row>
    <row r="100" spans="1:11" ht="15.5" hidden="1" x14ac:dyDescent="0.35">
      <c r="A100" s="111"/>
      <c r="B100" s="126" t="s">
        <v>276</v>
      </c>
      <c r="C100" s="127"/>
      <c r="D100" s="226"/>
      <c r="E100" s="250"/>
      <c r="F100" s="165" t="str">
        <f t="shared" si="10"/>
        <v/>
      </c>
      <c r="G100" s="259"/>
      <c r="H100" s="247"/>
      <c r="I100" s="127"/>
      <c r="J100" s="127"/>
      <c r="K100" s="272"/>
    </row>
    <row r="101" spans="1:11" hidden="1" x14ac:dyDescent="0.35">
      <c r="A101" s="103"/>
      <c r="B101" s="12" t="s">
        <v>3</v>
      </c>
      <c r="C101" s="10" t="s">
        <v>277</v>
      </c>
      <c r="D101" s="152"/>
      <c r="E101" s="170"/>
      <c r="F101" s="153" t="str">
        <f t="shared" si="10"/>
        <v/>
      </c>
      <c r="G101" s="256"/>
      <c r="H101" s="166">
        <f t="shared" si="5"/>
        <v>0</v>
      </c>
      <c r="I101" s="10" t="s">
        <v>20</v>
      </c>
      <c r="J101" s="11">
        <v>17.95</v>
      </c>
      <c r="K101" s="12">
        <f>G101*J101</f>
        <v>0</v>
      </c>
    </row>
    <row r="102" spans="1:11" hidden="1" x14ac:dyDescent="0.35">
      <c r="A102" s="103"/>
      <c r="B102" s="12" t="s">
        <v>3</v>
      </c>
      <c r="C102" s="10" t="s">
        <v>278</v>
      </c>
      <c r="D102" s="152"/>
      <c r="E102" s="170"/>
      <c r="F102" s="153" t="str">
        <f t="shared" si="10"/>
        <v/>
      </c>
      <c r="G102" s="256"/>
      <c r="H102" s="166">
        <f t="shared" si="5"/>
        <v>0</v>
      </c>
      <c r="I102" s="10" t="s">
        <v>20</v>
      </c>
      <c r="J102" s="11">
        <v>20.95</v>
      </c>
      <c r="K102" s="12">
        <f>G102*J102</f>
        <v>0</v>
      </c>
    </row>
    <row r="103" spans="1:11" hidden="1" x14ac:dyDescent="0.35">
      <c r="A103" s="103"/>
      <c r="B103" s="12" t="s">
        <v>3</v>
      </c>
      <c r="C103" s="10" t="s">
        <v>279</v>
      </c>
      <c r="D103" s="152"/>
      <c r="E103" s="170"/>
      <c r="F103" s="153" t="str">
        <f t="shared" si="10"/>
        <v/>
      </c>
      <c r="G103" s="256"/>
      <c r="H103" s="166">
        <f t="shared" si="5"/>
        <v>0</v>
      </c>
      <c r="I103" s="10" t="s">
        <v>20</v>
      </c>
      <c r="J103" s="11">
        <v>19.95</v>
      </c>
      <c r="K103" s="12">
        <f>G103*J103</f>
        <v>0</v>
      </c>
    </row>
    <row r="104" spans="1:11" hidden="1" x14ac:dyDescent="0.35">
      <c r="A104" s="103"/>
      <c r="B104" s="40" t="s">
        <v>3</v>
      </c>
      <c r="C104" s="41" t="s">
        <v>280</v>
      </c>
      <c r="D104" s="227"/>
      <c r="E104" s="170"/>
      <c r="F104" s="153" t="str">
        <f t="shared" si="10"/>
        <v/>
      </c>
      <c r="G104" s="256"/>
      <c r="H104" s="166">
        <f t="shared" si="5"/>
        <v>0</v>
      </c>
      <c r="I104" s="41" t="s">
        <v>20</v>
      </c>
      <c r="J104" s="42">
        <v>59.95</v>
      </c>
      <c r="K104" s="40">
        <f>G104*J104</f>
        <v>0</v>
      </c>
    </row>
    <row r="105" spans="1:11" ht="15.5" hidden="1" x14ac:dyDescent="0.35">
      <c r="A105" s="111"/>
      <c r="B105" s="126" t="s">
        <v>281</v>
      </c>
      <c r="C105" s="127"/>
      <c r="D105" s="226"/>
      <c r="E105" s="170"/>
      <c r="F105" s="153" t="str">
        <f t="shared" si="10"/>
        <v/>
      </c>
      <c r="G105" s="259"/>
      <c r="H105" s="166">
        <f t="shared" si="5"/>
        <v>0</v>
      </c>
      <c r="I105" s="127"/>
      <c r="J105" s="127"/>
      <c r="K105" s="272"/>
    </row>
    <row r="106" spans="1:11" hidden="1" x14ac:dyDescent="0.35">
      <c r="A106" s="103"/>
      <c r="B106" s="12" t="s">
        <v>3</v>
      </c>
      <c r="C106" s="10" t="s">
        <v>282</v>
      </c>
      <c r="D106" s="152"/>
      <c r="E106" s="170"/>
      <c r="F106" s="153" t="str">
        <f t="shared" si="10"/>
        <v/>
      </c>
      <c r="G106" s="256"/>
      <c r="H106" s="166">
        <f t="shared" si="5"/>
        <v>0</v>
      </c>
      <c r="I106" s="10" t="s">
        <v>20</v>
      </c>
      <c r="J106" s="11">
        <v>54.95</v>
      </c>
      <c r="K106" s="12">
        <f>G106*J106</f>
        <v>0</v>
      </c>
    </row>
    <row r="107" spans="1:11" hidden="1" x14ac:dyDescent="0.35">
      <c r="A107" s="103"/>
      <c r="B107" s="12" t="s">
        <v>3</v>
      </c>
      <c r="C107" s="10" t="s">
        <v>283</v>
      </c>
      <c r="D107" s="152"/>
      <c r="E107" s="170"/>
      <c r="F107" s="153" t="str">
        <f t="shared" si="10"/>
        <v/>
      </c>
      <c r="G107" s="256"/>
      <c r="H107" s="166">
        <f t="shared" si="5"/>
        <v>0</v>
      </c>
      <c r="I107" s="10" t="s">
        <v>20</v>
      </c>
      <c r="J107" s="11">
        <v>49.95</v>
      </c>
      <c r="K107" s="12">
        <f>G107*J107</f>
        <v>0</v>
      </c>
    </row>
    <row r="108" spans="1:11" ht="15.5" hidden="1" x14ac:dyDescent="0.35">
      <c r="A108" s="111"/>
      <c r="B108" s="126" t="s">
        <v>284</v>
      </c>
      <c r="C108" s="127"/>
      <c r="D108" s="226"/>
      <c r="E108" s="250"/>
      <c r="F108" s="165" t="str">
        <f t="shared" si="10"/>
        <v/>
      </c>
      <c r="G108" s="259"/>
      <c r="H108" s="247"/>
      <c r="I108" s="127"/>
      <c r="J108" s="127"/>
      <c r="K108" s="272"/>
    </row>
    <row r="109" spans="1:11" hidden="1" x14ac:dyDescent="0.35">
      <c r="A109" s="103"/>
      <c r="B109" s="12" t="s">
        <v>3</v>
      </c>
      <c r="C109" s="10" t="s">
        <v>285</v>
      </c>
      <c r="D109" s="152"/>
      <c r="E109" s="170"/>
      <c r="F109" s="153" t="str">
        <f t="shared" si="10"/>
        <v/>
      </c>
      <c r="G109" s="256"/>
      <c r="H109" s="166">
        <f t="shared" si="5"/>
        <v>0</v>
      </c>
      <c r="I109" s="10" t="s">
        <v>20</v>
      </c>
      <c r="J109" s="11">
        <v>41.5</v>
      </c>
      <c r="K109" s="12">
        <f t="shared" ref="K109:K114" si="11">G109*J109</f>
        <v>0</v>
      </c>
    </row>
    <row r="110" spans="1:11" hidden="1" x14ac:dyDescent="0.35">
      <c r="A110" s="103"/>
      <c r="B110" s="12" t="s">
        <v>3</v>
      </c>
      <c r="C110" s="10" t="s">
        <v>286</v>
      </c>
      <c r="D110" s="152"/>
      <c r="E110" s="170"/>
      <c r="F110" s="153" t="str">
        <f t="shared" si="10"/>
        <v/>
      </c>
      <c r="G110" s="256"/>
      <c r="H110" s="166">
        <f t="shared" si="5"/>
        <v>0</v>
      </c>
      <c r="I110" s="10" t="s">
        <v>20</v>
      </c>
      <c r="J110" s="11">
        <v>36.200000000000003</v>
      </c>
      <c r="K110" s="12">
        <f t="shared" si="11"/>
        <v>0</v>
      </c>
    </row>
    <row r="111" spans="1:11" hidden="1" x14ac:dyDescent="0.35">
      <c r="A111" s="103"/>
      <c r="B111" s="12" t="s">
        <v>3</v>
      </c>
      <c r="C111" s="10" t="s">
        <v>287</v>
      </c>
      <c r="D111" s="152"/>
      <c r="E111" s="170"/>
      <c r="F111" s="153" t="str">
        <f t="shared" si="10"/>
        <v/>
      </c>
      <c r="G111" s="256"/>
      <c r="H111" s="166">
        <f t="shared" ref="H111:H174" si="12">IF(ISNUMBER(E111),E111,0)+IF(ISNUMBER(F111),F111,0)-IF(ISNUMBER(G111),G111,0)</f>
        <v>0</v>
      </c>
      <c r="I111" s="10" t="s">
        <v>20</v>
      </c>
      <c r="J111" s="11">
        <v>25.95</v>
      </c>
      <c r="K111" s="12">
        <f t="shared" si="11"/>
        <v>0</v>
      </c>
    </row>
    <row r="112" spans="1:11" hidden="1" x14ac:dyDescent="0.35">
      <c r="A112" s="103"/>
      <c r="B112" s="12" t="s">
        <v>3</v>
      </c>
      <c r="C112" s="10" t="s">
        <v>288</v>
      </c>
      <c r="D112" s="152"/>
      <c r="E112" s="170"/>
      <c r="F112" s="153" t="str">
        <f t="shared" si="10"/>
        <v/>
      </c>
      <c r="G112" s="256"/>
      <c r="H112" s="166">
        <f t="shared" si="12"/>
        <v>0</v>
      </c>
      <c r="I112" s="10" t="s">
        <v>20</v>
      </c>
      <c r="J112" s="11">
        <v>32.799999999999997</v>
      </c>
      <c r="K112" s="12">
        <f t="shared" si="11"/>
        <v>0</v>
      </c>
    </row>
    <row r="113" spans="1:11" hidden="1" x14ac:dyDescent="0.35">
      <c r="A113" s="103"/>
      <c r="B113" s="12" t="s">
        <v>3</v>
      </c>
      <c r="C113" s="10" t="s">
        <v>289</v>
      </c>
      <c r="D113" s="152"/>
      <c r="E113" s="170"/>
      <c r="F113" s="153" t="str">
        <f t="shared" si="10"/>
        <v/>
      </c>
      <c r="G113" s="256"/>
      <c r="H113" s="166">
        <f t="shared" si="12"/>
        <v>0</v>
      </c>
      <c r="I113" s="10" t="s">
        <v>20</v>
      </c>
      <c r="J113" s="11">
        <v>29.2</v>
      </c>
      <c r="K113" s="12">
        <f t="shared" si="11"/>
        <v>0</v>
      </c>
    </row>
    <row r="114" spans="1:11" hidden="1" x14ac:dyDescent="0.35">
      <c r="A114" s="103"/>
      <c r="B114" s="12" t="s">
        <v>3</v>
      </c>
      <c r="C114" s="10" t="s">
        <v>290</v>
      </c>
      <c r="D114" s="152"/>
      <c r="E114" s="170"/>
      <c r="F114" s="153" t="str">
        <f t="shared" si="10"/>
        <v/>
      </c>
      <c r="G114" s="256"/>
      <c r="H114" s="166">
        <f t="shared" si="12"/>
        <v>0</v>
      </c>
      <c r="I114" s="10" t="s">
        <v>20</v>
      </c>
      <c r="J114" s="11">
        <v>22.95</v>
      </c>
      <c r="K114" s="12">
        <f t="shared" si="11"/>
        <v>0</v>
      </c>
    </row>
    <row r="115" spans="1:11" ht="15.5" hidden="1" x14ac:dyDescent="0.35">
      <c r="A115" s="111"/>
      <c r="B115" s="126" t="s">
        <v>291</v>
      </c>
      <c r="C115" s="127"/>
      <c r="D115" s="226"/>
      <c r="E115" s="250"/>
      <c r="F115" s="165" t="str">
        <f t="shared" si="10"/>
        <v/>
      </c>
      <c r="G115" s="259"/>
      <c r="H115" s="247"/>
      <c r="I115" s="127"/>
      <c r="J115" s="127"/>
      <c r="K115" s="272"/>
    </row>
    <row r="116" spans="1:11" hidden="1" x14ac:dyDescent="0.35">
      <c r="A116" s="103"/>
      <c r="B116" s="12" t="s">
        <v>3</v>
      </c>
      <c r="C116" s="10" t="s">
        <v>292</v>
      </c>
      <c r="D116" s="152"/>
      <c r="E116" s="170"/>
      <c r="F116" s="153" t="str">
        <f t="shared" si="10"/>
        <v/>
      </c>
      <c r="G116" s="256"/>
      <c r="H116" s="166">
        <f t="shared" si="12"/>
        <v>0</v>
      </c>
      <c r="I116" s="10" t="s">
        <v>20</v>
      </c>
      <c r="J116" s="11">
        <v>17.95</v>
      </c>
      <c r="K116" s="12">
        <f t="shared" ref="K116:K121" si="13">G116*J116</f>
        <v>0</v>
      </c>
    </row>
    <row r="117" spans="1:11" hidden="1" x14ac:dyDescent="0.35">
      <c r="A117" s="103"/>
      <c r="B117" s="12" t="s">
        <v>3</v>
      </c>
      <c r="C117" s="10" t="s">
        <v>293</v>
      </c>
      <c r="D117" s="152"/>
      <c r="E117" s="170"/>
      <c r="F117" s="153" t="str">
        <f t="shared" si="10"/>
        <v/>
      </c>
      <c r="G117" s="256"/>
      <c r="H117" s="166">
        <f t="shared" si="12"/>
        <v>0</v>
      </c>
      <c r="I117" s="10" t="s">
        <v>20</v>
      </c>
      <c r="J117" s="11">
        <v>12.95</v>
      </c>
      <c r="K117" s="12">
        <f t="shared" si="13"/>
        <v>0</v>
      </c>
    </row>
    <row r="118" spans="1:11" hidden="1" x14ac:dyDescent="0.35">
      <c r="A118" s="103"/>
      <c r="B118" s="12" t="s">
        <v>3</v>
      </c>
      <c r="C118" s="10" t="s">
        <v>294</v>
      </c>
      <c r="D118" s="152"/>
      <c r="E118" s="170"/>
      <c r="F118" s="153" t="str">
        <f t="shared" si="10"/>
        <v/>
      </c>
      <c r="G118" s="256"/>
      <c r="H118" s="166">
        <f t="shared" si="12"/>
        <v>0</v>
      </c>
      <c r="I118" s="10" t="s">
        <v>20</v>
      </c>
      <c r="J118" s="11">
        <v>21.95</v>
      </c>
      <c r="K118" s="12">
        <f t="shared" si="13"/>
        <v>0</v>
      </c>
    </row>
    <row r="119" spans="1:11" hidden="1" x14ac:dyDescent="0.35">
      <c r="A119" s="103"/>
      <c r="B119" s="12" t="s">
        <v>3</v>
      </c>
      <c r="C119" s="10" t="s">
        <v>295</v>
      </c>
      <c r="D119" s="152"/>
      <c r="E119" s="170"/>
      <c r="F119" s="153" t="str">
        <f t="shared" si="10"/>
        <v/>
      </c>
      <c r="G119" s="256"/>
      <c r="H119" s="166">
        <f t="shared" si="12"/>
        <v>0</v>
      </c>
      <c r="I119" s="10" t="s">
        <v>20</v>
      </c>
      <c r="J119" s="11"/>
      <c r="K119" s="12">
        <f t="shared" si="13"/>
        <v>0</v>
      </c>
    </row>
    <row r="120" spans="1:11" hidden="1" x14ac:dyDescent="0.35">
      <c r="A120" s="103"/>
      <c r="B120" s="12" t="s">
        <v>3</v>
      </c>
      <c r="C120" s="10" t="s">
        <v>296</v>
      </c>
      <c r="D120" s="152"/>
      <c r="E120" s="170"/>
      <c r="F120" s="153" t="str">
        <f t="shared" si="10"/>
        <v/>
      </c>
      <c r="G120" s="256"/>
      <c r="H120" s="166">
        <f t="shared" si="12"/>
        <v>0</v>
      </c>
      <c r="I120" s="10" t="s">
        <v>20</v>
      </c>
      <c r="J120" s="11"/>
      <c r="K120" s="12">
        <f t="shared" si="13"/>
        <v>0</v>
      </c>
    </row>
    <row r="121" spans="1:11" hidden="1" x14ac:dyDescent="0.35">
      <c r="A121" s="103"/>
      <c r="B121" s="12" t="s">
        <v>3</v>
      </c>
      <c r="C121" s="10" t="s">
        <v>297</v>
      </c>
      <c r="D121" s="152"/>
      <c r="E121" s="170"/>
      <c r="F121" s="153" t="str">
        <f t="shared" si="10"/>
        <v/>
      </c>
      <c r="G121" s="256"/>
      <c r="H121" s="166">
        <f t="shared" si="12"/>
        <v>0</v>
      </c>
      <c r="I121" s="10" t="s">
        <v>20</v>
      </c>
      <c r="J121" s="11">
        <v>22.95</v>
      </c>
      <c r="K121" s="12">
        <f t="shared" si="13"/>
        <v>0</v>
      </c>
    </row>
    <row r="122" spans="1:11" ht="15.5" hidden="1" x14ac:dyDescent="0.35">
      <c r="A122" s="112" t="s">
        <v>298</v>
      </c>
      <c r="B122" s="116"/>
      <c r="C122" s="116"/>
      <c r="D122" s="228"/>
      <c r="E122" s="250"/>
      <c r="F122" s="165" t="str">
        <f t="shared" si="10"/>
        <v/>
      </c>
      <c r="G122" s="260"/>
      <c r="H122" s="247"/>
      <c r="I122" s="117"/>
      <c r="J122" s="106" t="s">
        <v>18</v>
      </c>
      <c r="K122" s="269">
        <f>SUM(K123:K175)</f>
        <v>357.13</v>
      </c>
    </row>
    <row r="123" spans="1:11" hidden="1" x14ac:dyDescent="0.35">
      <c r="A123" s="103"/>
      <c r="B123" s="20" t="s">
        <v>4</v>
      </c>
      <c r="C123" s="18" t="s">
        <v>62</v>
      </c>
      <c r="D123" s="229"/>
      <c r="E123" s="250"/>
      <c r="F123" s="153" t="str">
        <f t="shared" si="10"/>
        <v/>
      </c>
      <c r="G123" s="256"/>
      <c r="H123" s="166">
        <f t="shared" si="12"/>
        <v>0</v>
      </c>
      <c r="I123" s="18" t="s">
        <v>20</v>
      </c>
      <c r="J123" s="19">
        <v>7.35</v>
      </c>
      <c r="K123" s="20">
        <f>G123*J123</f>
        <v>0</v>
      </c>
    </row>
    <row r="124" spans="1:11" hidden="1" x14ac:dyDescent="0.35">
      <c r="A124" s="103"/>
      <c r="B124" s="20" t="s">
        <v>4</v>
      </c>
      <c r="C124" s="18" t="s">
        <v>60</v>
      </c>
      <c r="D124" s="229"/>
      <c r="E124" s="250"/>
      <c r="F124" s="153" t="str">
        <f t="shared" si="10"/>
        <v/>
      </c>
      <c r="G124" s="256"/>
      <c r="H124" s="166">
        <f t="shared" si="12"/>
        <v>0</v>
      </c>
      <c r="I124" s="18" t="s">
        <v>20</v>
      </c>
      <c r="J124" s="19">
        <v>10.65</v>
      </c>
      <c r="K124" s="20">
        <f>G124*J124</f>
        <v>0</v>
      </c>
    </row>
    <row r="125" spans="1:11" hidden="1" x14ac:dyDescent="0.35">
      <c r="A125" s="113" t="s">
        <v>40</v>
      </c>
      <c r="B125" s="124"/>
      <c r="C125" s="124"/>
      <c r="D125" s="230"/>
      <c r="E125" s="250"/>
      <c r="F125" s="153" t="str">
        <f t="shared" si="10"/>
        <v/>
      </c>
      <c r="G125" s="261"/>
      <c r="H125" s="166">
        <f t="shared" si="12"/>
        <v>0</v>
      </c>
      <c r="I125" s="124"/>
      <c r="J125" s="124"/>
      <c r="K125" s="273"/>
    </row>
    <row r="126" spans="1:11" hidden="1" x14ac:dyDescent="0.35">
      <c r="A126" s="103"/>
      <c r="B126" s="20" t="s">
        <v>4</v>
      </c>
      <c r="C126" s="18" t="s">
        <v>299</v>
      </c>
      <c r="D126" s="229"/>
      <c r="E126" s="250"/>
      <c r="F126" s="153" t="str">
        <f t="shared" si="10"/>
        <v/>
      </c>
      <c r="G126" s="256"/>
      <c r="H126" s="166">
        <f t="shared" si="12"/>
        <v>0</v>
      </c>
      <c r="I126" s="18" t="s">
        <v>20</v>
      </c>
      <c r="J126" s="19">
        <v>1.31</v>
      </c>
      <c r="K126" s="12">
        <f t="shared" ref="K126:K137" si="14">G126*J126</f>
        <v>0</v>
      </c>
    </row>
    <row r="127" spans="1:11" hidden="1" x14ac:dyDescent="0.35">
      <c r="A127" s="103"/>
      <c r="B127" s="12" t="s">
        <v>4</v>
      </c>
      <c r="C127" s="10" t="s">
        <v>300</v>
      </c>
      <c r="D127" s="152"/>
      <c r="E127" s="250"/>
      <c r="F127" s="153" t="str">
        <f t="shared" si="10"/>
        <v/>
      </c>
      <c r="G127" s="256"/>
      <c r="H127" s="166">
        <f t="shared" si="12"/>
        <v>0</v>
      </c>
      <c r="I127" s="10" t="s">
        <v>20</v>
      </c>
      <c r="J127" s="11">
        <v>1.31</v>
      </c>
      <c r="K127" s="12">
        <f t="shared" si="14"/>
        <v>0</v>
      </c>
    </row>
    <row r="128" spans="1:11" hidden="1" x14ac:dyDescent="0.35">
      <c r="A128" s="103"/>
      <c r="B128" s="20" t="s">
        <v>4</v>
      </c>
      <c r="C128" s="18" t="s">
        <v>301</v>
      </c>
      <c r="D128" s="229"/>
      <c r="E128" s="250"/>
      <c r="F128" s="153" t="str">
        <f t="shared" si="10"/>
        <v/>
      </c>
      <c r="G128" s="256"/>
      <c r="H128" s="166">
        <f t="shared" si="12"/>
        <v>0</v>
      </c>
      <c r="I128" s="18" t="s">
        <v>20</v>
      </c>
      <c r="J128" s="19">
        <v>1.4039999999999999</v>
      </c>
      <c r="K128" s="12">
        <f t="shared" si="14"/>
        <v>0</v>
      </c>
    </row>
    <row r="129" spans="1:11" hidden="1" x14ac:dyDescent="0.35">
      <c r="A129" s="103"/>
      <c r="B129" s="12" t="s">
        <v>4</v>
      </c>
      <c r="C129" s="10" t="s">
        <v>302</v>
      </c>
      <c r="D129" s="152"/>
      <c r="E129" s="250"/>
      <c r="F129" s="153" t="str">
        <f t="shared" si="10"/>
        <v/>
      </c>
      <c r="G129" s="256"/>
      <c r="H129" s="166">
        <f t="shared" si="12"/>
        <v>0</v>
      </c>
      <c r="I129" s="10" t="s">
        <v>20</v>
      </c>
      <c r="J129" s="11">
        <v>1.4039999999999999</v>
      </c>
      <c r="K129" s="12">
        <f t="shared" si="14"/>
        <v>0</v>
      </c>
    </row>
    <row r="130" spans="1:11" hidden="1" x14ac:dyDescent="0.35">
      <c r="A130" s="103"/>
      <c r="B130" s="12" t="s">
        <v>4</v>
      </c>
      <c r="C130" s="10" t="s">
        <v>303</v>
      </c>
      <c r="D130" s="152"/>
      <c r="E130" s="250"/>
      <c r="F130" s="153" t="str">
        <f t="shared" si="10"/>
        <v/>
      </c>
      <c r="G130" s="256"/>
      <c r="H130" s="166">
        <f t="shared" si="12"/>
        <v>0</v>
      </c>
      <c r="I130" s="10" t="s">
        <v>20</v>
      </c>
      <c r="J130" s="11">
        <v>1.53</v>
      </c>
      <c r="K130" s="12">
        <f t="shared" si="14"/>
        <v>0</v>
      </c>
    </row>
    <row r="131" spans="1:11" hidden="1" x14ac:dyDescent="0.35">
      <c r="A131" s="103"/>
      <c r="B131" s="12" t="s">
        <v>4</v>
      </c>
      <c r="C131" s="10" t="s">
        <v>304</v>
      </c>
      <c r="D131" s="152"/>
      <c r="E131" s="250"/>
      <c r="F131" s="153" t="str">
        <f t="shared" si="10"/>
        <v/>
      </c>
      <c r="G131" s="256"/>
      <c r="H131" s="166">
        <f t="shared" si="12"/>
        <v>0</v>
      </c>
      <c r="I131" s="10" t="s">
        <v>20</v>
      </c>
      <c r="J131" s="11">
        <v>1.65</v>
      </c>
      <c r="K131" s="12">
        <f t="shared" si="14"/>
        <v>0</v>
      </c>
    </row>
    <row r="132" spans="1:11" hidden="1" x14ac:dyDescent="0.35">
      <c r="A132" s="103"/>
      <c r="B132" s="12" t="s">
        <v>4</v>
      </c>
      <c r="C132" s="10" t="s">
        <v>83</v>
      </c>
      <c r="D132" s="152"/>
      <c r="E132" s="250"/>
      <c r="F132" s="153" t="str">
        <f t="shared" si="10"/>
        <v/>
      </c>
      <c r="G132" s="256"/>
      <c r="H132" s="166">
        <f t="shared" si="12"/>
        <v>0</v>
      </c>
      <c r="I132" s="10" t="s">
        <v>20</v>
      </c>
      <c r="J132" s="11">
        <v>1.04</v>
      </c>
      <c r="K132" s="12">
        <f t="shared" si="14"/>
        <v>0</v>
      </c>
    </row>
    <row r="133" spans="1:11" hidden="1" x14ac:dyDescent="0.35">
      <c r="A133" s="103"/>
      <c r="B133" s="12" t="s">
        <v>4</v>
      </c>
      <c r="C133" s="10" t="s">
        <v>305</v>
      </c>
      <c r="D133" s="152"/>
      <c r="E133" s="250"/>
      <c r="F133" s="153" t="str">
        <f t="shared" si="10"/>
        <v/>
      </c>
      <c r="G133" s="256"/>
      <c r="H133" s="166">
        <f t="shared" si="12"/>
        <v>0</v>
      </c>
      <c r="I133" s="10" t="s">
        <v>20</v>
      </c>
      <c r="J133" s="11">
        <v>1.04</v>
      </c>
      <c r="K133" s="12">
        <f t="shared" si="14"/>
        <v>0</v>
      </c>
    </row>
    <row r="134" spans="1:11" hidden="1" x14ac:dyDescent="0.35">
      <c r="A134" s="103"/>
      <c r="B134" s="12" t="s">
        <v>4</v>
      </c>
      <c r="C134" s="10" t="s">
        <v>306</v>
      </c>
      <c r="D134" s="152"/>
      <c r="E134" s="250"/>
      <c r="F134" s="153" t="str">
        <f t="shared" si="10"/>
        <v/>
      </c>
      <c r="G134" s="256"/>
      <c r="H134" s="166">
        <f t="shared" si="12"/>
        <v>0</v>
      </c>
      <c r="I134" s="10" t="s">
        <v>20</v>
      </c>
      <c r="J134" s="11">
        <v>1.06</v>
      </c>
      <c r="K134" s="12">
        <f t="shared" si="14"/>
        <v>0</v>
      </c>
    </row>
    <row r="135" spans="1:11" hidden="1" x14ac:dyDescent="0.35">
      <c r="A135" s="103"/>
      <c r="B135" s="12" t="s">
        <v>4</v>
      </c>
      <c r="C135" s="10" t="s">
        <v>307</v>
      </c>
      <c r="D135" s="152"/>
      <c r="E135" s="250"/>
      <c r="F135" s="153" t="str">
        <f t="shared" si="10"/>
        <v/>
      </c>
      <c r="G135" s="256"/>
      <c r="H135" s="166">
        <f t="shared" si="12"/>
        <v>0</v>
      </c>
      <c r="I135" s="10" t="s">
        <v>20</v>
      </c>
      <c r="J135" s="11">
        <v>1.06</v>
      </c>
      <c r="K135" s="12">
        <f t="shared" si="14"/>
        <v>0</v>
      </c>
    </row>
    <row r="136" spans="1:11" hidden="1" x14ac:dyDescent="0.35">
      <c r="A136" s="103"/>
      <c r="B136" s="12" t="s">
        <v>4</v>
      </c>
      <c r="C136" s="10" t="s">
        <v>308</v>
      </c>
      <c r="D136" s="152"/>
      <c r="E136" s="250"/>
      <c r="F136" s="153" t="str">
        <f t="shared" si="10"/>
        <v/>
      </c>
      <c r="G136" s="256"/>
      <c r="H136" s="166">
        <f t="shared" si="12"/>
        <v>0</v>
      </c>
      <c r="I136" s="10" t="s">
        <v>20</v>
      </c>
      <c r="J136" s="11">
        <v>1.2869999999999999</v>
      </c>
      <c r="K136" s="12">
        <f t="shared" si="14"/>
        <v>0</v>
      </c>
    </row>
    <row r="137" spans="1:11" hidden="1" x14ac:dyDescent="0.35">
      <c r="A137" s="103"/>
      <c r="B137" s="12" t="s">
        <v>4</v>
      </c>
      <c r="C137" s="10" t="s">
        <v>309</v>
      </c>
      <c r="D137" s="152"/>
      <c r="E137" s="250"/>
      <c r="F137" s="153" t="str">
        <f t="shared" si="10"/>
        <v/>
      </c>
      <c r="G137" s="256"/>
      <c r="H137" s="166">
        <f t="shared" si="12"/>
        <v>0</v>
      </c>
      <c r="I137" s="10" t="s">
        <v>20</v>
      </c>
      <c r="J137" s="11">
        <v>1.59</v>
      </c>
      <c r="K137" s="12">
        <f t="shared" si="14"/>
        <v>0</v>
      </c>
    </row>
    <row r="138" spans="1:11" hidden="1" x14ac:dyDescent="0.35">
      <c r="A138" s="113" t="s">
        <v>310</v>
      </c>
      <c r="B138" s="124"/>
      <c r="C138" s="124"/>
      <c r="D138" s="230"/>
      <c r="E138" s="250"/>
      <c r="F138" s="153" t="str">
        <f t="shared" si="10"/>
        <v/>
      </c>
      <c r="G138" s="261"/>
      <c r="H138" s="166">
        <f t="shared" si="12"/>
        <v>0</v>
      </c>
      <c r="I138" s="124"/>
      <c r="J138" s="124"/>
      <c r="K138" s="273"/>
    </row>
    <row r="139" spans="1:11" hidden="1" x14ac:dyDescent="0.35">
      <c r="A139" s="103"/>
      <c r="B139" s="12" t="s">
        <v>4</v>
      </c>
      <c r="C139" s="10" t="s">
        <v>311</v>
      </c>
      <c r="D139" s="152"/>
      <c r="E139" s="250"/>
      <c r="F139" s="153" t="str">
        <f t="shared" si="10"/>
        <v/>
      </c>
      <c r="G139" s="256"/>
      <c r="H139" s="166">
        <f t="shared" si="12"/>
        <v>0</v>
      </c>
      <c r="I139" s="10" t="s">
        <v>20</v>
      </c>
      <c r="J139" s="11">
        <v>1.1000000000000001</v>
      </c>
      <c r="K139" s="12">
        <f t="shared" ref="K139:K149" si="15">G139*J139</f>
        <v>0</v>
      </c>
    </row>
    <row r="140" spans="1:11" hidden="1" x14ac:dyDescent="0.35">
      <c r="A140" s="103"/>
      <c r="B140" s="12" t="s">
        <v>4</v>
      </c>
      <c r="C140" s="10" t="s">
        <v>312</v>
      </c>
      <c r="D140" s="152"/>
      <c r="E140" s="250"/>
      <c r="F140" s="153" t="str">
        <f t="shared" si="10"/>
        <v/>
      </c>
      <c r="G140" s="256"/>
      <c r="H140" s="166">
        <f t="shared" si="12"/>
        <v>0</v>
      </c>
      <c r="I140" s="10" t="s">
        <v>20</v>
      </c>
      <c r="J140" s="11">
        <v>1.1000000000000001</v>
      </c>
      <c r="K140" s="12">
        <f t="shared" si="15"/>
        <v>0</v>
      </c>
    </row>
    <row r="141" spans="1:11" hidden="1" x14ac:dyDescent="0.35">
      <c r="A141" s="103"/>
      <c r="B141" s="12" t="s">
        <v>4</v>
      </c>
      <c r="C141" s="10" t="s">
        <v>313</v>
      </c>
      <c r="D141" s="152"/>
      <c r="E141" s="250"/>
      <c r="F141" s="153" t="str">
        <f t="shared" si="10"/>
        <v/>
      </c>
      <c r="G141" s="256"/>
      <c r="H141" s="166">
        <f t="shared" si="12"/>
        <v>0</v>
      </c>
      <c r="I141" s="10" t="s">
        <v>20</v>
      </c>
      <c r="J141" s="11">
        <v>1.3</v>
      </c>
      <c r="K141" s="12">
        <f t="shared" si="15"/>
        <v>0</v>
      </c>
    </row>
    <row r="142" spans="1:11" hidden="1" x14ac:dyDescent="0.35">
      <c r="A142" s="103"/>
      <c r="B142" s="12" t="s">
        <v>4</v>
      </c>
      <c r="C142" s="10" t="s">
        <v>314</v>
      </c>
      <c r="D142" s="152"/>
      <c r="E142" s="250"/>
      <c r="F142" s="153" t="str">
        <f t="shared" si="10"/>
        <v/>
      </c>
      <c r="G142" s="256"/>
      <c r="H142" s="166">
        <f t="shared" si="12"/>
        <v>0</v>
      </c>
      <c r="I142" s="10" t="s">
        <v>20</v>
      </c>
      <c r="J142" s="11">
        <v>1.36</v>
      </c>
      <c r="K142" s="12">
        <f t="shared" si="15"/>
        <v>0</v>
      </c>
    </row>
    <row r="143" spans="1:11" hidden="1" x14ac:dyDescent="0.35">
      <c r="A143" s="103"/>
      <c r="B143" s="12" t="s">
        <v>4</v>
      </c>
      <c r="C143" s="10" t="s">
        <v>315</v>
      </c>
      <c r="D143" s="152"/>
      <c r="E143" s="250"/>
      <c r="F143" s="153" t="str">
        <f t="shared" si="10"/>
        <v/>
      </c>
      <c r="G143" s="256"/>
      <c r="H143" s="166">
        <f t="shared" si="12"/>
        <v>0</v>
      </c>
      <c r="I143" s="10" t="s">
        <v>20</v>
      </c>
      <c r="J143" s="11">
        <v>1.3</v>
      </c>
      <c r="K143" s="12">
        <f t="shared" si="15"/>
        <v>0</v>
      </c>
    </row>
    <row r="144" spans="1:11" hidden="1" x14ac:dyDescent="0.35">
      <c r="A144" s="103"/>
      <c r="B144" s="12" t="s">
        <v>4</v>
      </c>
      <c r="C144" s="10" t="s">
        <v>316</v>
      </c>
      <c r="D144" s="152"/>
      <c r="E144" s="250"/>
      <c r="F144" s="153" t="str">
        <f t="shared" si="10"/>
        <v/>
      </c>
      <c r="G144" s="256"/>
      <c r="H144" s="166">
        <f t="shared" si="12"/>
        <v>0</v>
      </c>
      <c r="I144" s="10" t="s">
        <v>20</v>
      </c>
      <c r="J144" s="11">
        <v>1.35</v>
      </c>
      <c r="K144" s="12">
        <f t="shared" si="15"/>
        <v>0</v>
      </c>
    </row>
    <row r="145" spans="1:11" hidden="1" x14ac:dyDescent="0.35">
      <c r="A145" s="103"/>
      <c r="B145" s="12" t="s">
        <v>4</v>
      </c>
      <c r="C145" s="10" t="s">
        <v>317</v>
      </c>
      <c r="D145" s="152"/>
      <c r="E145" s="250"/>
      <c r="F145" s="153" t="str">
        <f t="shared" si="10"/>
        <v/>
      </c>
      <c r="G145" s="256"/>
      <c r="H145" s="166">
        <f t="shared" si="12"/>
        <v>0</v>
      </c>
      <c r="I145" s="10" t="s">
        <v>20</v>
      </c>
      <c r="J145" s="11">
        <v>1.28</v>
      </c>
      <c r="K145" s="12">
        <f t="shared" si="15"/>
        <v>0</v>
      </c>
    </row>
    <row r="146" spans="1:11" hidden="1" x14ac:dyDescent="0.35">
      <c r="A146" s="103"/>
      <c r="B146" s="12" t="s">
        <v>4</v>
      </c>
      <c r="C146" s="10" t="s">
        <v>318</v>
      </c>
      <c r="D146" s="152"/>
      <c r="E146" s="250"/>
      <c r="F146" s="153" t="str">
        <f t="shared" si="10"/>
        <v/>
      </c>
      <c r="G146" s="256"/>
      <c r="H146" s="166">
        <f t="shared" si="12"/>
        <v>0</v>
      </c>
      <c r="I146" s="10" t="s">
        <v>20</v>
      </c>
      <c r="J146" s="11">
        <v>1.1000000000000001</v>
      </c>
      <c r="K146" s="12">
        <f t="shared" si="15"/>
        <v>0</v>
      </c>
    </row>
    <row r="147" spans="1:11" hidden="1" x14ac:dyDescent="0.35">
      <c r="A147" s="103"/>
      <c r="B147" s="12" t="s">
        <v>4</v>
      </c>
      <c r="C147" s="10" t="s">
        <v>319</v>
      </c>
      <c r="D147" s="152"/>
      <c r="E147" s="250"/>
      <c r="F147" s="153" t="str">
        <f t="shared" si="10"/>
        <v/>
      </c>
      <c r="G147" s="256"/>
      <c r="H147" s="166">
        <f t="shared" si="12"/>
        <v>0</v>
      </c>
      <c r="I147" s="10" t="s">
        <v>20</v>
      </c>
      <c r="J147" s="11">
        <v>1.1000000000000001</v>
      </c>
      <c r="K147" s="12">
        <f t="shared" si="15"/>
        <v>0</v>
      </c>
    </row>
    <row r="148" spans="1:11" hidden="1" x14ac:dyDescent="0.35">
      <c r="A148" s="103"/>
      <c r="B148" s="12" t="s">
        <v>4</v>
      </c>
      <c r="C148" s="10" t="s">
        <v>320</v>
      </c>
      <c r="D148" s="152"/>
      <c r="E148" s="250"/>
      <c r="F148" s="153" t="str">
        <f t="shared" si="10"/>
        <v/>
      </c>
      <c r="G148" s="256"/>
      <c r="H148" s="166">
        <f t="shared" si="12"/>
        <v>0</v>
      </c>
      <c r="I148" s="10" t="s">
        <v>20</v>
      </c>
      <c r="J148" s="11">
        <v>1.1000000000000001</v>
      </c>
      <c r="K148" s="12">
        <f t="shared" si="15"/>
        <v>0</v>
      </c>
    </row>
    <row r="149" spans="1:11" hidden="1" x14ac:dyDescent="0.35">
      <c r="A149" s="103"/>
      <c r="B149" s="12" t="s">
        <v>4</v>
      </c>
      <c r="C149" s="10" t="s">
        <v>321</v>
      </c>
      <c r="D149" s="152"/>
      <c r="E149" s="250"/>
      <c r="F149" s="153" t="str">
        <f t="shared" si="10"/>
        <v/>
      </c>
      <c r="G149" s="256"/>
      <c r="H149" s="166">
        <f t="shared" si="12"/>
        <v>0</v>
      </c>
      <c r="I149" s="10" t="s">
        <v>20</v>
      </c>
      <c r="J149" s="11">
        <v>1.1000000000000001</v>
      </c>
      <c r="K149" s="12">
        <f t="shared" si="15"/>
        <v>0</v>
      </c>
    </row>
    <row r="150" spans="1:11" x14ac:dyDescent="0.35">
      <c r="A150" s="113" t="s">
        <v>41</v>
      </c>
      <c r="B150" s="124"/>
      <c r="C150" s="124"/>
      <c r="D150" s="230"/>
      <c r="E150" s="250"/>
      <c r="F150" s="165" t="str">
        <f t="shared" si="10"/>
        <v/>
      </c>
      <c r="G150" s="261"/>
      <c r="H150" s="247"/>
      <c r="I150" s="124"/>
      <c r="J150" s="124"/>
      <c r="K150" s="273"/>
    </row>
    <row r="151" spans="1:11" x14ac:dyDescent="0.35">
      <c r="A151" s="103"/>
      <c r="B151" s="12" t="s">
        <v>4</v>
      </c>
      <c r="C151" s="10" t="s">
        <v>24</v>
      </c>
      <c r="D151" s="152">
        <v>18</v>
      </c>
      <c r="E151" s="170">
        <v>18</v>
      </c>
      <c r="F151" s="153" t="str">
        <f t="shared" si="10"/>
        <v/>
      </c>
      <c r="G151" s="256"/>
      <c r="H151" s="166">
        <f t="shared" si="12"/>
        <v>18</v>
      </c>
      <c r="I151" s="10" t="s">
        <v>20</v>
      </c>
      <c r="J151" s="11">
        <v>3.04</v>
      </c>
      <c r="K151" s="12">
        <f>H151*J151</f>
        <v>54.72</v>
      </c>
    </row>
    <row r="152" spans="1:11" x14ac:dyDescent="0.35">
      <c r="A152" s="103"/>
      <c r="B152" s="12" t="s">
        <v>4</v>
      </c>
      <c r="C152" s="10" t="s">
        <v>80</v>
      </c>
      <c r="D152" s="152">
        <v>30</v>
      </c>
      <c r="E152" s="170">
        <v>29</v>
      </c>
      <c r="F152" s="153">
        <f t="shared" si="10"/>
        <v>1</v>
      </c>
      <c r="G152" s="256"/>
      <c r="H152" s="166">
        <f t="shared" si="12"/>
        <v>30</v>
      </c>
      <c r="I152" s="10" t="s">
        <v>20</v>
      </c>
      <c r="J152" s="11">
        <v>2.31</v>
      </c>
      <c r="K152" s="12">
        <f t="shared" ref="K152:K168" si="16">H152*J152</f>
        <v>69.3</v>
      </c>
    </row>
    <row r="153" spans="1:11" x14ac:dyDescent="0.35">
      <c r="A153" s="103"/>
      <c r="B153" s="12" t="s">
        <v>4</v>
      </c>
      <c r="C153" s="10" t="s">
        <v>84</v>
      </c>
      <c r="D153" s="152">
        <v>18</v>
      </c>
      <c r="E153" s="170">
        <v>15</v>
      </c>
      <c r="F153" s="153">
        <f t="shared" ref="F153:F219" si="17">IF(E153="","",IF(D153-E153&gt;0,D153-E153,""))</f>
        <v>3</v>
      </c>
      <c r="G153" s="256"/>
      <c r="H153" s="166">
        <f t="shared" si="12"/>
        <v>18</v>
      </c>
      <c r="I153" s="10" t="s">
        <v>20</v>
      </c>
      <c r="J153" s="11">
        <v>2.31</v>
      </c>
      <c r="K153" s="12">
        <f t="shared" si="16"/>
        <v>41.58</v>
      </c>
    </row>
    <row r="154" spans="1:11" hidden="1" x14ac:dyDescent="0.35">
      <c r="A154" s="103"/>
      <c r="B154" s="12" t="s">
        <v>4</v>
      </c>
      <c r="C154" s="10" t="s">
        <v>394</v>
      </c>
      <c r="D154" s="152"/>
      <c r="E154" s="170"/>
      <c r="F154" s="153" t="str">
        <f t="shared" si="17"/>
        <v/>
      </c>
      <c r="G154" s="256"/>
      <c r="H154" s="166">
        <f t="shared" si="12"/>
        <v>0</v>
      </c>
      <c r="I154" s="10" t="s">
        <v>20</v>
      </c>
      <c r="J154" s="11">
        <v>2.54</v>
      </c>
      <c r="K154" s="12">
        <f t="shared" si="16"/>
        <v>0</v>
      </c>
    </row>
    <row r="155" spans="1:11" hidden="1" x14ac:dyDescent="0.35">
      <c r="A155" s="103"/>
      <c r="B155" s="12" t="s">
        <v>4</v>
      </c>
      <c r="C155" s="10" t="s">
        <v>394</v>
      </c>
      <c r="D155" s="152"/>
      <c r="E155" s="170"/>
      <c r="F155" s="153" t="str">
        <f t="shared" si="17"/>
        <v/>
      </c>
      <c r="G155" s="256"/>
      <c r="H155" s="166">
        <f t="shared" si="12"/>
        <v>0</v>
      </c>
      <c r="I155" s="10" t="s">
        <v>20</v>
      </c>
      <c r="J155" s="11">
        <v>2.54</v>
      </c>
      <c r="K155" s="12">
        <f t="shared" si="16"/>
        <v>0</v>
      </c>
    </row>
    <row r="156" spans="1:11" x14ac:dyDescent="0.35">
      <c r="A156" s="103"/>
      <c r="B156" s="12" t="s">
        <v>4</v>
      </c>
      <c r="C156" s="10" t="s">
        <v>25</v>
      </c>
      <c r="D156" s="152">
        <v>18</v>
      </c>
      <c r="E156" s="170">
        <v>17</v>
      </c>
      <c r="F156" s="153">
        <f t="shared" si="17"/>
        <v>1</v>
      </c>
      <c r="G156" s="256"/>
      <c r="H156" s="166">
        <f t="shared" si="12"/>
        <v>18</v>
      </c>
      <c r="I156" s="10" t="s">
        <v>20</v>
      </c>
      <c r="J156" s="11">
        <v>1.79</v>
      </c>
      <c r="K156" s="12">
        <f t="shared" si="16"/>
        <v>32.22</v>
      </c>
    </row>
    <row r="157" spans="1:11" hidden="1" x14ac:dyDescent="0.35">
      <c r="A157" s="103"/>
      <c r="B157" s="12" t="s">
        <v>4</v>
      </c>
      <c r="C157" s="10" t="s">
        <v>322</v>
      </c>
      <c r="D157" s="152"/>
      <c r="E157" s="170"/>
      <c r="F157" s="153" t="str">
        <f t="shared" si="17"/>
        <v/>
      </c>
      <c r="G157" s="256"/>
      <c r="H157" s="166">
        <f t="shared" si="12"/>
        <v>0</v>
      </c>
      <c r="I157" s="10" t="s">
        <v>20</v>
      </c>
      <c r="J157" s="11">
        <v>2.46</v>
      </c>
      <c r="K157" s="12">
        <f t="shared" si="16"/>
        <v>0</v>
      </c>
    </row>
    <row r="158" spans="1:11" x14ac:dyDescent="0.35">
      <c r="A158" s="103"/>
      <c r="B158" s="12" t="s">
        <v>4</v>
      </c>
      <c r="C158" s="10" t="s">
        <v>393</v>
      </c>
      <c r="D158" s="152">
        <v>30</v>
      </c>
      <c r="E158" s="170">
        <v>31</v>
      </c>
      <c r="F158" s="153" t="str">
        <f t="shared" si="17"/>
        <v/>
      </c>
      <c r="G158" s="256"/>
      <c r="H158" s="166">
        <f t="shared" si="12"/>
        <v>31</v>
      </c>
      <c r="I158" s="10" t="s">
        <v>20</v>
      </c>
      <c r="J158" s="11">
        <v>2.46</v>
      </c>
      <c r="K158" s="12">
        <f t="shared" si="16"/>
        <v>76.260000000000005</v>
      </c>
    </row>
    <row r="159" spans="1:11" hidden="1" x14ac:dyDescent="0.35">
      <c r="A159" s="103"/>
      <c r="B159" s="12" t="s">
        <v>4</v>
      </c>
      <c r="C159" s="10" t="s">
        <v>43</v>
      </c>
      <c r="D159" s="152"/>
      <c r="E159" s="170"/>
      <c r="F159" s="153" t="str">
        <f t="shared" si="17"/>
        <v/>
      </c>
      <c r="G159" s="256"/>
      <c r="H159" s="166">
        <f t="shared" si="12"/>
        <v>0</v>
      </c>
      <c r="I159" s="10" t="s">
        <v>20</v>
      </c>
      <c r="J159" s="11">
        <v>2.5499999999999998</v>
      </c>
      <c r="K159" s="12">
        <f t="shared" si="16"/>
        <v>0</v>
      </c>
    </row>
    <row r="160" spans="1:11" x14ac:dyDescent="0.35">
      <c r="A160" s="103"/>
      <c r="B160" s="12" t="s">
        <v>4</v>
      </c>
      <c r="C160" s="10" t="s">
        <v>81</v>
      </c>
      <c r="D160" s="152">
        <v>30</v>
      </c>
      <c r="E160" s="170">
        <v>28</v>
      </c>
      <c r="F160" s="153">
        <f t="shared" si="17"/>
        <v>2</v>
      </c>
      <c r="G160" s="256"/>
      <c r="H160" s="166">
        <f t="shared" si="12"/>
        <v>30</v>
      </c>
      <c r="I160" s="10" t="s">
        <v>20</v>
      </c>
      <c r="J160" s="11">
        <v>1.51</v>
      </c>
      <c r="K160" s="12">
        <f t="shared" si="16"/>
        <v>45.3</v>
      </c>
    </row>
    <row r="161" spans="1:11" x14ac:dyDescent="0.35">
      <c r="A161" s="103"/>
      <c r="B161" s="12" t="s">
        <v>4</v>
      </c>
      <c r="C161" s="10" t="s">
        <v>82</v>
      </c>
      <c r="D161" s="152">
        <v>30</v>
      </c>
      <c r="E161" s="170">
        <v>24</v>
      </c>
      <c r="F161" s="153">
        <f t="shared" si="17"/>
        <v>6</v>
      </c>
      <c r="G161" s="256">
        <v>5</v>
      </c>
      <c r="H161" s="166">
        <f t="shared" si="12"/>
        <v>25</v>
      </c>
      <c r="I161" s="10" t="s">
        <v>20</v>
      </c>
      <c r="J161" s="11">
        <v>1.51</v>
      </c>
      <c r="K161" s="12">
        <f t="shared" si="16"/>
        <v>37.75</v>
      </c>
    </row>
    <row r="162" spans="1:11" hidden="1" x14ac:dyDescent="0.35">
      <c r="A162" s="103"/>
      <c r="B162" s="12" t="s">
        <v>4</v>
      </c>
      <c r="C162" s="10" t="s">
        <v>323</v>
      </c>
      <c r="D162" s="152"/>
      <c r="E162" s="170"/>
      <c r="F162" s="153" t="str">
        <f t="shared" si="17"/>
        <v/>
      </c>
      <c r="G162" s="256"/>
      <c r="H162" s="166">
        <f t="shared" si="12"/>
        <v>0</v>
      </c>
      <c r="I162" s="10" t="s">
        <v>20</v>
      </c>
      <c r="J162" s="11">
        <v>1.54</v>
      </c>
      <c r="K162" s="12">
        <f t="shared" si="16"/>
        <v>0</v>
      </c>
    </row>
    <row r="163" spans="1:11" hidden="1" x14ac:dyDescent="0.35">
      <c r="A163" s="103"/>
      <c r="B163" s="12" t="s">
        <v>4</v>
      </c>
      <c r="C163" s="10" t="s">
        <v>324</v>
      </c>
      <c r="D163" s="152"/>
      <c r="E163" s="170"/>
      <c r="F163" s="153" t="str">
        <f t="shared" si="17"/>
        <v/>
      </c>
      <c r="G163" s="256"/>
      <c r="H163" s="166">
        <f t="shared" si="12"/>
        <v>0</v>
      </c>
      <c r="I163" s="10" t="s">
        <v>20</v>
      </c>
      <c r="J163" s="11">
        <v>1.6</v>
      </c>
      <c r="K163" s="12">
        <f t="shared" si="16"/>
        <v>0</v>
      </c>
    </row>
    <row r="164" spans="1:11" hidden="1" x14ac:dyDescent="0.35">
      <c r="A164" s="103"/>
      <c r="B164" s="12" t="s">
        <v>4</v>
      </c>
      <c r="C164" s="78" t="s">
        <v>325</v>
      </c>
      <c r="D164" s="224"/>
      <c r="E164" s="170"/>
      <c r="F164" s="153" t="str">
        <f t="shared" si="17"/>
        <v/>
      </c>
      <c r="G164" s="256"/>
      <c r="H164" s="166">
        <f t="shared" si="12"/>
        <v>0</v>
      </c>
      <c r="I164" s="10" t="s">
        <v>20</v>
      </c>
      <c r="J164" s="79">
        <v>49.95</v>
      </c>
      <c r="K164" s="12">
        <f t="shared" si="16"/>
        <v>0</v>
      </c>
    </row>
    <row r="165" spans="1:11" hidden="1" x14ac:dyDescent="0.35">
      <c r="A165" s="113" t="s">
        <v>44</v>
      </c>
      <c r="B165" s="124"/>
      <c r="C165" s="124"/>
      <c r="D165" s="230"/>
      <c r="E165" s="250"/>
      <c r="F165" s="165" t="str">
        <f t="shared" si="17"/>
        <v/>
      </c>
      <c r="G165" s="261"/>
      <c r="H165" s="247"/>
      <c r="I165" s="124"/>
      <c r="J165" s="124"/>
      <c r="K165" s="270"/>
    </row>
    <row r="166" spans="1:11" hidden="1" x14ac:dyDescent="0.35">
      <c r="A166" s="103"/>
      <c r="B166" s="12" t="s">
        <v>4</v>
      </c>
      <c r="C166" s="10" t="s">
        <v>48</v>
      </c>
      <c r="D166" s="152"/>
      <c r="E166" s="170"/>
      <c r="F166" s="153" t="str">
        <f t="shared" si="17"/>
        <v/>
      </c>
      <c r="G166" s="256"/>
      <c r="H166" s="166">
        <f t="shared" si="12"/>
        <v>0</v>
      </c>
      <c r="I166" s="10" t="s">
        <v>20</v>
      </c>
      <c r="J166" s="11">
        <v>1.94</v>
      </c>
      <c r="K166" s="12">
        <f t="shared" si="16"/>
        <v>0</v>
      </c>
    </row>
    <row r="167" spans="1:11" hidden="1" x14ac:dyDescent="0.35">
      <c r="A167" s="103"/>
      <c r="B167" s="12" t="s">
        <v>4</v>
      </c>
      <c r="C167" s="10" t="s">
        <v>49</v>
      </c>
      <c r="D167" s="152"/>
      <c r="E167" s="170"/>
      <c r="F167" s="153" t="str">
        <f t="shared" si="17"/>
        <v/>
      </c>
      <c r="G167" s="256"/>
      <c r="H167" s="166">
        <f t="shared" si="12"/>
        <v>0</v>
      </c>
      <c r="I167" s="10" t="s">
        <v>20</v>
      </c>
      <c r="J167" s="11">
        <v>1.94</v>
      </c>
      <c r="K167" s="12">
        <f t="shared" si="16"/>
        <v>0</v>
      </c>
    </row>
    <row r="168" spans="1:11" hidden="1" x14ac:dyDescent="0.35">
      <c r="A168" s="103"/>
      <c r="B168" s="12" t="s">
        <v>4</v>
      </c>
      <c r="C168" s="10" t="s">
        <v>50</v>
      </c>
      <c r="D168" s="152"/>
      <c r="E168" s="170"/>
      <c r="F168" s="153" t="str">
        <f t="shared" si="17"/>
        <v/>
      </c>
      <c r="G168" s="256"/>
      <c r="H168" s="166">
        <f t="shared" si="12"/>
        <v>0</v>
      </c>
      <c r="I168" s="10" t="s">
        <v>20</v>
      </c>
      <c r="J168" s="11">
        <v>1.94</v>
      </c>
      <c r="K168" s="12">
        <f t="shared" si="16"/>
        <v>0</v>
      </c>
    </row>
    <row r="169" spans="1:11" hidden="1" x14ac:dyDescent="0.35">
      <c r="A169" s="103"/>
      <c r="B169" s="12" t="s">
        <v>4</v>
      </c>
      <c r="C169" s="10" t="s">
        <v>415</v>
      </c>
      <c r="D169" s="152"/>
      <c r="E169" s="170"/>
      <c r="F169" s="153" t="str">
        <f t="shared" si="17"/>
        <v/>
      </c>
      <c r="G169" s="256"/>
      <c r="H169" s="166">
        <f t="shared" si="12"/>
        <v>0</v>
      </c>
      <c r="I169" s="10" t="s">
        <v>20</v>
      </c>
      <c r="J169" s="11">
        <v>1.98</v>
      </c>
      <c r="K169" s="12">
        <f t="shared" ref="K169:K175" si="18">G169*J169</f>
        <v>0</v>
      </c>
    </row>
    <row r="170" spans="1:11" hidden="1" x14ac:dyDescent="0.35">
      <c r="A170" s="103"/>
      <c r="B170" s="12" t="s">
        <v>4</v>
      </c>
      <c r="C170" s="10" t="s">
        <v>414</v>
      </c>
      <c r="D170" s="152"/>
      <c r="E170" s="170"/>
      <c r="F170" s="153" t="str">
        <f t="shared" si="17"/>
        <v/>
      </c>
      <c r="G170" s="256"/>
      <c r="H170" s="166">
        <f t="shared" si="12"/>
        <v>0</v>
      </c>
      <c r="I170" s="10" t="s">
        <v>20</v>
      </c>
      <c r="J170" s="11">
        <v>1.98</v>
      </c>
      <c r="K170" s="12">
        <f t="shared" si="18"/>
        <v>0</v>
      </c>
    </row>
    <row r="171" spans="1:11" hidden="1" x14ac:dyDescent="0.35">
      <c r="A171" s="103"/>
      <c r="B171" s="12" t="s">
        <v>4</v>
      </c>
      <c r="C171" s="10" t="s">
        <v>415</v>
      </c>
      <c r="D171" s="152"/>
      <c r="E171" s="170"/>
      <c r="F171" s="153" t="str">
        <f t="shared" si="17"/>
        <v/>
      </c>
      <c r="G171" s="256"/>
      <c r="H171" s="166">
        <f t="shared" si="12"/>
        <v>0</v>
      </c>
      <c r="I171" s="10" t="s">
        <v>20</v>
      </c>
      <c r="J171" s="11">
        <v>1.98</v>
      </c>
      <c r="K171" s="12">
        <f t="shared" si="18"/>
        <v>0</v>
      </c>
    </row>
    <row r="172" spans="1:11" hidden="1" x14ac:dyDescent="0.35">
      <c r="A172" s="103"/>
      <c r="B172" s="12" t="s">
        <v>4</v>
      </c>
      <c r="C172" s="10" t="s">
        <v>432</v>
      </c>
      <c r="D172" s="152"/>
      <c r="E172" s="170"/>
      <c r="F172" s="153" t="str">
        <f t="shared" si="17"/>
        <v/>
      </c>
      <c r="G172" s="256"/>
      <c r="H172" s="166">
        <f t="shared" si="12"/>
        <v>0</v>
      </c>
      <c r="I172" s="10" t="s">
        <v>20</v>
      </c>
      <c r="J172" s="11">
        <v>1.98</v>
      </c>
      <c r="K172" s="12">
        <f t="shared" si="18"/>
        <v>0</v>
      </c>
    </row>
    <row r="173" spans="1:11" hidden="1" x14ac:dyDescent="0.35">
      <c r="A173" s="103"/>
      <c r="B173" s="40" t="s">
        <v>4</v>
      </c>
      <c r="C173" s="41" t="s">
        <v>330</v>
      </c>
      <c r="D173" s="227"/>
      <c r="E173" s="170"/>
      <c r="F173" s="153" t="str">
        <f t="shared" si="17"/>
        <v/>
      </c>
      <c r="G173" s="256"/>
      <c r="H173" s="166">
        <f t="shared" si="12"/>
        <v>0</v>
      </c>
      <c r="I173" s="10" t="s">
        <v>20</v>
      </c>
      <c r="J173" s="11">
        <v>1.98</v>
      </c>
      <c r="K173" s="12">
        <f t="shared" si="18"/>
        <v>0</v>
      </c>
    </row>
    <row r="174" spans="1:11" hidden="1" x14ac:dyDescent="0.35">
      <c r="A174" s="103"/>
      <c r="B174" s="40" t="s">
        <v>4</v>
      </c>
      <c r="C174" s="41" t="s">
        <v>331</v>
      </c>
      <c r="D174" s="227"/>
      <c r="E174" s="170"/>
      <c r="F174" s="153" t="str">
        <f t="shared" si="17"/>
        <v/>
      </c>
      <c r="G174" s="256"/>
      <c r="H174" s="166">
        <f t="shared" si="12"/>
        <v>0</v>
      </c>
      <c r="I174" s="10" t="s">
        <v>20</v>
      </c>
      <c r="J174" s="11">
        <v>1.98</v>
      </c>
      <c r="K174" s="12">
        <f t="shared" si="18"/>
        <v>0</v>
      </c>
    </row>
    <row r="175" spans="1:11" hidden="1" x14ac:dyDescent="0.35">
      <c r="A175" s="103"/>
      <c r="B175" s="40" t="s">
        <v>4</v>
      </c>
      <c r="C175" s="41" t="s">
        <v>413</v>
      </c>
      <c r="D175" s="227"/>
      <c r="E175" s="170"/>
      <c r="F175" s="153" t="str">
        <f t="shared" si="17"/>
        <v/>
      </c>
      <c r="G175" s="256"/>
      <c r="H175" s="166">
        <f t="shared" ref="H175:H240" si="19">IF(ISNUMBER(E175),E175,0)+IF(ISNUMBER(F175),F175,0)-IF(ISNUMBER(G175),G175,0)</f>
        <v>0</v>
      </c>
      <c r="I175" s="41" t="s">
        <v>20</v>
      </c>
      <c r="J175" s="42">
        <v>1.98</v>
      </c>
      <c r="K175" s="12">
        <f t="shared" si="18"/>
        <v>0</v>
      </c>
    </row>
    <row r="176" spans="1:11" ht="15.5" hidden="1" x14ac:dyDescent="0.35">
      <c r="A176" s="114" t="s">
        <v>333</v>
      </c>
      <c r="B176" s="120"/>
      <c r="C176" s="120"/>
      <c r="D176" s="228"/>
      <c r="E176" s="170"/>
      <c r="F176" s="153" t="str">
        <f t="shared" si="17"/>
        <v/>
      </c>
      <c r="G176" s="292"/>
      <c r="H176" s="166">
        <f t="shared" si="19"/>
        <v>0</v>
      </c>
      <c r="I176" s="121"/>
      <c r="J176" s="122" t="s">
        <v>18</v>
      </c>
      <c r="K176" s="274">
        <f>SUM(K177:K186)</f>
        <v>0</v>
      </c>
    </row>
    <row r="177" spans="1:11" hidden="1" x14ac:dyDescent="0.35">
      <c r="A177" s="103"/>
      <c r="B177" s="12" t="s">
        <v>26</v>
      </c>
      <c r="C177" s="10" t="s">
        <v>334</v>
      </c>
      <c r="D177" s="152"/>
      <c r="E177" s="170"/>
      <c r="F177" s="153" t="str">
        <f t="shared" si="17"/>
        <v/>
      </c>
      <c r="G177" s="256"/>
      <c r="H177" s="166">
        <f t="shared" si="19"/>
        <v>0</v>
      </c>
      <c r="I177" s="10" t="s">
        <v>335</v>
      </c>
      <c r="J177" s="11">
        <v>20</v>
      </c>
      <c r="K177" s="12">
        <f t="shared" ref="K177:K186" si="20">G177*J177</f>
        <v>0</v>
      </c>
    </row>
    <row r="178" spans="1:11" hidden="1" x14ac:dyDescent="0.35">
      <c r="A178" s="103"/>
      <c r="B178" s="20" t="s">
        <v>26</v>
      </c>
      <c r="C178" s="18" t="s">
        <v>53</v>
      </c>
      <c r="D178" s="229"/>
      <c r="E178" s="170"/>
      <c r="F178" s="153" t="str">
        <f t="shared" si="17"/>
        <v/>
      </c>
      <c r="G178" s="256"/>
      <c r="H178" s="166">
        <f t="shared" si="19"/>
        <v>0</v>
      </c>
      <c r="I178" s="18" t="s">
        <v>20</v>
      </c>
      <c r="J178" s="19">
        <v>0.43</v>
      </c>
      <c r="K178" s="20">
        <f t="shared" si="20"/>
        <v>0</v>
      </c>
    </row>
    <row r="179" spans="1:11" hidden="1" x14ac:dyDescent="0.35">
      <c r="A179" s="103"/>
      <c r="B179" s="20" t="s">
        <v>26</v>
      </c>
      <c r="C179" s="18" t="s">
        <v>336</v>
      </c>
      <c r="D179" s="229"/>
      <c r="E179" s="170"/>
      <c r="F179" s="153" t="str">
        <f t="shared" si="17"/>
        <v/>
      </c>
      <c r="G179" s="256"/>
      <c r="H179" s="166">
        <f t="shared" si="19"/>
        <v>0</v>
      </c>
      <c r="I179" s="18" t="s">
        <v>20</v>
      </c>
      <c r="J179" s="19">
        <v>0.43</v>
      </c>
      <c r="K179" s="20">
        <f t="shared" si="20"/>
        <v>0</v>
      </c>
    </row>
    <row r="180" spans="1:11" hidden="1" x14ac:dyDescent="0.35">
      <c r="A180" s="103"/>
      <c r="B180" s="12" t="s">
        <v>26</v>
      </c>
      <c r="C180" s="10" t="s">
        <v>337</v>
      </c>
      <c r="D180" s="152"/>
      <c r="E180" s="170"/>
      <c r="F180" s="153" t="str">
        <f t="shared" si="17"/>
        <v/>
      </c>
      <c r="G180" s="256"/>
      <c r="H180" s="166">
        <f t="shared" si="19"/>
        <v>0</v>
      </c>
      <c r="I180" s="10" t="s">
        <v>20</v>
      </c>
      <c r="J180" s="11">
        <v>0.43</v>
      </c>
      <c r="K180" s="12">
        <f t="shared" si="20"/>
        <v>0</v>
      </c>
    </row>
    <row r="181" spans="1:11" hidden="1" x14ac:dyDescent="0.35">
      <c r="A181" s="103"/>
      <c r="B181" s="12" t="s">
        <v>26</v>
      </c>
      <c r="C181" s="10" t="s">
        <v>51</v>
      </c>
      <c r="D181" s="152"/>
      <c r="E181" s="170"/>
      <c r="F181" s="153" t="str">
        <f t="shared" si="17"/>
        <v/>
      </c>
      <c r="G181" s="256"/>
      <c r="H181" s="166">
        <f t="shared" si="19"/>
        <v>0</v>
      </c>
      <c r="I181" s="10" t="s">
        <v>61</v>
      </c>
      <c r="J181" s="11">
        <v>14</v>
      </c>
      <c r="K181" s="12">
        <f t="shared" si="20"/>
        <v>0</v>
      </c>
    </row>
    <row r="182" spans="1:11" hidden="1" x14ac:dyDescent="0.35">
      <c r="A182" s="103"/>
      <c r="B182" s="12" t="s">
        <v>26</v>
      </c>
      <c r="C182" s="10" t="s">
        <v>338</v>
      </c>
      <c r="D182" s="152"/>
      <c r="E182" s="170"/>
      <c r="F182" s="153" t="str">
        <f t="shared" si="17"/>
        <v/>
      </c>
      <c r="G182" s="256"/>
      <c r="H182" s="166">
        <f t="shared" si="19"/>
        <v>0</v>
      </c>
      <c r="I182" s="10" t="s">
        <v>61</v>
      </c>
      <c r="J182" s="11">
        <v>14.78</v>
      </c>
      <c r="K182" s="12">
        <f t="shared" si="20"/>
        <v>0</v>
      </c>
    </row>
    <row r="183" spans="1:11" hidden="1" x14ac:dyDescent="0.35">
      <c r="A183" s="103"/>
      <c r="B183" s="12" t="s">
        <v>26</v>
      </c>
      <c r="C183" s="10" t="s">
        <v>339</v>
      </c>
      <c r="D183" s="152"/>
      <c r="E183" s="170"/>
      <c r="F183" s="153" t="str">
        <f t="shared" si="17"/>
        <v/>
      </c>
      <c r="G183" s="256"/>
      <c r="H183" s="166">
        <f t="shared" si="19"/>
        <v>0</v>
      </c>
      <c r="I183" s="10" t="s">
        <v>61</v>
      </c>
      <c r="J183" s="11">
        <v>14.78</v>
      </c>
      <c r="K183" s="12">
        <f t="shared" si="20"/>
        <v>0</v>
      </c>
    </row>
    <row r="184" spans="1:11" hidden="1" x14ac:dyDescent="0.35">
      <c r="A184" s="103"/>
      <c r="B184" s="12" t="s">
        <v>26</v>
      </c>
      <c r="C184" s="10" t="s">
        <v>340</v>
      </c>
      <c r="D184" s="152"/>
      <c r="E184" s="170"/>
      <c r="F184" s="153" t="str">
        <f t="shared" si="17"/>
        <v/>
      </c>
      <c r="G184" s="256"/>
      <c r="H184" s="166">
        <f t="shared" si="19"/>
        <v>0</v>
      </c>
      <c r="I184" s="10" t="s">
        <v>61</v>
      </c>
      <c r="J184" s="11">
        <v>14.78</v>
      </c>
      <c r="K184" s="12">
        <f t="shared" si="20"/>
        <v>0</v>
      </c>
    </row>
    <row r="185" spans="1:11" hidden="1" x14ac:dyDescent="0.35">
      <c r="A185" s="103"/>
      <c r="B185" s="12" t="s">
        <v>26</v>
      </c>
      <c r="C185" s="10" t="s">
        <v>341</v>
      </c>
      <c r="D185" s="152"/>
      <c r="E185" s="170"/>
      <c r="F185" s="153" t="str">
        <f t="shared" si="17"/>
        <v/>
      </c>
      <c r="G185" s="256"/>
      <c r="H185" s="166">
        <f t="shared" si="19"/>
        <v>0</v>
      </c>
      <c r="I185" s="10" t="s">
        <v>61</v>
      </c>
      <c r="J185" s="11">
        <v>14.78</v>
      </c>
      <c r="K185" s="12">
        <f t="shared" si="20"/>
        <v>0</v>
      </c>
    </row>
    <row r="186" spans="1:11" hidden="1" x14ac:dyDescent="0.35">
      <c r="A186" s="103"/>
      <c r="B186" s="12" t="s">
        <v>26</v>
      </c>
      <c r="C186" s="10" t="s">
        <v>342</v>
      </c>
      <c r="D186" s="152"/>
      <c r="E186" s="170"/>
      <c r="F186" s="153" t="str">
        <f t="shared" si="17"/>
        <v/>
      </c>
      <c r="G186" s="256"/>
      <c r="H186" s="166">
        <f t="shared" si="19"/>
        <v>0</v>
      </c>
      <c r="I186" s="10" t="s">
        <v>61</v>
      </c>
      <c r="J186" s="11">
        <v>14.78</v>
      </c>
      <c r="K186" s="10">
        <f t="shared" si="20"/>
        <v>0</v>
      </c>
    </row>
    <row r="187" spans="1:11" ht="15.5" x14ac:dyDescent="0.35">
      <c r="A187" s="108" t="s">
        <v>343</v>
      </c>
      <c r="B187" s="108"/>
      <c r="C187" s="108"/>
      <c r="D187" s="223"/>
      <c r="E187" s="250"/>
      <c r="F187" s="165" t="str">
        <f t="shared" si="17"/>
        <v/>
      </c>
      <c r="G187" s="186"/>
      <c r="H187" s="247"/>
      <c r="I187" s="108"/>
      <c r="J187" s="106" t="s">
        <v>18</v>
      </c>
      <c r="K187" s="269">
        <f>SUM(K188:K192)</f>
        <v>113.39999999999999</v>
      </c>
    </row>
    <row r="188" spans="1:11" hidden="1" x14ac:dyDescent="0.35">
      <c r="A188" s="103"/>
      <c r="B188" s="7" t="s">
        <v>6</v>
      </c>
      <c r="C188" s="14" t="s">
        <v>344</v>
      </c>
      <c r="D188" s="152"/>
      <c r="E188" s="170"/>
      <c r="F188" s="153" t="str">
        <f t="shared" si="17"/>
        <v/>
      </c>
      <c r="G188" s="256"/>
      <c r="H188" s="166">
        <f t="shared" si="19"/>
        <v>0</v>
      </c>
      <c r="I188" s="14" t="s">
        <v>20</v>
      </c>
      <c r="J188" s="35">
        <v>0.79</v>
      </c>
      <c r="K188" s="7">
        <f>G188*J188</f>
        <v>0</v>
      </c>
    </row>
    <row r="189" spans="1:11" x14ac:dyDescent="0.35">
      <c r="A189" s="103"/>
      <c r="B189" s="7" t="s">
        <v>6</v>
      </c>
      <c r="C189" s="14" t="s">
        <v>345</v>
      </c>
      <c r="D189" s="152">
        <v>30</v>
      </c>
      <c r="E189" s="170">
        <v>27</v>
      </c>
      <c r="F189" s="153">
        <f t="shared" si="17"/>
        <v>3</v>
      </c>
      <c r="G189" s="256"/>
      <c r="H189" s="166">
        <f t="shared" si="19"/>
        <v>30</v>
      </c>
      <c r="I189" s="14" t="s">
        <v>20</v>
      </c>
      <c r="J189" s="35">
        <v>2.76</v>
      </c>
      <c r="K189" s="7">
        <f>H189*J189</f>
        <v>82.8</v>
      </c>
    </row>
    <row r="190" spans="1:11" x14ac:dyDescent="0.35">
      <c r="A190" s="103"/>
      <c r="B190" s="7" t="s">
        <v>6</v>
      </c>
      <c r="C190" s="14" t="s">
        <v>346</v>
      </c>
      <c r="D190" s="152"/>
      <c r="E190" s="170"/>
      <c r="F190" s="153" t="str">
        <f t="shared" si="17"/>
        <v/>
      </c>
      <c r="G190" s="256"/>
      <c r="H190" s="166">
        <f t="shared" si="19"/>
        <v>0</v>
      </c>
      <c r="I190" s="14" t="s">
        <v>20</v>
      </c>
      <c r="J190" s="35">
        <v>1</v>
      </c>
      <c r="K190" s="7">
        <f t="shared" ref="K190:K192" si="21">H190*J190</f>
        <v>0</v>
      </c>
    </row>
    <row r="191" spans="1:11" x14ac:dyDescent="0.35">
      <c r="A191" s="103"/>
      <c r="B191" s="7" t="s">
        <v>6</v>
      </c>
      <c r="C191" s="14" t="s">
        <v>34</v>
      </c>
      <c r="D191" s="152">
        <v>10</v>
      </c>
      <c r="E191" s="170">
        <v>10</v>
      </c>
      <c r="F191" s="153" t="str">
        <f t="shared" si="17"/>
        <v/>
      </c>
      <c r="G191" s="256"/>
      <c r="H191" s="166">
        <f t="shared" si="19"/>
        <v>10</v>
      </c>
      <c r="I191" s="14" t="s">
        <v>20</v>
      </c>
      <c r="J191" s="35">
        <v>1.8</v>
      </c>
      <c r="K191" s="7">
        <f t="shared" si="21"/>
        <v>18</v>
      </c>
    </row>
    <row r="192" spans="1:11" x14ac:dyDescent="0.35">
      <c r="A192" s="103"/>
      <c r="B192" s="7" t="s">
        <v>6</v>
      </c>
      <c r="C192" s="14" t="s">
        <v>35</v>
      </c>
      <c r="D192" s="152">
        <v>10</v>
      </c>
      <c r="E192" s="170">
        <v>9</v>
      </c>
      <c r="F192" s="153">
        <f t="shared" si="17"/>
        <v>1</v>
      </c>
      <c r="G192" s="256">
        <v>3</v>
      </c>
      <c r="H192" s="166">
        <f t="shared" si="19"/>
        <v>7</v>
      </c>
      <c r="I192" s="14" t="s">
        <v>20</v>
      </c>
      <c r="J192" s="35">
        <v>1.8</v>
      </c>
      <c r="K192" s="7">
        <f t="shared" si="21"/>
        <v>12.6</v>
      </c>
    </row>
    <row r="193" spans="1:11" ht="15.5" hidden="1" x14ac:dyDescent="0.35">
      <c r="A193" s="112" t="s">
        <v>347</v>
      </c>
      <c r="B193" s="116"/>
      <c r="C193" s="116"/>
      <c r="D193" s="228"/>
      <c r="E193" s="250"/>
      <c r="F193" s="165" t="str">
        <f t="shared" si="17"/>
        <v/>
      </c>
      <c r="G193" s="260"/>
      <c r="H193" s="247"/>
      <c r="I193" s="117"/>
      <c r="J193" s="118" t="s">
        <v>18</v>
      </c>
      <c r="K193" s="275">
        <f>SUM(K194:K194)</f>
        <v>0</v>
      </c>
    </row>
    <row r="194" spans="1:11" hidden="1" x14ac:dyDescent="0.35">
      <c r="A194" s="103"/>
      <c r="B194" s="12" t="s">
        <v>5</v>
      </c>
      <c r="C194" s="10" t="s">
        <v>55</v>
      </c>
      <c r="D194" s="152"/>
      <c r="E194" s="170"/>
      <c r="F194" s="153" t="str">
        <f t="shared" si="17"/>
        <v/>
      </c>
      <c r="G194" s="256"/>
      <c r="H194" s="166">
        <f t="shared" si="19"/>
        <v>0</v>
      </c>
      <c r="I194" s="10" t="s">
        <v>20</v>
      </c>
      <c r="J194" s="11">
        <v>1.01</v>
      </c>
      <c r="K194" s="12">
        <f>H194*J194</f>
        <v>0</v>
      </c>
    </row>
    <row r="195" spans="1:11" ht="15.5" x14ac:dyDescent="0.35">
      <c r="A195" s="112" t="s">
        <v>348</v>
      </c>
      <c r="B195" s="116"/>
      <c r="C195" s="116"/>
      <c r="D195" s="228"/>
      <c r="E195" s="250"/>
      <c r="F195" s="165" t="str">
        <f t="shared" si="17"/>
        <v/>
      </c>
      <c r="G195" s="260"/>
      <c r="H195" s="247"/>
      <c r="I195" s="117"/>
      <c r="J195" s="118" t="s">
        <v>18</v>
      </c>
      <c r="K195" s="275">
        <f>SUM(K196:K207)</f>
        <v>100.64</v>
      </c>
    </row>
    <row r="196" spans="1:11" hidden="1" x14ac:dyDescent="0.35">
      <c r="A196" s="103"/>
      <c r="B196" s="20" t="s">
        <v>8</v>
      </c>
      <c r="C196" s="18" t="s">
        <v>349</v>
      </c>
      <c r="D196" s="229"/>
      <c r="E196" s="170"/>
      <c r="F196" s="153" t="str">
        <f t="shared" si="17"/>
        <v/>
      </c>
      <c r="G196" s="256"/>
      <c r="H196" s="166">
        <f t="shared" si="19"/>
        <v>0</v>
      </c>
      <c r="I196" s="18" t="s">
        <v>27</v>
      </c>
      <c r="J196" s="20">
        <v>28.62</v>
      </c>
      <c r="K196" s="12">
        <f t="shared" ref="K196:K207" si="22">G196*J196</f>
        <v>0</v>
      </c>
    </row>
    <row r="197" spans="1:11" hidden="1" x14ac:dyDescent="0.35">
      <c r="A197" s="103"/>
      <c r="B197" s="12" t="s">
        <v>8</v>
      </c>
      <c r="C197" s="10" t="s">
        <v>350</v>
      </c>
      <c r="D197" s="152"/>
      <c r="E197" s="170"/>
      <c r="F197" s="153" t="str">
        <f t="shared" si="17"/>
        <v/>
      </c>
      <c r="G197" s="256"/>
      <c r="H197" s="166">
        <f t="shared" si="19"/>
        <v>0</v>
      </c>
      <c r="I197" s="10" t="s">
        <v>335</v>
      </c>
      <c r="J197" s="12">
        <v>30</v>
      </c>
      <c r="K197" s="12">
        <f t="shared" si="22"/>
        <v>0</v>
      </c>
    </row>
    <row r="198" spans="1:11" x14ac:dyDescent="0.35">
      <c r="A198" s="103"/>
      <c r="B198" s="12" t="s">
        <v>8</v>
      </c>
      <c r="C198" s="10" t="s">
        <v>351</v>
      </c>
      <c r="D198" s="152"/>
      <c r="E198" s="170"/>
      <c r="F198" s="153" t="str">
        <f t="shared" si="17"/>
        <v/>
      </c>
      <c r="G198" s="256"/>
      <c r="H198" s="166">
        <f t="shared" si="19"/>
        <v>0</v>
      </c>
      <c r="I198" s="10" t="s">
        <v>335</v>
      </c>
      <c r="J198" s="11">
        <v>1.1499999999999999</v>
      </c>
      <c r="K198" s="12">
        <f t="shared" si="22"/>
        <v>0</v>
      </c>
    </row>
    <row r="199" spans="1:11" x14ac:dyDescent="0.35">
      <c r="A199" s="103"/>
      <c r="B199" s="12" t="s">
        <v>8</v>
      </c>
      <c r="C199" s="10" t="s">
        <v>352</v>
      </c>
      <c r="D199" s="152">
        <v>2</v>
      </c>
      <c r="E199" s="170">
        <v>2</v>
      </c>
      <c r="F199" s="153" t="str">
        <f t="shared" si="17"/>
        <v/>
      </c>
      <c r="G199" s="256"/>
      <c r="H199" s="166">
        <f t="shared" si="19"/>
        <v>2</v>
      </c>
      <c r="I199" s="10">
        <v>23.83</v>
      </c>
      <c r="J199" s="11">
        <v>30.95</v>
      </c>
      <c r="K199" s="12">
        <f>H199*J199</f>
        <v>61.9</v>
      </c>
    </row>
    <row r="200" spans="1:11" x14ac:dyDescent="0.35">
      <c r="A200" s="103"/>
      <c r="B200" s="12" t="s">
        <v>8</v>
      </c>
      <c r="C200" s="10" t="s">
        <v>353</v>
      </c>
      <c r="D200" s="152">
        <v>2</v>
      </c>
      <c r="E200" s="170">
        <v>2</v>
      </c>
      <c r="F200" s="153" t="str">
        <f t="shared" si="17"/>
        <v/>
      </c>
      <c r="G200" s="256">
        <v>2</v>
      </c>
      <c r="H200" s="166">
        <f t="shared" si="19"/>
        <v>0</v>
      </c>
      <c r="I200" s="10" t="s">
        <v>27</v>
      </c>
      <c r="J200" s="11">
        <v>28.89</v>
      </c>
      <c r="K200" s="12">
        <f t="shared" ref="K200" si="23">H200*J200</f>
        <v>0</v>
      </c>
    </row>
    <row r="201" spans="1:11" x14ac:dyDescent="0.35">
      <c r="A201" s="103"/>
      <c r="B201" s="12" t="s">
        <v>8</v>
      </c>
      <c r="C201" s="10" t="s">
        <v>354</v>
      </c>
      <c r="D201" s="152">
        <v>2</v>
      </c>
      <c r="E201" s="170">
        <v>2</v>
      </c>
      <c r="F201" s="153" t="str">
        <f>IF(E201="","",IF(D201-E201&gt;0,D201-E201,""))</f>
        <v/>
      </c>
      <c r="G201" s="256">
        <v>0</v>
      </c>
      <c r="H201" s="166">
        <f>IF(ISNUMBER(E201),E201,0)+IF(ISNUMBER(F201),F201,0)-IF(ISNUMBER(G201),G201,0)</f>
        <v>2</v>
      </c>
      <c r="I201" s="10" t="s">
        <v>27</v>
      </c>
      <c r="J201" s="11">
        <v>19.37</v>
      </c>
      <c r="K201" s="12">
        <f>H201*J201</f>
        <v>38.74</v>
      </c>
    </row>
    <row r="202" spans="1:11" x14ac:dyDescent="0.35">
      <c r="A202" s="103"/>
      <c r="B202" s="12" t="s">
        <v>8</v>
      </c>
      <c r="C202" s="10" t="s">
        <v>429</v>
      </c>
      <c r="D202" s="152"/>
      <c r="E202" s="170"/>
      <c r="F202" s="153"/>
      <c r="G202" s="256"/>
      <c r="H202" s="166">
        <f t="shared" ref="H202:H204" si="24">IF(ISNUMBER(E202),E202,0)+IF(ISNUMBER(F202),F202,0)-IF(ISNUMBER(G202),G202,0)</f>
        <v>0</v>
      </c>
      <c r="I202" s="10">
        <v>14.07</v>
      </c>
      <c r="J202" s="11"/>
      <c r="K202" s="12"/>
    </row>
    <row r="203" spans="1:11" x14ac:dyDescent="0.35">
      <c r="A203" s="103"/>
      <c r="B203" s="12" t="s">
        <v>8</v>
      </c>
      <c r="C203" s="10" t="s">
        <v>430</v>
      </c>
      <c r="D203" s="152"/>
      <c r="E203" s="170"/>
      <c r="F203" s="153"/>
      <c r="G203" s="256"/>
      <c r="H203" s="166">
        <f t="shared" si="24"/>
        <v>0</v>
      </c>
      <c r="I203" s="10">
        <v>16.07</v>
      </c>
      <c r="J203" s="11"/>
      <c r="K203" s="12"/>
    </row>
    <row r="204" spans="1:11" x14ac:dyDescent="0.35">
      <c r="A204" s="103"/>
      <c r="B204" s="12" t="s">
        <v>8</v>
      </c>
      <c r="C204" s="10" t="s">
        <v>431</v>
      </c>
      <c r="D204" s="152"/>
      <c r="G204" s="256"/>
      <c r="H204" s="166">
        <f t="shared" si="24"/>
        <v>0</v>
      </c>
      <c r="I204" s="289">
        <v>14.62</v>
      </c>
      <c r="J204" s="11"/>
    </row>
    <row r="205" spans="1:11" hidden="1" x14ac:dyDescent="0.35">
      <c r="A205" s="103"/>
      <c r="B205" s="12" t="s">
        <v>8</v>
      </c>
      <c r="C205" s="10" t="s">
        <v>355</v>
      </c>
      <c r="D205" s="152"/>
      <c r="E205" s="170"/>
      <c r="F205" s="153" t="str">
        <f t="shared" si="17"/>
        <v/>
      </c>
      <c r="G205" s="256"/>
      <c r="H205" s="166">
        <f t="shared" si="19"/>
        <v>0</v>
      </c>
      <c r="I205" s="10" t="s">
        <v>61</v>
      </c>
      <c r="J205" s="11">
        <v>17.11</v>
      </c>
      <c r="K205" s="12">
        <f t="shared" si="22"/>
        <v>0</v>
      </c>
    </row>
    <row r="206" spans="1:11" hidden="1" x14ac:dyDescent="0.35">
      <c r="A206" s="103"/>
      <c r="B206" s="12" t="s">
        <v>8</v>
      </c>
      <c r="C206" s="10" t="s">
        <v>356</v>
      </c>
      <c r="D206" s="152"/>
      <c r="E206" s="170"/>
      <c r="F206" s="153" t="str">
        <f t="shared" si="17"/>
        <v/>
      </c>
      <c r="G206" s="256"/>
      <c r="H206" s="166">
        <f t="shared" si="19"/>
        <v>0</v>
      </c>
      <c r="I206" s="10" t="s">
        <v>61</v>
      </c>
      <c r="J206" s="11">
        <v>22.13</v>
      </c>
      <c r="K206" s="12">
        <f t="shared" si="22"/>
        <v>0</v>
      </c>
    </row>
    <row r="207" spans="1:11" hidden="1" x14ac:dyDescent="0.35">
      <c r="A207" s="103"/>
      <c r="B207" s="40" t="s">
        <v>8</v>
      </c>
      <c r="C207" s="41" t="s">
        <v>357</v>
      </c>
      <c r="D207" s="227"/>
      <c r="E207" s="170"/>
      <c r="F207" s="153" t="str">
        <f t="shared" si="17"/>
        <v/>
      </c>
      <c r="G207" s="256"/>
      <c r="H207" s="166">
        <f t="shared" si="19"/>
        <v>0</v>
      </c>
      <c r="I207" s="41" t="s">
        <v>61</v>
      </c>
      <c r="J207" s="42">
        <v>18.8</v>
      </c>
      <c r="K207" s="40">
        <f t="shared" si="22"/>
        <v>0</v>
      </c>
    </row>
    <row r="208" spans="1:11" ht="15.5" x14ac:dyDescent="0.35">
      <c r="A208" s="112" t="s">
        <v>358</v>
      </c>
      <c r="B208" s="116"/>
      <c r="C208" s="116"/>
      <c r="D208" s="228"/>
      <c r="E208" s="250"/>
      <c r="F208" s="165" t="str">
        <f t="shared" si="17"/>
        <v/>
      </c>
      <c r="G208" s="260"/>
      <c r="H208" s="247"/>
      <c r="I208" s="117"/>
      <c r="J208" s="118" t="s">
        <v>18</v>
      </c>
      <c r="K208" s="275">
        <f>SUM(K209)</f>
        <v>0</v>
      </c>
    </row>
    <row r="209" spans="1:11" x14ac:dyDescent="0.35">
      <c r="A209" s="103"/>
      <c r="B209" s="13" t="s">
        <v>11</v>
      </c>
      <c r="C209" s="18" t="s">
        <v>359</v>
      </c>
      <c r="D209" s="229"/>
      <c r="E209" s="170"/>
      <c r="F209" s="153" t="str">
        <f t="shared" si="17"/>
        <v/>
      </c>
      <c r="G209" s="256"/>
      <c r="H209" s="166">
        <f t="shared" si="19"/>
        <v>0</v>
      </c>
      <c r="I209" s="10" t="s">
        <v>52</v>
      </c>
      <c r="J209" s="11">
        <v>11.63</v>
      </c>
      <c r="K209" s="12">
        <f>G209*J209</f>
        <v>0</v>
      </c>
    </row>
    <row r="210" spans="1:11" ht="15.5" x14ac:dyDescent="0.35">
      <c r="A210" s="108" t="s">
        <v>360</v>
      </c>
      <c r="B210" s="108"/>
      <c r="C210" s="108"/>
      <c r="D210" s="223"/>
      <c r="E210" s="250"/>
      <c r="F210" s="165" t="str">
        <f t="shared" si="17"/>
        <v/>
      </c>
      <c r="G210" s="186"/>
      <c r="H210" s="247"/>
      <c r="I210" s="108"/>
      <c r="J210" s="106" t="s">
        <v>18</v>
      </c>
      <c r="K210" s="269">
        <f>SUM(K211:K212)</f>
        <v>0</v>
      </c>
    </row>
    <row r="211" spans="1:11" x14ac:dyDescent="0.35">
      <c r="A211" s="103"/>
      <c r="B211" s="12" t="s">
        <v>12</v>
      </c>
      <c r="C211" s="10" t="s">
        <v>70</v>
      </c>
      <c r="D211" s="152"/>
      <c r="E211" s="170"/>
      <c r="F211" s="153" t="str">
        <f t="shared" si="17"/>
        <v/>
      </c>
      <c r="G211" s="256"/>
      <c r="H211" s="166">
        <f t="shared" si="19"/>
        <v>0</v>
      </c>
      <c r="I211" s="10" t="s">
        <v>27</v>
      </c>
      <c r="J211" s="11">
        <v>20.7</v>
      </c>
      <c r="K211" s="12">
        <f>H211*J211</f>
        <v>0</v>
      </c>
    </row>
    <row r="212" spans="1:11" x14ac:dyDescent="0.35">
      <c r="A212" s="103"/>
      <c r="B212" s="12" t="s">
        <v>12</v>
      </c>
      <c r="C212" s="10" t="s">
        <v>71</v>
      </c>
      <c r="D212" s="152"/>
      <c r="E212" s="170"/>
      <c r="F212" s="153" t="str">
        <f t="shared" si="17"/>
        <v/>
      </c>
      <c r="G212" s="256"/>
      <c r="H212" s="166">
        <f t="shared" si="19"/>
        <v>0</v>
      </c>
      <c r="I212" s="10" t="s">
        <v>27</v>
      </c>
      <c r="J212" s="11">
        <v>13.7</v>
      </c>
      <c r="K212" s="12">
        <f>H212*J212</f>
        <v>0</v>
      </c>
    </row>
    <row r="213" spans="1:11" ht="15.5" hidden="1" x14ac:dyDescent="0.35">
      <c r="A213" s="108" t="s">
        <v>361</v>
      </c>
      <c r="B213" s="108"/>
      <c r="C213" s="108"/>
      <c r="D213" s="223"/>
      <c r="E213" s="250"/>
      <c r="F213" s="165" t="str">
        <f t="shared" si="17"/>
        <v/>
      </c>
      <c r="G213" s="186"/>
      <c r="H213" s="247"/>
      <c r="I213" s="108"/>
      <c r="J213" s="106" t="s">
        <v>18</v>
      </c>
      <c r="K213" s="269">
        <f>SUM(K214:K217)</f>
        <v>0</v>
      </c>
    </row>
    <row r="214" spans="1:11" hidden="1" x14ac:dyDescent="0.35">
      <c r="A214" s="103"/>
      <c r="B214" s="12" t="s">
        <v>10</v>
      </c>
      <c r="C214" s="10" t="s">
        <v>362</v>
      </c>
      <c r="D214" s="152"/>
      <c r="E214" s="170"/>
      <c r="F214" s="153" t="str">
        <f t="shared" si="17"/>
        <v/>
      </c>
      <c r="G214" s="256"/>
      <c r="H214" s="166">
        <f t="shared" si="19"/>
        <v>0</v>
      </c>
      <c r="I214" s="10" t="s">
        <v>20</v>
      </c>
      <c r="J214" s="11">
        <v>11.08</v>
      </c>
      <c r="K214" s="12">
        <f>H214*J214</f>
        <v>0</v>
      </c>
    </row>
    <row r="215" spans="1:11" hidden="1" x14ac:dyDescent="0.35">
      <c r="A215" s="103"/>
      <c r="B215" s="12" t="s">
        <v>10</v>
      </c>
      <c r="C215" s="10" t="s">
        <v>363</v>
      </c>
      <c r="D215" s="152"/>
      <c r="E215" s="170"/>
      <c r="F215" s="153" t="str">
        <f t="shared" si="17"/>
        <v/>
      </c>
      <c r="G215" s="256"/>
      <c r="H215" s="166">
        <f t="shared" si="19"/>
        <v>0</v>
      </c>
      <c r="I215" s="10" t="s">
        <v>27</v>
      </c>
      <c r="J215" s="11">
        <v>16.21</v>
      </c>
      <c r="K215" s="12">
        <f t="shared" ref="K215:K217" si="25">H215*J215</f>
        <v>0</v>
      </c>
    </row>
    <row r="216" spans="1:11" hidden="1" x14ac:dyDescent="0.35">
      <c r="A216" s="103"/>
      <c r="B216" s="12" t="s">
        <v>10</v>
      </c>
      <c r="C216" s="10" t="s">
        <v>364</v>
      </c>
      <c r="D216" s="152"/>
      <c r="E216" s="170"/>
      <c r="F216" s="153" t="str">
        <f t="shared" si="17"/>
        <v/>
      </c>
      <c r="G216" s="256"/>
      <c r="H216" s="166">
        <f t="shared" si="19"/>
        <v>0</v>
      </c>
      <c r="I216" s="10" t="s">
        <v>27</v>
      </c>
      <c r="J216" s="11">
        <v>19.350000000000001</v>
      </c>
      <c r="K216" s="12">
        <f t="shared" si="25"/>
        <v>0</v>
      </c>
    </row>
    <row r="217" spans="1:11" hidden="1" x14ac:dyDescent="0.35">
      <c r="A217" s="103"/>
      <c r="B217" s="12" t="s">
        <v>10</v>
      </c>
      <c r="C217" s="10" t="s">
        <v>365</v>
      </c>
      <c r="D217" s="152"/>
      <c r="E217" s="170"/>
      <c r="F217" s="153" t="str">
        <f t="shared" si="17"/>
        <v/>
      </c>
      <c r="G217" s="256"/>
      <c r="H217" s="166">
        <f t="shared" si="19"/>
        <v>0</v>
      </c>
      <c r="I217" s="10" t="s">
        <v>27</v>
      </c>
      <c r="J217" s="11">
        <v>19.809999999999999</v>
      </c>
      <c r="K217" s="12">
        <f t="shared" si="25"/>
        <v>0</v>
      </c>
    </row>
    <row r="218" spans="1:11" ht="15.5" x14ac:dyDescent="0.35">
      <c r="A218" s="108" t="s">
        <v>366</v>
      </c>
      <c r="B218" s="108"/>
      <c r="C218" s="108"/>
      <c r="D218" s="223"/>
      <c r="E218" s="250"/>
      <c r="F218" s="165" t="str">
        <f t="shared" si="17"/>
        <v/>
      </c>
      <c r="G218" s="186"/>
      <c r="H218" s="247"/>
      <c r="I218" s="108"/>
      <c r="J218" s="106" t="s">
        <v>18</v>
      </c>
      <c r="K218" s="269">
        <f>SUM(K219:K219)</f>
        <v>0</v>
      </c>
    </row>
    <row r="219" spans="1:11" x14ac:dyDescent="0.35">
      <c r="A219" s="103"/>
      <c r="B219" s="12" t="s">
        <v>28</v>
      </c>
      <c r="C219" s="10" t="s">
        <v>29</v>
      </c>
      <c r="D219" s="152"/>
      <c r="E219" s="170"/>
      <c r="F219" s="153" t="str">
        <f t="shared" si="17"/>
        <v/>
      </c>
      <c r="G219" s="256"/>
      <c r="H219" s="166">
        <f t="shared" si="19"/>
        <v>0</v>
      </c>
      <c r="I219" s="10" t="s">
        <v>54</v>
      </c>
      <c r="J219" s="11">
        <v>104</v>
      </c>
      <c r="K219" s="12">
        <f>+J219*G219</f>
        <v>0</v>
      </c>
    </row>
    <row r="220" spans="1:11" ht="15.5" x14ac:dyDescent="0.35">
      <c r="A220" s="108" t="s">
        <v>367</v>
      </c>
      <c r="B220" s="108"/>
      <c r="C220" s="108"/>
      <c r="D220" s="223"/>
      <c r="E220" s="250"/>
      <c r="F220" s="165" t="str">
        <f t="shared" ref="F220:F255" si="26">IF(E220="","",IF(D220-E220&gt;0,D220-E220,""))</f>
        <v/>
      </c>
      <c r="G220" s="186"/>
      <c r="H220" s="247"/>
      <c r="I220" s="108"/>
      <c r="J220" s="106" t="s">
        <v>18</v>
      </c>
      <c r="K220" s="269">
        <f>SUM(K224:K239)</f>
        <v>33.25</v>
      </c>
    </row>
    <row r="221" spans="1:11" x14ac:dyDescent="0.35">
      <c r="A221" s="103"/>
      <c r="B221" s="12" t="s">
        <v>9</v>
      </c>
      <c r="C221" s="10" t="s">
        <v>423</v>
      </c>
      <c r="D221" s="152"/>
      <c r="E221" s="170"/>
      <c r="F221" s="153" t="str">
        <f t="shared" si="26"/>
        <v/>
      </c>
      <c r="G221" s="256"/>
      <c r="H221" s="166">
        <f t="shared" si="19"/>
        <v>0</v>
      </c>
      <c r="I221" s="10" t="s">
        <v>20</v>
      </c>
      <c r="J221" s="11">
        <v>78</v>
      </c>
      <c r="K221" s="50">
        <f t="shared" ref="K221:K240" si="27">G221*J221</f>
        <v>0</v>
      </c>
    </row>
    <row r="222" spans="1:11" x14ac:dyDescent="0.35">
      <c r="A222" s="103"/>
      <c r="B222" s="12" t="s">
        <v>9</v>
      </c>
      <c r="C222" s="10" t="s">
        <v>424</v>
      </c>
      <c r="D222" s="152"/>
      <c r="E222" s="170"/>
      <c r="F222" s="153" t="str">
        <f t="shared" si="26"/>
        <v/>
      </c>
      <c r="G222" s="256"/>
      <c r="H222" s="166">
        <f t="shared" si="19"/>
        <v>0</v>
      </c>
      <c r="I222" s="10" t="s">
        <v>61</v>
      </c>
      <c r="J222" s="51">
        <v>107.12</v>
      </c>
      <c r="K222" s="50">
        <f t="shared" si="27"/>
        <v>0</v>
      </c>
    </row>
    <row r="223" spans="1:11" x14ac:dyDescent="0.35">
      <c r="A223" s="103"/>
      <c r="B223" s="12" t="s">
        <v>9</v>
      </c>
      <c r="C223" s="10" t="s">
        <v>369</v>
      </c>
      <c r="D223" s="152"/>
      <c r="E223" s="170"/>
      <c r="F223" s="153" t="str">
        <f t="shared" si="26"/>
        <v/>
      </c>
      <c r="G223" s="256"/>
      <c r="H223" s="166">
        <f t="shared" si="19"/>
        <v>0</v>
      </c>
      <c r="I223" s="10" t="s">
        <v>20</v>
      </c>
      <c r="J223" s="11">
        <v>0.04</v>
      </c>
      <c r="K223" s="50">
        <f t="shared" si="27"/>
        <v>0</v>
      </c>
    </row>
    <row r="224" spans="1:11" x14ac:dyDescent="0.35">
      <c r="A224" s="103"/>
      <c r="B224" s="12" t="s">
        <v>9</v>
      </c>
      <c r="C224" s="10" t="s">
        <v>409</v>
      </c>
      <c r="D224" s="152">
        <v>1</v>
      </c>
      <c r="E224" s="170"/>
      <c r="F224" s="153" t="str">
        <f t="shared" si="26"/>
        <v/>
      </c>
      <c r="G224" s="256"/>
      <c r="H224" s="166">
        <f t="shared" si="19"/>
        <v>0</v>
      </c>
      <c r="I224" s="10" t="s">
        <v>20</v>
      </c>
      <c r="J224" s="11">
        <v>7.0999999999999994E-2</v>
      </c>
      <c r="K224" s="233">
        <f>H224*J224</f>
        <v>0</v>
      </c>
    </row>
    <row r="225" spans="1:11" x14ac:dyDescent="0.35">
      <c r="A225" s="103"/>
      <c r="B225" s="12" t="s">
        <v>9</v>
      </c>
      <c r="C225" s="10" t="s">
        <v>411</v>
      </c>
      <c r="D225" s="152"/>
      <c r="E225" s="170"/>
      <c r="F225" s="153" t="str">
        <f t="shared" si="26"/>
        <v/>
      </c>
      <c r="G225" s="256"/>
      <c r="H225" s="166">
        <f t="shared" si="19"/>
        <v>0</v>
      </c>
      <c r="I225" s="10" t="s">
        <v>20</v>
      </c>
      <c r="J225" s="11">
        <v>1.97</v>
      </c>
      <c r="K225" s="233">
        <f>H225*J225</f>
        <v>0</v>
      </c>
    </row>
    <row r="226" spans="1:11" x14ac:dyDescent="0.35">
      <c r="A226" s="103"/>
      <c r="B226" s="12" t="s">
        <v>9</v>
      </c>
      <c r="C226" s="10" t="s">
        <v>371</v>
      </c>
      <c r="D226" s="152"/>
      <c r="E226" s="170"/>
      <c r="F226" s="153" t="str">
        <f t="shared" si="26"/>
        <v/>
      </c>
      <c r="G226" s="256"/>
      <c r="H226" s="166">
        <f t="shared" si="19"/>
        <v>0</v>
      </c>
      <c r="I226" s="10" t="s">
        <v>61</v>
      </c>
      <c r="J226" s="11">
        <v>163.80000000000001</v>
      </c>
      <c r="K226" s="233">
        <f t="shared" ref="K226:K239" si="28">H226*J226</f>
        <v>0</v>
      </c>
    </row>
    <row r="227" spans="1:11" x14ac:dyDescent="0.35">
      <c r="A227" s="103"/>
      <c r="B227" s="12" t="s">
        <v>9</v>
      </c>
      <c r="C227" s="10" t="s">
        <v>410</v>
      </c>
      <c r="D227" s="152"/>
      <c r="E227" s="170"/>
      <c r="F227" s="153" t="str">
        <f t="shared" si="26"/>
        <v/>
      </c>
      <c r="G227" s="256"/>
      <c r="H227" s="166">
        <f t="shared" si="19"/>
        <v>0</v>
      </c>
      <c r="I227" s="10" t="s">
        <v>61</v>
      </c>
      <c r="J227" s="11">
        <v>49.33</v>
      </c>
      <c r="K227" s="233">
        <f t="shared" si="28"/>
        <v>0</v>
      </c>
    </row>
    <row r="228" spans="1:11" x14ac:dyDescent="0.35">
      <c r="A228" s="103"/>
      <c r="B228" s="12" t="s">
        <v>9</v>
      </c>
      <c r="C228" s="10" t="s">
        <v>373</v>
      </c>
      <c r="D228" s="152"/>
      <c r="E228" s="170"/>
      <c r="F228" s="153" t="str">
        <f t="shared" si="26"/>
        <v/>
      </c>
      <c r="G228" s="256"/>
      <c r="H228" s="166">
        <f t="shared" si="19"/>
        <v>0</v>
      </c>
      <c r="I228" s="10" t="s">
        <v>61</v>
      </c>
      <c r="J228" s="11">
        <v>105.6</v>
      </c>
      <c r="K228" s="233">
        <f t="shared" si="28"/>
        <v>0</v>
      </c>
    </row>
    <row r="229" spans="1:11" x14ac:dyDescent="0.35">
      <c r="A229" s="103"/>
      <c r="B229" s="12" t="s">
        <v>9</v>
      </c>
      <c r="C229" s="10" t="s">
        <v>374</v>
      </c>
      <c r="D229" s="152"/>
      <c r="E229" s="170"/>
      <c r="F229" s="153" t="str">
        <f t="shared" si="26"/>
        <v/>
      </c>
      <c r="G229" s="256"/>
      <c r="H229" s="166">
        <f t="shared" si="19"/>
        <v>0</v>
      </c>
      <c r="I229" s="10" t="s">
        <v>61</v>
      </c>
      <c r="J229" s="11">
        <v>114.75</v>
      </c>
      <c r="K229" s="233">
        <f t="shared" si="28"/>
        <v>0</v>
      </c>
    </row>
    <row r="230" spans="1:11" x14ac:dyDescent="0.35">
      <c r="A230" s="103"/>
      <c r="B230" s="12" t="s">
        <v>9</v>
      </c>
      <c r="C230" s="10" t="s">
        <v>375</v>
      </c>
      <c r="D230" s="152"/>
      <c r="E230" s="170"/>
      <c r="F230" s="153" t="str">
        <f t="shared" si="26"/>
        <v/>
      </c>
      <c r="G230" s="256"/>
      <c r="H230" s="166">
        <f t="shared" si="19"/>
        <v>0</v>
      </c>
      <c r="I230" s="10" t="s">
        <v>61</v>
      </c>
      <c r="J230" s="11">
        <v>105.55</v>
      </c>
      <c r="K230" s="233">
        <f t="shared" si="28"/>
        <v>0</v>
      </c>
    </row>
    <row r="231" spans="1:11" x14ac:dyDescent="0.35">
      <c r="A231" s="103"/>
      <c r="B231" s="12" t="s">
        <v>9</v>
      </c>
      <c r="C231" s="10" t="s">
        <v>376</v>
      </c>
      <c r="D231" s="152">
        <v>1</v>
      </c>
      <c r="E231" s="170">
        <v>1</v>
      </c>
      <c r="F231" s="153" t="str">
        <f t="shared" si="26"/>
        <v/>
      </c>
      <c r="G231" s="256"/>
      <c r="H231" s="166">
        <f t="shared" si="19"/>
        <v>1</v>
      </c>
      <c r="I231" s="10" t="s">
        <v>61</v>
      </c>
      <c r="J231" s="11">
        <v>33.25</v>
      </c>
      <c r="K231" s="233">
        <f t="shared" si="28"/>
        <v>33.25</v>
      </c>
    </row>
    <row r="232" spans="1:11" x14ac:dyDescent="0.35">
      <c r="A232" s="103"/>
      <c r="B232" s="12" t="s">
        <v>9</v>
      </c>
      <c r="C232" s="10" t="s">
        <v>377</v>
      </c>
      <c r="D232" s="152"/>
      <c r="E232" s="170"/>
      <c r="F232" s="153" t="str">
        <f t="shared" si="26"/>
        <v/>
      </c>
      <c r="G232" s="256"/>
      <c r="H232" s="166">
        <f t="shared" si="19"/>
        <v>0</v>
      </c>
      <c r="I232" s="10" t="s">
        <v>20</v>
      </c>
      <c r="J232" s="11">
        <v>0.28999999999999998</v>
      </c>
      <c r="K232" s="233">
        <f t="shared" si="28"/>
        <v>0</v>
      </c>
    </row>
    <row r="233" spans="1:11" x14ac:dyDescent="0.35">
      <c r="A233" s="103"/>
      <c r="B233" s="12" t="s">
        <v>9</v>
      </c>
      <c r="C233" s="10" t="s">
        <v>378</v>
      </c>
      <c r="D233" s="152"/>
      <c r="E233" s="170"/>
      <c r="F233" s="153" t="str">
        <f t="shared" si="26"/>
        <v/>
      </c>
      <c r="G233" s="256"/>
      <c r="H233" s="166">
        <f t="shared" si="19"/>
        <v>0</v>
      </c>
      <c r="I233" s="10" t="s">
        <v>61</v>
      </c>
      <c r="J233" s="35">
        <v>37.85</v>
      </c>
      <c r="K233" s="233">
        <f t="shared" si="28"/>
        <v>0</v>
      </c>
    </row>
    <row r="234" spans="1:11" x14ac:dyDescent="0.35">
      <c r="A234" s="103"/>
      <c r="B234" s="12" t="s">
        <v>9</v>
      </c>
      <c r="C234" s="10" t="s">
        <v>425</v>
      </c>
      <c r="D234" s="152">
        <v>1</v>
      </c>
      <c r="E234" s="170"/>
      <c r="F234" s="153" t="str">
        <f t="shared" si="26"/>
        <v/>
      </c>
      <c r="G234" s="256"/>
      <c r="H234" s="166">
        <f t="shared" si="19"/>
        <v>0</v>
      </c>
      <c r="I234" s="10" t="s">
        <v>61</v>
      </c>
      <c r="J234" s="35">
        <v>111.47</v>
      </c>
      <c r="K234" s="233">
        <f t="shared" si="28"/>
        <v>0</v>
      </c>
    </row>
    <row r="235" spans="1:11" x14ac:dyDescent="0.35">
      <c r="A235" s="103"/>
      <c r="B235" s="12" t="s">
        <v>9</v>
      </c>
      <c r="C235" s="10" t="s">
        <v>379</v>
      </c>
      <c r="D235" s="152"/>
      <c r="E235" s="170"/>
      <c r="F235" s="153" t="str">
        <f t="shared" si="26"/>
        <v/>
      </c>
      <c r="G235" s="256"/>
      <c r="H235" s="166">
        <f t="shared" si="19"/>
        <v>0</v>
      </c>
      <c r="I235" s="10" t="s">
        <v>61</v>
      </c>
      <c r="J235" s="35">
        <v>174.97</v>
      </c>
      <c r="K235" s="233">
        <f t="shared" si="28"/>
        <v>0</v>
      </c>
    </row>
    <row r="236" spans="1:11" x14ac:dyDescent="0.35">
      <c r="A236" s="103"/>
      <c r="B236" s="12" t="s">
        <v>9</v>
      </c>
      <c r="C236" s="10" t="s">
        <v>380</v>
      </c>
      <c r="D236" s="152"/>
      <c r="E236" s="170"/>
      <c r="F236" s="153" t="str">
        <f t="shared" si="26"/>
        <v/>
      </c>
      <c r="G236" s="256"/>
      <c r="H236" s="166">
        <f t="shared" si="19"/>
        <v>0</v>
      </c>
      <c r="I236" s="10" t="s">
        <v>61</v>
      </c>
      <c r="J236" s="35">
        <v>44.93</v>
      </c>
      <c r="K236" s="233">
        <f t="shared" si="28"/>
        <v>0</v>
      </c>
    </row>
    <row r="237" spans="1:11" x14ac:dyDescent="0.35">
      <c r="A237" s="103"/>
      <c r="B237" s="12" t="s">
        <v>9</v>
      </c>
      <c r="C237" s="10" t="s">
        <v>426</v>
      </c>
      <c r="D237" s="152">
        <v>1</v>
      </c>
      <c r="E237" s="170">
        <v>2</v>
      </c>
      <c r="F237" s="153" t="str">
        <f t="shared" si="26"/>
        <v/>
      </c>
      <c r="G237" s="256"/>
      <c r="H237" s="166">
        <f t="shared" si="19"/>
        <v>2</v>
      </c>
      <c r="I237" s="10" t="s">
        <v>61</v>
      </c>
      <c r="J237" s="35"/>
      <c r="K237" s="233">
        <f t="shared" si="28"/>
        <v>0</v>
      </c>
    </row>
    <row r="238" spans="1:11" x14ac:dyDescent="0.35">
      <c r="A238" s="103"/>
      <c r="B238" s="12" t="s">
        <v>9</v>
      </c>
      <c r="C238" s="10" t="s">
        <v>427</v>
      </c>
      <c r="D238" s="152">
        <v>1</v>
      </c>
      <c r="E238" s="170">
        <v>3</v>
      </c>
      <c r="F238" s="153" t="str">
        <f t="shared" si="26"/>
        <v/>
      </c>
      <c r="G238" s="256"/>
      <c r="H238" s="166">
        <f t="shared" si="19"/>
        <v>3</v>
      </c>
      <c r="I238" s="10" t="s">
        <v>61</v>
      </c>
      <c r="J238" s="35"/>
      <c r="K238" s="233">
        <f>H238*J238</f>
        <v>0</v>
      </c>
    </row>
    <row r="239" spans="1:11" x14ac:dyDescent="0.35">
      <c r="A239" s="103"/>
      <c r="B239" s="12" t="s">
        <v>9</v>
      </c>
      <c r="C239" s="10" t="s">
        <v>428</v>
      </c>
      <c r="D239" s="152">
        <v>1</v>
      </c>
      <c r="E239" s="170"/>
      <c r="F239" s="153" t="str">
        <f t="shared" si="26"/>
        <v/>
      </c>
      <c r="G239" s="256"/>
      <c r="H239" s="166">
        <f t="shared" si="19"/>
        <v>0</v>
      </c>
      <c r="I239" s="10" t="s">
        <v>61</v>
      </c>
      <c r="J239" s="35"/>
      <c r="K239" s="233">
        <f t="shared" si="28"/>
        <v>0</v>
      </c>
    </row>
    <row r="240" spans="1:11" x14ac:dyDescent="0.35">
      <c r="A240" s="103"/>
      <c r="B240" s="12" t="s">
        <v>9</v>
      </c>
      <c r="C240" s="10" t="s">
        <v>381</v>
      </c>
      <c r="D240" s="152"/>
      <c r="E240" s="170"/>
      <c r="F240" s="153" t="str">
        <f t="shared" si="26"/>
        <v/>
      </c>
      <c r="G240" s="256"/>
      <c r="H240" s="166">
        <f t="shared" si="19"/>
        <v>0</v>
      </c>
      <c r="I240" s="10" t="s">
        <v>61</v>
      </c>
      <c r="J240" s="35">
        <v>0.02</v>
      </c>
      <c r="K240" s="50">
        <f t="shared" si="27"/>
        <v>0</v>
      </c>
    </row>
    <row r="241" spans="1:18" ht="15.5" x14ac:dyDescent="0.35">
      <c r="A241" s="108" t="s">
        <v>382</v>
      </c>
      <c r="B241" s="108"/>
      <c r="C241" s="108"/>
      <c r="D241" s="223"/>
      <c r="E241" s="250"/>
      <c r="F241" s="165" t="str">
        <f t="shared" si="26"/>
        <v/>
      </c>
      <c r="G241" s="186"/>
      <c r="H241" s="247"/>
      <c r="I241" s="108">
        <v>29.2</v>
      </c>
      <c r="J241" s="106" t="s">
        <v>18</v>
      </c>
      <c r="K241" s="269">
        <f>SUM(K242:K252)</f>
        <v>21.6</v>
      </c>
    </row>
    <row r="242" spans="1:18" hidden="1" x14ac:dyDescent="0.35">
      <c r="A242" s="103"/>
      <c r="B242" s="12" t="s">
        <v>31</v>
      </c>
      <c r="C242" s="10" t="s">
        <v>383</v>
      </c>
      <c r="D242" s="152"/>
      <c r="E242" s="170"/>
      <c r="F242" s="153" t="str">
        <f t="shared" si="26"/>
        <v/>
      </c>
      <c r="G242" s="256"/>
      <c r="H242" s="166">
        <f t="shared" ref="H242:H255" si="29">IF(ISNUMBER(E242),E242,0)+IF(ISNUMBER(F242),F242,0)-IF(ISNUMBER(G242),G242,0)</f>
        <v>0</v>
      </c>
      <c r="I242" s="10">
        <v>19.03</v>
      </c>
      <c r="J242" s="11">
        <v>5.5</v>
      </c>
      <c r="K242" s="12">
        <f t="shared" ref="K242" si="30">G242*J242</f>
        <v>0</v>
      </c>
    </row>
    <row r="243" spans="1:18" x14ac:dyDescent="0.35">
      <c r="A243" s="103"/>
      <c r="B243" s="12" t="s">
        <v>31</v>
      </c>
      <c r="C243" s="10" t="s">
        <v>39</v>
      </c>
      <c r="D243" s="152">
        <v>1</v>
      </c>
      <c r="E243" s="170">
        <v>1</v>
      </c>
      <c r="F243" s="153" t="str">
        <f t="shared" si="26"/>
        <v/>
      </c>
      <c r="G243" s="256"/>
      <c r="H243" s="166">
        <f t="shared" si="29"/>
        <v>1</v>
      </c>
      <c r="I243" s="10">
        <v>8.4600000000000009</v>
      </c>
      <c r="J243" s="11">
        <v>4.55</v>
      </c>
      <c r="K243" s="12">
        <f>H243*J243</f>
        <v>4.55</v>
      </c>
      <c r="R243" s="87"/>
    </row>
    <row r="244" spans="1:18" x14ac:dyDescent="0.35">
      <c r="A244" s="103"/>
      <c r="B244" s="12" t="s">
        <v>31</v>
      </c>
      <c r="C244" s="10" t="s">
        <v>422</v>
      </c>
      <c r="D244" s="152">
        <v>1</v>
      </c>
      <c r="E244" s="170">
        <v>2</v>
      </c>
      <c r="F244" s="153" t="str">
        <f t="shared" si="26"/>
        <v/>
      </c>
      <c r="G244" s="256"/>
      <c r="H244" s="166">
        <f t="shared" si="29"/>
        <v>2</v>
      </c>
      <c r="I244" s="10" t="s">
        <v>20</v>
      </c>
      <c r="J244" s="11">
        <v>3.7</v>
      </c>
      <c r="K244" s="12">
        <f t="shared" ref="K244:K255" si="31">H244*J244</f>
        <v>7.4</v>
      </c>
    </row>
    <row r="245" spans="1:18" x14ac:dyDescent="0.35">
      <c r="A245" s="103"/>
      <c r="B245" s="12" t="s">
        <v>31</v>
      </c>
      <c r="C245" s="10" t="s">
        <v>67</v>
      </c>
      <c r="D245" s="152">
        <v>1</v>
      </c>
      <c r="E245" s="170"/>
      <c r="F245" s="153" t="str">
        <f t="shared" si="26"/>
        <v/>
      </c>
      <c r="G245" s="256"/>
      <c r="H245" s="166">
        <f t="shared" si="29"/>
        <v>0</v>
      </c>
      <c r="I245" s="10" t="s">
        <v>20</v>
      </c>
      <c r="J245" s="11">
        <v>15.56</v>
      </c>
      <c r="K245" s="12">
        <f t="shared" si="31"/>
        <v>0</v>
      </c>
    </row>
    <row r="246" spans="1:18" hidden="1" x14ac:dyDescent="0.35">
      <c r="A246" s="103"/>
      <c r="B246" s="12" t="s">
        <v>31</v>
      </c>
      <c r="C246" s="10" t="s">
        <v>384</v>
      </c>
      <c r="D246" s="152"/>
      <c r="E246" s="170"/>
      <c r="F246" s="153" t="str">
        <f t="shared" si="26"/>
        <v/>
      </c>
      <c r="G246" s="256"/>
      <c r="H246" s="166">
        <f t="shared" si="29"/>
        <v>0</v>
      </c>
      <c r="I246" s="10" t="s">
        <v>20</v>
      </c>
      <c r="J246" s="11">
        <v>0.8</v>
      </c>
      <c r="K246" s="12">
        <f t="shared" si="31"/>
        <v>0</v>
      </c>
    </row>
    <row r="247" spans="1:18" hidden="1" x14ac:dyDescent="0.35">
      <c r="A247" s="103"/>
      <c r="B247" s="12" t="s">
        <v>31</v>
      </c>
      <c r="C247" s="10" t="s">
        <v>385</v>
      </c>
      <c r="D247" s="152"/>
      <c r="E247" s="170"/>
      <c r="F247" s="153" t="str">
        <f t="shared" si="26"/>
        <v/>
      </c>
      <c r="G247" s="256"/>
      <c r="H247" s="166">
        <f t="shared" si="29"/>
        <v>0</v>
      </c>
      <c r="I247" s="10" t="s">
        <v>20</v>
      </c>
      <c r="J247" s="11">
        <v>1.83</v>
      </c>
      <c r="K247" s="12">
        <f t="shared" si="31"/>
        <v>0</v>
      </c>
    </row>
    <row r="248" spans="1:18" x14ac:dyDescent="0.35">
      <c r="A248" s="103"/>
      <c r="B248" s="12" t="s">
        <v>31</v>
      </c>
      <c r="C248" s="10" t="s">
        <v>386</v>
      </c>
      <c r="D248" s="152">
        <v>1</v>
      </c>
      <c r="E248" s="170">
        <v>1</v>
      </c>
      <c r="F248" s="153" t="str">
        <f t="shared" si="26"/>
        <v/>
      </c>
      <c r="G248" s="256"/>
      <c r="H248" s="166">
        <f t="shared" si="29"/>
        <v>1</v>
      </c>
      <c r="I248" s="10" t="s">
        <v>20</v>
      </c>
      <c r="J248" s="11">
        <v>2.65</v>
      </c>
      <c r="K248" s="12">
        <f t="shared" si="31"/>
        <v>2.65</v>
      </c>
    </row>
    <row r="249" spans="1:18" x14ac:dyDescent="0.35">
      <c r="A249" s="103"/>
      <c r="B249" s="12" t="s">
        <v>31</v>
      </c>
      <c r="C249" s="10" t="s">
        <v>65</v>
      </c>
      <c r="D249" s="152">
        <v>1</v>
      </c>
      <c r="E249" s="170"/>
      <c r="F249" s="153" t="str">
        <f t="shared" si="26"/>
        <v/>
      </c>
      <c r="G249" s="256"/>
      <c r="H249" s="166">
        <f t="shared" si="29"/>
        <v>0</v>
      </c>
      <c r="I249" s="10" t="s">
        <v>20</v>
      </c>
      <c r="J249" s="11">
        <v>13.43</v>
      </c>
      <c r="K249" s="12">
        <f t="shared" si="31"/>
        <v>0</v>
      </c>
    </row>
    <row r="250" spans="1:18" hidden="1" x14ac:dyDescent="0.35">
      <c r="A250" s="103"/>
      <c r="B250" s="12" t="s">
        <v>31</v>
      </c>
      <c r="C250" s="10" t="s">
        <v>66</v>
      </c>
      <c r="D250" s="152"/>
      <c r="E250" s="170"/>
      <c r="F250" s="153" t="str">
        <f t="shared" si="26"/>
        <v/>
      </c>
      <c r="G250" s="256"/>
      <c r="H250" s="166">
        <f t="shared" si="29"/>
        <v>0</v>
      </c>
      <c r="I250" s="10" t="s">
        <v>20</v>
      </c>
      <c r="J250" s="11">
        <v>75.38</v>
      </c>
      <c r="K250" s="12">
        <f t="shared" si="31"/>
        <v>0</v>
      </c>
    </row>
    <row r="251" spans="1:18" x14ac:dyDescent="0.35">
      <c r="A251" s="103"/>
      <c r="B251" s="12" t="s">
        <v>31</v>
      </c>
      <c r="C251" s="10" t="s">
        <v>412</v>
      </c>
      <c r="D251" s="152">
        <v>1</v>
      </c>
      <c r="E251" s="170"/>
      <c r="F251" s="153" t="str">
        <f t="shared" si="26"/>
        <v/>
      </c>
      <c r="G251" s="256"/>
      <c r="H251" s="166">
        <f t="shared" si="29"/>
        <v>0</v>
      </c>
      <c r="I251" s="10" t="s">
        <v>20</v>
      </c>
      <c r="J251" s="11">
        <v>8.43</v>
      </c>
      <c r="K251" s="12">
        <f t="shared" si="31"/>
        <v>0</v>
      </c>
    </row>
    <row r="252" spans="1:18" x14ac:dyDescent="0.35">
      <c r="A252" s="103"/>
      <c r="B252" s="12" t="s">
        <v>31</v>
      </c>
      <c r="C252" s="10" t="s">
        <v>69</v>
      </c>
      <c r="D252" s="152">
        <v>1</v>
      </c>
      <c r="E252" s="170">
        <v>2</v>
      </c>
      <c r="F252" s="153" t="str">
        <f t="shared" si="26"/>
        <v/>
      </c>
      <c r="G252" s="256"/>
      <c r="H252" s="166">
        <f t="shared" si="29"/>
        <v>2</v>
      </c>
      <c r="I252" s="10" t="s">
        <v>63</v>
      </c>
      <c r="J252" s="11">
        <v>3.5</v>
      </c>
      <c r="K252" s="12">
        <f t="shared" si="31"/>
        <v>7</v>
      </c>
    </row>
    <row r="253" spans="1:18" ht="15.5" x14ac:dyDescent="0.35">
      <c r="A253" s="108" t="s">
        <v>57</v>
      </c>
      <c r="B253" s="108"/>
      <c r="C253" s="108"/>
      <c r="D253" s="111"/>
      <c r="E253" s="250"/>
      <c r="F253" s="165" t="str">
        <f t="shared" si="26"/>
        <v/>
      </c>
      <c r="G253" s="186"/>
      <c r="H253" s="247"/>
      <c r="I253" s="108"/>
      <c r="J253" s="106" t="s">
        <v>18</v>
      </c>
      <c r="K253" s="270">
        <f>K254+K255</f>
        <v>162.14999999999998</v>
      </c>
    </row>
    <row r="254" spans="1:18" x14ac:dyDescent="0.35">
      <c r="A254" s="103"/>
      <c r="B254" s="12" t="s">
        <v>56</v>
      </c>
      <c r="C254" s="10" t="s">
        <v>58</v>
      </c>
      <c r="D254" s="152">
        <v>2</v>
      </c>
      <c r="E254" s="170">
        <v>3</v>
      </c>
      <c r="F254" s="153" t="str">
        <f t="shared" si="26"/>
        <v/>
      </c>
      <c r="G254" s="256"/>
      <c r="H254" s="166">
        <f t="shared" si="29"/>
        <v>3</v>
      </c>
      <c r="I254" s="10" t="s">
        <v>20</v>
      </c>
      <c r="J254" s="11">
        <v>54.05</v>
      </c>
      <c r="K254" s="12">
        <f t="shared" si="31"/>
        <v>162.14999999999998</v>
      </c>
    </row>
    <row r="255" spans="1:18" x14ac:dyDescent="0.35">
      <c r="A255" s="103"/>
      <c r="B255" s="12" t="s">
        <v>56</v>
      </c>
      <c r="C255" s="10" t="s">
        <v>388</v>
      </c>
      <c r="D255" s="135"/>
      <c r="E255" s="170"/>
      <c r="F255" s="153" t="str">
        <f t="shared" si="26"/>
        <v/>
      </c>
      <c r="G255" s="256"/>
      <c r="H255" s="166">
        <f t="shared" si="29"/>
        <v>0</v>
      </c>
      <c r="I255" s="10" t="s">
        <v>20</v>
      </c>
      <c r="J255" s="11">
        <v>0</v>
      </c>
      <c r="K255" s="12">
        <f t="shared" si="31"/>
        <v>0</v>
      </c>
    </row>
  </sheetData>
  <mergeCells count="2">
    <mergeCell ref="B1:C1"/>
    <mergeCell ref="B2:C2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8F265-6961-4370-BFB6-A0A25D07C8E4}">
  <sheetPr codeName="Feuil37">
    <tabColor rgb="FFFF5050"/>
  </sheetPr>
  <dimension ref="A1:R255"/>
  <sheetViews>
    <sheetView topLeftCell="A10" zoomScale="112" zoomScaleNormal="112" workbookViewId="0">
      <selection activeCell="M244" sqref="M244"/>
    </sheetView>
  </sheetViews>
  <sheetFormatPr baseColWidth="10" defaultColWidth="10.7265625" defaultRowHeight="14.5" x14ac:dyDescent="0.35"/>
  <cols>
    <col min="1" max="1" width="2.81640625" customWidth="1"/>
    <col min="2" max="2" width="30.1796875" bestFit="1" customWidth="1"/>
    <col min="3" max="3" width="44.54296875" bestFit="1" customWidth="1"/>
    <col min="4" max="4" width="9.7265625" style="13" bestFit="1" customWidth="1"/>
    <col min="5" max="5" width="17.1796875" style="34" bestFit="1" customWidth="1"/>
    <col min="6" max="6" width="17" bestFit="1" customWidth="1"/>
    <col min="7" max="7" width="15.26953125" style="253" bestFit="1" customWidth="1"/>
    <col min="8" max="8" width="10.26953125" style="16" customWidth="1"/>
    <col min="9" max="9" width="6.81640625" bestFit="1" customWidth="1"/>
    <col min="10" max="10" width="8.453125" bestFit="1" customWidth="1"/>
    <col min="11" max="11" width="19.54296875" bestFit="1" customWidth="1"/>
  </cols>
  <sheetData>
    <row r="1" spans="2:6" ht="15" thickBot="1" x14ac:dyDescent="0.4">
      <c r="B1" s="321" t="s">
        <v>198</v>
      </c>
      <c r="C1" s="322"/>
      <c r="E1" s="154"/>
      <c r="F1" s="89"/>
    </row>
    <row r="2" spans="2:6" ht="15" thickBot="1" x14ac:dyDescent="0.4">
      <c r="B2" s="319"/>
      <c r="C2" s="320"/>
      <c r="E2" s="155"/>
      <c r="F2" s="90"/>
    </row>
    <row r="3" spans="2:6" x14ac:dyDescent="0.35">
      <c r="B3" s="75"/>
      <c r="C3" s="75"/>
      <c r="E3" s="156"/>
      <c r="F3" s="75"/>
    </row>
    <row r="4" spans="2:6" ht="15.5" x14ac:dyDescent="0.35">
      <c r="B4" s="70" t="s">
        <v>0</v>
      </c>
      <c r="C4" s="70" t="s">
        <v>1</v>
      </c>
      <c r="E4" s="157"/>
      <c r="F4" s="91"/>
    </row>
    <row r="5" spans="2:6" x14ac:dyDescent="0.35">
      <c r="B5" s="71" t="s">
        <v>2</v>
      </c>
      <c r="C5" s="72">
        <f>K23</f>
        <v>0</v>
      </c>
      <c r="E5" s="156"/>
      <c r="F5" s="75"/>
    </row>
    <row r="6" spans="2:6" x14ac:dyDescent="0.35">
      <c r="B6" s="71" t="s">
        <v>7</v>
      </c>
      <c r="C6" s="72">
        <f>K41</f>
        <v>0</v>
      </c>
      <c r="E6" s="156"/>
      <c r="F6" s="75"/>
    </row>
    <row r="7" spans="2:6" x14ac:dyDescent="0.35">
      <c r="B7" s="71" t="s">
        <v>13</v>
      </c>
      <c r="C7" s="72">
        <f>K50</f>
        <v>16.7</v>
      </c>
      <c r="E7" s="156"/>
      <c r="F7" s="75"/>
    </row>
    <row r="8" spans="2:6" x14ac:dyDescent="0.35">
      <c r="B8" s="71" t="s">
        <v>3</v>
      </c>
      <c r="C8" s="72">
        <f>K78</f>
        <v>0</v>
      </c>
      <c r="E8" s="156"/>
      <c r="F8" s="75"/>
    </row>
    <row r="9" spans="2:6" x14ac:dyDescent="0.35">
      <c r="B9" s="71" t="s">
        <v>4</v>
      </c>
      <c r="C9" s="72">
        <f>K122</f>
        <v>362.22</v>
      </c>
      <c r="E9" s="156"/>
      <c r="F9" s="75"/>
    </row>
    <row r="10" spans="2:6" x14ac:dyDescent="0.35">
      <c r="B10" s="71" t="s">
        <v>199</v>
      </c>
      <c r="C10" s="72">
        <f>K176</f>
        <v>0</v>
      </c>
      <c r="E10" s="156"/>
      <c r="F10" s="75"/>
    </row>
    <row r="11" spans="2:6" x14ac:dyDescent="0.35">
      <c r="B11" s="71" t="s">
        <v>200</v>
      </c>
      <c r="C11" s="72">
        <f>K187</f>
        <v>118.8</v>
      </c>
      <c r="E11" s="156"/>
      <c r="F11" s="75"/>
    </row>
    <row r="12" spans="2:6" x14ac:dyDescent="0.35">
      <c r="B12" s="71" t="s">
        <v>201</v>
      </c>
      <c r="C12" s="72">
        <f>K193</f>
        <v>0</v>
      </c>
      <c r="E12" s="156"/>
      <c r="F12" s="75"/>
    </row>
    <row r="13" spans="2:6" x14ac:dyDescent="0.35">
      <c r="B13" s="71" t="s">
        <v>202</v>
      </c>
      <c r="C13" s="72">
        <f>K195</f>
        <v>0</v>
      </c>
      <c r="E13" s="156"/>
      <c r="F13" s="75"/>
    </row>
    <row r="14" spans="2:6" x14ac:dyDescent="0.35">
      <c r="B14" s="71" t="s">
        <v>203</v>
      </c>
      <c r="C14" s="72">
        <f>K208</f>
        <v>0</v>
      </c>
      <c r="E14" s="285"/>
      <c r="F14" s="75"/>
    </row>
    <row r="15" spans="2:6" x14ac:dyDescent="0.35">
      <c r="B15" s="71" t="s">
        <v>416</v>
      </c>
      <c r="C15" s="72">
        <f>K213</f>
        <v>0</v>
      </c>
      <c r="E15" s="156"/>
      <c r="F15" s="75"/>
    </row>
    <row r="16" spans="2:6" x14ac:dyDescent="0.35">
      <c r="B16" s="71" t="s">
        <v>204</v>
      </c>
      <c r="C16" s="72">
        <f>K218</f>
        <v>0</v>
      </c>
      <c r="E16" s="156"/>
      <c r="F16" s="75"/>
    </row>
    <row r="17" spans="1:17" x14ac:dyDescent="0.35">
      <c r="B17" s="71" t="s">
        <v>9</v>
      </c>
      <c r="C17" s="72">
        <f>K220</f>
        <v>0</v>
      </c>
      <c r="E17" s="156"/>
      <c r="F17" s="75"/>
    </row>
    <row r="18" spans="1:17" x14ac:dyDescent="0.35">
      <c r="B18" s="71" t="s">
        <v>205</v>
      </c>
      <c r="C18" s="72">
        <f>K241</f>
        <v>0</v>
      </c>
      <c r="E18" s="156"/>
      <c r="F18" s="75"/>
    </row>
    <row r="19" spans="1:17" x14ac:dyDescent="0.35">
      <c r="B19" s="71" t="s">
        <v>56</v>
      </c>
      <c r="C19" s="72">
        <f>K253</f>
        <v>0</v>
      </c>
      <c r="E19" s="156"/>
      <c r="F19" s="75"/>
    </row>
    <row r="20" spans="1:17" x14ac:dyDescent="0.35">
      <c r="B20" s="73" t="s">
        <v>14</v>
      </c>
      <c r="C20" s="74">
        <f>C5+C6+C7+C8+C9+C10+C11+C12+C13+C14+C15+C16+C17+C18+C19</f>
        <v>497.72</v>
      </c>
      <c r="E20" s="248"/>
      <c r="F20" s="243"/>
    </row>
    <row r="21" spans="1:17" ht="18.5" x14ac:dyDescent="0.45">
      <c r="A21" s="76" t="s">
        <v>397</v>
      </c>
      <c r="B21" s="76"/>
      <c r="C21" s="76"/>
      <c r="D21" s="234"/>
      <c r="E21" s="160"/>
      <c r="F21" s="76"/>
      <c r="G21" s="254"/>
      <c r="H21" s="69"/>
      <c r="I21" s="76"/>
      <c r="J21" s="76"/>
      <c r="K21" s="76"/>
    </row>
    <row r="22" spans="1:17" x14ac:dyDescent="0.35">
      <c r="A22" s="129"/>
      <c r="B22" s="129" t="s">
        <v>15</v>
      </c>
      <c r="C22" s="129" t="s">
        <v>16</v>
      </c>
      <c r="D22" s="235" t="s">
        <v>398</v>
      </c>
      <c r="E22" s="185" t="s">
        <v>404</v>
      </c>
      <c r="F22" s="130" t="s">
        <v>399</v>
      </c>
      <c r="G22" s="255" t="s">
        <v>405</v>
      </c>
      <c r="H22" s="131" t="s">
        <v>408</v>
      </c>
      <c r="I22" s="129" t="s">
        <v>406</v>
      </c>
      <c r="J22" s="133" t="s">
        <v>45</v>
      </c>
      <c r="K22" s="129" t="s">
        <v>1</v>
      </c>
    </row>
    <row r="23" spans="1:17" ht="15.5" x14ac:dyDescent="0.35">
      <c r="A23" s="108" t="s">
        <v>208</v>
      </c>
      <c r="B23" s="108"/>
      <c r="C23" s="108"/>
      <c r="D23" s="111"/>
      <c r="E23" s="286" t="s">
        <v>421</v>
      </c>
      <c r="F23" s="108"/>
      <c r="G23" s="286" t="s">
        <v>421</v>
      </c>
      <c r="H23" s="109"/>
      <c r="I23" s="108"/>
      <c r="J23" s="110" t="s">
        <v>18</v>
      </c>
      <c r="K23" s="269">
        <f>SUM(K24:K40)</f>
        <v>0</v>
      </c>
    </row>
    <row r="24" spans="1:17" x14ac:dyDescent="0.35">
      <c r="A24" s="103"/>
      <c r="B24" s="7" t="s">
        <v>2</v>
      </c>
      <c r="C24" s="14" t="s">
        <v>19</v>
      </c>
      <c r="D24" s="152"/>
      <c r="E24" s="170"/>
      <c r="F24" s="153" t="str">
        <f t="shared" ref="F24:F88" si="0">IF(E24="","",IF(D24-E24&gt;0,D24-E24,""))</f>
        <v/>
      </c>
      <c r="G24" s="256"/>
      <c r="H24" s="166">
        <f t="shared" ref="H24:H45" si="1">IF(ISNUMBER(E24),E24,0)+IF(ISNUMBER(F24),F24,0)-IF(ISNUMBER(G24),G24,0)</f>
        <v>0</v>
      </c>
      <c r="I24" s="10" t="s">
        <v>20</v>
      </c>
      <c r="J24" s="11">
        <v>55.95</v>
      </c>
      <c r="K24" s="12">
        <f t="shared" ref="K24:K27" si="2">G24*J24</f>
        <v>0</v>
      </c>
    </row>
    <row r="25" spans="1:17" hidden="1" x14ac:dyDescent="0.35">
      <c r="A25" s="103"/>
      <c r="B25" s="7" t="s">
        <v>2</v>
      </c>
      <c r="C25" s="14" t="s">
        <v>209</v>
      </c>
      <c r="D25" s="152"/>
      <c r="E25" s="170"/>
      <c r="F25" s="153" t="str">
        <f t="shared" si="0"/>
        <v/>
      </c>
      <c r="G25" s="256"/>
      <c r="H25" s="166">
        <f t="shared" si="1"/>
        <v>0</v>
      </c>
      <c r="I25" s="10" t="s">
        <v>20</v>
      </c>
      <c r="J25" s="11">
        <v>173.1</v>
      </c>
      <c r="K25" s="12">
        <f t="shared" si="2"/>
        <v>0</v>
      </c>
    </row>
    <row r="26" spans="1:17" x14ac:dyDescent="0.35">
      <c r="A26" s="103"/>
      <c r="B26" s="12" t="s">
        <v>2</v>
      </c>
      <c r="C26" s="10" t="s">
        <v>21</v>
      </c>
      <c r="D26" s="152">
        <v>5</v>
      </c>
      <c r="E26" s="170">
        <v>0</v>
      </c>
      <c r="F26" s="153">
        <f t="shared" si="0"/>
        <v>5</v>
      </c>
      <c r="G26" s="256"/>
      <c r="H26" s="166">
        <f t="shared" si="1"/>
        <v>5</v>
      </c>
      <c r="I26" s="10" t="s">
        <v>20</v>
      </c>
      <c r="J26" s="11">
        <v>75.400000000000006</v>
      </c>
      <c r="K26" s="12">
        <f t="shared" si="2"/>
        <v>0</v>
      </c>
    </row>
    <row r="27" spans="1:17" hidden="1" x14ac:dyDescent="0.35">
      <c r="A27" s="103"/>
      <c r="B27" s="12" t="s">
        <v>2</v>
      </c>
      <c r="C27" s="10" t="s">
        <v>210</v>
      </c>
      <c r="D27" s="152"/>
      <c r="E27" s="170"/>
      <c r="F27" s="153" t="str">
        <f t="shared" si="0"/>
        <v/>
      </c>
      <c r="G27" s="257"/>
      <c r="H27" s="166">
        <f t="shared" si="1"/>
        <v>0</v>
      </c>
      <c r="I27" s="10" t="s">
        <v>20</v>
      </c>
      <c r="J27" s="11">
        <v>84.9</v>
      </c>
      <c r="K27" s="12">
        <f t="shared" si="2"/>
        <v>0</v>
      </c>
    </row>
    <row r="28" spans="1:17" hidden="1" x14ac:dyDescent="0.35">
      <c r="A28" s="103"/>
      <c r="B28" s="12" t="s">
        <v>2</v>
      </c>
      <c r="C28" s="10" t="s">
        <v>211</v>
      </c>
      <c r="D28" s="152"/>
      <c r="E28" s="170"/>
      <c r="F28" s="153" t="str">
        <f t="shared" si="0"/>
        <v/>
      </c>
      <c r="G28" s="256"/>
      <c r="H28" s="166">
        <f t="shared" si="1"/>
        <v>0</v>
      </c>
      <c r="I28" s="10" t="s">
        <v>20</v>
      </c>
      <c r="J28" s="11">
        <v>2.96</v>
      </c>
      <c r="K28" s="12">
        <f>H28*J28</f>
        <v>0</v>
      </c>
    </row>
    <row r="29" spans="1:17" hidden="1" x14ac:dyDescent="0.35">
      <c r="A29" s="103"/>
      <c r="B29" s="12" t="s">
        <v>2</v>
      </c>
      <c r="C29" s="10" t="s">
        <v>212</v>
      </c>
      <c r="D29" s="152"/>
      <c r="E29" s="170"/>
      <c r="F29" s="153" t="str">
        <f t="shared" si="0"/>
        <v/>
      </c>
      <c r="G29" s="256"/>
      <c r="H29" s="166">
        <f t="shared" si="1"/>
        <v>0</v>
      </c>
      <c r="I29" s="10" t="s">
        <v>20</v>
      </c>
      <c r="J29" s="11">
        <v>2.96</v>
      </c>
      <c r="K29" s="12">
        <f t="shared" ref="K29:K40" si="3">H29*J29</f>
        <v>0</v>
      </c>
    </row>
    <row r="30" spans="1:17" hidden="1" x14ac:dyDescent="0.35">
      <c r="A30" s="103"/>
      <c r="B30" s="12" t="s">
        <v>2</v>
      </c>
      <c r="C30" s="10" t="s">
        <v>213</v>
      </c>
      <c r="D30" s="152"/>
      <c r="E30" s="170"/>
      <c r="F30" s="153" t="str">
        <f t="shared" si="0"/>
        <v/>
      </c>
      <c r="G30" s="256"/>
      <c r="H30" s="166">
        <f t="shared" si="1"/>
        <v>0</v>
      </c>
      <c r="I30" s="10" t="s">
        <v>20</v>
      </c>
      <c r="J30" s="11">
        <v>2.96</v>
      </c>
      <c r="K30" s="12">
        <f t="shared" si="3"/>
        <v>0</v>
      </c>
      <c r="Q30" s="268"/>
    </row>
    <row r="31" spans="1:17" hidden="1" x14ac:dyDescent="0.35">
      <c r="A31" s="103"/>
      <c r="B31" s="7" t="s">
        <v>2</v>
      </c>
      <c r="C31" s="14" t="s">
        <v>22</v>
      </c>
      <c r="D31" s="152"/>
      <c r="E31" s="170"/>
      <c r="F31" s="153" t="str">
        <f t="shared" si="0"/>
        <v/>
      </c>
      <c r="G31" s="256"/>
      <c r="H31" s="166">
        <f t="shared" si="1"/>
        <v>0</v>
      </c>
      <c r="I31" s="10" t="s">
        <v>20</v>
      </c>
      <c r="J31" s="11">
        <v>107.2</v>
      </c>
      <c r="K31" s="12">
        <f t="shared" si="3"/>
        <v>0</v>
      </c>
    </row>
    <row r="32" spans="1:17" hidden="1" x14ac:dyDescent="0.35">
      <c r="A32" s="103"/>
      <c r="B32" s="7" t="s">
        <v>2</v>
      </c>
      <c r="C32" s="14" t="s">
        <v>214</v>
      </c>
      <c r="D32" s="152"/>
      <c r="E32" s="170"/>
      <c r="F32" s="153" t="str">
        <f t="shared" si="0"/>
        <v/>
      </c>
      <c r="G32" s="256"/>
      <c r="H32" s="166">
        <f t="shared" si="1"/>
        <v>0</v>
      </c>
      <c r="I32" s="10" t="s">
        <v>20</v>
      </c>
      <c r="J32" s="11">
        <v>170.7</v>
      </c>
      <c r="K32" s="12">
        <f t="shared" si="3"/>
        <v>0</v>
      </c>
      <c r="M32" s="87"/>
    </row>
    <row r="33" spans="1:14" hidden="1" x14ac:dyDescent="0.35">
      <c r="A33" s="103"/>
      <c r="B33" s="12" t="s">
        <v>2</v>
      </c>
      <c r="C33" s="10" t="s">
        <v>215</v>
      </c>
      <c r="D33" s="152"/>
      <c r="E33" s="170"/>
      <c r="F33" s="153" t="str">
        <f t="shared" si="0"/>
        <v/>
      </c>
      <c r="G33" s="256"/>
      <c r="H33" s="166">
        <f t="shared" si="1"/>
        <v>0</v>
      </c>
      <c r="I33" s="10" t="s">
        <v>216</v>
      </c>
      <c r="J33" s="11">
        <v>3.77</v>
      </c>
      <c r="K33" s="12">
        <f t="shared" si="3"/>
        <v>0</v>
      </c>
    </row>
    <row r="34" spans="1:14" hidden="1" x14ac:dyDescent="0.35">
      <c r="A34" s="103"/>
      <c r="B34" s="12" t="s">
        <v>2</v>
      </c>
      <c r="C34" s="10" t="s">
        <v>217</v>
      </c>
      <c r="D34" s="152"/>
      <c r="E34" s="170"/>
      <c r="F34" s="153" t="str">
        <f t="shared" si="0"/>
        <v/>
      </c>
      <c r="G34" s="256"/>
      <c r="H34" s="166">
        <f t="shared" si="1"/>
        <v>0</v>
      </c>
      <c r="I34" s="10" t="s">
        <v>20</v>
      </c>
      <c r="J34" s="11">
        <v>2.56</v>
      </c>
      <c r="K34" s="12">
        <f t="shared" si="3"/>
        <v>0</v>
      </c>
      <c r="N34" s="87"/>
    </row>
    <row r="35" spans="1:14" hidden="1" x14ac:dyDescent="0.35">
      <c r="A35" s="103"/>
      <c r="B35" s="12" t="s">
        <v>2</v>
      </c>
      <c r="C35" s="10" t="s">
        <v>218</v>
      </c>
      <c r="D35" s="152"/>
      <c r="E35" s="170"/>
      <c r="F35" s="153" t="str">
        <f t="shared" si="0"/>
        <v/>
      </c>
      <c r="G35" s="256"/>
      <c r="H35" s="166">
        <f t="shared" si="1"/>
        <v>0</v>
      </c>
      <c r="I35" s="10" t="s">
        <v>20</v>
      </c>
      <c r="J35" s="11">
        <v>3.08</v>
      </c>
      <c r="K35" s="12">
        <f t="shared" si="3"/>
        <v>0</v>
      </c>
    </row>
    <row r="36" spans="1:14" hidden="1" x14ac:dyDescent="0.35">
      <c r="A36" s="103"/>
      <c r="B36" s="12" t="s">
        <v>2</v>
      </c>
      <c r="C36" s="10" t="s">
        <v>219</v>
      </c>
      <c r="D36" s="152"/>
      <c r="E36" s="170"/>
      <c r="F36" s="153" t="str">
        <f t="shared" si="0"/>
        <v/>
      </c>
      <c r="G36" s="256"/>
      <c r="H36" s="166">
        <f t="shared" si="1"/>
        <v>0</v>
      </c>
      <c r="I36" s="10" t="s">
        <v>20</v>
      </c>
      <c r="J36" s="11">
        <v>2.56</v>
      </c>
      <c r="K36" s="12">
        <f t="shared" si="3"/>
        <v>0</v>
      </c>
    </row>
    <row r="37" spans="1:14" hidden="1" x14ac:dyDescent="0.35">
      <c r="A37" s="103"/>
      <c r="B37" s="12" t="s">
        <v>2</v>
      </c>
      <c r="C37" s="10" t="s">
        <v>220</v>
      </c>
      <c r="D37" s="152"/>
      <c r="E37" s="170"/>
      <c r="F37" s="153" t="str">
        <f t="shared" si="0"/>
        <v/>
      </c>
      <c r="G37" s="256"/>
      <c r="H37" s="166">
        <f t="shared" si="1"/>
        <v>0</v>
      </c>
      <c r="I37" s="10" t="s">
        <v>20</v>
      </c>
      <c r="J37" s="11">
        <v>1.41</v>
      </c>
      <c r="K37" s="12">
        <f t="shared" si="3"/>
        <v>0</v>
      </c>
    </row>
    <row r="38" spans="1:14" hidden="1" x14ac:dyDescent="0.35">
      <c r="A38" s="103"/>
      <c r="B38" s="12" t="s">
        <v>2</v>
      </c>
      <c r="C38" s="10" t="s">
        <v>221</v>
      </c>
      <c r="D38" s="152"/>
      <c r="E38" s="170"/>
      <c r="F38" s="153" t="str">
        <f t="shared" si="0"/>
        <v/>
      </c>
      <c r="G38" s="256"/>
      <c r="H38" s="166">
        <f t="shared" si="1"/>
        <v>0</v>
      </c>
      <c r="I38" s="10" t="s">
        <v>20</v>
      </c>
      <c r="J38" s="11">
        <v>1.73</v>
      </c>
      <c r="K38" s="12">
        <f t="shared" si="3"/>
        <v>0</v>
      </c>
    </row>
    <row r="39" spans="1:14" hidden="1" x14ac:dyDescent="0.35">
      <c r="A39" s="103"/>
      <c r="B39" s="12" t="s">
        <v>2</v>
      </c>
      <c r="C39" s="10" t="s">
        <v>222</v>
      </c>
      <c r="D39" s="152"/>
      <c r="E39" s="170"/>
      <c r="F39" s="153" t="str">
        <f t="shared" si="0"/>
        <v/>
      </c>
      <c r="G39" s="256"/>
      <c r="H39" s="166">
        <f t="shared" si="1"/>
        <v>0</v>
      </c>
      <c r="I39" s="10" t="s">
        <v>20</v>
      </c>
      <c r="J39" s="11">
        <v>1.46</v>
      </c>
      <c r="K39" s="12">
        <f t="shared" si="3"/>
        <v>0</v>
      </c>
    </row>
    <row r="40" spans="1:14" hidden="1" x14ac:dyDescent="0.35">
      <c r="A40" s="103"/>
      <c r="B40" s="12" t="s">
        <v>2</v>
      </c>
      <c r="C40" s="10" t="s">
        <v>223</v>
      </c>
      <c r="D40" s="222"/>
      <c r="E40" s="170"/>
      <c r="F40" s="153" t="str">
        <f t="shared" si="0"/>
        <v/>
      </c>
      <c r="G40" s="256"/>
      <c r="H40" s="166">
        <f t="shared" si="1"/>
        <v>0</v>
      </c>
      <c r="I40" s="10" t="s">
        <v>20</v>
      </c>
      <c r="J40" s="77">
        <v>3.45</v>
      </c>
      <c r="K40" s="12">
        <f t="shared" si="3"/>
        <v>0</v>
      </c>
    </row>
    <row r="41" spans="1:14" ht="15.5" x14ac:dyDescent="0.35">
      <c r="A41" s="108" t="s">
        <v>119</v>
      </c>
      <c r="B41" s="108"/>
      <c r="C41" s="108"/>
      <c r="D41" s="223"/>
      <c r="E41" s="287"/>
      <c r="F41" s="165"/>
      <c r="G41" s="286"/>
      <c r="H41" s="247"/>
      <c r="I41" s="108"/>
      <c r="J41" s="106" t="s">
        <v>18</v>
      </c>
      <c r="K41" s="269">
        <f>SUM(K42:K49)</f>
        <v>0</v>
      </c>
    </row>
    <row r="42" spans="1:14" x14ac:dyDescent="0.35">
      <c r="A42" s="103"/>
      <c r="B42" s="12" t="s">
        <v>7</v>
      </c>
      <c r="C42" s="10" t="s">
        <v>224</v>
      </c>
      <c r="D42" s="152"/>
      <c r="E42" s="170"/>
      <c r="F42" s="153" t="str">
        <f t="shared" si="0"/>
        <v/>
      </c>
      <c r="G42" s="256"/>
      <c r="H42" s="166">
        <f t="shared" si="1"/>
        <v>0</v>
      </c>
      <c r="I42" s="10" t="s">
        <v>20</v>
      </c>
      <c r="J42" s="11">
        <v>100</v>
      </c>
      <c r="K42" s="12">
        <f t="shared" ref="K42:K49" si="4">G42*J42</f>
        <v>0</v>
      </c>
    </row>
    <row r="43" spans="1:14" hidden="1" x14ac:dyDescent="0.35">
      <c r="A43" s="103"/>
      <c r="B43" s="12" t="s">
        <v>7</v>
      </c>
      <c r="C43" s="10" t="s">
        <v>225</v>
      </c>
      <c r="D43" s="152"/>
      <c r="E43" s="170">
        <f>'[5]Chalet 2 (2)'!E43</f>
        <v>0</v>
      </c>
      <c r="F43" s="153" t="str">
        <f t="shared" si="0"/>
        <v/>
      </c>
      <c r="G43" s="256"/>
      <c r="H43" s="166">
        <f t="shared" si="1"/>
        <v>0</v>
      </c>
      <c r="I43" s="10" t="s">
        <v>20</v>
      </c>
      <c r="J43" s="11">
        <v>12.2</v>
      </c>
      <c r="K43" s="12">
        <f t="shared" si="4"/>
        <v>0</v>
      </c>
    </row>
    <row r="44" spans="1:14" hidden="1" x14ac:dyDescent="0.35">
      <c r="A44" s="103"/>
      <c r="B44" s="12" t="s">
        <v>7</v>
      </c>
      <c r="C44" s="10" t="s">
        <v>226</v>
      </c>
      <c r="D44" s="152"/>
      <c r="E44" s="170">
        <f>'[5]Chalet 2 (2)'!E44</f>
        <v>0</v>
      </c>
      <c r="F44" s="153" t="str">
        <f t="shared" si="0"/>
        <v/>
      </c>
      <c r="G44" s="256"/>
      <c r="H44" s="166">
        <f t="shared" si="1"/>
        <v>0</v>
      </c>
      <c r="I44" s="10" t="s">
        <v>20</v>
      </c>
      <c r="J44" s="11">
        <v>11</v>
      </c>
      <c r="K44" s="12">
        <f t="shared" si="4"/>
        <v>0</v>
      </c>
    </row>
    <row r="45" spans="1:14" hidden="1" x14ac:dyDescent="0.35">
      <c r="A45" s="103"/>
      <c r="B45" s="12" t="s">
        <v>7</v>
      </c>
      <c r="C45" s="10" t="s">
        <v>227</v>
      </c>
      <c r="D45" s="152"/>
      <c r="E45" s="170">
        <f>'[5]Chalet 2 (2)'!E45</f>
        <v>0</v>
      </c>
      <c r="F45" s="153" t="str">
        <f t="shared" si="0"/>
        <v/>
      </c>
      <c r="G45" s="256"/>
      <c r="H45" s="166">
        <f t="shared" si="1"/>
        <v>0</v>
      </c>
      <c r="I45" s="10" t="s">
        <v>20</v>
      </c>
      <c r="J45" s="11">
        <v>5</v>
      </c>
      <c r="K45" s="12">
        <f t="shared" si="4"/>
        <v>0</v>
      </c>
    </row>
    <row r="46" spans="1:14" x14ac:dyDescent="0.35">
      <c r="A46" s="103"/>
      <c r="B46" s="12" t="s">
        <v>7</v>
      </c>
      <c r="C46" s="10" t="s">
        <v>46</v>
      </c>
      <c r="D46" s="152"/>
      <c r="E46" s="170"/>
      <c r="F46" s="153" t="str">
        <f t="shared" si="0"/>
        <v/>
      </c>
      <c r="G46" s="256"/>
      <c r="H46" s="166">
        <f>IF(ISNUMBER(E46),E46,0)+IF(ISNUMBER(F46),F46,0)-IF(ISNUMBER(G46),G46,0)</f>
        <v>0</v>
      </c>
      <c r="I46" s="10" t="s">
        <v>20</v>
      </c>
      <c r="J46" s="11">
        <v>5</v>
      </c>
      <c r="K46" s="12">
        <f>H46*J46</f>
        <v>0</v>
      </c>
    </row>
    <row r="47" spans="1:14" hidden="1" x14ac:dyDescent="0.35">
      <c r="A47" s="103"/>
      <c r="B47" s="12" t="s">
        <v>7</v>
      </c>
      <c r="C47" s="10" t="s">
        <v>228</v>
      </c>
      <c r="D47" s="152"/>
      <c r="E47" s="170"/>
      <c r="F47" s="153" t="str">
        <f t="shared" si="0"/>
        <v/>
      </c>
      <c r="G47" s="256"/>
      <c r="H47" s="166">
        <f t="shared" ref="H47:H110" si="5">IF(ISNUMBER(E47),E47,0)+IF(ISNUMBER(F47),F47,0)-IF(ISNUMBER(G47),G47,0)</f>
        <v>0</v>
      </c>
      <c r="I47" s="10" t="s">
        <v>20</v>
      </c>
      <c r="J47" s="11">
        <v>11</v>
      </c>
      <c r="K47" s="12">
        <f t="shared" ref="K47:K48" si="6">H47*J47</f>
        <v>0</v>
      </c>
    </row>
    <row r="48" spans="1:14" x14ac:dyDescent="0.35">
      <c r="A48" s="103"/>
      <c r="B48" s="12" t="s">
        <v>7</v>
      </c>
      <c r="C48" s="10" t="s">
        <v>229</v>
      </c>
      <c r="D48" s="152"/>
      <c r="E48" s="170"/>
      <c r="F48" s="153" t="str">
        <f t="shared" si="0"/>
        <v/>
      </c>
      <c r="G48" s="256"/>
      <c r="H48" s="166">
        <f t="shared" si="5"/>
        <v>0</v>
      </c>
      <c r="I48" s="10" t="s">
        <v>20</v>
      </c>
      <c r="J48" s="11">
        <v>50</v>
      </c>
      <c r="K48" s="12">
        <f t="shared" si="6"/>
        <v>0</v>
      </c>
    </row>
    <row r="49" spans="1:12" hidden="1" x14ac:dyDescent="0.35">
      <c r="A49" s="103"/>
      <c r="B49" s="12" t="s">
        <v>7</v>
      </c>
      <c r="C49" s="78" t="s">
        <v>206</v>
      </c>
      <c r="D49" s="224"/>
      <c r="E49" s="170"/>
      <c r="F49" s="153" t="str">
        <f t="shared" si="0"/>
        <v/>
      </c>
      <c r="G49" s="256"/>
      <c r="H49" s="166">
        <f t="shared" si="5"/>
        <v>0</v>
      </c>
      <c r="I49" s="10" t="s">
        <v>20</v>
      </c>
      <c r="J49" s="79">
        <v>5</v>
      </c>
      <c r="K49" s="12">
        <f t="shared" si="4"/>
        <v>0</v>
      </c>
    </row>
    <row r="50" spans="1:12" ht="15.5" x14ac:dyDescent="0.35">
      <c r="A50" s="103"/>
      <c r="B50" s="104" t="s">
        <v>230</v>
      </c>
      <c r="C50" s="105"/>
      <c r="D50" s="225"/>
      <c r="E50" s="250"/>
      <c r="F50" s="165" t="str">
        <f t="shared" si="0"/>
        <v/>
      </c>
      <c r="G50" s="258"/>
      <c r="H50" s="247"/>
      <c r="I50" s="105"/>
      <c r="J50" s="106" t="s">
        <v>18</v>
      </c>
      <c r="K50" s="269">
        <f>SUM(K52:K77)</f>
        <v>16.7</v>
      </c>
    </row>
    <row r="51" spans="1:12" ht="15.5" x14ac:dyDescent="0.35">
      <c r="A51" s="111"/>
      <c r="B51" s="126" t="s">
        <v>231</v>
      </c>
      <c r="C51" s="127"/>
      <c r="D51" s="226"/>
      <c r="E51" s="250"/>
      <c r="F51" s="165" t="str">
        <f t="shared" si="0"/>
        <v/>
      </c>
      <c r="G51" s="259"/>
      <c r="H51" s="247"/>
      <c r="I51" s="127"/>
      <c r="J51" s="127"/>
      <c r="K51" s="128"/>
    </row>
    <row r="52" spans="1:12" hidden="1" x14ac:dyDescent="0.35">
      <c r="A52" s="103"/>
      <c r="B52" s="12" t="s">
        <v>13</v>
      </c>
      <c r="C52" s="10" t="s">
        <v>78</v>
      </c>
      <c r="D52" s="152"/>
      <c r="E52" s="170"/>
      <c r="F52" s="153" t="str">
        <f t="shared" si="0"/>
        <v/>
      </c>
      <c r="G52" s="256"/>
      <c r="H52" s="166">
        <f t="shared" si="5"/>
        <v>0</v>
      </c>
      <c r="I52" s="10" t="s">
        <v>20</v>
      </c>
      <c r="J52" s="11">
        <v>13</v>
      </c>
      <c r="K52" s="12">
        <f>H52*J52</f>
        <v>0</v>
      </c>
    </row>
    <row r="53" spans="1:12" hidden="1" x14ac:dyDescent="0.35">
      <c r="A53" s="103"/>
      <c r="B53" s="12" t="s">
        <v>13</v>
      </c>
      <c r="C53" s="10" t="s">
        <v>232</v>
      </c>
      <c r="D53" s="152"/>
      <c r="E53" s="170"/>
      <c r="F53" s="153" t="str">
        <f t="shared" si="0"/>
        <v/>
      </c>
      <c r="G53" s="256"/>
      <c r="H53" s="166">
        <f t="shared" si="5"/>
        <v>0</v>
      </c>
      <c r="I53" s="10" t="s">
        <v>20</v>
      </c>
      <c r="J53" s="11">
        <v>13</v>
      </c>
      <c r="K53" s="12">
        <f t="shared" ref="K53:K77" si="7">H53*J53</f>
        <v>0</v>
      </c>
      <c r="L53" s="87"/>
    </row>
    <row r="54" spans="1:12" hidden="1" x14ac:dyDescent="0.35">
      <c r="A54" s="103"/>
      <c r="B54" s="12" t="s">
        <v>13</v>
      </c>
      <c r="C54" s="10" t="s">
        <v>233</v>
      </c>
      <c r="D54" s="152"/>
      <c r="E54" s="170"/>
      <c r="F54" s="153" t="str">
        <f t="shared" si="0"/>
        <v/>
      </c>
      <c r="G54" s="256"/>
      <c r="H54" s="166">
        <f t="shared" si="5"/>
        <v>0</v>
      </c>
      <c r="I54" s="10" t="s">
        <v>20</v>
      </c>
      <c r="J54" s="11">
        <v>8.9</v>
      </c>
      <c r="K54" s="12">
        <f t="shared" si="7"/>
        <v>0</v>
      </c>
    </row>
    <row r="55" spans="1:12" x14ac:dyDescent="0.35">
      <c r="A55" s="103"/>
      <c r="B55" s="12" t="s">
        <v>13</v>
      </c>
      <c r="C55" s="10" t="s">
        <v>32</v>
      </c>
      <c r="D55" s="152">
        <v>2</v>
      </c>
      <c r="E55" s="170">
        <v>0</v>
      </c>
      <c r="F55" s="153">
        <f t="shared" si="0"/>
        <v>2</v>
      </c>
      <c r="G55" s="256"/>
      <c r="H55" s="166">
        <f t="shared" si="5"/>
        <v>2</v>
      </c>
      <c r="I55" s="10" t="s">
        <v>20</v>
      </c>
      <c r="J55" s="11">
        <v>8.35</v>
      </c>
      <c r="K55" s="12">
        <f t="shared" si="7"/>
        <v>16.7</v>
      </c>
    </row>
    <row r="56" spans="1:12" x14ac:dyDescent="0.35">
      <c r="A56" s="103"/>
      <c r="B56" s="12" t="s">
        <v>13</v>
      </c>
      <c r="C56" s="10" t="s">
        <v>33</v>
      </c>
      <c r="D56" s="152">
        <v>2</v>
      </c>
      <c r="E56" s="170"/>
      <c r="F56" s="153" t="str">
        <f t="shared" si="0"/>
        <v/>
      </c>
      <c r="G56" s="256"/>
      <c r="H56" s="166">
        <f t="shared" si="5"/>
        <v>0</v>
      </c>
      <c r="I56" s="10" t="s">
        <v>20</v>
      </c>
      <c r="J56" s="11">
        <v>8.9</v>
      </c>
      <c r="K56" s="12">
        <f t="shared" si="7"/>
        <v>0</v>
      </c>
    </row>
    <row r="57" spans="1:12" x14ac:dyDescent="0.35">
      <c r="A57" s="103"/>
      <c r="B57" s="12" t="s">
        <v>13</v>
      </c>
      <c r="C57" s="10" t="s">
        <v>59</v>
      </c>
      <c r="D57" s="152">
        <v>2</v>
      </c>
      <c r="E57" s="170"/>
      <c r="F57" s="153" t="str">
        <f t="shared" si="0"/>
        <v/>
      </c>
      <c r="G57" s="256"/>
      <c r="H57" s="166">
        <f t="shared" si="5"/>
        <v>0</v>
      </c>
      <c r="I57" s="10" t="s">
        <v>20</v>
      </c>
      <c r="J57" s="11">
        <v>8.6999999999999993</v>
      </c>
      <c r="K57" s="12">
        <f t="shared" si="7"/>
        <v>0</v>
      </c>
    </row>
    <row r="58" spans="1:12" hidden="1" x14ac:dyDescent="0.35">
      <c r="A58" s="103"/>
      <c r="B58" s="12" t="s">
        <v>13</v>
      </c>
      <c r="C58" s="10" t="s">
        <v>234</v>
      </c>
      <c r="D58" s="152"/>
      <c r="E58" s="170"/>
      <c r="F58" s="153" t="str">
        <f t="shared" si="0"/>
        <v/>
      </c>
      <c r="G58" s="256"/>
      <c r="H58" s="166">
        <f t="shared" si="5"/>
        <v>0</v>
      </c>
      <c r="I58" s="10" t="s">
        <v>20</v>
      </c>
      <c r="J58" s="11">
        <v>12.15</v>
      </c>
      <c r="K58" s="12">
        <f t="shared" si="7"/>
        <v>0</v>
      </c>
    </row>
    <row r="59" spans="1:12" hidden="1" x14ac:dyDescent="0.35">
      <c r="A59" s="103"/>
      <c r="B59" s="12" t="s">
        <v>13</v>
      </c>
      <c r="C59" s="10" t="s">
        <v>235</v>
      </c>
      <c r="D59" s="152"/>
      <c r="E59" s="170"/>
      <c r="F59" s="153" t="str">
        <f t="shared" si="0"/>
        <v/>
      </c>
      <c r="G59" s="256"/>
      <c r="H59" s="166">
        <f t="shared" si="5"/>
        <v>0</v>
      </c>
      <c r="I59" s="10" t="s">
        <v>20</v>
      </c>
      <c r="J59" s="11">
        <v>11.35</v>
      </c>
      <c r="K59" s="12">
        <f t="shared" si="7"/>
        <v>0</v>
      </c>
    </row>
    <row r="60" spans="1:12" hidden="1" x14ac:dyDescent="0.35">
      <c r="A60" s="103"/>
      <c r="B60" s="12" t="s">
        <v>13</v>
      </c>
      <c r="C60" s="10" t="s">
        <v>236</v>
      </c>
      <c r="D60" s="152"/>
      <c r="E60" s="170"/>
      <c r="F60" s="153" t="str">
        <f t="shared" si="0"/>
        <v/>
      </c>
      <c r="G60" s="256"/>
      <c r="H60" s="166">
        <f t="shared" si="5"/>
        <v>0</v>
      </c>
      <c r="I60" s="10" t="s">
        <v>20</v>
      </c>
      <c r="J60" s="11">
        <v>14.65</v>
      </c>
      <c r="K60" s="12">
        <f t="shared" si="7"/>
        <v>0</v>
      </c>
    </row>
    <row r="61" spans="1:12" hidden="1" x14ac:dyDescent="0.35">
      <c r="A61" s="103"/>
      <c r="B61" s="12" t="s">
        <v>13</v>
      </c>
      <c r="C61" s="10" t="s">
        <v>237</v>
      </c>
      <c r="D61" s="152"/>
      <c r="E61" s="170"/>
      <c r="F61" s="153" t="str">
        <f t="shared" si="0"/>
        <v/>
      </c>
      <c r="G61" s="256"/>
      <c r="H61" s="166">
        <f t="shared" si="5"/>
        <v>0</v>
      </c>
      <c r="I61" s="10" t="s">
        <v>20</v>
      </c>
      <c r="J61" s="11">
        <v>16.25</v>
      </c>
      <c r="K61" s="12">
        <f t="shared" si="7"/>
        <v>0</v>
      </c>
    </row>
    <row r="62" spans="1:12" hidden="1" x14ac:dyDescent="0.35">
      <c r="A62" s="103"/>
      <c r="B62" s="12" t="s">
        <v>13</v>
      </c>
      <c r="C62" s="10" t="s">
        <v>238</v>
      </c>
      <c r="D62" s="152"/>
      <c r="E62" s="170"/>
      <c r="F62" s="153" t="str">
        <f t="shared" si="0"/>
        <v/>
      </c>
      <c r="G62" s="256"/>
      <c r="H62" s="166">
        <f t="shared" si="5"/>
        <v>0</v>
      </c>
      <c r="I62" s="10" t="s">
        <v>20</v>
      </c>
      <c r="J62" s="11">
        <v>17.899999999999999</v>
      </c>
      <c r="K62" s="12">
        <f t="shared" si="7"/>
        <v>0</v>
      </c>
    </row>
    <row r="63" spans="1:12" hidden="1" x14ac:dyDescent="0.35">
      <c r="A63" s="103"/>
      <c r="B63" s="12" t="s">
        <v>13</v>
      </c>
      <c r="C63" s="10" t="s">
        <v>239</v>
      </c>
      <c r="D63" s="152"/>
      <c r="E63" s="170"/>
      <c r="F63" s="153" t="str">
        <f t="shared" si="0"/>
        <v/>
      </c>
      <c r="G63" s="256"/>
      <c r="H63" s="166">
        <f t="shared" si="5"/>
        <v>0</v>
      </c>
      <c r="I63" s="10" t="s">
        <v>20</v>
      </c>
      <c r="J63" s="11">
        <v>15.95</v>
      </c>
      <c r="K63" s="12">
        <f t="shared" si="7"/>
        <v>0</v>
      </c>
    </row>
    <row r="64" spans="1:12" hidden="1" x14ac:dyDescent="0.35">
      <c r="A64" s="103"/>
      <c r="B64" s="12" t="s">
        <v>13</v>
      </c>
      <c r="C64" s="10" t="s">
        <v>240</v>
      </c>
      <c r="D64" s="152"/>
      <c r="E64" s="170"/>
      <c r="F64" s="153" t="str">
        <f t="shared" si="0"/>
        <v/>
      </c>
      <c r="G64" s="256"/>
      <c r="H64" s="166">
        <f t="shared" si="5"/>
        <v>0</v>
      </c>
      <c r="I64" s="10" t="s">
        <v>20</v>
      </c>
      <c r="J64" s="11">
        <v>15.45</v>
      </c>
      <c r="K64" s="12">
        <f t="shared" si="7"/>
        <v>0</v>
      </c>
    </row>
    <row r="65" spans="1:15" ht="15.5" hidden="1" x14ac:dyDescent="0.35">
      <c r="A65" s="111"/>
      <c r="B65" s="126" t="s">
        <v>241</v>
      </c>
      <c r="C65" s="127"/>
      <c r="D65" s="226"/>
      <c r="E65" s="250"/>
      <c r="F65" s="165" t="str">
        <f t="shared" si="0"/>
        <v/>
      </c>
      <c r="G65" s="259"/>
      <c r="H65" s="247"/>
      <c r="I65" s="127"/>
      <c r="J65" s="127"/>
      <c r="K65" s="270"/>
    </row>
    <row r="66" spans="1:15" hidden="1" x14ac:dyDescent="0.35">
      <c r="A66" s="103"/>
      <c r="B66" s="12" t="s">
        <v>13</v>
      </c>
      <c r="C66" s="10" t="s">
        <v>242</v>
      </c>
      <c r="D66" s="152"/>
      <c r="E66" s="170"/>
      <c r="F66" s="153" t="str">
        <f t="shared" si="0"/>
        <v/>
      </c>
      <c r="G66" s="256"/>
      <c r="H66" s="166">
        <f t="shared" si="5"/>
        <v>0</v>
      </c>
      <c r="I66" s="10" t="s">
        <v>20</v>
      </c>
      <c r="J66" s="11">
        <v>31.05</v>
      </c>
      <c r="K66" s="12">
        <f t="shared" si="7"/>
        <v>0</v>
      </c>
    </row>
    <row r="67" spans="1:15" hidden="1" x14ac:dyDescent="0.35">
      <c r="A67" s="103"/>
      <c r="B67" s="12" t="s">
        <v>13</v>
      </c>
      <c r="C67" s="10" t="s">
        <v>243</v>
      </c>
      <c r="D67" s="152"/>
      <c r="E67" s="170"/>
      <c r="F67" s="153" t="str">
        <f t="shared" si="0"/>
        <v/>
      </c>
      <c r="G67" s="256"/>
      <c r="H67" s="166">
        <f t="shared" si="5"/>
        <v>0</v>
      </c>
      <c r="I67" s="10" t="s">
        <v>20</v>
      </c>
      <c r="J67" s="11">
        <v>60.79</v>
      </c>
      <c r="K67" s="12">
        <f t="shared" si="7"/>
        <v>0</v>
      </c>
    </row>
    <row r="68" spans="1:15" hidden="1" x14ac:dyDescent="0.35">
      <c r="A68" s="103"/>
      <c r="B68" s="12" t="s">
        <v>13</v>
      </c>
      <c r="C68" s="10" t="s">
        <v>244</v>
      </c>
      <c r="D68" s="152"/>
      <c r="E68" s="170"/>
      <c r="F68" s="153" t="str">
        <f t="shared" si="0"/>
        <v/>
      </c>
      <c r="G68" s="256"/>
      <c r="H68" s="166">
        <f t="shared" si="5"/>
        <v>0</v>
      </c>
      <c r="I68" s="10" t="s">
        <v>20</v>
      </c>
      <c r="J68" s="11">
        <v>56.55</v>
      </c>
      <c r="K68" s="12">
        <f t="shared" si="7"/>
        <v>0</v>
      </c>
    </row>
    <row r="69" spans="1:15" hidden="1" x14ac:dyDescent="0.35">
      <c r="A69" s="103"/>
      <c r="B69" s="12" t="s">
        <v>13</v>
      </c>
      <c r="C69" s="10" t="s">
        <v>245</v>
      </c>
      <c r="D69" s="152"/>
      <c r="E69" s="170"/>
      <c r="F69" s="153" t="str">
        <f t="shared" si="0"/>
        <v/>
      </c>
      <c r="G69" s="256"/>
      <c r="H69" s="166">
        <f t="shared" si="5"/>
        <v>0</v>
      </c>
      <c r="I69" s="10" t="s">
        <v>20</v>
      </c>
      <c r="J69" s="11">
        <v>107.44</v>
      </c>
      <c r="K69" s="12">
        <f t="shared" si="7"/>
        <v>0</v>
      </c>
    </row>
    <row r="70" spans="1:15" hidden="1" x14ac:dyDescent="0.35">
      <c r="A70" s="103"/>
      <c r="B70" s="12" t="s">
        <v>13</v>
      </c>
      <c r="C70" s="10" t="s">
        <v>246</v>
      </c>
      <c r="D70" s="152"/>
      <c r="E70" s="170"/>
      <c r="F70" s="153" t="str">
        <f t="shared" si="0"/>
        <v/>
      </c>
      <c r="G70" s="256"/>
      <c r="H70" s="166">
        <f t="shared" si="5"/>
        <v>0</v>
      </c>
      <c r="I70" s="10" t="s">
        <v>20</v>
      </c>
      <c r="J70" s="11">
        <v>47.4</v>
      </c>
      <c r="K70" s="12">
        <f t="shared" si="7"/>
        <v>0</v>
      </c>
    </row>
    <row r="71" spans="1:15" hidden="1" x14ac:dyDescent="0.35">
      <c r="A71" s="103"/>
      <c r="B71" s="12" t="s">
        <v>13</v>
      </c>
      <c r="C71" s="10" t="s">
        <v>247</v>
      </c>
      <c r="D71" s="152"/>
      <c r="E71" s="170"/>
      <c r="F71" s="153" t="str">
        <f t="shared" si="0"/>
        <v/>
      </c>
      <c r="G71" s="256"/>
      <c r="H71" s="166">
        <f t="shared" si="5"/>
        <v>0</v>
      </c>
      <c r="I71" s="10" t="s">
        <v>20</v>
      </c>
      <c r="J71" s="11">
        <v>87.63</v>
      </c>
      <c r="K71" s="12">
        <f t="shared" si="7"/>
        <v>0</v>
      </c>
    </row>
    <row r="72" spans="1:15" hidden="1" x14ac:dyDescent="0.35">
      <c r="A72" s="103"/>
      <c r="B72" s="12" t="s">
        <v>13</v>
      </c>
      <c r="C72" s="10" t="s">
        <v>248</v>
      </c>
      <c r="D72" s="152"/>
      <c r="E72" s="170"/>
      <c r="F72" s="153" t="str">
        <f t="shared" si="0"/>
        <v/>
      </c>
      <c r="G72" s="256"/>
      <c r="H72" s="166">
        <f t="shared" si="5"/>
        <v>0</v>
      </c>
      <c r="I72" s="10" t="s">
        <v>20</v>
      </c>
      <c r="J72" s="11">
        <v>52.31</v>
      </c>
      <c r="K72" s="12">
        <f t="shared" si="7"/>
        <v>0</v>
      </c>
    </row>
    <row r="73" spans="1:15" ht="15.5" hidden="1" x14ac:dyDescent="0.35">
      <c r="A73" s="111"/>
      <c r="B73" s="126" t="s">
        <v>249</v>
      </c>
      <c r="C73" s="127"/>
      <c r="D73" s="226"/>
      <c r="E73" s="170"/>
      <c r="F73" s="153" t="str">
        <f t="shared" si="0"/>
        <v/>
      </c>
      <c r="G73" s="259"/>
      <c r="H73" s="166">
        <f t="shared" si="5"/>
        <v>0</v>
      </c>
      <c r="I73" s="127"/>
      <c r="J73" s="127"/>
      <c r="K73" s="271"/>
    </row>
    <row r="74" spans="1:15" hidden="1" x14ac:dyDescent="0.35">
      <c r="A74" s="103"/>
      <c r="B74" s="12" t="s">
        <v>13</v>
      </c>
      <c r="C74" s="10" t="s">
        <v>250</v>
      </c>
      <c r="D74" s="152"/>
      <c r="E74" s="170"/>
      <c r="F74" s="153" t="str">
        <f t="shared" si="0"/>
        <v/>
      </c>
      <c r="G74" s="256"/>
      <c r="H74" s="166">
        <f t="shared" si="5"/>
        <v>0</v>
      </c>
      <c r="I74" s="10" t="s">
        <v>20</v>
      </c>
      <c r="J74" s="11">
        <v>10.8</v>
      </c>
      <c r="K74" s="12">
        <f t="shared" si="7"/>
        <v>0</v>
      </c>
    </row>
    <row r="75" spans="1:15" hidden="1" x14ac:dyDescent="0.35">
      <c r="A75" s="103"/>
      <c r="B75" s="12" t="s">
        <v>13</v>
      </c>
      <c r="C75" s="10" t="s">
        <v>251</v>
      </c>
      <c r="D75" s="152"/>
      <c r="E75" s="170"/>
      <c r="F75" s="153" t="str">
        <f t="shared" si="0"/>
        <v/>
      </c>
      <c r="G75" s="256"/>
      <c r="H75" s="166">
        <f t="shared" si="5"/>
        <v>0</v>
      </c>
      <c r="I75" s="10" t="s">
        <v>20</v>
      </c>
      <c r="J75" s="11">
        <v>11.2</v>
      </c>
      <c r="K75" s="12">
        <f t="shared" si="7"/>
        <v>0</v>
      </c>
    </row>
    <row r="76" spans="1:15" x14ac:dyDescent="0.35">
      <c r="A76" s="103"/>
      <c r="B76" s="12" t="s">
        <v>13</v>
      </c>
      <c r="C76" s="10" t="s">
        <v>252</v>
      </c>
      <c r="D76" s="152"/>
      <c r="E76" s="170"/>
      <c r="F76" s="153" t="str">
        <f t="shared" si="0"/>
        <v/>
      </c>
      <c r="G76" s="256"/>
      <c r="H76" s="166">
        <f t="shared" si="5"/>
        <v>0</v>
      </c>
      <c r="I76" s="10" t="s">
        <v>23</v>
      </c>
      <c r="J76" s="11">
        <v>4.5599999999999996</v>
      </c>
      <c r="K76" s="12">
        <f t="shared" si="7"/>
        <v>0</v>
      </c>
    </row>
    <row r="77" spans="1:15" x14ac:dyDescent="0.35">
      <c r="A77" s="103"/>
      <c r="B77" s="12" t="s">
        <v>13</v>
      </c>
      <c r="C77" s="10" t="s">
        <v>253</v>
      </c>
      <c r="D77" s="152"/>
      <c r="E77" s="170"/>
      <c r="F77" s="153" t="str">
        <f t="shared" si="0"/>
        <v/>
      </c>
      <c r="G77" s="256"/>
      <c r="H77" s="166">
        <f t="shared" si="5"/>
        <v>0</v>
      </c>
      <c r="I77" s="10" t="s">
        <v>23</v>
      </c>
      <c r="J77" s="11">
        <v>37.700000000000003</v>
      </c>
      <c r="K77" s="12">
        <f t="shared" si="7"/>
        <v>0</v>
      </c>
      <c r="O77" s="87"/>
    </row>
    <row r="78" spans="1:15" ht="15.5" hidden="1" x14ac:dyDescent="0.35">
      <c r="A78" s="108" t="s">
        <v>254</v>
      </c>
      <c r="B78" s="108"/>
      <c r="C78" s="108"/>
      <c r="D78" s="223"/>
      <c r="E78" s="250"/>
      <c r="F78" s="165" t="str">
        <f t="shared" si="0"/>
        <v/>
      </c>
      <c r="G78" s="186"/>
      <c r="H78" s="247"/>
      <c r="I78" s="108"/>
      <c r="J78" s="110" t="s">
        <v>18</v>
      </c>
      <c r="K78" s="269">
        <f>SUM(K80:K121)</f>
        <v>0</v>
      </c>
    </row>
    <row r="79" spans="1:15" ht="15.5" hidden="1" x14ac:dyDescent="0.35">
      <c r="A79" s="111"/>
      <c r="B79" s="126" t="s">
        <v>255</v>
      </c>
      <c r="C79" s="127"/>
      <c r="D79" s="226"/>
      <c r="E79" s="250"/>
      <c r="F79" s="153" t="str">
        <f t="shared" si="0"/>
        <v/>
      </c>
      <c r="G79" s="259"/>
      <c r="H79" s="247"/>
      <c r="I79" s="127"/>
      <c r="J79" s="127"/>
      <c r="K79" s="128"/>
    </row>
    <row r="80" spans="1:15" hidden="1" x14ac:dyDescent="0.35">
      <c r="A80" s="103"/>
      <c r="B80" s="12" t="s">
        <v>3</v>
      </c>
      <c r="C80" s="10" t="s">
        <v>256</v>
      </c>
      <c r="D80" s="152"/>
      <c r="E80" s="170"/>
      <c r="F80" s="153" t="str">
        <f t="shared" si="0"/>
        <v/>
      </c>
      <c r="G80" s="256"/>
      <c r="H80" s="166">
        <f t="shared" si="5"/>
        <v>0</v>
      </c>
      <c r="I80" s="10" t="s">
        <v>20</v>
      </c>
      <c r="J80" s="11">
        <v>32.950000000000003</v>
      </c>
      <c r="K80" s="12">
        <f t="shared" ref="K80:K86" si="8">G80*J80</f>
        <v>0</v>
      </c>
    </row>
    <row r="81" spans="1:11" hidden="1" x14ac:dyDescent="0.35">
      <c r="A81" s="103"/>
      <c r="B81" s="12" t="s">
        <v>3</v>
      </c>
      <c r="C81" s="10" t="s">
        <v>257</v>
      </c>
      <c r="D81" s="152"/>
      <c r="E81" s="170"/>
      <c r="F81" s="153" t="str">
        <f t="shared" si="0"/>
        <v/>
      </c>
      <c r="G81" s="256"/>
      <c r="H81" s="166">
        <f t="shared" si="5"/>
        <v>0</v>
      </c>
      <c r="I81" s="10" t="s">
        <v>20</v>
      </c>
      <c r="J81" s="11">
        <v>56.95</v>
      </c>
      <c r="K81" s="12">
        <f t="shared" si="8"/>
        <v>0</v>
      </c>
    </row>
    <row r="82" spans="1:11" hidden="1" x14ac:dyDescent="0.35">
      <c r="A82" s="103"/>
      <c r="B82" s="12" t="s">
        <v>3</v>
      </c>
      <c r="C82" s="10" t="s">
        <v>258</v>
      </c>
      <c r="D82" s="152"/>
      <c r="E82" s="170"/>
      <c r="F82" s="153" t="str">
        <f t="shared" si="0"/>
        <v/>
      </c>
      <c r="G82" s="256"/>
      <c r="H82" s="166">
        <f t="shared" si="5"/>
        <v>0</v>
      </c>
      <c r="I82" s="10" t="s">
        <v>20</v>
      </c>
      <c r="J82" s="11">
        <v>15.95</v>
      </c>
      <c r="K82" s="12">
        <f t="shared" si="8"/>
        <v>0</v>
      </c>
    </row>
    <row r="83" spans="1:11" hidden="1" x14ac:dyDescent="0.35">
      <c r="A83" s="103"/>
      <c r="B83" s="12" t="s">
        <v>3</v>
      </c>
      <c r="C83" s="10" t="s">
        <v>259</v>
      </c>
      <c r="D83" s="152"/>
      <c r="E83" s="170"/>
      <c r="F83" s="153" t="str">
        <f t="shared" si="0"/>
        <v/>
      </c>
      <c r="G83" s="256"/>
      <c r="H83" s="166">
        <f t="shared" si="5"/>
        <v>0</v>
      </c>
      <c r="I83" s="10" t="s">
        <v>20</v>
      </c>
      <c r="J83" s="11">
        <v>19.95</v>
      </c>
      <c r="K83" s="12">
        <f t="shared" si="8"/>
        <v>0</v>
      </c>
    </row>
    <row r="84" spans="1:11" hidden="1" x14ac:dyDescent="0.35">
      <c r="A84" s="103"/>
      <c r="B84" s="12" t="s">
        <v>3</v>
      </c>
      <c r="C84" s="10" t="s">
        <v>260</v>
      </c>
      <c r="D84" s="152"/>
      <c r="E84" s="170"/>
      <c r="F84" s="153" t="str">
        <f t="shared" si="0"/>
        <v/>
      </c>
      <c r="G84" s="256"/>
      <c r="H84" s="166">
        <f t="shared" si="5"/>
        <v>0</v>
      </c>
      <c r="I84" s="10" t="s">
        <v>20</v>
      </c>
      <c r="J84" s="11">
        <v>46.95</v>
      </c>
      <c r="K84" s="12">
        <f t="shared" si="8"/>
        <v>0</v>
      </c>
    </row>
    <row r="85" spans="1:11" ht="14.25" hidden="1" customHeight="1" x14ac:dyDescent="0.35">
      <c r="A85" s="103"/>
      <c r="B85" s="12" t="s">
        <v>3</v>
      </c>
      <c r="C85" s="10" t="s">
        <v>261</v>
      </c>
      <c r="D85" s="152"/>
      <c r="E85" s="170"/>
      <c r="F85" s="153" t="str">
        <f t="shared" si="0"/>
        <v/>
      </c>
      <c r="G85" s="256"/>
      <c r="H85" s="166">
        <f t="shared" si="5"/>
        <v>0</v>
      </c>
      <c r="I85" s="10" t="s">
        <v>20</v>
      </c>
      <c r="J85" s="11">
        <v>34.950000000000003</v>
      </c>
      <c r="K85" s="12">
        <f t="shared" si="8"/>
        <v>0</v>
      </c>
    </row>
    <row r="86" spans="1:11" hidden="1" x14ac:dyDescent="0.35">
      <c r="A86" s="103"/>
      <c r="B86" s="12" t="s">
        <v>3</v>
      </c>
      <c r="C86" s="10" t="s">
        <v>262</v>
      </c>
      <c r="D86" s="152"/>
      <c r="E86" s="170"/>
      <c r="F86" s="153" t="str">
        <f t="shared" si="0"/>
        <v/>
      </c>
      <c r="G86" s="256"/>
      <c r="H86" s="166">
        <f t="shared" si="5"/>
        <v>0</v>
      </c>
      <c r="I86" s="10" t="s">
        <v>20</v>
      </c>
      <c r="J86" s="11">
        <v>24.95</v>
      </c>
      <c r="K86" s="12">
        <f t="shared" si="8"/>
        <v>0</v>
      </c>
    </row>
    <row r="87" spans="1:11" ht="15.5" hidden="1" x14ac:dyDescent="0.35">
      <c r="A87" s="111"/>
      <c r="B87" s="126" t="s">
        <v>263</v>
      </c>
      <c r="C87" s="127"/>
      <c r="D87" s="226"/>
      <c r="E87" s="250"/>
      <c r="F87" s="165" t="str">
        <f t="shared" si="0"/>
        <v/>
      </c>
      <c r="G87" s="259"/>
      <c r="H87" s="247"/>
      <c r="I87" s="127"/>
      <c r="J87" s="127"/>
      <c r="K87" s="272"/>
    </row>
    <row r="88" spans="1:11" hidden="1" x14ac:dyDescent="0.35">
      <c r="A88" s="103"/>
      <c r="B88" s="12" t="s">
        <v>3</v>
      </c>
      <c r="C88" s="10" t="s">
        <v>264</v>
      </c>
      <c r="D88" s="152"/>
      <c r="E88" s="170"/>
      <c r="F88" s="153" t="str">
        <f t="shared" si="0"/>
        <v/>
      </c>
      <c r="G88" s="256"/>
      <c r="H88" s="166">
        <f t="shared" si="5"/>
        <v>0</v>
      </c>
      <c r="I88" s="10" t="s">
        <v>20</v>
      </c>
      <c r="J88" s="11">
        <v>19.5</v>
      </c>
      <c r="K88" s="12">
        <f t="shared" ref="K88:K94" si="9">G88*J88</f>
        <v>0</v>
      </c>
    </row>
    <row r="89" spans="1:11" hidden="1" x14ac:dyDescent="0.35">
      <c r="A89" s="103"/>
      <c r="B89" s="12" t="s">
        <v>3</v>
      </c>
      <c r="C89" s="10" t="s">
        <v>265</v>
      </c>
      <c r="D89" s="152"/>
      <c r="E89" s="170"/>
      <c r="F89" s="153" t="str">
        <f t="shared" ref="F89:F152" si="10">IF(E89="","",IF(D89-E89&gt;0,D89-E89,""))</f>
        <v/>
      </c>
      <c r="G89" s="256"/>
      <c r="H89" s="166">
        <f t="shared" si="5"/>
        <v>0</v>
      </c>
      <c r="I89" s="10" t="s">
        <v>20</v>
      </c>
      <c r="J89" s="11">
        <v>16.95</v>
      </c>
      <c r="K89" s="12">
        <f t="shared" si="9"/>
        <v>0</v>
      </c>
    </row>
    <row r="90" spans="1:11" hidden="1" x14ac:dyDescent="0.35">
      <c r="A90" s="103"/>
      <c r="B90" s="12" t="s">
        <v>3</v>
      </c>
      <c r="C90" s="10" t="s">
        <v>266</v>
      </c>
      <c r="D90" s="152"/>
      <c r="E90" s="170"/>
      <c r="F90" s="153" t="str">
        <f t="shared" si="10"/>
        <v/>
      </c>
      <c r="G90" s="256"/>
      <c r="H90" s="166">
        <f t="shared" si="5"/>
        <v>0</v>
      </c>
      <c r="I90" s="10" t="s">
        <v>20</v>
      </c>
      <c r="J90" s="11">
        <v>17.95</v>
      </c>
      <c r="K90" s="12">
        <f t="shared" si="9"/>
        <v>0</v>
      </c>
    </row>
    <row r="91" spans="1:11" hidden="1" x14ac:dyDescent="0.35">
      <c r="A91" s="103"/>
      <c r="B91" s="12" t="s">
        <v>3</v>
      </c>
      <c r="C91" s="10" t="s">
        <v>267</v>
      </c>
      <c r="D91" s="152"/>
      <c r="E91" s="170"/>
      <c r="F91" s="153" t="str">
        <f t="shared" si="10"/>
        <v/>
      </c>
      <c r="G91" s="256"/>
      <c r="H91" s="166">
        <f t="shared" si="5"/>
        <v>0</v>
      </c>
      <c r="I91" s="10" t="s">
        <v>20</v>
      </c>
      <c r="J91" s="11">
        <v>15.95</v>
      </c>
      <c r="K91" s="12">
        <f t="shared" si="9"/>
        <v>0</v>
      </c>
    </row>
    <row r="92" spans="1:11" hidden="1" x14ac:dyDescent="0.35">
      <c r="A92" s="103"/>
      <c r="B92" s="12" t="s">
        <v>3</v>
      </c>
      <c r="C92" s="10" t="s">
        <v>268</v>
      </c>
      <c r="D92" s="152"/>
      <c r="E92" s="170"/>
      <c r="F92" s="153" t="str">
        <f t="shared" si="10"/>
        <v/>
      </c>
      <c r="G92" s="256"/>
      <c r="H92" s="166">
        <f t="shared" si="5"/>
        <v>0</v>
      </c>
      <c r="I92" s="10" t="s">
        <v>20</v>
      </c>
      <c r="J92" s="11">
        <v>20.95</v>
      </c>
      <c r="K92" s="12">
        <f t="shared" si="9"/>
        <v>0</v>
      </c>
    </row>
    <row r="93" spans="1:11" hidden="1" x14ac:dyDescent="0.35">
      <c r="A93" s="103"/>
      <c r="B93" s="12" t="s">
        <v>3</v>
      </c>
      <c r="C93" s="10" t="s">
        <v>269</v>
      </c>
      <c r="D93" s="152"/>
      <c r="E93" s="170"/>
      <c r="F93" s="153" t="str">
        <f t="shared" si="10"/>
        <v/>
      </c>
      <c r="G93" s="256"/>
      <c r="H93" s="166">
        <f t="shared" si="5"/>
        <v>0</v>
      </c>
      <c r="I93" s="10" t="s">
        <v>20</v>
      </c>
      <c r="J93" s="11">
        <v>26.95</v>
      </c>
      <c r="K93" s="12">
        <f t="shared" si="9"/>
        <v>0</v>
      </c>
    </row>
    <row r="94" spans="1:11" hidden="1" x14ac:dyDescent="0.35">
      <c r="A94" s="103"/>
      <c r="B94" s="12" t="s">
        <v>3</v>
      </c>
      <c r="C94" s="10" t="s">
        <v>270</v>
      </c>
      <c r="D94" s="152"/>
      <c r="E94" s="170"/>
      <c r="F94" s="153" t="str">
        <f t="shared" si="10"/>
        <v/>
      </c>
      <c r="G94" s="256"/>
      <c r="H94" s="166">
        <f t="shared" si="5"/>
        <v>0</v>
      </c>
      <c r="I94" s="10" t="s">
        <v>20</v>
      </c>
      <c r="J94" s="11">
        <v>26.95</v>
      </c>
      <c r="K94" s="12">
        <f t="shared" si="9"/>
        <v>0</v>
      </c>
    </row>
    <row r="95" spans="1:11" ht="15.5" hidden="1" x14ac:dyDescent="0.35">
      <c r="A95" s="111"/>
      <c r="B95" s="126" t="s">
        <v>271</v>
      </c>
      <c r="C95" s="127"/>
      <c r="D95" s="226"/>
      <c r="E95" s="250"/>
      <c r="F95" s="165" t="str">
        <f t="shared" si="10"/>
        <v/>
      </c>
      <c r="G95" s="259"/>
      <c r="H95" s="247"/>
      <c r="I95" s="127"/>
      <c r="J95" s="127"/>
      <c r="K95" s="272"/>
    </row>
    <row r="96" spans="1:11" hidden="1" x14ac:dyDescent="0.35">
      <c r="A96" s="103"/>
      <c r="B96" s="12" t="s">
        <v>3</v>
      </c>
      <c r="C96" s="10" t="s">
        <v>272</v>
      </c>
      <c r="D96" s="152"/>
      <c r="E96" s="170"/>
      <c r="F96" s="153" t="str">
        <f t="shared" si="10"/>
        <v/>
      </c>
      <c r="G96" s="256"/>
      <c r="H96" s="166">
        <f t="shared" si="5"/>
        <v>0</v>
      </c>
      <c r="I96" s="10" t="s">
        <v>20</v>
      </c>
      <c r="J96" s="11">
        <v>20.95</v>
      </c>
      <c r="K96" s="12">
        <f>G96*J96</f>
        <v>0</v>
      </c>
    </row>
    <row r="97" spans="1:11" hidden="1" x14ac:dyDescent="0.35">
      <c r="A97" s="103"/>
      <c r="B97" s="12" t="s">
        <v>3</v>
      </c>
      <c r="C97" s="10" t="s">
        <v>273</v>
      </c>
      <c r="D97" s="152"/>
      <c r="E97" s="170"/>
      <c r="F97" s="153" t="str">
        <f t="shared" si="10"/>
        <v/>
      </c>
      <c r="G97" s="256"/>
      <c r="H97" s="166">
        <f t="shared" si="5"/>
        <v>0</v>
      </c>
      <c r="I97" s="10" t="s">
        <v>20</v>
      </c>
      <c r="J97" s="11">
        <v>23.95</v>
      </c>
      <c r="K97" s="12">
        <f>G97*J97</f>
        <v>0</v>
      </c>
    </row>
    <row r="98" spans="1:11" hidden="1" x14ac:dyDescent="0.35">
      <c r="A98" s="103"/>
      <c r="B98" s="12" t="s">
        <v>3</v>
      </c>
      <c r="C98" s="10" t="s">
        <v>274</v>
      </c>
      <c r="D98" s="152"/>
      <c r="E98" s="170"/>
      <c r="F98" s="153" t="str">
        <f t="shared" si="10"/>
        <v/>
      </c>
      <c r="G98" s="256"/>
      <c r="H98" s="166">
        <f t="shared" si="5"/>
        <v>0</v>
      </c>
      <c r="I98" s="10" t="s">
        <v>20</v>
      </c>
      <c r="J98" s="11">
        <v>22.5</v>
      </c>
      <c r="K98" s="12">
        <f>G98*J98</f>
        <v>0</v>
      </c>
    </row>
    <row r="99" spans="1:11" hidden="1" x14ac:dyDescent="0.35">
      <c r="A99" s="103"/>
      <c r="B99" s="12" t="s">
        <v>3</v>
      </c>
      <c r="C99" s="10" t="s">
        <v>275</v>
      </c>
      <c r="D99" s="152"/>
      <c r="E99" s="170"/>
      <c r="F99" s="153" t="str">
        <f t="shared" si="10"/>
        <v/>
      </c>
      <c r="G99" s="256"/>
      <c r="H99" s="166">
        <f t="shared" si="5"/>
        <v>0</v>
      </c>
      <c r="I99" s="10" t="s">
        <v>20</v>
      </c>
      <c r="J99" s="11">
        <v>29.95</v>
      </c>
      <c r="K99" s="12">
        <f>G99*J99</f>
        <v>0</v>
      </c>
    </row>
    <row r="100" spans="1:11" ht="15.5" hidden="1" x14ac:dyDescent="0.35">
      <c r="A100" s="111"/>
      <c r="B100" s="126" t="s">
        <v>276</v>
      </c>
      <c r="C100" s="127"/>
      <c r="D100" s="226"/>
      <c r="E100" s="250"/>
      <c r="F100" s="165" t="str">
        <f t="shared" si="10"/>
        <v/>
      </c>
      <c r="G100" s="259"/>
      <c r="H100" s="247"/>
      <c r="I100" s="127"/>
      <c r="J100" s="127"/>
      <c r="K100" s="272"/>
    </row>
    <row r="101" spans="1:11" hidden="1" x14ac:dyDescent="0.35">
      <c r="A101" s="103"/>
      <c r="B101" s="12" t="s">
        <v>3</v>
      </c>
      <c r="C101" s="10" t="s">
        <v>277</v>
      </c>
      <c r="D101" s="152"/>
      <c r="E101" s="170"/>
      <c r="F101" s="153" t="str">
        <f t="shared" si="10"/>
        <v/>
      </c>
      <c r="G101" s="256"/>
      <c r="H101" s="166">
        <f t="shared" si="5"/>
        <v>0</v>
      </c>
      <c r="I101" s="10" t="s">
        <v>20</v>
      </c>
      <c r="J101" s="11">
        <v>17.95</v>
      </c>
      <c r="K101" s="12">
        <f>G101*J101</f>
        <v>0</v>
      </c>
    </row>
    <row r="102" spans="1:11" hidden="1" x14ac:dyDescent="0.35">
      <c r="A102" s="103"/>
      <c r="B102" s="12" t="s">
        <v>3</v>
      </c>
      <c r="C102" s="10" t="s">
        <v>278</v>
      </c>
      <c r="D102" s="152"/>
      <c r="E102" s="170"/>
      <c r="F102" s="153" t="str">
        <f t="shared" si="10"/>
        <v/>
      </c>
      <c r="G102" s="256"/>
      <c r="H102" s="166">
        <f t="shared" si="5"/>
        <v>0</v>
      </c>
      <c r="I102" s="10" t="s">
        <v>20</v>
      </c>
      <c r="J102" s="11">
        <v>20.95</v>
      </c>
      <c r="K102" s="12">
        <f>G102*J102</f>
        <v>0</v>
      </c>
    </row>
    <row r="103" spans="1:11" hidden="1" x14ac:dyDescent="0.35">
      <c r="A103" s="103"/>
      <c r="B103" s="12" t="s">
        <v>3</v>
      </c>
      <c r="C103" s="10" t="s">
        <v>279</v>
      </c>
      <c r="D103" s="152"/>
      <c r="E103" s="170"/>
      <c r="F103" s="153" t="str">
        <f t="shared" si="10"/>
        <v/>
      </c>
      <c r="G103" s="256"/>
      <c r="H103" s="166">
        <f t="shared" si="5"/>
        <v>0</v>
      </c>
      <c r="I103" s="10" t="s">
        <v>20</v>
      </c>
      <c r="J103" s="11">
        <v>19.95</v>
      </c>
      <c r="K103" s="12">
        <f>G103*J103</f>
        <v>0</v>
      </c>
    </row>
    <row r="104" spans="1:11" hidden="1" x14ac:dyDescent="0.35">
      <c r="A104" s="103"/>
      <c r="B104" s="40" t="s">
        <v>3</v>
      </c>
      <c r="C104" s="41" t="s">
        <v>280</v>
      </c>
      <c r="D104" s="227"/>
      <c r="E104" s="170"/>
      <c r="F104" s="153" t="str">
        <f t="shared" si="10"/>
        <v/>
      </c>
      <c r="G104" s="256"/>
      <c r="H104" s="166">
        <f t="shared" si="5"/>
        <v>0</v>
      </c>
      <c r="I104" s="41" t="s">
        <v>20</v>
      </c>
      <c r="J104" s="42">
        <v>59.95</v>
      </c>
      <c r="K104" s="40">
        <f>G104*J104</f>
        <v>0</v>
      </c>
    </row>
    <row r="105" spans="1:11" ht="15.5" hidden="1" x14ac:dyDescent="0.35">
      <c r="A105" s="111"/>
      <c r="B105" s="126" t="s">
        <v>281</v>
      </c>
      <c r="C105" s="127"/>
      <c r="D105" s="226"/>
      <c r="E105" s="170"/>
      <c r="F105" s="153" t="str">
        <f t="shared" si="10"/>
        <v/>
      </c>
      <c r="G105" s="259"/>
      <c r="H105" s="166">
        <f t="shared" si="5"/>
        <v>0</v>
      </c>
      <c r="I105" s="127"/>
      <c r="J105" s="127"/>
      <c r="K105" s="272"/>
    </row>
    <row r="106" spans="1:11" hidden="1" x14ac:dyDescent="0.35">
      <c r="A106" s="103"/>
      <c r="B106" s="12" t="s">
        <v>3</v>
      </c>
      <c r="C106" s="10" t="s">
        <v>282</v>
      </c>
      <c r="D106" s="152"/>
      <c r="E106" s="170"/>
      <c r="F106" s="153" t="str">
        <f t="shared" si="10"/>
        <v/>
      </c>
      <c r="G106" s="256"/>
      <c r="H106" s="166">
        <f t="shared" si="5"/>
        <v>0</v>
      </c>
      <c r="I106" s="10" t="s">
        <v>20</v>
      </c>
      <c r="J106" s="11">
        <v>54.95</v>
      </c>
      <c r="K106" s="12">
        <f>G106*J106</f>
        <v>0</v>
      </c>
    </row>
    <row r="107" spans="1:11" hidden="1" x14ac:dyDescent="0.35">
      <c r="A107" s="103"/>
      <c r="B107" s="12" t="s">
        <v>3</v>
      </c>
      <c r="C107" s="10" t="s">
        <v>283</v>
      </c>
      <c r="D107" s="152"/>
      <c r="E107" s="170"/>
      <c r="F107" s="153" t="str">
        <f t="shared" si="10"/>
        <v/>
      </c>
      <c r="G107" s="256"/>
      <c r="H107" s="166">
        <f t="shared" si="5"/>
        <v>0</v>
      </c>
      <c r="I107" s="10" t="s">
        <v>20</v>
      </c>
      <c r="J107" s="11">
        <v>49.95</v>
      </c>
      <c r="K107" s="12">
        <f>G107*J107</f>
        <v>0</v>
      </c>
    </row>
    <row r="108" spans="1:11" ht="15.5" hidden="1" x14ac:dyDescent="0.35">
      <c r="A108" s="111"/>
      <c r="B108" s="126" t="s">
        <v>284</v>
      </c>
      <c r="C108" s="127"/>
      <c r="D108" s="226"/>
      <c r="E108" s="250"/>
      <c r="F108" s="165" t="str">
        <f t="shared" si="10"/>
        <v/>
      </c>
      <c r="G108" s="259"/>
      <c r="H108" s="247"/>
      <c r="I108" s="127"/>
      <c r="J108" s="127"/>
      <c r="K108" s="272"/>
    </row>
    <row r="109" spans="1:11" hidden="1" x14ac:dyDescent="0.35">
      <c r="A109" s="103"/>
      <c r="B109" s="12" t="s">
        <v>3</v>
      </c>
      <c r="C109" s="10" t="s">
        <v>285</v>
      </c>
      <c r="D109" s="152"/>
      <c r="E109" s="170"/>
      <c r="F109" s="153" t="str">
        <f t="shared" si="10"/>
        <v/>
      </c>
      <c r="G109" s="256"/>
      <c r="H109" s="166">
        <f t="shared" si="5"/>
        <v>0</v>
      </c>
      <c r="I109" s="10" t="s">
        <v>20</v>
      </c>
      <c r="J109" s="11">
        <v>41.5</v>
      </c>
      <c r="K109" s="12">
        <f t="shared" ref="K109:K114" si="11">G109*J109</f>
        <v>0</v>
      </c>
    </row>
    <row r="110" spans="1:11" hidden="1" x14ac:dyDescent="0.35">
      <c r="A110" s="103"/>
      <c r="B110" s="12" t="s">
        <v>3</v>
      </c>
      <c r="C110" s="10" t="s">
        <v>286</v>
      </c>
      <c r="D110" s="152"/>
      <c r="E110" s="170"/>
      <c r="F110" s="153" t="str">
        <f t="shared" si="10"/>
        <v/>
      </c>
      <c r="G110" s="256"/>
      <c r="H110" s="166">
        <f t="shared" si="5"/>
        <v>0</v>
      </c>
      <c r="I110" s="10" t="s">
        <v>20</v>
      </c>
      <c r="J110" s="11">
        <v>36.200000000000003</v>
      </c>
      <c r="K110" s="12">
        <f t="shared" si="11"/>
        <v>0</v>
      </c>
    </row>
    <row r="111" spans="1:11" hidden="1" x14ac:dyDescent="0.35">
      <c r="A111" s="103"/>
      <c r="B111" s="12" t="s">
        <v>3</v>
      </c>
      <c r="C111" s="10" t="s">
        <v>287</v>
      </c>
      <c r="D111" s="152"/>
      <c r="E111" s="170"/>
      <c r="F111" s="153" t="str">
        <f t="shared" si="10"/>
        <v/>
      </c>
      <c r="G111" s="256"/>
      <c r="H111" s="166">
        <f t="shared" ref="H111:H174" si="12">IF(ISNUMBER(E111),E111,0)+IF(ISNUMBER(F111),F111,0)-IF(ISNUMBER(G111),G111,0)</f>
        <v>0</v>
      </c>
      <c r="I111" s="10" t="s">
        <v>20</v>
      </c>
      <c r="J111" s="11">
        <v>25.95</v>
      </c>
      <c r="K111" s="12">
        <f t="shared" si="11"/>
        <v>0</v>
      </c>
    </row>
    <row r="112" spans="1:11" hidden="1" x14ac:dyDescent="0.35">
      <c r="A112" s="103"/>
      <c r="B112" s="12" t="s">
        <v>3</v>
      </c>
      <c r="C112" s="10" t="s">
        <v>288</v>
      </c>
      <c r="D112" s="152"/>
      <c r="E112" s="170"/>
      <c r="F112" s="153" t="str">
        <f t="shared" si="10"/>
        <v/>
      </c>
      <c r="G112" s="256"/>
      <c r="H112" s="166">
        <f t="shared" si="12"/>
        <v>0</v>
      </c>
      <c r="I112" s="10" t="s">
        <v>20</v>
      </c>
      <c r="J112" s="11">
        <v>32.799999999999997</v>
      </c>
      <c r="K112" s="12">
        <f t="shared" si="11"/>
        <v>0</v>
      </c>
    </row>
    <row r="113" spans="1:11" hidden="1" x14ac:dyDescent="0.35">
      <c r="A113" s="103"/>
      <c r="B113" s="12" t="s">
        <v>3</v>
      </c>
      <c r="C113" s="10" t="s">
        <v>289</v>
      </c>
      <c r="D113" s="152"/>
      <c r="E113" s="170"/>
      <c r="F113" s="153" t="str">
        <f t="shared" si="10"/>
        <v/>
      </c>
      <c r="G113" s="256"/>
      <c r="H113" s="166">
        <f t="shared" si="12"/>
        <v>0</v>
      </c>
      <c r="I113" s="10" t="s">
        <v>20</v>
      </c>
      <c r="J113" s="11">
        <v>29.2</v>
      </c>
      <c r="K113" s="12">
        <f t="shared" si="11"/>
        <v>0</v>
      </c>
    </row>
    <row r="114" spans="1:11" hidden="1" x14ac:dyDescent="0.35">
      <c r="A114" s="103"/>
      <c r="B114" s="12" t="s">
        <v>3</v>
      </c>
      <c r="C114" s="10" t="s">
        <v>290</v>
      </c>
      <c r="D114" s="152"/>
      <c r="E114" s="170"/>
      <c r="F114" s="153" t="str">
        <f t="shared" si="10"/>
        <v/>
      </c>
      <c r="G114" s="256"/>
      <c r="H114" s="166">
        <f t="shared" si="12"/>
        <v>0</v>
      </c>
      <c r="I114" s="10" t="s">
        <v>20</v>
      </c>
      <c r="J114" s="11">
        <v>22.95</v>
      </c>
      <c r="K114" s="12">
        <f t="shared" si="11"/>
        <v>0</v>
      </c>
    </row>
    <row r="115" spans="1:11" ht="15.5" hidden="1" x14ac:dyDescent="0.35">
      <c r="A115" s="111"/>
      <c r="B115" s="126" t="s">
        <v>291</v>
      </c>
      <c r="C115" s="127"/>
      <c r="D115" s="226"/>
      <c r="E115" s="250"/>
      <c r="F115" s="165" t="str">
        <f t="shared" si="10"/>
        <v/>
      </c>
      <c r="G115" s="259"/>
      <c r="H115" s="247"/>
      <c r="I115" s="127"/>
      <c r="J115" s="127"/>
      <c r="K115" s="272"/>
    </row>
    <row r="116" spans="1:11" hidden="1" x14ac:dyDescent="0.35">
      <c r="A116" s="103"/>
      <c r="B116" s="12" t="s">
        <v>3</v>
      </c>
      <c r="C116" s="10" t="s">
        <v>292</v>
      </c>
      <c r="D116" s="152"/>
      <c r="E116" s="170"/>
      <c r="F116" s="153" t="str">
        <f t="shared" si="10"/>
        <v/>
      </c>
      <c r="G116" s="256"/>
      <c r="H116" s="166">
        <f t="shared" si="12"/>
        <v>0</v>
      </c>
      <c r="I116" s="10" t="s">
        <v>20</v>
      </c>
      <c r="J116" s="11">
        <v>17.95</v>
      </c>
      <c r="K116" s="12">
        <f t="shared" ref="K116:K121" si="13">G116*J116</f>
        <v>0</v>
      </c>
    </row>
    <row r="117" spans="1:11" hidden="1" x14ac:dyDescent="0.35">
      <c r="A117" s="103"/>
      <c r="B117" s="12" t="s">
        <v>3</v>
      </c>
      <c r="C117" s="10" t="s">
        <v>293</v>
      </c>
      <c r="D117" s="152"/>
      <c r="E117" s="170"/>
      <c r="F117" s="153" t="str">
        <f t="shared" si="10"/>
        <v/>
      </c>
      <c r="G117" s="256"/>
      <c r="H117" s="166">
        <f t="shared" si="12"/>
        <v>0</v>
      </c>
      <c r="I117" s="10" t="s">
        <v>20</v>
      </c>
      <c r="J117" s="11">
        <v>12.95</v>
      </c>
      <c r="K117" s="12">
        <f t="shared" si="13"/>
        <v>0</v>
      </c>
    </row>
    <row r="118" spans="1:11" hidden="1" x14ac:dyDescent="0.35">
      <c r="A118" s="103"/>
      <c r="B118" s="12" t="s">
        <v>3</v>
      </c>
      <c r="C118" s="10" t="s">
        <v>294</v>
      </c>
      <c r="D118" s="152"/>
      <c r="E118" s="170"/>
      <c r="F118" s="153" t="str">
        <f t="shared" si="10"/>
        <v/>
      </c>
      <c r="G118" s="256"/>
      <c r="H118" s="166">
        <f t="shared" si="12"/>
        <v>0</v>
      </c>
      <c r="I118" s="10" t="s">
        <v>20</v>
      </c>
      <c r="J118" s="11">
        <v>21.95</v>
      </c>
      <c r="K118" s="12">
        <f t="shared" si="13"/>
        <v>0</v>
      </c>
    </row>
    <row r="119" spans="1:11" hidden="1" x14ac:dyDescent="0.35">
      <c r="A119" s="103"/>
      <c r="B119" s="12" t="s">
        <v>3</v>
      </c>
      <c r="C119" s="10" t="s">
        <v>295</v>
      </c>
      <c r="D119" s="152"/>
      <c r="E119" s="170"/>
      <c r="F119" s="153" t="str">
        <f t="shared" si="10"/>
        <v/>
      </c>
      <c r="G119" s="256"/>
      <c r="H119" s="166">
        <f t="shared" si="12"/>
        <v>0</v>
      </c>
      <c r="I119" s="10" t="s">
        <v>20</v>
      </c>
      <c r="J119" s="11"/>
      <c r="K119" s="12">
        <f t="shared" si="13"/>
        <v>0</v>
      </c>
    </row>
    <row r="120" spans="1:11" hidden="1" x14ac:dyDescent="0.35">
      <c r="A120" s="103"/>
      <c r="B120" s="12" t="s">
        <v>3</v>
      </c>
      <c r="C120" s="10" t="s">
        <v>296</v>
      </c>
      <c r="D120" s="152"/>
      <c r="E120" s="170"/>
      <c r="F120" s="153" t="str">
        <f t="shared" si="10"/>
        <v/>
      </c>
      <c r="G120" s="256"/>
      <c r="H120" s="166">
        <f t="shared" si="12"/>
        <v>0</v>
      </c>
      <c r="I120" s="10" t="s">
        <v>20</v>
      </c>
      <c r="J120" s="11"/>
      <c r="K120" s="12">
        <f t="shared" si="13"/>
        <v>0</v>
      </c>
    </row>
    <row r="121" spans="1:11" hidden="1" x14ac:dyDescent="0.35">
      <c r="A121" s="103"/>
      <c r="B121" s="12" t="s">
        <v>3</v>
      </c>
      <c r="C121" s="10" t="s">
        <v>297</v>
      </c>
      <c r="D121" s="152"/>
      <c r="E121" s="170"/>
      <c r="F121" s="153" t="str">
        <f t="shared" si="10"/>
        <v/>
      </c>
      <c r="G121" s="256"/>
      <c r="H121" s="166">
        <f t="shared" si="12"/>
        <v>0</v>
      </c>
      <c r="I121" s="10" t="s">
        <v>20</v>
      </c>
      <c r="J121" s="11">
        <v>22.95</v>
      </c>
      <c r="K121" s="12">
        <f t="shared" si="13"/>
        <v>0</v>
      </c>
    </row>
    <row r="122" spans="1:11" ht="15.5" hidden="1" x14ac:dyDescent="0.35">
      <c r="A122" s="112" t="s">
        <v>298</v>
      </c>
      <c r="B122" s="116"/>
      <c r="C122" s="116"/>
      <c r="D122" s="228"/>
      <c r="E122" s="250"/>
      <c r="F122" s="165" t="str">
        <f t="shared" si="10"/>
        <v/>
      </c>
      <c r="G122" s="260"/>
      <c r="H122" s="247"/>
      <c r="I122" s="117"/>
      <c r="J122" s="106" t="s">
        <v>18</v>
      </c>
      <c r="K122" s="269">
        <f>SUM(K123:K175)</f>
        <v>362.22</v>
      </c>
    </row>
    <row r="123" spans="1:11" hidden="1" x14ac:dyDescent="0.35">
      <c r="A123" s="103"/>
      <c r="B123" s="20" t="s">
        <v>4</v>
      </c>
      <c r="C123" s="18" t="s">
        <v>62</v>
      </c>
      <c r="D123" s="229"/>
      <c r="E123" s="250"/>
      <c r="F123" s="153" t="str">
        <f t="shared" si="10"/>
        <v/>
      </c>
      <c r="G123" s="256"/>
      <c r="H123" s="166">
        <f t="shared" si="12"/>
        <v>0</v>
      </c>
      <c r="I123" s="18" t="s">
        <v>20</v>
      </c>
      <c r="J123" s="19">
        <v>7.35</v>
      </c>
      <c r="K123" s="20">
        <f>G123*J123</f>
        <v>0</v>
      </c>
    </row>
    <row r="124" spans="1:11" hidden="1" x14ac:dyDescent="0.35">
      <c r="A124" s="103"/>
      <c r="B124" s="20" t="s">
        <v>4</v>
      </c>
      <c r="C124" s="18" t="s">
        <v>60</v>
      </c>
      <c r="D124" s="229"/>
      <c r="E124" s="250"/>
      <c r="F124" s="153" t="str">
        <f t="shared" si="10"/>
        <v/>
      </c>
      <c r="G124" s="256"/>
      <c r="H124" s="166">
        <f t="shared" si="12"/>
        <v>0</v>
      </c>
      <c r="I124" s="18" t="s">
        <v>20</v>
      </c>
      <c r="J124" s="19">
        <v>10.65</v>
      </c>
      <c r="K124" s="20">
        <f>G124*J124</f>
        <v>0</v>
      </c>
    </row>
    <row r="125" spans="1:11" hidden="1" x14ac:dyDescent="0.35">
      <c r="A125" s="113" t="s">
        <v>40</v>
      </c>
      <c r="B125" s="124"/>
      <c r="C125" s="124"/>
      <c r="D125" s="230"/>
      <c r="E125" s="250"/>
      <c r="F125" s="153" t="str">
        <f t="shared" si="10"/>
        <v/>
      </c>
      <c r="G125" s="261"/>
      <c r="H125" s="166">
        <f t="shared" si="12"/>
        <v>0</v>
      </c>
      <c r="I125" s="124"/>
      <c r="J125" s="124"/>
      <c r="K125" s="273"/>
    </row>
    <row r="126" spans="1:11" hidden="1" x14ac:dyDescent="0.35">
      <c r="A126" s="103"/>
      <c r="B126" s="20" t="s">
        <v>4</v>
      </c>
      <c r="C126" s="18" t="s">
        <v>299</v>
      </c>
      <c r="D126" s="229"/>
      <c r="E126" s="250"/>
      <c r="F126" s="153" t="str">
        <f t="shared" si="10"/>
        <v/>
      </c>
      <c r="G126" s="256"/>
      <c r="H126" s="166">
        <f t="shared" si="12"/>
        <v>0</v>
      </c>
      <c r="I126" s="18" t="s">
        <v>20</v>
      </c>
      <c r="J126" s="19">
        <v>1.31</v>
      </c>
      <c r="K126" s="12">
        <f t="shared" ref="K126:K137" si="14">G126*J126</f>
        <v>0</v>
      </c>
    </row>
    <row r="127" spans="1:11" hidden="1" x14ac:dyDescent="0.35">
      <c r="A127" s="103"/>
      <c r="B127" s="12" t="s">
        <v>4</v>
      </c>
      <c r="C127" s="10" t="s">
        <v>300</v>
      </c>
      <c r="D127" s="152"/>
      <c r="E127" s="250"/>
      <c r="F127" s="153" t="str">
        <f t="shared" si="10"/>
        <v/>
      </c>
      <c r="G127" s="256"/>
      <c r="H127" s="166">
        <f t="shared" si="12"/>
        <v>0</v>
      </c>
      <c r="I127" s="10" t="s">
        <v>20</v>
      </c>
      <c r="J127" s="11">
        <v>1.31</v>
      </c>
      <c r="K127" s="12">
        <f t="shared" si="14"/>
        <v>0</v>
      </c>
    </row>
    <row r="128" spans="1:11" hidden="1" x14ac:dyDescent="0.35">
      <c r="A128" s="103"/>
      <c r="B128" s="20" t="s">
        <v>4</v>
      </c>
      <c r="C128" s="18" t="s">
        <v>301</v>
      </c>
      <c r="D128" s="229"/>
      <c r="E128" s="250"/>
      <c r="F128" s="153" t="str">
        <f t="shared" si="10"/>
        <v/>
      </c>
      <c r="G128" s="256"/>
      <c r="H128" s="166">
        <f t="shared" si="12"/>
        <v>0</v>
      </c>
      <c r="I128" s="18" t="s">
        <v>20</v>
      </c>
      <c r="J128" s="19">
        <v>1.4039999999999999</v>
      </c>
      <c r="K128" s="12">
        <f t="shared" si="14"/>
        <v>0</v>
      </c>
    </row>
    <row r="129" spans="1:11" hidden="1" x14ac:dyDescent="0.35">
      <c r="A129" s="103"/>
      <c r="B129" s="12" t="s">
        <v>4</v>
      </c>
      <c r="C129" s="10" t="s">
        <v>302</v>
      </c>
      <c r="D129" s="152"/>
      <c r="E129" s="250"/>
      <c r="F129" s="153" t="str">
        <f t="shared" si="10"/>
        <v/>
      </c>
      <c r="G129" s="256"/>
      <c r="H129" s="166">
        <f t="shared" si="12"/>
        <v>0</v>
      </c>
      <c r="I129" s="10" t="s">
        <v>20</v>
      </c>
      <c r="J129" s="11">
        <v>1.4039999999999999</v>
      </c>
      <c r="K129" s="12">
        <f t="shared" si="14"/>
        <v>0</v>
      </c>
    </row>
    <row r="130" spans="1:11" hidden="1" x14ac:dyDescent="0.35">
      <c r="A130" s="103"/>
      <c r="B130" s="12" t="s">
        <v>4</v>
      </c>
      <c r="C130" s="10" t="s">
        <v>303</v>
      </c>
      <c r="D130" s="152"/>
      <c r="E130" s="250"/>
      <c r="F130" s="153" t="str">
        <f t="shared" si="10"/>
        <v/>
      </c>
      <c r="G130" s="256"/>
      <c r="H130" s="166">
        <f t="shared" si="12"/>
        <v>0</v>
      </c>
      <c r="I130" s="10" t="s">
        <v>20</v>
      </c>
      <c r="J130" s="11">
        <v>1.53</v>
      </c>
      <c r="K130" s="12">
        <f t="shared" si="14"/>
        <v>0</v>
      </c>
    </row>
    <row r="131" spans="1:11" hidden="1" x14ac:dyDescent="0.35">
      <c r="A131" s="103"/>
      <c r="B131" s="12" t="s">
        <v>4</v>
      </c>
      <c r="C131" s="10" t="s">
        <v>304</v>
      </c>
      <c r="D131" s="152"/>
      <c r="E131" s="250"/>
      <c r="F131" s="153" t="str">
        <f t="shared" si="10"/>
        <v/>
      </c>
      <c r="G131" s="256"/>
      <c r="H131" s="166">
        <f t="shared" si="12"/>
        <v>0</v>
      </c>
      <c r="I131" s="10" t="s">
        <v>20</v>
      </c>
      <c r="J131" s="11">
        <v>1.65</v>
      </c>
      <c r="K131" s="12">
        <f t="shared" si="14"/>
        <v>0</v>
      </c>
    </row>
    <row r="132" spans="1:11" hidden="1" x14ac:dyDescent="0.35">
      <c r="A132" s="103"/>
      <c r="B132" s="12" t="s">
        <v>4</v>
      </c>
      <c r="C132" s="10" t="s">
        <v>83</v>
      </c>
      <c r="D132" s="152"/>
      <c r="E132" s="250"/>
      <c r="F132" s="153" t="str">
        <f t="shared" si="10"/>
        <v/>
      </c>
      <c r="G132" s="256"/>
      <c r="H132" s="166">
        <f t="shared" si="12"/>
        <v>0</v>
      </c>
      <c r="I132" s="10" t="s">
        <v>20</v>
      </c>
      <c r="J132" s="11">
        <v>1.04</v>
      </c>
      <c r="K132" s="12">
        <f t="shared" si="14"/>
        <v>0</v>
      </c>
    </row>
    <row r="133" spans="1:11" hidden="1" x14ac:dyDescent="0.35">
      <c r="A133" s="103"/>
      <c r="B133" s="12" t="s">
        <v>4</v>
      </c>
      <c r="C133" s="10" t="s">
        <v>305</v>
      </c>
      <c r="D133" s="152"/>
      <c r="E133" s="250"/>
      <c r="F133" s="153" t="str">
        <f t="shared" si="10"/>
        <v/>
      </c>
      <c r="G133" s="256"/>
      <c r="H133" s="166">
        <f t="shared" si="12"/>
        <v>0</v>
      </c>
      <c r="I133" s="10" t="s">
        <v>20</v>
      </c>
      <c r="J133" s="11">
        <v>1.04</v>
      </c>
      <c r="K133" s="12">
        <f t="shared" si="14"/>
        <v>0</v>
      </c>
    </row>
    <row r="134" spans="1:11" hidden="1" x14ac:dyDescent="0.35">
      <c r="A134" s="103"/>
      <c r="B134" s="12" t="s">
        <v>4</v>
      </c>
      <c r="C134" s="10" t="s">
        <v>306</v>
      </c>
      <c r="D134" s="152"/>
      <c r="E134" s="250"/>
      <c r="F134" s="153" t="str">
        <f t="shared" si="10"/>
        <v/>
      </c>
      <c r="G134" s="256"/>
      <c r="H134" s="166">
        <f t="shared" si="12"/>
        <v>0</v>
      </c>
      <c r="I134" s="10" t="s">
        <v>20</v>
      </c>
      <c r="J134" s="11">
        <v>1.06</v>
      </c>
      <c r="K134" s="12">
        <f t="shared" si="14"/>
        <v>0</v>
      </c>
    </row>
    <row r="135" spans="1:11" hidden="1" x14ac:dyDescent="0.35">
      <c r="A135" s="103"/>
      <c r="B135" s="12" t="s">
        <v>4</v>
      </c>
      <c r="C135" s="10" t="s">
        <v>307</v>
      </c>
      <c r="D135" s="152"/>
      <c r="E135" s="250"/>
      <c r="F135" s="153" t="str">
        <f t="shared" si="10"/>
        <v/>
      </c>
      <c r="G135" s="256"/>
      <c r="H135" s="166">
        <f t="shared" si="12"/>
        <v>0</v>
      </c>
      <c r="I135" s="10" t="s">
        <v>20</v>
      </c>
      <c r="J135" s="11">
        <v>1.06</v>
      </c>
      <c r="K135" s="12">
        <f t="shared" si="14"/>
        <v>0</v>
      </c>
    </row>
    <row r="136" spans="1:11" hidden="1" x14ac:dyDescent="0.35">
      <c r="A136" s="103"/>
      <c r="B136" s="12" t="s">
        <v>4</v>
      </c>
      <c r="C136" s="10" t="s">
        <v>308</v>
      </c>
      <c r="D136" s="152"/>
      <c r="E136" s="250"/>
      <c r="F136" s="153" t="str">
        <f t="shared" si="10"/>
        <v/>
      </c>
      <c r="G136" s="256"/>
      <c r="H136" s="166">
        <f t="shared" si="12"/>
        <v>0</v>
      </c>
      <c r="I136" s="10" t="s">
        <v>20</v>
      </c>
      <c r="J136" s="11">
        <v>1.2869999999999999</v>
      </c>
      <c r="K136" s="12">
        <f t="shared" si="14"/>
        <v>0</v>
      </c>
    </row>
    <row r="137" spans="1:11" hidden="1" x14ac:dyDescent="0.35">
      <c r="A137" s="103"/>
      <c r="B137" s="12" t="s">
        <v>4</v>
      </c>
      <c r="C137" s="10" t="s">
        <v>309</v>
      </c>
      <c r="D137" s="152"/>
      <c r="E137" s="250"/>
      <c r="F137" s="153" t="str">
        <f t="shared" si="10"/>
        <v/>
      </c>
      <c r="G137" s="256"/>
      <c r="H137" s="166">
        <f t="shared" si="12"/>
        <v>0</v>
      </c>
      <c r="I137" s="10" t="s">
        <v>20</v>
      </c>
      <c r="J137" s="11">
        <v>1.59</v>
      </c>
      <c r="K137" s="12">
        <f t="shared" si="14"/>
        <v>0</v>
      </c>
    </row>
    <row r="138" spans="1:11" hidden="1" x14ac:dyDescent="0.35">
      <c r="A138" s="113" t="s">
        <v>310</v>
      </c>
      <c r="B138" s="124"/>
      <c r="C138" s="124"/>
      <c r="D138" s="230"/>
      <c r="E138" s="250"/>
      <c r="F138" s="153" t="str">
        <f t="shared" si="10"/>
        <v/>
      </c>
      <c r="G138" s="261"/>
      <c r="H138" s="166">
        <f t="shared" si="12"/>
        <v>0</v>
      </c>
      <c r="I138" s="124"/>
      <c r="J138" s="124"/>
      <c r="K138" s="273"/>
    </row>
    <row r="139" spans="1:11" hidden="1" x14ac:dyDescent="0.35">
      <c r="A139" s="103"/>
      <c r="B139" s="12" t="s">
        <v>4</v>
      </c>
      <c r="C139" s="10" t="s">
        <v>311</v>
      </c>
      <c r="D139" s="152"/>
      <c r="E139" s="250"/>
      <c r="F139" s="153" t="str">
        <f t="shared" si="10"/>
        <v/>
      </c>
      <c r="G139" s="256"/>
      <c r="H139" s="166">
        <f t="shared" si="12"/>
        <v>0</v>
      </c>
      <c r="I139" s="10" t="s">
        <v>20</v>
      </c>
      <c r="J139" s="11">
        <v>1.1000000000000001</v>
      </c>
      <c r="K139" s="12">
        <f t="shared" ref="K139:K149" si="15">G139*J139</f>
        <v>0</v>
      </c>
    </row>
    <row r="140" spans="1:11" hidden="1" x14ac:dyDescent="0.35">
      <c r="A140" s="103"/>
      <c r="B140" s="12" t="s">
        <v>4</v>
      </c>
      <c r="C140" s="10" t="s">
        <v>312</v>
      </c>
      <c r="D140" s="152"/>
      <c r="E140" s="250"/>
      <c r="F140" s="153" t="str">
        <f t="shared" si="10"/>
        <v/>
      </c>
      <c r="G140" s="256"/>
      <c r="H140" s="166">
        <f t="shared" si="12"/>
        <v>0</v>
      </c>
      <c r="I140" s="10" t="s">
        <v>20</v>
      </c>
      <c r="J140" s="11">
        <v>1.1000000000000001</v>
      </c>
      <c r="K140" s="12">
        <f t="shared" si="15"/>
        <v>0</v>
      </c>
    </row>
    <row r="141" spans="1:11" hidden="1" x14ac:dyDescent="0.35">
      <c r="A141" s="103"/>
      <c r="B141" s="12" t="s">
        <v>4</v>
      </c>
      <c r="C141" s="10" t="s">
        <v>313</v>
      </c>
      <c r="D141" s="152"/>
      <c r="E141" s="250"/>
      <c r="F141" s="153" t="str">
        <f t="shared" si="10"/>
        <v/>
      </c>
      <c r="G141" s="256"/>
      <c r="H141" s="166">
        <f t="shared" si="12"/>
        <v>0</v>
      </c>
      <c r="I141" s="10" t="s">
        <v>20</v>
      </c>
      <c r="J141" s="11">
        <v>1.3</v>
      </c>
      <c r="K141" s="12">
        <f t="shared" si="15"/>
        <v>0</v>
      </c>
    </row>
    <row r="142" spans="1:11" hidden="1" x14ac:dyDescent="0.35">
      <c r="A142" s="103"/>
      <c r="B142" s="12" t="s">
        <v>4</v>
      </c>
      <c r="C142" s="10" t="s">
        <v>314</v>
      </c>
      <c r="D142" s="152"/>
      <c r="E142" s="250"/>
      <c r="F142" s="153" t="str">
        <f t="shared" si="10"/>
        <v/>
      </c>
      <c r="G142" s="256"/>
      <c r="H142" s="166">
        <f t="shared" si="12"/>
        <v>0</v>
      </c>
      <c r="I142" s="10" t="s">
        <v>20</v>
      </c>
      <c r="J142" s="11">
        <v>1.36</v>
      </c>
      <c r="K142" s="12">
        <f t="shared" si="15"/>
        <v>0</v>
      </c>
    </row>
    <row r="143" spans="1:11" hidden="1" x14ac:dyDescent="0.35">
      <c r="A143" s="103"/>
      <c r="B143" s="12" t="s">
        <v>4</v>
      </c>
      <c r="C143" s="10" t="s">
        <v>315</v>
      </c>
      <c r="D143" s="152"/>
      <c r="E143" s="250"/>
      <c r="F143" s="153" t="str">
        <f t="shared" si="10"/>
        <v/>
      </c>
      <c r="G143" s="256"/>
      <c r="H143" s="166">
        <f t="shared" si="12"/>
        <v>0</v>
      </c>
      <c r="I143" s="10" t="s">
        <v>20</v>
      </c>
      <c r="J143" s="11">
        <v>1.3</v>
      </c>
      <c r="K143" s="12">
        <f t="shared" si="15"/>
        <v>0</v>
      </c>
    </row>
    <row r="144" spans="1:11" hidden="1" x14ac:dyDescent="0.35">
      <c r="A144" s="103"/>
      <c r="B144" s="12" t="s">
        <v>4</v>
      </c>
      <c r="C144" s="10" t="s">
        <v>316</v>
      </c>
      <c r="D144" s="152"/>
      <c r="E144" s="250"/>
      <c r="F144" s="153" t="str">
        <f t="shared" si="10"/>
        <v/>
      </c>
      <c r="G144" s="256"/>
      <c r="H144" s="166">
        <f t="shared" si="12"/>
        <v>0</v>
      </c>
      <c r="I144" s="10" t="s">
        <v>20</v>
      </c>
      <c r="J144" s="11">
        <v>1.35</v>
      </c>
      <c r="K144" s="12">
        <f t="shared" si="15"/>
        <v>0</v>
      </c>
    </row>
    <row r="145" spans="1:11" hidden="1" x14ac:dyDescent="0.35">
      <c r="A145" s="103"/>
      <c r="B145" s="12" t="s">
        <v>4</v>
      </c>
      <c r="C145" s="10" t="s">
        <v>317</v>
      </c>
      <c r="D145" s="152"/>
      <c r="E145" s="250"/>
      <c r="F145" s="153" t="str">
        <f t="shared" si="10"/>
        <v/>
      </c>
      <c r="G145" s="256"/>
      <c r="H145" s="166">
        <f t="shared" si="12"/>
        <v>0</v>
      </c>
      <c r="I145" s="10" t="s">
        <v>20</v>
      </c>
      <c r="J145" s="11">
        <v>1.28</v>
      </c>
      <c r="K145" s="12">
        <f t="shared" si="15"/>
        <v>0</v>
      </c>
    </row>
    <row r="146" spans="1:11" hidden="1" x14ac:dyDescent="0.35">
      <c r="A146" s="103"/>
      <c r="B146" s="12" t="s">
        <v>4</v>
      </c>
      <c r="C146" s="10" t="s">
        <v>318</v>
      </c>
      <c r="D146" s="152"/>
      <c r="E146" s="250"/>
      <c r="F146" s="153" t="str">
        <f t="shared" si="10"/>
        <v/>
      </c>
      <c r="G146" s="256"/>
      <c r="H146" s="166">
        <f t="shared" si="12"/>
        <v>0</v>
      </c>
      <c r="I146" s="10" t="s">
        <v>20</v>
      </c>
      <c r="J146" s="11">
        <v>1.1000000000000001</v>
      </c>
      <c r="K146" s="12">
        <f t="shared" si="15"/>
        <v>0</v>
      </c>
    </row>
    <row r="147" spans="1:11" hidden="1" x14ac:dyDescent="0.35">
      <c r="A147" s="103"/>
      <c r="B147" s="12" t="s">
        <v>4</v>
      </c>
      <c r="C147" s="10" t="s">
        <v>319</v>
      </c>
      <c r="D147" s="152"/>
      <c r="E147" s="250"/>
      <c r="F147" s="153" t="str">
        <f t="shared" si="10"/>
        <v/>
      </c>
      <c r="G147" s="256"/>
      <c r="H147" s="166">
        <f t="shared" si="12"/>
        <v>0</v>
      </c>
      <c r="I147" s="10" t="s">
        <v>20</v>
      </c>
      <c r="J147" s="11">
        <v>1.1000000000000001</v>
      </c>
      <c r="K147" s="12">
        <f t="shared" si="15"/>
        <v>0</v>
      </c>
    </row>
    <row r="148" spans="1:11" hidden="1" x14ac:dyDescent="0.35">
      <c r="A148" s="103"/>
      <c r="B148" s="12" t="s">
        <v>4</v>
      </c>
      <c r="C148" s="10" t="s">
        <v>320</v>
      </c>
      <c r="D148" s="152"/>
      <c r="E148" s="250"/>
      <c r="F148" s="153" t="str">
        <f t="shared" si="10"/>
        <v/>
      </c>
      <c r="G148" s="256"/>
      <c r="H148" s="166">
        <f t="shared" si="12"/>
        <v>0</v>
      </c>
      <c r="I148" s="10" t="s">
        <v>20</v>
      </c>
      <c r="J148" s="11">
        <v>1.1000000000000001</v>
      </c>
      <c r="K148" s="12">
        <f t="shared" si="15"/>
        <v>0</v>
      </c>
    </row>
    <row r="149" spans="1:11" hidden="1" x14ac:dyDescent="0.35">
      <c r="A149" s="103"/>
      <c r="B149" s="12" t="s">
        <v>4</v>
      </c>
      <c r="C149" s="10" t="s">
        <v>321</v>
      </c>
      <c r="D149" s="152"/>
      <c r="E149" s="250"/>
      <c r="F149" s="153" t="str">
        <f t="shared" si="10"/>
        <v/>
      </c>
      <c r="G149" s="256"/>
      <c r="H149" s="166">
        <f t="shared" si="12"/>
        <v>0</v>
      </c>
      <c r="I149" s="10" t="s">
        <v>20</v>
      </c>
      <c r="J149" s="11">
        <v>1.1000000000000001</v>
      </c>
      <c r="K149" s="12">
        <f t="shared" si="15"/>
        <v>0</v>
      </c>
    </row>
    <row r="150" spans="1:11" x14ac:dyDescent="0.35">
      <c r="A150" s="113" t="s">
        <v>41</v>
      </c>
      <c r="B150" s="124"/>
      <c r="C150" s="124"/>
      <c r="D150" s="230"/>
      <c r="E150" s="250"/>
      <c r="F150" s="165" t="str">
        <f t="shared" si="10"/>
        <v/>
      </c>
      <c r="G150" s="261"/>
      <c r="H150" s="247"/>
      <c r="I150" s="124"/>
      <c r="J150" s="124"/>
      <c r="K150" s="273"/>
    </row>
    <row r="151" spans="1:11" x14ac:dyDescent="0.35">
      <c r="A151" s="103"/>
      <c r="B151" s="12" t="s">
        <v>4</v>
      </c>
      <c r="C151" s="10" t="s">
        <v>24</v>
      </c>
      <c r="D151" s="152">
        <v>18</v>
      </c>
      <c r="E151" s="170">
        <v>16</v>
      </c>
      <c r="F151" s="153">
        <f t="shared" si="10"/>
        <v>2</v>
      </c>
      <c r="G151" s="256"/>
      <c r="H151" s="166">
        <f t="shared" si="12"/>
        <v>18</v>
      </c>
      <c r="I151" s="10" t="s">
        <v>20</v>
      </c>
      <c r="J151" s="11">
        <v>3.04</v>
      </c>
      <c r="K151" s="12">
        <f>H151*J151</f>
        <v>54.72</v>
      </c>
    </row>
    <row r="152" spans="1:11" x14ac:dyDescent="0.35">
      <c r="A152" s="103"/>
      <c r="B152" s="12" t="s">
        <v>4</v>
      </c>
      <c r="C152" s="10" t="s">
        <v>80</v>
      </c>
      <c r="D152" s="152">
        <v>30</v>
      </c>
      <c r="E152" s="170">
        <v>26</v>
      </c>
      <c r="F152" s="153">
        <f t="shared" si="10"/>
        <v>4</v>
      </c>
      <c r="G152" s="256"/>
      <c r="H152" s="166">
        <f t="shared" si="12"/>
        <v>30</v>
      </c>
      <c r="I152" s="10" t="s">
        <v>20</v>
      </c>
      <c r="J152" s="11">
        <v>2.31</v>
      </c>
      <c r="K152" s="12">
        <f t="shared" ref="K152:K168" si="16">H152*J152</f>
        <v>69.3</v>
      </c>
    </row>
    <row r="153" spans="1:11" x14ac:dyDescent="0.35">
      <c r="A153" s="103"/>
      <c r="B153" s="12" t="s">
        <v>4</v>
      </c>
      <c r="C153" s="10" t="s">
        <v>84</v>
      </c>
      <c r="D153" s="152">
        <v>18</v>
      </c>
      <c r="E153" s="170">
        <v>17</v>
      </c>
      <c r="F153" s="153">
        <f t="shared" ref="F153:F219" si="17">IF(E153="","",IF(D153-E153&gt;0,D153-E153,""))</f>
        <v>1</v>
      </c>
      <c r="G153" s="256"/>
      <c r="H153" s="166">
        <f t="shared" si="12"/>
        <v>18</v>
      </c>
      <c r="I153" s="10" t="s">
        <v>20</v>
      </c>
      <c r="J153" s="11">
        <v>2.31</v>
      </c>
      <c r="K153" s="12">
        <f t="shared" si="16"/>
        <v>41.58</v>
      </c>
    </row>
    <row r="154" spans="1:11" hidden="1" x14ac:dyDescent="0.35">
      <c r="A154" s="103"/>
      <c r="B154" s="12" t="s">
        <v>4</v>
      </c>
      <c r="C154" s="10" t="s">
        <v>394</v>
      </c>
      <c r="D154" s="152"/>
      <c r="E154" s="170"/>
      <c r="F154" s="153" t="str">
        <f t="shared" si="17"/>
        <v/>
      </c>
      <c r="G154" s="256"/>
      <c r="H154" s="166">
        <f t="shared" si="12"/>
        <v>0</v>
      </c>
      <c r="I154" s="10" t="s">
        <v>20</v>
      </c>
      <c r="J154" s="11">
        <v>2.54</v>
      </c>
      <c r="K154" s="12">
        <f t="shared" si="16"/>
        <v>0</v>
      </c>
    </row>
    <row r="155" spans="1:11" hidden="1" x14ac:dyDescent="0.35">
      <c r="A155" s="103"/>
      <c r="B155" s="12" t="s">
        <v>4</v>
      </c>
      <c r="C155" s="10" t="s">
        <v>394</v>
      </c>
      <c r="D155" s="152"/>
      <c r="E155" s="170"/>
      <c r="F155" s="153" t="str">
        <f t="shared" si="17"/>
        <v/>
      </c>
      <c r="G155" s="256"/>
      <c r="H155" s="166">
        <f t="shared" si="12"/>
        <v>0</v>
      </c>
      <c r="I155" s="10" t="s">
        <v>20</v>
      </c>
      <c r="J155" s="11">
        <v>2.54</v>
      </c>
      <c r="K155" s="12">
        <f t="shared" si="16"/>
        <v>0</v>
      </c>
    </row>
    <row r="156" spans="1:11" x14ac:dyDescent="0.35">
      <c r="A156" s="103"/>
      <c r="B156" s="12" t="s">
        <v>4</v>
      </c>
      <c r="C156" s="10" t="s">
        <v>25</v>
      </c>
      <c r="D156" s="152">
        <v>18</v>
      </c>
      <c r="E156" s="170">
        <v>16</v>
      </c>
      <c r="F156" s="153">
        <f t="shared" si="17"/>
        <v>2</v>
      </c>
      <c r="G156" s="256"/>
      <c r="H156" s="166">
        <f t="shared" si="12"/>
        <v>18</v>
      </c>
      <c r="I156" s="10" t="s">
        <v>20</v>
      </c>
      <c r="J156" s="11">
        <v>1.79</v>
      </c>
      <c r="K156" s="12">
        <f t="shared" si="16"/>
        <v>32.22</v>
      </c>
    </row>
    <row r="157" spans="1:11" hidden="1" x14ac:dyDescent="0.35">
      <c r="A157" s="103"/>
      <c r="B157" s="12" t="s">
        <v>4</v>
      </c>
      <c r="C157" s="10" t="s">
        <v>322</v>
      </c>
      <c r="D157" s="152"/>
      <c r="E157" s="170"/>
      <c r="F157" s="153" t="str">
        <f t="shared" si="17"/>
        <v/>
      </c>
      <c r="G157" s="256"/>
      <c r="H157" s="166">
        <f t="shared" si="12"/>
        <v>0</v>
      </c>
      <c r="I157" s="10" t="s">
        <v>20</v>
      </c>
      <c r="J157" s="11">
        <v>2.46</v>
      </c>
      <c r="K157" s="12">
        <f t="shared" si="16"/>
        <v>0</v>
      </c>
    </row>
    <row r="158" spans="1:11" x14ac:dyDescent="0.35">
      <c r="A158" s="103"/>
      <c r="B158" s="12" t="s">
        <v>4</v>
      </c>
      <c r="C158" s="10" t="s">
        <v>393</v>
      </c>
      <c r="D158" s="152">
        <v>30</v>
      </c>
      <c r="E158" s="170">
        <v>26</v>
      </c>
      <c r="F158" s="153">
        <f t="shared" si="17"/>
        <v>4</v>
      </c>
      <c r="G158" s="256"/>
      <c r="H158" s="166">
        <f t="shared" si="12"/>
        <v>30</v>
      </c>
      <c r="I158" s="10" t="s">
        <v>20</v>
      </c>
      <c r="J158" s="11">
        <v>2.46</v>
      </c>
      <c r="K158" s="12">
        <f t="shared" si="16"/>
        <v>73.8</v>
      </c>
    </row>
    <row r="159" spans="1:11" hidden="1" x14ac:dyDescent="0.35">
      <c r="A159" s="103"/>
      <c r="B159" s="12" t="s">
        <v>4</v>
      </c>
      <c r="C159" s="10" t="s">
        <v>43</v>
      </c>
      <c r="D159" s="152"/>
      <c r="E159" s="170"/>
      <c r="F159" s="153" t="str">
        <f t="shared" si="17"/>
        <v/>
      </c>
      <c r="G159" s="256"/>
      <c r="H159" s="166">
        <f t="shared" si="12"/>
        <v>0</v>
      </c>
      <c r="I159" s="10" t="s">
        <v>20</v>
      </c>
      <c r="J159" s="11">
        <v>2.5499999999999998</v>
      </c>
      <c r="K159" s="12">
        <f t="shared" si="16"/>
        <v>0</v>
      </c>
    </row>
    <row r="160" spans="1:11" x14ac:dyDescent="0.35">
      <c r="A160" s="103"/>
      <c r="B160" s="12" t="s">
        <v>4</v>
      </c>
      <c r="C160" s="10" t="s">
        <v>81</v>
      </c>
      <c r="D160" s="152">
        <v>30</v>
      </c>
      <c r="E160" s="170">
        <v>30</v>
      </c>
      <c r="F160" s="153" t="str">
        <f t="shared" si="17"/>
        <v/>
      </c>
      <c r="G160" s="256"/>
      <c r="H160" s="166">
        <f t="shared" si="12"/>
        <v>30</v>
      </c>
      <c r="I160" s="10" t="s">
        <v>20</v>
      </c>
      <c r="J160" s="11">
        <v>1.51</v>
      </c>
      <c r="K160" s="12">
        <f t="shared" si="16"/>
        <v>45.3</v>
      </c>
    </row>
    <row r="161" spans="1:11" x14ac:dyDescent="0.35">
      <c r="A161" s="103"/>
      <c r="B161" s="12" t="s">
        <v>4</v>
      </c>
      <c r="C161" s="10" t="s">
        <v>82</v>
      </c>
      <c r="D161" s="152">
        <v>30</v>
      </c>
      <c r="E161" s="170">
        <v>28</v>
      </c>
      <c r="F161" s="153">
        <f t="shared" si="17"/>
        <v>2</v>
      </c>
      <c r="G161" s="256"/>
      <c r="H161" s="166">
        <f t="shared" si="12"/>
        <v>30</v>
      </c>
      <c r="I161" s="10" t="s">
        <v>20</v>
      </c>
      <c r="J161" s="11">
        <v>1.51</v>
      </c>
      <c r="K161" s="12">
        <f t="shared" si="16"/>
        <v>45.3</v>
      </c>
    </row>
    <row r="162" spans="1:11" hidden="1" x14ac:dyDescent="0.35">
      <c r="A162" s="103"/>
      <c r="B162" s="12" t="s">
        <v>4</v>
      </c>
      <c r="C162" s="10" t="s">
        <v>323</v>
      </c>
      <c r="D162" s="152"/>
      <c r="E162" s="170"/>
      <c r="F162" s="153" t="str">
        <f t="shared" si="17"/>
        <v/>
      </c>
      <c r="G162" s="256"/>
      <c r="H162" s="166">
        <f t="shared" si="12"/>
        <v>0</v>
      </c>
      <c r="I162" s="10" t="s">
        <v>20</v>
      </c>
      <c r="J162" s="11">
        <v>1.54</v>
      </c>
      <c r="K162" s="12">
        <f t="shared" si="16"/>
        <v>0</v>
      </c>
    </row>
    <row r="163" spans="1:11" hidden="1" x14ac:dyDescent="0.35">
      <c r="A163" s="103"/>
      <c r="B163" s="12" t="s">
        <v>4</v>
      </c>
      <c r="C163" s="10" t="s">
        <v>324</v>
      </c>
      <c r="D163" s="152"/>
      <c r="E163" s="170"/>
      <c r="F163" s="153" t="str">
        <f t="shared" si="17"/>
        <v/>
      </c>
      <c r="G163" s="256"/>
      <c r="H163" s="166">
        <f t="shared" si="12"/>
        <v>0</v>
      </c>
      <c r="I163" s="10" t="s">
        <v>20</v>
      </c>
      <c r="J163" s="11">
        <v>1.6</v>
      </c>
      <c r="K163" s="12">
        <f t="shared" si="16"/>
        <v>0</v>
      </c>
    </row>
    <row r="164" spans="1:11" hidden="1" x14ac:dyDescent="0.35">
      <c r="A164" s="103"/>
      <c r="B164" s="12" t="s">
        <v>4</v>
      </c>
      <c r="C164" s="78" t="s">
        <v>325</v>
      </c>
      <c r="D164" s="224"/>
      <c r="E164" s="170"/>
      <c r="F164" s="153" t="str">
        <f t="shared" si="17"/>
        <v/>
      </c>
      <c r="G164" s="256"/>
      <c r="H164" s="166">
        <f t="shared" si="12"/>
        <v>0</v>
      </c>
      <c r="I164" s="10" t="s">
        <v>20</v>
      </c>
      <c r="J164" s="79">
        <v>49.95</v>
      </c>
      <c r="K164" s="12">
        <f t="shared" si="16"/>
        <v>0</v>
      </c>
    </row>
    <row r="165" spans="1:11" hidden="1" x14ac:dyDescent="0.35">
      <c r="A165" s="113" t="s">
        <v>44</v>
      </c>
      <c r="B165" s="124"/>
      <c r="C165" s="124"/>
      <c r="D165" s="230"/>
      <c r="E165" s="250"/>
      <c r="F165" s="165" t="str">
        <f t="shared" si="17"/>
        <v/>
      </c>
      <c r="G165" s="261"/>
      <c r="H165" s="247"/>
      <c r="I165" s="124"/>
      <c r="J165" s="124"/>
      <c r="K165" s="270"/>
    </row>
    <row r="166" spans="1:11" hidden="1" x14ac:dyDescent="0.35">
      <c r="A166" s="103"/>
      <c r="B166" s="12" t="s">
        <v>4</v>
      </c>
      <c r="C166" s="10" t="s">
        <v>48</v>
      </c>
      <c r="D166" s="152"/>
      <c r="E166" s="170"/>
      <c r="F166" s="153" t="str">
        <f t="shared" si="17"/>
        <v/>
      </c>
      <c r="G166" s="256"/>
      <c r="H166" s="166">
        <f t="shared" si="12"/>
        <v>0</v>
      </c>
      <c r="I166" s="10" t="s">
        <v>20</v>
      </c>
      <c r="J166" s="11">
        <v>1.94</v>
      </c>
      <c r="K166" s="12">
        <f t="shared" si="16"/>
        <v>0</v>
      </c>
    </row>
    <row r="167" spans="1:11" hidden="1" x14ac:dyDescent="0.35">
      <c r="A167" s="103"/>
      <c r="B167" s="12" t="s">
        <v>4</v>
      </c>
      <c r="C167" s="10" t="s">
        <v>49</v>
      </c>
      <c r="D167" s="152"/>
      <c r="E167" s="170"/>
      <c r="F167" s="153" t="str">
        <f t="shared" si="17"/>
        <v/>
      </c>
      <c r="G167" s="256"/>
      <c r="H167" s="166">
        <f t="shared" si="12"/>
        <v>0</v>
      </c>
      <c r="I167" s="10" t="s">
        <v>20</v>
      </c>
      <c r="J167" s="11">
        <v>1.94</v>
      </c>
      <c r="K167" s="12">
        <f t="shared" si="16"/>
        <v>0</v>
      </c>
    </row>
    <row r="168" spans="1:11" hidden="1" x14ac:dyDescent="0.35">
      <c r="A168" s="103"/>
      <c r="B168" s="12" t="s">
        <v>4</v>
      </c>
      <c r="C168" s="10" t="s">
        <v>50</v>
      </c>
      <c r="D168" s="152"/>
      <c r="E168" s="170"/>
      <c r="F168" s="153" t="str">
        <f t="shared" si="17"/>
        <v/>
      </c>
      <c r="G168" s="256"/>
      <c r="H168" s="166">
        <f t="shared" si="12"/>
        <v>0</v>
      </c>
      <c r="I168" s="10" t="s">
        <v>20</v>
      </c>
      <c r="J168" s="11">
        <v>1.94</v>
      </c>
      <c r="K168" s="12">
        <f t="shared" si="16"/>
        <v>0</v>
      </c>
    </row>
    <row r="169" spans="1:11" hidden="1" x14ac:dyDescent="0.35">
      <c r="A169" s="103"/>
      <c r="B169" s="12" t="s">
        <v>4</v>
      </c>
      <c r="C169" s="10" t="s">
        <v>415</v>
      </c>
      <c r="D169" s="152"/>
      <c r="E169" s="170"/>
      <c r="F169" s="153" t="str">
        <f t="shared" si="17"/>
        <v/>
      </c>
      <c r="G169" s="256"/>
      <c r="H169" s="166">
        <f t="shared" si="12"/>
        <v>0</v>
      </c>
      <c r="I169" s="10" t="s">
        <v>20</v>
      </c>
      <c r="J169" s="11">
        <v>1.98</v>
      </c>
      <c r="K169" s="12">
        <f t="shared" ref="K169:K175" si="18">G169*J169</f>
        <v>0</v>
      </c>
    </row>
    <row r="170" spans="1:11" hidden="1" x14ac:dyDescent="0.35">
      <c r="A170" s="103"/>
      <c r="B170" s="12" t="s">
        <v>4</v>
      </c>
      <c r="C170" s="10" t="s">
        <v>414</v>
      </c>
      <c r="D170" s="152"/>
      <c r="E170" s="170"/>
      <c r="F170" s="153" t="str">
        <f t="shared" si="17"/>
        <v/>
      </c>
      <c r="G170" s="256"/>
      <c r="H170" s="166">
        <f t="shared" si="12"/>
        <v>0</v>
      </c>
      <c r="I170" s="10" t="s">
        <v>20</v>
      </c>
      <c r="J170" s="11">
        <v>1.98</v>
      </c>
      <c r="K170" s="12">
        <f t="shared" si="18"/>
        <v>0</v>
      </c>
    </row>
    <row r="171" spans="1:11" hidden="1" x14ac:dyDescent="0.35">
      <c r="A171" s="103"/>
      <c r="B171" s="12" t="s">
        <v>4</v>
      </c>
      <c r="C171" s="10" t="s">
        <v>415</v>
      </c>
      <c r="D171" s="152"/>
      <c r="E171" s="170"/>
      <c r="F171" s="153" t="str">
        <f t="shared" si="17"/>
        <v/>
      </c>
      <c r="G171" s="256"/>
      <c r="H171" s="166">
        <f t="shared" si="12"/>
        <v>0</v>
      </c>
      <c r="I171" s="10" t="s">
        <v>20</v>
      </c>
      <c r="J171" s="11">
        <v>1.98</v>
      </c>
      <c r="K171" s="12">
        <f t="shared" si="18"/>
        <v>0</v>
      </c>
    </row>
    <row r="172" spans="1:11" hidden="1" x14ac:dyDescent="0.35">
      <c r="A172" s="103"/>
      <c r="B172" s="12" t="s">
        <v>4</v>
      </c>
      <c r="C172" s="10" t="s">
        <v>432</v>
      </c>
      <c r="D172" s="152"/>
      <c r="E172" s="170"/>
      <c r="F172" s="153" t="str">
        <f t="shared" si="17"/>
        <v/>
      </c>
      <c r="G172" s="256"/>
      <c r="H172" s="166">
        <f t="shared" si="12"/>
        <v>0</v>
      </c>
      <c r="I172" s="10" t="s">
        <v>20</v>
      </c>
      <c r="J172" s="11">
        <v>1.98</v>
      </c>
      <c r="K172" s="12">
        <f t="shared" si="18"/>
        <v>0</v>
      </c>
    </row>
    <row r="173" spans="1:11" hidden="1" x14ac:dyDescent="0.35">
      <c r="A173" s="103"/>
      <c r="B173" s="40" t="s">
        <v>4</v>
      </c>
      <c r="C173" s="41" t="s">
        <v>330</v>
      </c>
      <c r="D173" s="227"/>
      <c r="E173" s="170"/>
      <c r="F173" s="153" t="str">
        <f t="shared" si="17"/>
        <v/>
      </c>
      <c r="G173" s="256"/>
      <c r="H173" s="166">
        <f t="shared" si="12"/>
        <v>0</v>
      </c>
      <c r="I173" s="10" t="s">
        <v>20</v>
      </c>
      <c r="J173" s="11">
        <v>1.98</v>
      </c>
      <c r="K173" s="12">
        <f t="shared" si="18"/>
        <v>0</v>
      </c>
    </row>
    <row r="174" spans="1:11" hidden="1" x14ac:dyDescent="0.35">
      <c r="A174" s="103"/>
      <c r="B174" s="40" t="s">
        <v>4</v>
      </c>
      <c r="C174" s="41" t="s">
        <v>331</v>
      </c>
      <c r="D174" s="227"/>
      <c r="E174" s="170"/>
      <c r="F174" s="153" t="str">
        <f t="shared" si="17"/>
        <v/>
      </c>
      <c r="G174" s="256"/>
      <c r="H174" s="166">
        <f t="shared" si="12"/>
        <v>0</v>
      </c>
      <c r="I174" s="10" t="s">
        <v>20</v>
      </c>
      <c r="J174" s="11">
        <v>1.98</v>
      </c>
      <c r="K174" s="12">
        <f t="shared" si="18"/>
        <v>0</v>
      </c>
    </row>
    <row r="175" spans="1:11" hidden="1" x14ac:dyDescent="0.35">
      <c r="A175" s="103"/>
      <c r="B175" s="40" t="s">
        <v>4</v>
      </c>
      <c r="C175" s="41" t="s">
        <v>413</v>
      </c>
      <c r="D175" s="227"/>
      <c r="E175" s="170"/>
      <c r="F175" s="153" t="str">
        <f t="shared" si="17"/>
        <v/>
      </c>
      <c r="G175" s="256"/>
      <c r="H175" s="166">
        <f t="shared" ref="H175:H240" si="19">IF(ISNUMBER(E175),E175,0)+IF(ISNUMBER(F175),F175,0)-IF(ISNUMBER(G175),G175,0)</f>
        <v>0</v>
      </c>
      <c r="I175" s="41" t="s">
        <v>20</v>
      </c>
      <c r="J175" s="42">
        <v>1.98</v>
      </c>
      <c r="K175" s="12">
        <f t="shared" si="18"/>
        <v>0</v>
      </c>
    </row>
    <row r="176" spans="1:11" ht="15.5" hidden="1" x14ac:dyDescent="0.35">
      <c r="A176" s="114" t="s">
        <v>333</v>
      </c>
      <c r="B176" s="120"/>
      <c r="C176" s="120"/>
      <c r="D176" s="228"/>
      <c r="E176" s="170"/>
      <c r="F176" s="153" t="str">
        <f t="shared" si="17"/>
        <v/>
      </c>
      <c r="G176" s="292"/>
      <c r="H176" s="166">
        <f t="shared" si="19"/>
        <v>0</v>
      </c>
      <c r="I176" s="121"/>
      <c r="J176" s="122" t="s">
        <v>18</v>
      </c>
      <c r="K176" s="274">
        <f>SUM(K177:K186)</f>
        <v>0</v>
      </c>
    </row>
    <row r="177" spans="1:11" hidden="1" x14ac:dyDescent="0.35">
      <c r="A177" s="103"/>
      <c r="B177" s="12" t="s">
        <v>26</v>
      </c>
      <c r="C177" s="10" t="s">
        <v>334</v>
      </c>
      <c r="D177" s="152"/>
      <c r="E177" s="170"/>
      <c r="F177" s="153" t="str">
        <f t="shared" si="17"/>
        <v/>
      </c>
      <c r="G177" s="256"/>
      <c r="H177" s="166">
        <f t="shared" si="19"/>
        <v>0</v>
      </c>
      <c r="I177" s="10" t="s">
        <v>335</v>
      </c>
      <c r="J177" s="11">
        <v>20</v>
      </c>
      <c r="K177" s="12">
        <f t="shared" ref="K177:K186" si="20">G177*J177</f>
        <v>0</v>
      </c>
    </row>
    <row r="178" spans="1:11" hidden="1" x14ac:dyDescent="0.35">
      <c r="A178" s="103"/>
      <c r="B178" s="20" t="s">
        <v>26</v>
      </c>
      <c r="C178" s="18" t="s">
        <v>53</v>
      </c>
      <c r="D178" s="229"/>
      <c r="E178" s="170"/>
      <c r="F178" s="153" t="str">
        <f t="shared" si="17"/>
        <v/>
      </c>
      <c r="G178" s="256"/>
      <c r="H178" s="166">
        <f t="shared" si="19"/>
        <v>0</v>
      </c>
      <c r="I178" s="18" t="s">
        <v>20</v>
      </c>
      <c r="J178" s="19">
        <v>0.43</v>
      </c>
      <c r="K178" s="20">
        <f t="shared" si="20"/>
        <v>0</v>
      </c>
    </row>
    <row r="179" spans="1:11" hidden="1" x14ac:dyDescent="0.35">
      <c r="A179" s="103"/>
      <c r="B179" s="20" t="s">
        <v>26</v>
      </c>
      <c r="C179" s="18" t="s">
        <v>336</v>
      </c>
      <c r="D179" s="229"/>
      <c r="E179" s="170"/>
      <c r="F179" s="153" t="str">
        <f t="shared" si="17"/>
        <v/>
      </c>
      <c r="G179" s="256"/>
      <c r="H179" s="166">
        <f t="shared" si="19"/>
        <v>0</v>
      </c>
      <c r="I179" s="18" t="s">
        <v>20</v>
      </c>
      <c r="J179" s="19">
        <v>0.43</v>
      </c>
      <c r="K179" s="20">
        <f t="shared" si="20"/>
        <v>0</v>
      </c>
    </row>
    <row r="180" spans="1:11" hidden="1" x14ac:dyDescent="0.35">
      <c r="A180" s="103"/>
      <c r="B180" s="12" t="s">
        <v>26</v>
      </c>
      <c r="C180" s="10" t="s">
        <v>337</v>
      </c>
      <c r="D180" s="152"/>
      <c r="E180" s="170"/>
      <c r="F180" s="153" t="str">
        <f t="shared" si="17"/>
        <v/>
      </c>
      <c r="G180" s="256"/>
      <c r="H180" s="166">
        <f t="shared" si="19"/>
        <v>0</v>
      </c>
      <c r="I180" s="10" t="s">
        <v>20</v>
      </c>
      <c r="J180" s="11">
        <v>0.43</v>
      </c>
      <c r="K180" s="12">
        <f t="shared" si="20"/>
        <v>0</v>
      </c>
    </row>
    <row r="181" spans="1:11" hidden="1" x14ac:dyDescent="0.35">
      <c r="A181" s="103"/>
      <c r="B181" s="12" t="s">
        <v>26</v>
      </c>
      <c r="C181" s="10" t="s">
        <v>51</v>
      </c>
      <c r="D181" s="152"/>
      <c r="E181" s="170"/>
      <c r="F181" s="153" t="str">
        <f t="shared" si="17"/>
        <v/>
      </c>
      <c r="G181" s="256"/>
      <c r="H181" s="166">
        <f t="shared" si="19"/>
        <v>0</v>
      </c>
      <c r="I181" s="10" t="s">
        <v>61</v>
      </c>
      <c r="J181" s="11">
        <v>14</v>
      </c>
      <c r="K181" s="12">
        <f t="shared" si="20"/>
        <v>0</v>
      </c>
    </row>
    <row r="182" spans="1:11" hidden="1" x14ac:dyDescent="0.35">
      <c r="A182" s="103"/>
      <c r="B182" s="12" t="s">
        <v>26</v>
      </c>
      <c r="C182" s="10" t="s">
        <v>338</v>
      </c>
      <c r="D182" s="152"/>
      <c r="E182" s="170"/>
      <c r="F182" s="153" t="str">
        <f t="shared" si="17"/>
        <v/>
      </c>
      <c r="G182" s="256"/>
      <c r="H182" s="166">
        <f t="shared" si="19"/>
        <v>0</v>
      </c>
      <c r="I182" s="10" t="s">
        <v>61</v>
      </c>
      <c r="J182" s="11">
        <v>14.78</v>
      </c>
      <c r="K182" s="12">
        <f t="shared" si="20"/>
        <v>0</v>
      </c>
    </row>
    <row r="183" spans="1:11" hidden="1" x14ac:dyDescent="0.35">
      <c r="A183" s="103"/>
      <c r="B183" s="12" t="s">
        <v>26</v>
      </c>
      <c r="C183" s="10" t="s">
        <v>339</v>
      </c>
      <c r="D183" s="152"/>
      <c r="E183" s="170"/>
      <c r="F183" s="153" t="str">
        <f t="shared" si="17"/>
        <v/>
      </c>
      <c r="G183" s="256"/>
      <c r="H183" s="166">
        <f t="shared" si="19"/>
        <v>0</v>
      </c>
      <c r="I183" s="10" t="s">
        <v>61</v>
      </c>
      <c r="J183" s="11">
        <v>14.78</v>
      </c>
      <c r="K183" s="12">
        <f t="shared" si="20"/>
        <v>0</v>
      </c>
    </row>
    <row r="184" spans="1:11" hidden="1" x14ac:dyDescent="0.35">
      <c r="A184" s="103"/>
      <c r="B184" s="12" t="s">
        <v>26</v>
      </c>
      <c r="C184" s="10" t="s">
        <v>340</v>
      </c>
      <c r="D184" s="152"/>
      <c r="E184" s="170"/>
      <c r="F184" s="153" t="str">
        <f t="shared" si="17"/>
        <v/>
      </c>
      <c r="G184" s="256"/>
      <c r="H184" s="166">
        <f t="shared" si="19"/>
        <v>0</v>
      </c>
      <c r="I184" s="10" t="s">
        <v>61</v>
      </c>
      <c r="J184" s="11">
        <v>14.78</v>
      </c>
      <c r="K184" s="12">
        <f t="shared" si="20"/>
        <v>0</v>
      </c>
    </row>
    <row r="185" spans="1:11" hidden="1" x14ac:dyDescent="0.35">
      <c r="A185" s="103"/>
      <c r="B185" s="12" t="s">
        <v>26</v>
      </c>
      <c r="C185" s="10" t="s">
        <v>341</v>
      </c>
      <c r="D185" s="152"/>
      <c r="E185" s="170"/>
      <c r="F185" s="153" t="str">
        <f t="shared" si="17"/>
        <v/>
      </c>
      <c r="G185" s="256"/>
      <c r="H185" s="166">
        <f t="shared" si="19"/>
        <v>0</v>
      </c>
      <c r="I185" s="10" t="s">
        <v>61</v>
      </c>
      <c r="J185" s="11">
        <v>14.78</v>
      </c>
      <c r="K185" s="12">
        <f t="shared" si="20"/>
        <v>0</v>
      </c>
    </row>
    <row r="186" spans="1:11" hidden="1" x14ac:dyDescent="0.35">
      <c r="A186" s="103"/>
      <c r="B186" s="12" t="s">
        <v>26</v>
      </c>
      <c r="C186" s="10" t="s">
        <v>342</v>
      </c>
      <c r="D186" s="152"/>
      <c r="E186" s="170"/>
      <c r="F186" s="153" t="str">
        <f t="shared" si="17"/>
        <v/>
      </c>
      <c r="G186" s="256"/>
      <c r="H186" s="166">
        <f t="shared" si="19"/>
        <v>0</v>
      </c>
      <c r="I186" s="10" t="s">
        <v>61</v>
      </c>
      <c r="J186" s="11">
        <v>14.78</v>
      </c>
      <c r="K186" s="10">
        <f t="shared" si="20"/>
        <v>0</v>
      </c>
    </row>
    <row r="187" spans="1:11" ht="15.5" x14ac:dyDescent="0.35">
      <c r="A187" s="108" t="s">
        <v>343</v>
      </c>
      <c r="B187" s="108"/>
      <c r="C187" s="108"/>
      <c r="D187" s="223"/>
      <c r="E187" s="250"/>
      <c r="F187" s="165" t="str">
        <f t="shared" si="17"/>
        <v/>
      </c>
      <c r="G187" s="186"/>
      <c r="H187" s="247"/>
      <c r="I187" s="108"/>
      <c r="J187" s="106" t="s">
        <v>18</v>
      </c>
      <c r="K187" s="269">
        <f>SUM(K188:K192)</f>
        <v>118.8</v>
      </c>
    </row>
    <row r="188" spans="1:11" hidden="1" x14ac:dyDescent="0.35">
      <c r="A188" s="103"/>
      <c r="B188" s="7" t="s">
        <v>6</v>
      </c>
      <c r="C188" s="14" t="s">
        <v>344</v>
      </c>
      <c r="D188" s="152"/>
      <c r="E188" s="170"/>
      <c r="F188" s="153" t="str">
        <f t="shared" si="17"/>
        <v/>
      </c>
      <c r="G188" s="256"/>
      <c r="H188" s="166">
        <f t="shared" si="19"/>
        <v>0</v>
      </c>
      <c r="I188" s="14" t="s">
        <v>20</v>
      </c>
      <c r="J188" s="35">
        <v>0.79</v>
      </c>
      <c r="K188" s="7">
        <f>G188*J188</f>
        <v>0</v>
      </c>
    </row>
    <row r="189" spans="1:11" x14ac:dyDescent="0.35">
      <c r="A189" s="103"/>
      <c r="B189" s="7" t="s">
        <v>6</v>
      </c>
      <c r="C189" s="14" t="s">
        <v>345</v>
      </c>
      <c r="D189" s="152">
        <v>30</v>
      </c>
      <c r="E189" s="170">
        <v>29</v>
      </c>
      <c r="F189" s="153">
        <f t="shared" si="17"/>
        <v>1</v>
      </c>
      <c r="G189" s="256"/>
      <c r="H189" s="166">
        <f t="shared" si="19"/>
        <v>30</v>
      </c>
      <c r="I189" s="14" t="s">
        <v>20</v>
      </c>
      <c r="J189" s="35">
        <v>2.76</v>
      </c>
      <c r="K189" s="7">
        <f>H189*J189</f>
        <v>82.8</v>
      </c>
    </row>
    <row r="190" spans="1:11" x14ac:dyDescent="0.35">
      <c r="A190" s="103"/>
      <c r="B190" s="7" t="s">
        <v>6</v>
      </c>
      <c r="C190" s="14" t="s">
        <v>346</v>
      </c>
      <c r="D190" s="152"/>
      <c r="E190" s="170"/>
      <c r="F190" s="153" t="str">
        <f t="shared" si="17"/>
        <v/>
      </c>
      <c r="G190" s="256"/>
      <c r="H190" s="166">
        <f t="shared" si="19"/>
        <v>0</v>
      </c>
      <c r="I190" s="14" t="s">
        <v>20</v>
      </c>
      <c r="J190" s="35">
        <v>1</v>
      </c>
      <c r="K190" s="7">
        <f t="shared" ref="K190:K192" si="21">H190*J190</f>
        <v>0</v>
      </c>
    </row>
    <row r="191" spans="1:11" x14ac:dyDescent="0.35">
      <c r="A191" s="103"/>
      <c r="B191" s="7" t="s">
        <v>6</v>
      </c>
      <c r="C191" s="14" t="s">
        <v>34</v>
      </c>
      <c r="D191" s="152">
        <v>10</v>
      </c>
      <c r="E191" s="170">
        <v>9</v>
      </c>
      <c r="F191" s="153">
        <f t="shared" si="17"/>
        <v>1</v>
      </c>
      <c r="G191" s="256"/>
      <c r="H191" s="166">
        <f t="shared" si="19"/>
        <v>10</v>
      </c>
      <c r="I191" s="14" t="s">
        <v>20</v>
      </c>
      <c r="J191" s="35">
        <v>1.8</v>
      </c>
      <c r="K191" s="7">
        <f t="shared" si="21"/>
        <v>18</v>
      </c>
    </row>
    <row r="192" spans="1:11" x14ac:dyDescent="0.35">
      <c r="A192" s="103"/>
      <c r="B192" s="7" t="s">
        <v>6</v>
      </c>
      <c r="C192" s="14" t="s">
        <v>35</v>
      </c>
      <c r="D192" s="152">
        <v>10</v>
      </c>
      <c r="E192" s="170">
        <v>8</v>
      </c>
      <c r="F192" s="153">
        <f t="shared" si="17"/>
        <v>2</v>
      </c>
      <c r="G192" s="256"/>
      <c r="H192" s="166">
        <f t="shared" si="19"/>
        <v>10</v>
      </c>
      <c r="I192" s="14" t="s">
        <v>20</v>
      </c>
      <c r="J192" s="35">
        <v>1.8</v>
      </c>
      <c r="K192" s="7">
        <f t="shared" si="21"/>
        <v>18</v>
      </c>
    </row>
    <row r="193" spans="1:11" ht="15.5" hidden="1" x14ac:dyDescent="0.35">
      <c r="A193" s="112" t="s">
        <v>347</v>
      </c>
      <c r="B193" s="116"/>
      <c r="C193" s="116"/>
      <c r="D193" s="228"/>
      <c r="E193" s="250"/>
      <c r="F193" s="165" t="str">
        <f t="shared" si="17"/>
        <v/>
      </c>
      <c r="G193" s="260"/>
      <c r="H193" s="247"/>
      <c r="I193" s="117"/>
      <c r="J193" s="118" t="s">
        <v>18</v>
      </c>
      <c r="K193" s="275">
        <f>SUM(K194:K194)</f>
        <v>0</v>
      </c>
    </row>
    <row r="194" spans="1:11" hidden="1" x14ac:dyDescent="0.35">
      <c r="A194" s="103"/>
      <c r="B194" s="12" t="s">
        <v>5</v>
      </c>
      <c r="C194" s="10" t="s">
        <v>55</v>
      </c>
      <c r="D194" s="152"/>
      <c r="E194" s="170"/>
      <c r="F194" s="153" t="str">
        <f t="shared" si="17"/>
        <v/>
      </c>
      <c r="G194" s="256"/>
      <c r="H194" s="166">
        <f t="shared" si="19"/>
        <v>0</v>
      </c>
      <c r="I194" s="10" t="s">
        <v>20</v>
      </c>
      <c r="J194" s="11">
        <v>1.01</v>
      </c>
      <c r="K194" s="12">
        <f>H194*J194</f>
        <v>0</v>
      </c>
    </row>
    <row r="195" spans="1:11" ht="15.5" hidden="1" x14ac:dyDescent="0.35">
      <c r="A195" s="112" t="s">
        <v>348</v>
      </c>
      <c r="B195" s="116"/>
      <c r="C195" s="116"/>
      <c r="D195" s="228"/>
      <c r="E195" s="250"/>
      <c r="F195" s="165" t="str">
        <f t="shared" si="17"/>
        <v/>
      </c>
      <c r="G195" s="260"/>
      <c r="H195" s="247"/>
      <c r="I195" s="117"/>
      <c r="J195" s="118" t="s">
        <v>18</v>
      </c>
      <c r="K195" s="275">
        <f>SUM(K196:K207)</f>
        <v>0</v>
      </c>
    </row>
    <row r="196" spans="1:11" hidden="1" x14ac:dyDescent="0.35">
      <c r="A196" s="103"/>
      <c r="B196" s="20" t="s">
        <v>8</v>
      </c>
      <c r="C196" s="18" t="s">
        <v>349</v>
      </c>
      <c r="D196" s="229"/>
      <c r="E196" s="170"/>
      <c r="F196" s="153" t="str">
        <f t="shared" si="17"/>
        <v/>
      </c>
      <c r="G196" s="256"/>
      <c r="H196" s="166">
        <f t="shared" si="19"/>
        <v>0</v>
      </c>
      <c r="I196" s="18" t="s">
        <v>27</v>
      </c>
      <c r="J196" s="20">
        <v>28.62</v>
      </c>
      <c r="K196" s="12">
        <f t="shared" ref="K196:K207" si="22">G196*J196</f>
        <v>0</v>
      </c>
    </row>
    <row r="197" spans="1:11" hidden="1" x14ac:dyDescent="0.35">
      <c r="A197" s="103"/>
      <c r="B197" s="12" t="s">
        <v>8</v>
      </c>
      <c r="C197" s="10" t="s">
        <v>350</v>
      </c>
      <c r="D197" s="152"/>
      <c r="E197" s="170"/>
      <c r="F197" s="153" t="str">
        <f t="shared" si="17"/>
        <v/>
      </c>
      <c r="G197" s="256"/>
      <c r="H197" s="166">
        <f t="shared" si="19"/>
        <v>0</v>
      </c>
      <c r="I197" s="10" t="s">
        <v>335</v>
      </c>
      <c r="J197" s="12">
        <v>30</v>
      </c>
      <c r="K197" s="12">
        <f t="shared" si="22"/>
        <v>0</v>
      </c>
    </row>
    <row r="198" spans="1:11" hidden="1" x14ac:dyDescent="0.35">
      <c r="A198" s="103"/>
      <c r="B198" s="12" t="s">
        <v>8</v>
      </c>
      <c r="C198" s="10" t="s">
        <v>351</v>
      </c>
      <c r="D198" s="152"/>
      <c r="E198" s="170"/>
      <c r="F198" s="153" t="str">
        <f t="shared" si="17"/>
        <v/>
      </c>
      <c r="G198" s="256"/>
      <c r="H198" s="166">
        <f t="shared" si="19"/>
        <v>0</v>
      </c>
      <c r="I198" s="10" t="s">
        <v>335</v>
      </c>
      <c r="J198" s="11">
        <v>1.1499999999999999</v>
      </c>
      <c r="K198" s="12">
        <f t="shared" si="22"/>
        <v>0</v>
      </c>
    </row>
    <row r="199" spans="1:11" hidden="1" x14ac:dyDescent="0.35">
      <c r="A199" s="103"/>
      <c r="B199" s="12" t="s">
        <v>8</v>
      </c>
      <c r="C199" s="10" t="s">
        <v>352</v>
      </c>
      <c r="D199" s="152"/>
      <c r="E199" s="170"/>
      <c r="F199" s="153" t="str">
        <f t="shared" si="17"/>
        <v/>
      </c>
      <c r="G199" s="256"/>
      <c r="H199" s="166">
        <f t="shared" si="19"/>
        <v>0</v>
      </c>
      <c r="I199" s="10">
        <v>23.83</v>
      </c>
      <c r="J199" s="11">
        <v>30.95</v>
      </c>
      <c r="K199" s="12">
        <f>H199*J199</f>
        <v>0</v>
      </c>
    </row>
    <row r="200" spans="1:11" hidden="1" x14ac:dyDescent="0.35">
      <c r="A200" s="103"/>
      <c r="B200" s="12" t="s">
        <v>8</v>
      </c>
      <c r="C200" s="10" t="s">
        <v>353</v>
      </c>
      <c r="D200" s="152"/>
      <c r="E200" s="170"/>
      <c r="F200" s="153" t="str">
        <f t="shared" si="17"/>
        <v/>
      </c>
      <c r="G200" s="256"/>
      <c r="H200" s="166">
        <f t="shared" si="19"/>
        <v>0</v>
      </c>
      <c r="I200" s="10" t="s">
        <v>27</v>
      </c>
      <c r="J200" s="11">
        <v>28.89</v>
      </c>
      <c r="K200" s="12">
        <f t="shared" ref="K200" si="23">H200*J200</f>
        <v>0</v>
      </c>
    </row>
    <row r="201" spans="1:11" hidden="1" x14ac:dyDescent="0.35">
      <c r="A201" s="103"/>
      <c r="B201" s="12" t="s">
        <v>8</v>
      </c>
      <c r="C201" s="10" t="s">
        <v>354</v>
      </c>
      <c r="D201" s="152"/>
      <c r="E201" s="170"/>
      <c r="F201" s="153" t="str">
        <f>IF(E201="","",IF(D201-E201&gt;0,D201-E201,""))</f>
        <v/>
      </c>
      <c r="G201" s="256"/>
      <c r="H201" s="166">
        <f>IF(ISNUMBER(E201),E201,0)+IF(ISNUMBER(F201),F201,0)-IF(ISNUMBER(G201),G201,0)</f>
        <v>0</v>
      </c>
      <c r="I201" s="10" t="s">
        <v>27</v>
      </c>
      <c r="J201" s="11">
        <v>19.37</v>
      </c>
      <c r="K201" s="12">
        <f>H201*J201</f>
        <v>0</v>
      </c>
    </row>
    <row r="202" spans="1:11" x14ac:dyDescent="0.35">
      <c r="A202" s="103"/>
      <c r="B202" s="12" t="s">
        <v>8</v>
      </c>
      <c r="C202" s="10" t="s">
        <v>429</v>
      </c>
      <c r="D202" s="152"/>
      <c r="E202" s="170"/>
      <c r="F202" s="153"/>
      <c r="G202" s="256"/>
      <c r="H202" s="166">
        <f t="shared" ref="H202:H204" si="24">IF(ISNUMBER(E202),E202,0)+IF(ISNUMBER(F202),F202,0)-IF(ISNUMBER(G202),G202,0)</f>
        <v>0</v>
      </c>
      <c r="I202" s="10">
        <v>14.07</v>
      </c>
      <c r="J202" s="11"/>
      <c r="K202" s="12"/>
    </row>
    <row r="203" spans="1:11" x14ac:dyDescent="0.35">
      <c r="A203" s="103"/>
      <c r="B203" s="12" t="s">
        <v>8</v>
      </c>
      <c r="C203" s="10" t="s">
        <v>430</v>
      </c>
      <c r="D203" s="152"/>
      <c r="E203" s="170"/>
      <c r="F203" s="153"/>
      <c r="G203" s="256"/>
      <c r="H203" s="166">
        <f t="shared" si="24"/>
        <v>0</v>
      </c>
      <c r="I203" s="10">
        <v>16.07</v>
      </c>
      <c r="J203" s="11"/>
      <c r="K203" s="12"/>
    </row>
    <row r="204" spans="1:11" x14ac:dyDescent="0.35">
      <c r="A204" s="103"/>
      <c r="B204" s="12" t="s">
        <v>8</v>
      </c>
      <c r="C204" s="10" t="s">
        <v>431</v>
      </c>
      <c r="D204" s="152"/>
      <c r="G204" s="256"/>
      <c r="H204" s="166">
        <f t="shared" si="24"/>
        <v>0</v>
      </c>
      <c r="I204" s="289">
        <v>14.62</v>
      </c>
      <c r="J204" s="11"/>
    </row>
    <row r="205" spans="1:11" hidden="1" x14ac:dyDescent="0.35">
      <c r="A205" s="103"/>
      <c r="B205" s="12" t="s">
        <v>8</v>
      </c>
      <c r="C205" s="10" t="s">
        <v>355</v>
      </c>
      <c r="D205" s="152"/>
      <c r="E205" s="170"/>
      <c r="F205" s="153" t="str">
        <f t="shared" si="17"/>
        <v/>
      </c>
      <c r="G205" s="256"/>
      <c r="H205" s="166">
        <f t="shared" si="19"/>
        <v>0</v>
      </c>
      <c r="I205" s="10" t="s">
        <v>61</v>
      </c>
      <c r="J205" s="11">
        <v>17.11</v>
      </c>
      <c r="K205" s="12">
        <f t="shared" si="22"/>
        <v>0</v>
      </c>
    </row>
    <row r="206" spans="1:11" hidden="1" x14ac:dyDescent="0.35">
      <c r="A206" s="103"/>
      <c r="B206" s="12" t="s">
        <v>8</v>
      </c>
      <c r="C206" s="10" t="s">
        <v>356</v>
      </c>
      <c r="D206" s="152"/>
      <c r="E206" s="170"/>
      <c r="F206" s="153" t="str">
        <f t="shared" si="17"/>
        <v/>
      </c>
      <c r="G206" s="256"/>
      <c r="H206" s="166">
        <f t="shared" si="19"/>
        <v>0</v>
      </c>
      <c r="I206" s="10" t="s">
        <v>61</v>
      </c>
      <c r="J206" s="11">
        <v>22.13</v>
      </c>
      <c r="K206" s="12">
        <f t="shared" si="22"/>
        <v>0</v>
      </c>
    </row>
    <row r="207" spans="1:11" hidden="1" x14ac:dyDescent="0.35">
      <c r="A207" s="103"/>
      <c r="B207" s="40" t="s">
        <v>8</v>
      </c>
      <c r="C207" s="41" t="s">
        <v>357</v>
      </c>
      <c r="D207" s="227"/>
      <c r="E207" s="170"/>
      <c r="F207" s="153" t="str">
        <f t="shared" si="17"/>
        <v/>
      </c>
      <c r="G207" s="256"/>
      <c r="H207" s="166">
        <f t="shared" si="19"/>
        <v>0</v>
      </c>
      <c r="I207" s="41" t="s">
        <v>61</v>
      </c>
      <c r="J207" s="42">
        <v>18.8</v>
      </c>
      <c r="K207" s="40">
        <f t="shared" si="22"/>
        <v>0</v>
      </c>
    </row>
    <row r="208" spans="1:11" ht="15.5" hidden="1" x14ac:dyDescent="0.35">
      <c r="A208" s="112" t="s">
        <v>358</v>
      </c>
      <c r="B208" s="116"/>
      <c r="C208" s="116"/>
      <c r="D208" s="228"/>
      <c r="E208" s="170"/>
      <c r="F208" s="165" t="str">
        <f t="shared" si="17"/>
        <v/>
      </c>
      <c r="G208" s="260"/>
      <c r="H208" s="247"/>
      <c r="I208" s="117"/>
      <c r="J208" s="118" t="s">
        <v>18</v>
      </c>
      <c r="K208" s="275">
        <f>SUM(K209)</f>
        <v>0</v>
      </c>
    </row>
    <row r="209" spans="1:11" hidden="1" x14ac:dyDescent="0.35">
      <c r="A209" s="103"/>
      <c r="B209" s="13" t="s">
        <v>11</v>
      </c>
      <c r="C209" s="18" t="s">
        <v>359</v>
      </c>
      <c r="D209" s="229"/>
      <c r="E209" s="170"/>
      <c r="F209" s="153" t="str">
        <f t="shared" si="17"/>
        <v/>
      </c>
      <c r="G209" s="256"/>
      <c r="H209" s="166">
        <f t="shared" si="19"/>
        <v>0</v>
      </c>
      <c r="I209" s="10" t="s">
        <v>52</v>
      </c>
      <c r="J209" s="11">
        <v>11.63</v>
      </c>
      <c r="K209" s="12">
        <f>G209*J209</f>
        <v>0</v>
      </c>
    </row>
    <row r="210" spans="1:11" ht="15.5" hidden="1" x14ac:dyDescent="0.35">
      <c r="A210" s="108" t="s">
        <v>360</v>
      </c>
      <c r="B210" s="108"/>
      <c r="C210" s="108"/>
      <c r="D210" s="223"/>
      <c r="E210" s="250"/>
      <c r="F210" s="165" t="str">
        <f t="shared" si="17"/>
        <v/>
      </c>
      <c r="G210" s="186"/>
      <c r="H210" s="247"/>
      <c r="I210" s="108"/>
      <c r="J210" s="106" t="s">
        <v>18</v>
      </c>
      <c r="K210" s="269">
        <f>SUM(K211:K212)</f>
        <v>0</v>
      </c>
    </row>
    <row r="211" spans="1:11" hidden="1" x14ac:dyDescent="0.35">
      <c r="A211" s="103"/>
      <c r="B211" s="12" t="s">
        <v>12</v>
      </c>
      <c r="C211" s="10" t="s">
        <v>70</v>
      </c>
      <c r="D211" s="152"/>
      <c r="E211" s="170"/>
      <c r="F211" s="153" t="str">
        <f t="shared" si="17"/>
        <v/>
      </c>
      <c r="G211" s="256"/>
      <c r="H211" s="166">
        <f t="shared" si="19"/>
        <v>0</v>
      </c>
      <c r="I211" s="10" t="s">
        <v>27</v>
      </c>
      <c r="J211" s="11">
        <v>20.7</v>
      </c>
      <c r="K211" s="12">
        <f>H211*J211</f>
        <v>0</v>
      </c>
    </row>
    <row r="212" spans="1:11" hidden="1" x14ac:dyDescent="0.35">
      <c r="A212" s="103"/>
      <c r="B212" s="12" t="s">
        <v>12</v>
      </c>
      <c r="C212" s="10" t="s">
        <v>71</v>
      </c>
      <c r="D212" s="152"/>
      <c r="E212" s="170"/>
      <c r="F212" s="153" t="str">
        <f t="shared" si="17"/>
        <v/>
      </c>
      <c r="G212" s="256"/>
      <c r="H212" s="166">
        <f t="shared" si="19"/>
        <v>0</v>
      </c>
      <c r="I212" s="10" t="s">
        <v>27</v>
      </c>
      <c r="J212" s="11">
        <v>13.7</v>
      </c>
      <c r="K212" s="12">
        <f>H212*J212</f>
        <v>0</v>
      </c>
    </row>
    <row r="213" spans="1:11" ht="15.5" x14ac:dyDescent="0.35">
      <c r="A213" s="108" t="s">
        <v>361</v>
      </c>
      <c r="B213" s="108"/>
      <c r="C213" s="108"/>
      <c r="D213" s="223"/>
      <c r="E213" s="250"/>
      <c r="F213" s="165" t="str">
        <f t="shared" si="17"/>
        <v/>
      </c>
      <c r="G213" s="186"/>
      <c r="H213" s="247"/>
      <c r="I213" s="108"/>
      <c r="J213" s="106" t="s">
        <v>18</v>
      </c>
      <c r="K213" s="269">
        <f>SUM(K214:K217)</f>
        <v>0</v>
      </c>
    </row>
    <row r="214" spans="1:11" hidden="1" x14ac:dyDescent="0.35">
      <c r="A214" s="103"/>
      <c r="B214" s="12" t="s">
        <v>10</v>
      </c>
      <c r="C214" s="10" t="s">
        <v>362</v>
      </c>
      <c r="D214" s="152"/>
      <c r="E214" s="170"/>
      <c r="F214" s="153" t="str">
        <f t="shared" si="17"/>
        <v/>
      </c>
      <c r="G214" s="256"/>
      <c r="H214" s="166">
        <f t="shared" si="19"/>
        <v>0</v>
      </c>
      <c r="I214" s="10" t="s">
        <v>20</v>
      </c>
      <c r="J214" s="11">
        <v>11.08</v>
      </c>
      <c r="K214" s="12">
        <f>H214*J214</f>
        <v>0</v>
      </c>
    </row>
    <row r="215" spans="1:11" x14ac:dyDescent="0.35">
      <c r="A215" s="103"/>
      <c r="B215" s="12" t="s">
        <v>10</v>
      </c>
      <c r="C215" s="10" t="s">
        <v>363</v>
      </c>
      <c r="D215" s="152"/>
      <c r="E215" s="170"/>
      <c r="F215" s="153" t="str">
        <f t="shared" si="17"/>
        <v/>
      </c>
      <c r="G215" s="256"/>
      <c r="H215" s="166">
        <f t="shared" si="19"/>
        <v>0</v>
      </c>
      <c r="I215" s="10" t="s">
        <v>27</v>
      </c>
      <c r="J215" s="11">
        <v>16.21</v>
      </c>
      <c r="K215" s="12">
        <f t="shared" ref="K215:K217" si="25">H215*J215</f>
        <v>0</v>
      </c>
    </row>
    <row r="216" spans="1:11" x14ac:dyDescent="0.35">
      <c r="A216" s="103"/>
      <c r="B216" s="12" t="s">
        <v>10</v>
      </c>
      <c r="C216" s="10" t="s">
        <v>364</v>
      </c>
      <c r="D216" s="152"/>
      <c r="E216" s="170"/>
      <c r="F216" s="153" t="str">
        <f t="shared" si="17"/>
        <v/>
      </c>
      <c r="G216" s="256"/>
      <c r="H216" s="166">
        <f t="shared" si="19"/>
        <v>0</v>
      </c>
      <c r="I216" s="10" t="s">
        <v>27</v>
      </c>
      <c r="J216" s="11">
        <v>19.350000000000001</v>
      </c>
      <c r="K216" s="12">
        <f t="shared" si="25"/>
        <v>0</v>
      </c>
    </row>
    <row r="217" spans="1:11" x14ac:dyDescent="0.35">
      <c r="A217" s="103"/>
      <c r="B217" s="12" t="s">
        <v>10</v>
      </c>
      <c r="C217" s="10" t="s">
        <v>365</v>
      </c>
      <c r="D217" s="152"/>
      <c r="E217" s="170"/>
      <c r="F217" s="153" t="str">
        <f t="shared" si="17"/>
        <v/>
      </c>
      <c r="G217" s="256"/>
      <c r="H217" s="166">
        <f t="shared" si="19"/>
        <v>0</v>
      </c>
      <c r="I217" s="10" t="s">
        <v>27</v>
      </c>
      <c r="J217" s="11">
        <v>19.809999999999999</v>
      </c>
      <c r="K217" s="12">
        <f t="shared" si="25"/>
        <v>0</v>
      </c>
    </row>
    <row r="218" spans="1:11" ht="15.5" hidden="1" x14ac:dyDescent="0.35">
      <c r="A218" s="108" t="s">
        <v>366</v>
      </c>
      <c r="B218" s="108"/>
      <c r="C218" s="108"/>
      <c r="D218" s="223"/>
      <c r="E218" s="170"/>
      <c r="F218" s="165" t="str">
        <f t="shared" si="17"/>
        <v/>
      </c>
      <c r="G218" s="186"/>
      <c r="H218" s="247"/>
      <c r="I218" s="108"/>
      <c r="J218" s="106" t="s">
        <v>18</v>
      </c>
      <c r="K218" s="269">
        <f>SUM(K219:K219)</f>
        <v>0</v>
      </c>
    </row>
    <row r="219" spans="1:11" hidden="1" x14ac:dyDescent="0.35">
      <c r="A219" s="103"/>
      <c r="B219" s="12" t="s">
        <v>28</v>
      </c>
      <c r="C219" s="10" t="s">
        <v>29</v>
      </c>
      <c r="D219" s="152"/>
      <c r="E219" s="170"/>
      <c r="F219" s="153" t="str">
        <f t="shared" si="17"/>
        <v/>
      </c>
      <c r="G219" s="256"/>
      <c r="H219" s="166">
        <f t="shared" si="19"/>
        <v>0</v>
      </c>
      <c r="I219" s="10" t="s">
        <v>54</v>
      </c>
      <c r="J219" s="11">
        <v>104</v>
      </c>
      <c r="K219" s="12">
        <f>+J219*G219</f>
        <v>0</v>
      </c>
    </row>
    <row r="220" spans="1:11" ht="15.5" x14ac:dyDescent="0.35">
      <c r="A220" s="108" t="s">
        <v>367</v>
      </c>
      <c r="B220" s="108"/>
      <c r="C220" s="108"/>
      <c r="D220" s="223"/>
      <c r="E220" s="250"/>
      <c r="F220" s="165" t="str">
        <f t="shared" ref="F220:F255" si="26">IF(E220="","",IF(D220-E220&gt;0,D220-E220,""))</f>
        <v/>
      </c>
      <c r="G220" s="186"/>
      <c r="H220" s="247"/>
      <c r="I220" s="108"/>
      <c r="J220" s="106" t="s">
        <v>18</v>
      </c>
      <c r="K220" s="269">
        <f>SUM(K224:K239)</f>
        <v>0</v>
      </c>
    </row>
    <row r="221" spans="1:11" x14ac:dyDescent="0.35">
      <c r="A221" s="103"/>
      <c r="B221" s="12" t="s">
        <v>9</v>
      </c>
      <c r="C221" s="10" t="s">
        <v>423</v>
      </c>
      <c r="D221" s="152"/>
      <c r="E221" s="170"/>
      <c r="F221" s="153" t="str">
        <f t="shared" si="26"/>
        <v/>
      </c>
      <c r="G221" s="256"/>
      <c r="H221" s="166">
        <f t="shared" si="19"/>
        <v>0</v>
      </c>
      <c r="I221" s="10" t="s">
        <v>20</v>
      </c>
      <c r="J221" s="11">
        <v>78</v>
      </c>
      <c r="K221" s="50">
        <f t="shared" ref="K221:K240" si="27">G221*J221</f>
        <v>0</v>
      </c>
    </row>
    <row r="222" spans="1:11" x14ac:dyDescent="0.35">
      <c r="A222" s="103"/>
      <c r="B222" s="12" t="s">
        <v>9</v>
      </c>
      <c r="C222" s="10" t="s">
        <v>424</v>
      </c>
      <c r="D222" s="152"/>
      <c r="E222" s="170"/>
      <c r="F222" s="153" t="str">
        <f t="shared" si="26"/>
        <v/>
      </c>
      <c r="G222" s="256"/>
      <c r="H222" s="166">
        <f t="shared" si="19"/>
        <v>0</v>
      </c>
      <c r="I222" s="10" t="s">
        <v>61</v>
      </c>
      <c r="J222" s="51">
        <v>107.12</v>
      </c>
      <c r="K222" s="50">
        <f t="shared" si="27"/>
        <v>0</v>
      </c>
    </row>
    <row r="223" spans="1:11" x14ac:dyDescent="0.35">
      <c r="A223" s="103"/>
      <c r="B223" s="12" t="s">
        <v>9</v>
      </c>
      <c r="C223" s="10" t="s">
        <v>369</v>
      </c>
      <c r="D223" s="152"/>
      <c r="E223" s="170"/>
      <c r="F223" s="153" t="str">
        <f t="shared" si="26"/>
        <v/>
      </c>
      <c r="G223" s="256"/>
      <c r="H223" s="166">
        <f t="shared" si="19"/>
        <v>0</v>
      </c>
      <c r="I223" s="10" t="s">
        <v>20</v>
      </c>
      <c r="J223" s="11">
        <v>0.04</v>
      </c>
      <c r="K223" s="50">
        <f t="shared" si="27"/>
        <v>0</v>
      </c>
    </row>
    <row r="224" spans="1:11" x14ac:dyDescent="0.35">
      <c r="A224" s="103"/>
      <c r="B224" s="12" t="s">
        <v>9</v>
      </c>
      <c r="C224" s="10" t="s">
        <v>370</v>
      </c>
      <c r="D224" s="152"/>
      <c r="E224" s="170"/>
      <c r="F224" s="153" t="str">
        <f t="shared" si="26"/>
        <v/>
      </c>
      <c r="G224" s="256"/>
      <c r="H224" s="166">
        <f t="shared" si="19"/>
        <v>0</v>
      </c>
      <c r="I224" s="10" t="s">
        <v>20</v>
      </c>
      <c r="J224" s="11">
        <v>7.0999999999999994E-2</v>
      </c>
      <c r="K224" s="233">
        <f>H224*J224</f>
        <v>0</v>
      </c>
    </row>
    <row r="225" spans="1:11" x14ac:dyDescent="0.35">
      <c r="A225" s="103"/>
      <c r="B225" s="12" t="s">
        <v>9</v>
      </c>
      <c r="C225" s="10" t="s">
        <v>411</v>
      </c>
      <c r="D225" s="152"/>
      <c r="E225" s="170"/>
      <c r="F225" s="153" t="str">
        <f t="shared" si="26"/>
        <v/>
      </c>
      <c r="G225" s="256"/>
      <c r="H225" s="166">
        <f t="shared" si="19"/>
        <v>0</v>
      </c>
      <c r="I225" s="10" t="s">
        <v>20</v>
      </c>
      <c r="J225" s="11">
        <v>1.97</v>
      </c>
      <c r="K225" s="233">
        <f>H225*J225</f>
        <v>0</v>
      </c>
    </row>
    <row r="226" spans="1:11" x14ac:dyDescent="0.35">
      <c r="A226" s="103"/>
      <c r="B226" s="12" t="s">
        <v>9</v>
      </c>
      <c r="C226" s="10" t="s">
        <v>371</v>
      </c>
      <c r="D226" s="152"/>
      <c r="E226" s="170"/>
      <c r="F226" s="153" t="str">
        <f t="shared" si="26"/>
        <v/>
      </c>
      <c r="G226" s="256"/>
      <c r="H226" s="166">
        <f t="shared" si="19"/>
        <v>0</v>
      </c>
      <c r="I226" s="10" t="s">
        <v>61</v>
      </c>
      <c r="J226" s="11">
        <v>163.80000000000001</v>
      </c>
      <c r="K226" s="233">
        <f t="shared" ref="K226:K239" si="28">H226*J226</f>
        <v>0</v>
      </c>
    </row>
    <row r="227" spans="1:11" x14ac:dyDescent="0.35">
      <c r="A227" s="103"/>
      <c r="B227" s="12" t="s">
        <v>9</v>
      </c>
      <c r="C227" s="10" t="s">
        <v>410</v>
      </c>
      <c r="D227" s="152"/>
      <c r="E227" s="170"/>
      <c r="F227" s="153" t="str">
        <f t="shared" si="26"/>
        <v/>
      </c>
      <c r="G227" s="256"/>
      <c r="H227" s="166">
        <f t="shared" si="19"/>
        <v>0</v>
      </c>
      <c r="I227" s="10" t="s">
        <v>61</v>
      </c>
      <c r="J227" s="11">
        <v>49.33</v>
      </c>
      <c r="K227" s="233">
        <f t="shared" si="28"/>
        <v>0</v>
      </c>
    </row>
    <row r="228" spans="1:11" x14ac:dyDescent="0.35">
      <c r="A228" s="103"/>
      <c r="B228" s="12" t="s">
        <v>9</v>
      </c>
      <c r="C228" s="10" t="s">
        <v>373</v>
      </c>
      <c r="D228" s="152"/>
      <c r="E228" s="170"/>
      <c r="F228" s="153" t="str">
        <f t="shared" si="26"/>
        <v/>
      </c>
      <c r="G228" s="256"/>
      <c r="H228" s="166">
        <f t="shared" si="19"/>
        <v>0</v>
      </c>
      <c r="I228" s="10" t="s">
        <v>61</v>
      </c>
      <c r="J228" s="11">
        <v>105.6</v>
      </c>
      <c r="K228" s="233">
        <f t="shared" si="28"/>
        <v>0</v>
      </c>
    </row>
    <row r="229" spans="1:11" x14ac:dyDescent="0.35">
      <c r="A229" s="103"/>
      <c r="B229" s="12" t="s">
        <v>9</v>
      </c>
      <c r="C229" s="10" t="s">
        <v>374</v>
      </c>
      <c r="D229" s="152"/>
      <c r="E229" s="170"/>
      <c r="F229" s="153" t="str">
        <f t="shared" si="26"/>
        <v/>
      </c>
      <c r="G229" s="256"/>
      <c r="H229" s="166">
        <f t="shared" si="19"/>
        <v>0</v>
      </c>
      <c r="I229" s="10" t="s">
        <v>61</v>
      </c>
      <c r="J229" s="11">
        <v>114.75</v>
      </c>
      <c r="K229" s="233">
        <f t="shared" si="28"/>
        <v>0</v>
      </c>
    </row>
    <row r="230" spans="1:11" x14ac:dyDescent="0.35">
      <c r="A230" s="103"/>
      <c r="B230" s="12" t="s">
        <v>9</v>
      </c>
      <c r="C230" s="10" t="s">
        <v>375</v>
      </c>
      <c r="D230" s="152"/>
      <c r="E230" s="170"/>
      <c r="F230" s="153" t="str">
        <f t="shared" si="26"/>
        <v/>
      </c>
      <c r="G230" s="256"/>
      <c r="H230" s="166">
        <f t="shared" si="19"/>
        <v>0</v>
      </c>
      <c r="I230" s="10" t="s">
        <v>61</v>
      </c>
      <c r="J230" s="11">
        <v>105.55</v>
      </c>
      <c r="K230" s="233">
        <f t="shared" si="28"/>
        <v>0</v>
      </c>
    </row>
    <row r="231" spans="1:11" x14ac:dyDescent="0.35">
      <c r="A231" s="103"/>
      <c r="B231" s="12" t="s">
        <v>9</v>
      </c>
      <c r="C231" s="10" t="s">
        <v>376</v>
      </c>
      <c r="D231" s="152">
        <v>1</v>
      </c>
      <c r="E231" s="170"/>
      <c r="F231" s="153" t="str">
        <f t="shared" si="26"/>
        <v/>
      </c>
      <c r="G231" s="256"/>
      <c r="H231" s="166">
        <f t="shared" si="19"/>
        <v>0</v>
      </c>
      <c r="I231" s="10" t="s">
        <v>61</v>
      </c>
      <c r="J231" s="11">
        <v>33.25</v>
      </c>
      <c r="K231" s="233">
        <f t="shared" si="28"/>
        <v>0</v>
      </c>
    </row>
    <row r="232" spans="1:11" x14ac:dyDescent="0.35">
      <c r="A232" s="103"/>
      <c r="B232" s="12" t="s">
        <v>9</v>
      </c>
      <c r="C232" s="10" t="s">
        <v>377</v>
      </c>
      <c r="D232" s="152"/>
      <c r="E232" s="170"/>
      <c r="F232" s="153" t="str">
        <f t="shared" si="26"/>
        <v/>
      </c>
      <c r="G232" s="256"/>
      <c r="H232" s="166">
        <f t="shared" si="19"/>
        <v>0</v>
      </c>
      <c r="I232" s="10" t="s">
        <v>20</v>
      </c>
      <c r="J232" s="11">
        <v>0.28999999999999998</v>
      </c>
      <c r="K232" s="233">
        <f t="shared" si="28"/>
        <v>0</v>
      </c>
    </row>
    <row r="233" spans="1:11" x14ac:dyDescent="0.35">
      <c r="A233" s="103"/>
      <c r="B233" s="12" t="s">
        <v>9</v>
      </c>
      <c r="C233" s="10" t="s">
        <v>378</v>
      </c>
      <c r="D233" s="152"/>
      <c r="E233" s="170"/>
      <c r="F233" s="153" t="str">
        <f t="shared" si="26"/>
        <v/>
      </c>
      <c r="G233" s="256"/>
      <c r="H233" s="166">
        <f t="shared" si="19"/>
        <v>0</v>
      </c>
      <c r="I233" s="10" t="s">
        <v>61</v>
      </c>
      <c r="J233" s="35">
        <v>37.85</v>
      </c>
      <c r="K233" s="233">
        <f t="shared" si="28"/>
        <v>0</v>
      </c>
    </row>
    <row r="234" spans="1:11" x14ac:dyDescent="0.35">
      <c r="A234" s="103"/>
      <c r="B234" s="12" t="s">
        <v>9</v>
      </c>
      <c r="C234" s="10" t="s">
        <v>425</v>
      </c>
      <c r="D234" s="152">
        <v>1</v>
      </c>
      <c r="E234" s="170"/>
      <c r="F234" s="153" t="str">
        <f t="shared" si="26"/>
        <v/>
      </c>
      <c r="G234" s="256"/>
      <c r="H234" s="166">
        <f t="shared" si="19"/>
        <v>0</v>
      </c>
      <c r="I234" s="10" t="s">
        <v>61</v>
      </c>
      <c r="J234" s="35">
        <v>111.47</v>
      </c>
      <c r="K234" s="233">
        <f t="shared" si="28"/>
        <v>0</v>
      </c>
    </row>
    <row r="235" spans="1:11" x14ac:dyDescent="0.35">
      <c r="A235" s="103"/>
      <c r="B235" s="12" t="s">
        <v>9</v>
      </c>
      <c r="C235" s="10" t="s">
        <v>379</v>
      </c>
      <c r="D235" s="152"/>
      <c r="E235" s="170"/>
      <c r="F235" s="153" t="str">
        <f t="shared" si="26"/>
        <v/>
      </c>
      <c r="G235" s="256"/>
      <c r="H235" s="166">
        <f t="shared" si="19"/>
        <v>0</v>
      </c>
      <c r="I235" s="10" t="s">
        <v>61</v>
      </c>
      <c r="J235" s="35">
        <v>174.97</v>
      </c>
      <c r="K235" s="233">
        <f t="shared" si="28"/>
        <v>0</v>
      </c>
    </row>
    <row r="236" spans="1:11" x14ac:dyDescent="0.35">
      <c r="A236" s="103"/>
      <c r="B236" s="12" t="s">
        <v>9</v>
      </c>
      <c r="C236" s="10" t="s">
        <v>380</v>
      </c>
      <c r="D236" s="152"/>
      <c r="E236" s="170"/>
      <c r="F236" s="153" t="str">
        <f t="shared" si="26"/>
        <v/>
      </c>
      <c r="G236" s="256"/>
      <c r="H236" s="166">
        <f t="shared" si="19"/>
        <v>0</v>
      </c>
      <c r="I236" s="10" t="s">
        <v>61</v>
      </c>
      <c r="J236" s="35">
        <v>44.93</v>
      </c>
      <c r="K236" s="233">
        <f t="shared" si="28"/>
        <v>0</v>
      </c>
    </row>
    <row r="237" spans="1:11" x14ac:dyDescent="0.35">
      <c r="A237" s="103"/>
      <c r="B237" s="12" t="s">
        <v>9</v>
      </c>
      <c r="C237" s="10" t="s">
        <v>426</v>
      </c>
      <c r="D237" s="152">
        <v>1</v>
      </c>
      <c r="E237" s="170"/>
      <c r="F237" s="153" t="str">
        <f t="shared" si="26"/>
        <v/>
      </c>
      <c r="G237" s="256"/>
      <c r="H237" s="166">
        <f t="shared" si="19"/>
        <v>0</v>
      </c>
      <c r="I237" s="10" t="s">
        <v>61</v>
      </c>
      <c r="J237" s="35"/>
      <c r="K237" s="233">
        <f t="shared" si="28"/>
        <v>0</v>
      </c>
    </row>
    <row r="238" spans="1:11" x14ac:dyDescent="0.35">
      <c r="A238" s="103"/>
      <c r="B238" s="12" t="s">
        <v>9</v>
      </c>
      <c r="C238" s="10" t="s">
        <v>427</v>
      </c>
      <c r="D238" s="152"/>
      <c r="E238" s="170"/>
      <c r="F238" s="153" t="str">
        <f t="shared" si="26"/>
        <v/>
      </c>
      <c r="G238" s="256"/>
      <c r="H238" s="166">
        <f t="shared" si="19"/>
        <v>0</v>
      </c>
      <c r="I238" s="10" t="s">
        <v>61</v>
      </c>
      <c r="J238" s="35"/>
      <c r="K238" s="233">
        <f>H238*J238</f>
        <v>0</v>
      </c>
    </row>
    <row r="239" spans="1:11" x14ac:dyDescent="0.35">
      <c r="A239" s="103"/>
      <c r="B239" s="12" t="s">
        <v>9</v>
      </c>
      <c r="C239" s="10" t="s">
        <v>428</v>
      </c>
      <c r="D239" s="152">
        <v>1</v>
      </c>
      <c r="E239" s="170"/>
      <c r="F239" s="153" t="str">
        <f t="shared" si="26"/>
        <v/>
      </c>
      <c r="G239" s="256"/>
      <c r="H239" s="166">
        <f t="shared" si="19"/>
        <v>0</v>
      </c>
      <c r="I239" s="10" t="s">
        <v>61</v>
      </c>
      <c r="J239" s="35"/>
      <c r="K239" s="233">
        <f t="shared" si="28"/>
        <v>0</v>
      </c>
    </row>
    <row r="240" spans="1:11" x14ac:dyDescent="0.35">
      <c r="A240" s="103"/>
      <c r="B240" s="12" t="s">
        <v>9</v>
      </c>
      <c r="C240" s="10" t="s">
        <v>381</v>
      </c>
      <c r="D240" s="152"/>
      <c r="E240" s="170"/>
      <c r="F240" s="153" t="str">
        <f t="shared" si="26"/>
        <v/>
      </c>
      <c r="G240" s="256"/>
      <c r="H240" s="166">
        <f t="shared" si="19"/>
        <v>0</v>
      </c>
      <c r="I240" s="10" t="s">
        <v>61</v>
      </c>
      <c r="J240" s="35">
        <v>0.02</v>
      </c>
      <c r="K240" s="50">
        <f t="shared" si="27"/>
        <v>0</v>
      </c>
    </row>
    <row r="241" spans="1:18" ht="15.5" x14ac:dyDescent="0.35">
      <c r="A241" s="108" t="s">
        <v>382</v>
      </c>
      <c r="B241" s="108"/>
      <c r="C241" s="108"/>
      <c r="D241" s="223"/>
      <c r="E241" s="250"/>
      <c r="F241" s="165" t="str">
        <f t="shared" si="26"/>
        <v/>
      </c>
      <c r="G241" s="186"/>
      <c r="H241" s="247"/>
      <c r="I241" s="108">
        <v>29.2</v>
      </c>
      <c r="J241" s="106" t="s">
        <v>18</v>
      </c>
      <c r="K241" s="269">
        <f>SUM(K242:K252)</f>
        <v>0</v>
      </c>
    </row>
    <row r="242" spans="1:18" hidden="1" x14ac:dyDescent="0.35">
      <c r="A242" s="103"/>
      <c r="B242" s="12" t="s">
        <v>31</v>
      </c>
      <c r="C242" s="10" t="s">
        <v>383</v>
      </c>
      <c r="D242" s="152"/>
      <c r="E242" s="170"/>
      <c r="F242" s="153" t="str">
        <f t="shared" si="26"/>
        <v/>
      </c>
      <c r="G242" s="256"/>
      <c r="H242" s="166">
        <f t="shared" ref="H242:H255" si="29">IF(ISNUMBER(E242),E242,0)+IF(ISNUMBER(F242),F242,0)-IF(ISNUMBER(G242),G242,0)</f>
        <v>0</v>
      </c>
      <c r="I242" s="10">
        <v>19.03</v>
      </c>
      <c r="J242" s="11">
        <v>5.5</v>
      </c>
      <c r="K242" s="12">
        <f t="shared" ref="K242" si="30">G242*J242</f>
        <v>0</v>
      </c>
    </row>
    <row r="243" spans="1:18" x14ac:dyDescent="0.35">
      <c r="A243" s="103"/>
      <c r="B243" s="12" t="s">
        <v>31</v>
      </c>
      <c r="C243" s="10" t="s">
        <v>39</v>
      </c>
      <c r="D243" s="152">
        <v>1</v>
      </c>
      <c r="E243" s="170"/>
      <c r="F243" s="153" t="str">
        <f t="shared" si="26"/>
        <v/>
      </c>
      <c r="G243" s="256"/>
      <c r="H243" s="166">
        <f t="shared" si="29"/>
        <v>0</v>
      </c>
      <c r="I243" s="10">
        <v>8.4600000000000009</v>
      </c>
      <c r="J243" s="11">
        <v>4.55</v>
      </c>
      <c r="K243" s="12">
        <f>H243*J243</f>
        <v>0</v>
      </c>
      <c r="R243" s="87"/>
    </row>
    <row r="244" spans="1:18" x14ac:dyDescent="0.35">
      <c r="A244" s="103"/>
      <c r="B244" s="12" t="s">
        <v>31</v>
      </c>
      <c r="C244" s="10" t="s">
        <v>422</v>
      </c>
      <c r="D244" s="152">
        <v>1</v>
      </c>
      <c r="E244" s="170"/>
      <c r="F244" s="153" t="str">
        <f t="shared" si="26"/>
        <v/>
      </c>
      <c r="G244" s="256"/>
      <c r="H244" s="166">
        <f t="shared" si="29"/>
        <v>0</v>
      </c>
      <c r="I244" s="10" t="s">
        <v>20</v>
      </c>
      <c r="J244" s="11">
        <v>3.7</v>
      </c>
      <c r="K244" s="12">
        <f t="shared" ref="K244:K255" si="31">H244*J244</f>
        <v>0</v>
      </c>
    </row>
    <row r="245" spans="1:18" x14ac:dyDescent="0.35">
      <c r="A245" s="103"/>
      <c r="B245" s="12" t="s">
        <v>31</v>
      </c>
      <c r="C245" s="10" t="s">
        <v>67</v>
      </c>
      <c r="D245" s="152">
        <v>1</v>
      </c>
      <c r="E245" s="170"/>
      <c r="F245" s="153" t="str">
        <f t="shared" si="26"/>
        <v/>
      </c>
      <c r="G245" s="256"/>
      <c r="H245" s="166">
        <f t="shared" si="29"/>
        <v>0</v>
      </c>
      <c r="I245" s="10" t="s">
        <v>20</v>
      </c>
      <c r="J245" s="11">
        <v>15.56</v>
      </c>
      <c r="K245" s="12">
        <f t="shared" si="31"/>
        <v>0</v>
      </c>
    </row>
    <row r="246" spans="1:18" hidden="1" x14ac:dyDescent="0.35">
      <c r="A246" s="103"/>
      <c r="B246" s="12" t="s">
        <v>31</v>
      </c>
      <c r="C246" s="10" t="s">
        <v>384</v>
      </c>
      <c r="D246" s="152"/>
      <c r="E246" s="170"/>
      <c r="F246" s="153" t="str">
        <f t="shared" si="26"/>
        <v/>
      </c>
      <c r="G246" s="256"/>
      <c r="H246" s="166">
        <f t="shared" si="29"/>
        <v>0</v>
      </c>
      <c r="I246" s="10" t="s">
        <v>20</v>
      </c>
      <c r="J246" s="11">
        <v>0.8</v>
      </c>
      <c r="K246" s="12">
        <f t="shared" si="31"/>
        <v>0</v>
      </c>
    </row>
    <row r="247" spans="1:18" hidden="1" x14ac:dyDescent="0.35">
      <c r="A247" s="103"/>
      <c r="B247" s="12" t="s">
        <v>31</v>
      </c>
      <c r="C247" s="10" t="s">
        <v>385</v>
      </c>
      <c r="D247" s="152"/>
      <c r="E247" s="170"/>
      <c r="F247" s="153" t="str">
        <f t="shared" si="26"/>
        <v/>
      </c>
      <c r="G247" s="256"/>
      <c r="H247" s="166">
        <f t="shared" si="29"/>
        <v>0</v>
      </c>
      <c r="I247" s="10" t="s">
        <v>20</v>
      </c>
      <c r="J247" s="11">
        <v>1.83</v>
      </c>
      <c r="K247" s="12">
        <f t="shared" si="31"/>
        <v>0</v>
      </c>
    </row>
    <row r="248" spans="1:18" x14ac:dyDescent="0.35">
      <c r="A248" s="103"/>
      <c r="B248" s="12" t="s">
        <v>31</v>
      </c>
      <c r="C248" s="10" t="s">
        <v>386</v>
      </c>
      <c r="D248" s="152">
        <v>1</v>
      </c>
      <c r="E248" s="170"/>
      <c r="F248" s="153" t="str">
        <f t="shared" si="26"/>
        <v/>
      </c>
      <c r="G248" s="256"/>
      <c r="H248" s="166">
        <f t="shared" si="29"/>
        <v>0</v>
      </c>
      <c r="I248" s="10" t="s">
        <v>20</v>
      </c>
      <c r="J248" s="11">
        <v>2.65</v>
      </c>
      <c r="K248" s="12">
        <f t="shared" si="31"/>
        <v>0</v>
      </c>
    </row>
    <row r="249" spans="1:18" x14ac:dyDescent="0.35">
      <c r="A249" s="103"/>
      <c r="B249" s="12" t="s">
        <v>31</v>
      </c>
      <c r="C249" s="10" t="s">
        <v>65</v>
      </c>
      <c r="D249" s="152">
        <v>1</v>
      </c>
      <c r="E249" s="170"/>
      <c r="F249" s="153" t="str">
        <f t="shared" si="26"/>
        <v/>
      </c>
      <c r="G249" s="256"/>
      <c r="H249" s="166">
        <f t="shared" si="29"/>
        <v>0</v>
      </c>
      <c r="I249" s="10" t="s">
        <v>20</v>
      </c>
      <c r="J249" s="11">
        <v>13.43</v>
      </c>
      <c r="K249" s="12">
        <f t="shared" si="31"/>
        <v>0</v>
      </c>
    </row>
    <row r="250" spans="1:18" hidden="1" x14ac:dyDescent="0.35">
      <c r="A250" s="103"/>
      <c r="B250" s="12" t="s">
        <v>31</v>
      </c>
      <c r="C250" s="10" t="s">
        <v>66</v>
      </c>
      <c r="D250" s="152"/>
      <c r="E250" s="170"/>
      <c r="F250" s="153" t="str">
        <f t="shared" si="26"/>
        <v/>
      </c>
      <c r="G250" s="256"/>
      <c r="H250" s="166">
        <f t="shared" si="29"/>
        <v>0</v>
      </c>
      <c r="I250" s="10" t="s">
        <v>20</v>
      </c>
      <c r="J250" s="11">
        <v>75.38</v>
      </c>
      <c r="K250" s="12">
        <f t="shared" si="31"/>
        <v>0</v>
      </c>
    </row>
    <row r="251" spans="1:18" x14ac:dyDescent="0.35">
      <c r="A251" s="103"/>
      <c r="B251" s="12" t="s">
        <v>31</v>
      </c>
      <c r="C251" s="10" t="s">
        <v>412</v>
      </c>
      <c r="D251" s="152">
        <v>1</v>
      </c>
      <c r="E251" s="170"/>
      <c r="F251" s="153" t="str">
        <f t="shared" si="26"/>
        <v/>
      </c>
      <c r="G251" s="256"/>
      <c r="H251" s="166">
        <f t="shared" si="29"/>
        <v>0</v>
      </c>
      <c r="I251" s="10" t="s">
        <v>20</v>
      </c>
      <c r="J251" s="11">
        <v>8.43</v>
      </c>
      <c r="K251" s="12">
        <f t="shared" si="31"/>
        <v>0</v>
      </c>
    </row>
    <row r="252" spans="1:18" x14ac:dyDescent="0.35">
      <c r="A252" s="103"/>
      <c r="B252" s="12" t="s">
        <v>31</v>
      </c>
      <c r="C252" s="10" t="s">
        <v>69</v>
      </c>
      <c r="D252" s="152">
        <v>1</v>
      </c>
      <c r="E252" s="170"/>
      <c r="F252" s="153" t="str">
        <f t="shared" si="26"/>
        <v/>
      </c>
      <c r="G252" s="256"/>
      <c r="H252" s="166">
        <f t="shared" si="29"/>
        <v>0</v>
      </c>
      <c r="I252" s="10" t="s">
        <v>63</v>
      </c>
      <c r="J252" s="11">
        <v>3.5</v>
      </c>
      <c r="K252" s="12">
        <f t="shared" si="31"/>
        <v>0</v>
      </c>
    </row>
    <row r="253" spans="1:18" ht="15.5" x14ac:dyDescent="0.35">
      <c r="A253" s="108" t="s">
        <v>57</v>
      </c>
      <c r="B253" s="108"/>
      <c r="C253" s="108"/>
      <c r="D253" s="111"/>
      <c r="E253" s="250"/>
      <c r="F253" s="165" t="str">
        <f t="shared" si="26"/>
        <v/>
      </c>
      <c r="G253" s="186"/>
      <c r="H253" s="247"/>
      <c r="I253" s="108"/>
      <c r="J253" s="106" t="s">
        <v>18</v>
      </c>
      <c r="K253" s="270">
        <f>K254+K255</f>
        <v>0</v>
      </c>
    </row>
    <row r="254" spans="1:18" x14ac:dyDescent="0.35">
      <c r="A254" s="103"/>
      <c r="B254" s="12" t="s">
        <v>56</v>
      </c>
      <c r="C254" s="10" t="s">
        <v>58</v>
      </c>
      <c r="D254" s="152">
        <v>2</v>
      </c>
      <c r="E254" s="170"/>
      <c r="F254" s="153" t="str">
        <f t="shared" si="26"/>
        <v/>
      </c>
      <c r="G254" s="256"/>
      <c r="H254" s="166">
        <f t="shared" si="29"/>
        <v>0</v>
      </c>
      <c r="I254" s="10" t="s">
        <v>20</v>
      </c>
      <c r="J254" s="11">
        <v>54.05</v>
      </c>
      <c r="K254" s="12">
        <f t="shared" si="31"/>
        <v>0</v>
      </c>
    </row>
    <row r="255" spans="1:18" x14ac:dyDescent="0.35">
      <c r="A255" s="103"/>
      <c r="B255" s="12" t="s">
        <v>56</v>
      </c>
      <c r="C255" s="10" t="s">
        <v>388</v>
      </c>
      <c r="D255" s="135"/>
      <c r="E255" s="170"/>
      <c r="F255" s="153" t="str">
        <f t="shared" si="26"/>
        <v/>
      </c>
      <c r="G255" s="256"/>
      <c r="H255" s="166">
        <f t="shared" si="29"/>
        <v>0</v>
      </c>
      <c r="I255" s="10" t="s">
        <v>20</v>
      </c>
      <c r="J255" s="11">
        <v>0</v>
      </c>
      <c r="K255" s="12">
        <f t="shared" si="31"/>
        <v>0</v>
      </c>
    </row>
  </sheetData>
  <mergeCells count="2">
    <mergeCell ref="B1:C1"/>
    <mergeCell ref="B2:C2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D8D9D-57D0-4E16-B5A0-11BBD4A0F372}">
  <sheetPr codeName="Feuil38">
    <tabColor rgb="FFFF5050"/>
  </sheetPr>
  <dimension ref="A1:R255"/>
  <sheetViews>
    <sheetView topLeftCell="A9" zoomScale="112" zoomScaleNormal="112" workbookViewId="0">
      <pane ySplit="14" topLeftCell="A78" activePane="bottomLeft" state="frozen"/>
      <selection activeCell="M244" sqref="M244"/>
      <selection pane="bottomLeft" activeCell="M244" sqref="M244"/>
    </sheetView>
  </sheetViews>
  <sheetFormatPr baseColWidth="10" defaultColWidth="10.7265625" defaultRowHeight="14.5" x14ac:dyDescent="0.35"/>
  <cols>
    <col min="1" max="1" width="2.81640625" customWidth="1"/>
    <col min="2" max="2" width="30.1796875" bestFit="1" customWidth="1"/>
    <col min="3" max="3" width="44.54296875" bestFit="1" customWidth="1"/>
    <col min="4" max="4" width="14.26953125" style="13" bestFit="1" customWidth="1"/>
    <col min="5" max="5" width="17.1796875" style="251" bestFit="1" customWidth="1"/>
    <col min="6" max="6" width="17" bestFit="1" customWidth="1"/>
    <col min="7" max="7" width="15.26953125" style="253" bestFit="1" customWidth="1"/>
    <col min="8" max="8" width="10.26953125" style="16" customWidth="1"/>
    <col min="9" max="9" width="6.81640625" bestFit="1" customWidth="1"/>
    <col min="10" max="10" width="10.26953125" customWidth="1"/>
    <col min="11" max="11" width="19.54296875" bestFit="1" customWidth="1"/>
  </cols>
  <sheetData>
    <row r="1" spans="2:6" ht="15" thickBot="1" x14ac:dyDescent="0.4">
      <c r="B1" s="321" t="s">
        <v>198</v>
      </c>
      <c r="C1" s="322"/>
      <c r="E1" s="154"/>
      <c r="F1" s="89"/>
    </row>
    <row r="2" spans="2:6" ht="15" thickBot="1" x14ac:dyDescent="0.4">
      <c r="B2" s="319"/>
      <c r="C2" s="320"/>
      <c r="E2" s="154"/>
      <c r="F2" s="90"/>
    </row>
    <row r="3" spans="2:6" x14ac:dyDescent="0.35">
      <c r="B3" s="75"/>
      <c r="C3" s="75"/>
      <c r="E3" s="156"/>
      <c r="F3" s="75"/>
    </row>
    <row r="4" spans="2:6" ht="15.5" x14ac:dyDescent="0.35">
      <c r="B4" s="70" t="s">
        <v>0</v>
      </c>
      <c r="C4" s="70" t="s">
        <v>1</v>
      </c>
      <c r="E4" s="157"/>
      <c r="F4" s="91"/>
    </row>
    <row r="5" spans="2:6" x14ac:dyDescent="0.35">
      <c r="B5" s="71" t="s">
        <v>2</v>
      </c>
      <c r="C5" s="72">
        <f>K23</f>
        <v>0</v>
      </c>
      <c r="E5" s="156"/>
      <c r="F5" s="75"/>
    </row>
    <row r="6" spans="2:6" x14ac:dyDescent="0.35">
      <c r="B6" s="71" t="s">
        <v>7</v>
      </c>
      <c r="C6" s="72">
        <f>K41</f>
        <v>0</v>
      </c>
      <c r="E6" s="156"/>
      <c r="F6" s="75"/>
    </row>
    <row r="7" spans="2:6" x14ac:dyDescent="0.35">
      <c r="B7" s="71" t="s">
        <v>13</v>
      </c>
      <c r="C7" s="72">
        <f>K50</f>
        <v>51.9</v>
      </c>
      <c r="E7" s="156"/>
      <c r="F7" s="75"/>
    </row>
    <row r="8" spans="2:6" x14ac:dyDescent="0.35">
      <c r="B8" s="71" t="s">
        <v>3</v>
      </c>
      <c r="C8" s="72">
        <f>K78</f>
        <v>0</v>
      </c>
      <c r="E8" s="156"/>
      <c r="F8" s="75"/>
    </row>
    <row r="9" spans="2:6" x14ac:dyDescent="0.35">
      <c r="B9" s="71" t="s">
        <v>4</v>
      </c>
      <c r="C9" s="72">
        <f>K122</f>
        <v>362.22</v>
      </c>
      <c r="E9" s="156"/>
      <c r="F9" s="75"/>
    </row>
    <row r="10" spans="2:6" x14ac:dyDescent="0.35">
      <c r="B10" s="71" t="s">
        <v>199</v>
      </c>
      <c r="C10" s="72">
        <f>K176</f>
        <v>0</v>
      </c>
      <c r="E10" s="156"/>
      <c r="F10" s="75"/>
    </row>
    <row r="11" spans="2:6" x14ac:dyDescent="0.35">
      <c r="B11" s="71" t="s">
        <v>200</v>
      </c>
      <c r="C11" s="72">
        <f>K187</f>
        <v>118.8</v>
      </c>
      <c r="E11" s="156"/>
      <c r="F11" s="75"/>
    </row>
    <row r="12" spans="2:6" x14ac:dyDescent="0.35">
      <c r="B12" s="71" t="s">
        <v>201</v>
      </c>
      <c r="C12" s="72">
        <f>K193</f>
        <v>0</v>
      </c>
      <c r="E12" s="156"/>
      <c r="F12" s="75"/>
    </row>
    <row r="13" spans="2:6" x14ac:dyDescent="0.35">
      <c r="B13" s="71" t="s">
        <v>202</v>
      </c>
      <c r="C13" s="72">
        <f>K195</f>
        <v>158.42000000000002</v>
      </c>
      <c r="E13" s="156"/>
      <c r="F13" s="75"/>
    </row>
    <row r="14" spans="2:6" x14ac:dyDescent="0.35">
      <c r="B14" s="71" t="s">
        <v>203</v>
      </c>
      <c r="C14" s="72">
        <f>K208</f>
        <v>0</v>
      </c>
      <c r="E14" s="285"/>
      <c r="F14" s="75"/>
    </row>
    <row r="15" spans="2:6" x14ac:dyDescent="0.35">
      <c r="B15" s="71" t="s">
        <v>416</v>
      </c>
      <c r="C15" s="72">
        <f>K213</f>
        <v>0</v>
      </c>
      <c r="E15" s="156"/>
      <c r="F15" s="75"/>
    </row>
    <row r="16" spans="2:6" x14ac:dyDescent="0.35">
      <c r="B16" s="71" t="s">
        <v>204</v>
      </c>
      <c r="C16" s="72">
        <f>K218</f>
        <v>0</v>
      </c>
      <c r="E16" s="156"/>
      <c r="F16" s="75"/>
    </row>
    <row r="17" spans="1:17" x14ac:dyDescent="0.35">
      <c r="B17" s="71" t="s">
        <v>9</v>
      </c>
      <c r="C17" s="72">
        <f>K220</f>
        <v>144.72</v>
      </c>
      <c r="E17" s="156"/>
      <c r="F17" s="75"/>
    </row>
    <row r="18" spans="1:17" x14ac:dyDescent="0.35">
      <c r="B18" s="71" t="s">
        <v>205</v>
      </c>
      <c r="C18" s="72">
        <f>K241</f>
        <v>51.82</v>
      </c>
      <c r="E18" s="156"/>
      <c r="F18" s="75"/>
    </row>
    <row r="19" spans="1:17" x14ac:dyDescent="0.35">
      <c r="B19" s="71" t="s">
        <v>56</v>
      </c>
      <c r="C19" s="72">
        <f>K253</f>
        <v>108.1</v>
      </c>
      <c r="E19" s="156"/>
      <c r="F19" s="75"/>
    </row>
    <row r="20" spans="1:17" x14ac:dyDescent="0.35">
      <c r="B20" s="73" t="s">
        <v>14</v>
      </c>
      <c r="C20" s="74">
        <f>C5+C6+C7+C8+C9+C10+C11+C12+C13+C14+C15+C16+C17+C18+C19</f>
        <v>995.98</v>
      </c>
      <c r="E20" s="248"/>
      <c r="F20" s="243"/>
    </row>
    <row r="21" spans="1:17" ht="18.5" x14ac:dyDescent="0.45">
      <c r="A21" s="76" t="s">
        <v>397</v>
      </c>
      <c r="B21" s="76"/>
      <c r="C21" s="76"/>
      <c r="D21" s="234"/>
      <c r="E21" s="167"/>
      <c r="F21" s="76"/>
      <c r="G21" s="254"/>
      <c r="H21" s="69"/>
      <c r="I21" s="76"/>
      <c r="J21" s="76"/>
      <c r="K21" s="76"/>
    </row>
    <row r="22" spans="1:17" x14ac:dyDescent="0.35">
      <c r="A22" s="129"/>
      <c r="B22" s="129" t="s">
        <v>15</v>
      </c>
      <c r="C22" s="129" t="s">
        <v>16</v>
      </c>
      <c r="D22" s="235" t="s">
        <v>398</v>
      </c>
      <c r="E22" s="185" t="s">
        <v>404</v>
      </c>
      <c r="F22" s="130" t="s">
        <v>399</v>
      </c>
      <c r="G22" s="255" t="s">
        <v>405</v>
      </c>
      <c r="H22" s="131" t="s">
        <v>408</v>
      </c>
      <c r="I22" s="129" t="s">
        <v>406</v>
      </c>
      <c r="J22" s="133" t="s">
        <v>45</v>
      </c>
      <c r="K22" s="129" t="s">
        <v>1</v>
      </c>
    </row>
    <row r="23" spans="1:17" ht="15.5" x14ac:dyDescent="0.35">
      <c r="A23" s="108" t="s">
        <v>208</v>
      </c>
      <c r="B23" s="108"/>
      <c r="C23" s="108"/>
      <c r="D23" s="111"/>
      <c r="E23" s="286" t="s">
        <v>421</v>
      </c>
      <c r="F23" s="108"/>
      <c r="G23" s="286" t="s">
        <v>421</v>
      </c>
      <c r="H23" s="109"/>
      <c r="I23" s="108"/>
      <c r="J23" s="110" t="s">
        <v>18</v>
      </c>
      <c r="K23" s="269">
        <f>SUM(K24:K40)</f>
        <v>0</v>
      </c>
    </row>
    <row r="24" spans="1:17" x14ac:dyDescent="0.35">
      <c r="A24" s="103"/>
      <c r="B24" s="7" t="s">
        <v>2</v>
      </c>
      <c r="C24" s="14" t="s">
        <v>19</v>
      </c>
      <c r="D24" s="152"/>
      <c r="E24" s="170"/>
      <c r="F24" s="153" t="str">
        <f t="shared" ref="F24:F88" si="0">IF(E24="","",IF(D24-E24&gt;0,D24-E24,""))</f>
        <v/>
      </c>
      <c r="G24" s="256"/>
      <c r="H24" s="166">
        <f t="shared" ref="H24:H45" si="1">IF(ISNUMBER(E24),E24,0)+IF(ISNUMBER(F24),F24,0)-IF(ISNUMBER(G24),G24,0)</f>
        <v>0</v>
      </c>
      <c r="I24" s="10" t="s">
        <v>20</v>
      </c>
      <c r="J24" s="11">
        <v>55.95</v>
      </c>
      <c r="K24" s="12">
        <f t="shared" ref="K24:K27" si="2">G24*J24</f>
        <v>0</v>
      </c>
    </row>
    <row r="25" spans="1:17" hidden="1" x14ac:dyDescent="0.35">
      <c r="A25" s="103"/>
      <c r="B25" s="7" t="s">
        <v>2</v>
      </c>
      <c r="C25" s="14" t="s">
        <v>209</v>
      </c>
      <c r="D25" s="152"/>
      <c r="E25" s="170"/>
      <c r="F25" s="153" t="str">
        <f t="shared" si="0"/>
        <v/>
      </c>
      <c r="G25" s="256"/>
      <c r="H25" s="166">
        <f t="shared" si="1"/>
        <v>0</v>
      </c>
      <c r="I25" s="10" t="s">
        <v>20</v>
      </c>
      <c r="J25" s="11">
        <v>173.1</v>
      </c>
      <c r="K25" s="12">
        <f t="shared" si="2"/>
        <v>0</v>
      </c>
    </row>
    <row r="26" spans="1:17" x14ac:dyDescent="0.35">
      <c r="A26" s="103"/>
      <c r="B26" s="12" t="s">
        <v>2</v>
      </c>
      <c r="C26" s="10" t="s">
        <v>21</v>
      </c>
      <c r="D26" s="152">
        <v>5</v>
      </c>
      <c r="E26" s="170">
        <v>4</v>
      </c>
      <c r="F26" s="153">
        <f t="shared" si="0"/>
        <v>1</v>
      </c>
      <c r="G26" s="256"/>
      <c r="H26" s="166">
        <f t="shared" si="1"/>
        <v>5</v>
      </c>
      <c r="I26" s="10" t="s">
        <v>20</v>
      </c>
      <c r="J26" s="11">
        <v>75.400000000000006</v>
      </c>
      <c r="K26" s="12">
        <f t="shared" si="2"/>
        <v>0</v>
      </c>
    </row>
    <row r="27" spans="1:17" hidden="1" x14ac:dyDescent="0.35">
      <c r="A27" s="103"/>
      <c r="B27" s="12" t="s">
        <v>2</v>
      </c>
      <c r="C27" s="10" t="s">
        <v>210</v>
      </c>
      <c r="D27" s="152"/>
      <c r="E27" s="170"/>
      <c r="F27" s="153" t="str">
        <f t="shared" si="0"/>
        <v/>
      </c>
      <c r="G27" s="257"/>
      <c r="H27" s="166">
        <f t="shared" si="1"/>
        <v>0</v>
      </c>
      <c r="I27" s="10" t="s">
        <v>20</v>
      </c>
      <c r="J27" s="11">
        <v>84.9</v>
      </c>
      <c r="K27" s="12">
        <f t="shared" si="2"/>
        <v>0</v>
      </c>
    </row>
    <row r="28" spans="1:17" hidden="1" x14ac:dyDescent="0.35">
      <c r="A28" s="103"/>
      <c r="B28" s="12" t="s">
        <v>2</v>
      </c>
      <c r="C28" s="10" t="s">
        <v>211</v>
      </c>
      <c r="D28" s="152"/>
      <c r="E28" s="170"/>
      <c r="F28" s="153" t="str">
        <f t="shared" si="0"/>
        <v/>
      </c>
      <c r="G28" s="256"/>
      <c r="H28" s="166">
        <f t="shared" si="1"/>
        <v>0</v>
      </c>
      <c r="I28" s="10" t="s">
        <v>20</v>
      </c>
      <c r="J28" s="11">
        <v>2.96</v>
      </c>
      <c r="K28" s="12">
        <f>H28*J28</f>
        <v>0</v>
      </c>
    </row>
    <row r="29" spans="1:17" hidden="1" x14ac:dyDescent="0.35">
      <c r="A29" s="103"/>
      <c r="B29" s="12" t="s">
        <v>2</v>
      </c>
      <c r="C29" s="10" t="s">
        <v>212</v>
      </c>
      <c r="D29" s="152"/>
      <c r="E29" s="170"/>
      <c r="F29" s="153" t="str">
        <f t="shared" si="0"/>
        <v/>
      </c>
      <c r="G29" s="256"/>
      <c r="H29" s="166">
        <f t="shared" si="1"/>
        <v>0</v>
      </c>
      <c r="I29" s="10" t="s">
        <v>20</v>
      </c>
      <c r="J29" s="11">
        <v>2.96</v>
      </c>
      <c r="K29" s="12">
        <f t="shared" ref="K29:K40" si="3">H29*J29</f>
        <v>0</v>
      </c>
    </row>
    <row r="30" spans="1:17" hidden="1" x14ac:dyDescent="0.35">
      <c r="A30" s="103"/>
      <c r="B30" s="12" t="s">
        <v>2</v>
      </c>
      <c r="C30" s="10" t="s">
        <v>213</v>
      </c>
      <c r="D30" s="152"/>
      <c r="E30" s="170"/>
      <c r="F30" s="153" t="str">
        <f t="shared" si="0"/>
        <v/>
      </c>
      <c r="G30" s="256"/>
      <c r="H30" s="166">
        <f t="shared" si="1"/>
        <v>0</v>
      </c>
      <c r="I30" s="10" t="s">
        <v>20</v>
      </c>
      <c r="J30" s="11">
        <v>2.96</v>
      </c>
      <c r="K30" s="12">
        <f t="shared" si="3"/>
        <v>0</v>
      </c>
      <c r="Q30" s="268"/>
    </row>
    <row r="31" spans="1:17" hidden="1" x14ac:dyDescent="0.35">
      <c r="A31" s="103"/>
      <c r="B31" s="7" t="s">
        <v>2</v>
      </c>
      <c r="C31" s="14" t="s">
        <v>22</v>
      </c>
      <c r="D31" s="152"/>
      <c r="E31" s="170"/>
      <c r="F31" s="153" t="str">
        <f t="shared" si="0"/>
        <v/>
      </c>
      <c r="G31" s="256"/>
      <c r="H31" s="166">
        <f t="shared" si="1"/>
        <v>0</v>
      </c>
      <c r="I31" s="10" t="s">
        <v>20</v>
      </c>
      <c r="J31" s="11">
        <v>107.2</v>
      </c>
      <c r="K31" s="12">
        <f t="shared" si="3"/>
        <v>0</v>
      </c>
    </row>
    <row r="32" spans="1:17" hidden="1" x14ac:dyDescent="0.35">
      <c r="A32" s="103"/>
      <c r="B32" s="7" t="s">
        <v>2</v>
      </c>
      <c r="C32" s="14" t="s">
        <v>214</v>
      </c>
      <c r="D32" s="152"/>
      <c r="E32" s="170"/>
      <c r="F32" s="153" t="str">
        <f t="shared" si="0"/>
        <v/>
      </c>
      <c r="G32" s="256"/>
      <c r="H32" s="166">
        <f t="shared" si="1"/>
        <v>0</v>
      </c>
      <c r="I32" s="10" t="s">
        <v>20</v>
      </c>
      <c r="J32" s="11">
        <v>170.7</v>
      </c>
      <c r="K32" s="12">
        <f t="shared" si="3"/>
        <v>0</v>
      </c>
      <c r="M32" s="87"/>
    </row>
    <row r="33" spans="1:14" hidden="1" x14ac:dyDescent="0.35">
      <c r="A33" s="103"/>
      <c r="B33" s="12" t="s">
        <v>2</v>
      </c>
      <c r="C33" s="10" t="s">
        <v>215</v>
      </c>
      <c r="D33" s="152"/>
      <c r="E33" s="170"/>
      <c r="F33" s="153" t="str">
        <f t="shared" si="0"/>
        <v/>
      </c>
      <c r="G33" s="256"/>
      <c r="H33" s="166">
        <f t="shared" si="1"/>
        <v>0</v>
      </c>
      <c r="I33" s="10" t="s">
        <v>216</v>
      </c>
      <c r="J33" s="11">
        <v>3.77</v>
      </c>
      <c r="K33" s="12">
        <f t="shared" si="3"/>
        <v>0</v>
      </c>
    </row>
    <row r="34" spans="1:14" hidden="1" x14ac:dyDescent="0.35">
      <c r="A34" s="103"/>
      <c r="B34" s="12" t="s">
        <v>2</v>
      </c>
      <c r="C34" s="10" t="s">
        <v>217</v>
      </c>
      <c r="D34" s="152"/>
      <c r="E34" s="170"/>
      <c r="F34" s="153" t="str">
        <f t="shared" si="0"/>
        <v/>
      </c>
      <c r="G34" s="256"/>
      <c r="H34" s="166">
        <f t="shared" si="1"/>
        <v>0</v>
      </c>
      <c r="I34" s="10" t="s">
        <v>20</v>
      </c>
      <c r="J34" s="11">
        <v>2.56</v>
      </c>
      <c r="K34" s="12">
        <f t="shared" si="3"/>
        <v>0</v>
      </c>
      <c r="N34" s="87"/>
    </row>
    <row r="35" spans="1:14" hidden="1" x14ac:dyDescent="0.35">
      <c r="A35" s="103"/>
      <c r="B35" s="12" t="s">
        <v>2</v>
      </c>
      <c r="C35" s="10" t="s">
        <v>218</v>
      </c>
      <c r="D35" s="152"/>
      <c r="E35" s="170"/>
      <c r="F35" s="153" t="str">
        <f t="shared" si="0"/>
        <v/>
      </c>
      <c r="G35" s="256"/>
      <c r="H35" s="166">
        <f t="shared" si="1"/>
        <v>0</v>
      </c>
      <c r="I35" s="10" t="s">
        <v>20</v>
      </c>
      <c r="J35" s="11">
        <v>3.08</v>
      </c>
      <c r="K35" s="12">
        <f t="shared" si="3"/>
        <v>0</v>
      </c>
    </row>
    <row r="36" spans="1:14" hidden="1" x14ac:dyDescent="0.35">
      <c r="A36" s="103"/>
      <c r="B36" s="12" t="s">
        <v>2</v>
      </c>
      <c r="C36" s="10" t="s">
        <v>219</v>
      </c>
      <c r="D36" s="152"/>
      <c r="E36" s="170"/>
      <c r="F36" s="153" t="str">
        <f t="shared" si="0"/>
        <v/>
      </c>
      <c r="G36" s="256"/>
      <c r="H36" s="166">
        <f t="shared" si="1"/>
        <v>0</v>
      </c>
      <c r="I36" s="10" t="s">
        <v>20</v>
      </c>
      <c r="J36" s="11">
        <v>2.56</v>
      </c>
      <c r="K36" s="12">
        <f t="shared" si="3"/>
        <v>0</v>
      </c>
    </row>
    <row r="37" spans="1:14" hidden="1" x14ac:dyDescent="0.35">
      <c r="A37" s="103"/>
      <c r="B37" s="12" t="s">
        <v>2</v>
      </c>
      <c r="C37" s="10" t="s">
        <v>220</v>
      </c>
      <c r="D37" s="152"/>
      <c r="E37" s="170"/>
      <c r="F37" s="153" t="str">
        <f t="shared" si="0"/>
        <v/>
      </c>
      <c r="G37" s="256"/>
      <c r="H37" s="166">
        <f t="shared" si="1"/>
        <v>0</v>
      </c>
      <c r="I37" s="10" t="s">
        <v>20</v>
      </c>
      <c r="J37" s="11">
        <v>1.41</v>
      </c>
      <c r="K37" s="12">
        <f t="shared" si="3"/>
        <v>0</v>
      </c>
    </row>
    <row r="38" spans="1:14" hidden="1" x14ac:dyDescent="0.35">
      <c r="A38" s="103"/>
      <c r="B38" s="12" t="s">
        <v>2</v>
      </c>
      <c r="C38" s="10" t="s">
        <v>221</v>
      </c>
      <c r="D38" s="152"/>
      <c r="E38" s="170"/>
      <c r="F38" s="153" t="str">
        <f t="shared" si="0"/>
        <v/>
      </c>
      <c r="G38" s="256"/>
      <c r="H38" s="166">
        <f t="shared" si="1"/>
        <v>0</v>
      </c>
      <c r="I38" s="10" t="s">
        <v>20</v>
      </c>
      <c r="J38" s="11">
        <v>1.73</v>
      </c>
      <c r="K38" s="12">
        <f t="shared" si="3"/>
        <v>0</v>
      </c>
    </row>
    <row r="39" spans="1:14" hidden="1" x14ac:dyDescent="0.35">
      <c r="A39" s="103"/>
      <c r="B39" s="12" t="s">
        <v>2</v>
      </c>
      <c r="C39" s="10" t="s">
        <v>222</v>
      </c>
      <c r="D39" s="152"/>
      <c r="E39" s="170"/>
      <c r="F39" s="153" t="str">
        <f t="shared" si="0"/>
        <v/>
      </c>
      <c r="G39" s="256"/>
      <c r="H39" s="166">
        <f t="shared" si="1"/>
        <v>0</v>
      </c>
      <c r="I39" s="10" t="s">
        <v>20</v>
      </c>
      <c r="J39" s="11">
        <v>1.46</v>
      </c>
      <c r="K39" s="12">
        <f t="shared" si="3"/>
        <v>0</v>
      </c>
    </row>
    <row r="40" spans="1:14" hidden="1" x14ac:dyDescent="0.35">
      <c r="A40" s="103"/>
      <c r="B40" s="12" t="s">
        <v>2</v>
      </c>
      <c r="C40" s="10" t="s">
        <v>223</v>
      </c>
      <c r="D40" s="222"/>
      <c r="E40" s="170"/>
      <c r="F40" s="153" t="str">
        <f t="shared" si="0"/>
        <v/>
      </c>
      <c r="G40" s="256"/>
      <c r="H40" s="166">
        <f t="shared" si="1"/>
        <v>0</v>
      </c>
      <c r="I40" s="10" t="s">
        <v>20</v>
      </c>
      <c r="J40" s="77">
        <v>3.45</v>
      </c>
      <c r="K40" s="12">
        <f t="shared" si="3"/>
        <v>0</v>
      </c>
    </row>
    <row r="41" spans="1:14" ht="15.5" x14ac:dyDescent="0.35">
      <c r="A41" s="108" t="s">
        <v>119</v>
      </c>
      <c r="B41" s="108"/>
      <c r="C41" s="108"/>
      <c r="D41" s="223"/>
      <c r="E41" s="287"/>
      <c r="F41" s="165"/>
      <c r="G41" s="286"/>
      <c r="H41" s="247"/>
      <c r="I41" s="108"/>
      <c r="J41" s="106" t="s">
        <v>18</v>
      </c>
      <c r="K41" s="269">
        <f>SUM(K42:K49)</f>
        <v>0</v>
      </c>
    </row>
    <row r="42" spans="1:14" x14ac:dyDescent="0.35">
      <c r="A42" s="103"/>
      <c r="B42" s="12" t="s">
        <v>7</v>
      </c>
      <c r="C42" s="10" t="s">
        <v>224</v>
      </c>
      <c r="D42" s="152"/>
      <c r="E42" s="170"/>
      <c r="F42" s="153" t="str">
        <f t="shared" si="0"/>
        <v/>
      </c>
      <c r="G42" s="256"/>
      <c r="H42" s="166">
        <f t="shared" si="1"/>
        <v>0</v>
      </c>
      <c r="I42" s="10" t="s">
        <v>20</v>
      </c>
      <c r="J42" s="11">
        <v>100</v>
      </c>
      <c r="K42" s="12">
        <f t="shared" ref="K42:K49" si="4">G42*J42</f>
        <v>0</v>
      </c>
    </row>
    <row r="43" spans="1:14" hidden="1" x14ac:dyDescent="0.35">
      <c r="A43" s="103"/>
      <c r="B43" s="12" t="s">
        <v>7</v>
      </c>
      <c r="C43" s="10" t="s">
        <v>225</v>
      </c>
      <c r="D43" s="152"/>
      <c r="E43" s="170">
        <f>'[6]Chalet 3 (2)'!E43</f>
        <v>0</v>
      </c>
      <c r="F43" s="153" t="str">
        <f t="shared" si="0"/>
        <v/>
      </c>
      <c r="G43" s="256"/>
      <c r="H43" s="166">
        <f t="shared" si="1"/>
        <v>0</v>
      </c>
      <c r="I43" s="10" t="s">
        <v>20</v>
      </c>
      <c r="J43" s="11">
        <v>12.2</v>
      </c>
      <c r="K43" s="12">
        <f t="shared" si="4"/>
        <v>0</v>
      </c>
    </row>
    <row r="44" spans="1:14" hidden="1" x14ac:dyDescent="0.35">
      <c r="A44" s="103"/>
      <c r="B44" s="12" t="s">
        <v>7</v>
      </c>
      <c r="C44" s="10" t="s">
        <v>226</v>
      </c>
      <c r="D44" s="152"/>
      <c r="E44" s="170">
        <f>'[6]Chalet 3 (2)'!E44</f>
        <v>0</v>
      </c>
      <c r="F44" s="153" t="str">
        <f t="shared" si="0"/>
        <v/>
      </c>
      <c r="G44" s="256"/>
      <c r="H44" s="166">
        <f t="shared" si="1"/>
        <v>0</v>
      </c>
      <c r="I44" s="10" t="s">
        <v>20</v>
      </c>
      <c r="J44" s="11">
        <v>11</v>
      </c>
      <c r="K44" s="12">
        <f t="shared" si="4"/>
        <v>0</v>
      </c>
    </row>
    <row r="45" spans="1:14" hidden="1" x14ac:dyDescent="0.35">
      <c r="A45" s="103"/>
      <c r="B45" s="12" t="s">
        <v>7</v>
      </c>
      <c r="C45" s="10" t="s">
        <v>227</v>
      </c>
      <c r="D45" s="152"/>
      <c r="E45" s="170">
        <f>'[6]Chalet 3 (2)'!E45</f>
        <v>0</v>
      </c>
      <c r="F45" s="153" t="str">
        <f t="shared" si="0"/>
        <v/>
      </c>
      <c r="G45" s="256"/>
      <c r="H45" s="166">
        <f t="shared" si="1"/>
        <v>0</v>
      </c>
      <c r="I45" s="10" t="s">
        <v>20</v>
      </c>
      <c r="J45" s="11">
        <v>5</v>
      </c>
      <c r="K45" s="12">
        <f t="shared" si="4"/>
        <v>0</v>
      </c>
    </row>
    <row r="46" spans="1:14" x14ac:dyDescent="0.35">
      <c r="A46" s="103"/>
      <c r="B46" s="12" t="s">
        <v>7</v>
      </c>
      <c r="C46" s="10" t="s">
        <v>46</v>
      </c>
      <c r="D46" s="152"/>
      <c r="E46" s="170"/>
      <c r="F46" s="153" t="str">
        <f t="shared" si="0"/>
        <v/>
      </c>
      <c r="G46" s="256"/>
      <c r="H46" s="166">
        <f>IF(ISNUMBER(E46),E46,0)+IF(ISNUMBER(F46),F46,0)-IF(ISNUMBER(G46),G46,0)</f>
        <v>0</v>
      </c>
      <c r="I46" s="10" t="s">
        <v>20</v>
      </c>
      <c r="J46" s="11">
        <v>5</v>
      </c>
      <c r="K46" s="12">
        <f>H46*J46</f>
        <v>0</v>
      </c>
    </row>
    <row r="47" spans="1:14" hidden="1" x14ac:dyDescent="0.35">
      <c r="A47" s="103"/>
      <c r="B47" s="12" t="s">
        <v>7</v>
      </c>
      <c r="C47" s="10" t="s">
        <v>228</v>
      </c>
      <c r="D47" s="152"/>
      <c r="E47" s="170"/>
      <c r="F47" s="153" t="str">
        <f t="shared" si="0"/>
        <v/>
      </c>
      <c r="G47" s="256"/>
      <c r="H47" s="166">
        <f t="shared" ref="H47:H110" si="5">IF(ISNUMBER(E47),E47,0)+IF(ISNUMBER(F47),F47,0)-IF(ISNUMBER(G47),G47,0)</f>
        <v>0</v>
      </c>
      <c r="I47" s="10" t="s">
        <v>20</v>
      </c>
      <c r="J47" s="11">
        <v>11</v>
      </c>
      <c r="K47" s="12">
        <f t="shared" ref="K47:K48" si="6">H47*J47</f>
        <v>0</v>
      </c>
    </row>
    <row r="48" spans="1:14" x14ac:dyDescent="0.35">
      <c r="A48" s="103"/>
      <c r="B48" s="12" t="s">
        <v>7</v>
      </c>
      <c r="C48" s="10" t="s">
        <v>229</v>
      </c>
      <c r="D48" s="152"/>
      <c r="E48" s="170"/>
      <c r="F48" s="153" t="str">
        <f t="shared" si="0"/>
        <v/>
      </c>
      <c r="G48" s="256"/>
      <c r="H48" s="166">
        <f t="shared" si="5"/>
        <v>0</v>
      </c>
      <c r="I48" s="10" t="s">
        <v>20</v>
      </c>
      <c r="J48" s="11">
        <v>50</v>
      </c>
      <c r="K48" s="12">
        <f t="shared" si="6"/>
        <v>0</v>
      </c>
    </row>
    <row r="49" spans="1:12" x14ac:dyDescent="0.35">
      <c r="A49" s="103"/>
      <c r="B49" s="12" t="s">
        <v>7</v>
      </c>
      <c r="C49" s="78" t="s">
        <v>206</v>
      </c>
      <c r="D49" s="224"/>
      <c r="E49" s="170"/>
      <c r="F49" s="153" t="str">
        <f t="shared" si="0"/>
        <v/>
      </c>
      <c r="G49" s="256"/>
      <c r="H49" s="166">
        <f t="shared" si="5"/>
        <v>0</v>
      </c>
      <c r="I49" s="10" t="s">
        <v>20</v>
      </c>
      <c r="J49" s="79">
        <v>5</v>
      </c>
      <c r="K49" s="12">
        <f t="shared" si="4"/>
        <v>0</v>
      </c>
    </row>
    <row r="50" spans="1:12" ht="15.5" x14ac:dyDescent="0.35">
      <c r="A50" s="103"/>
      <c r="B50" s="104" t="s">
        <v>230</v>
      </c>
      <c r="C50" s="105"/>
      <c r="D50" s="225"/>
      <c r="E50" s="250"/>
      <c r="F50" s="165" t="str">
        <f t="shared" si="0"/>
        <v/>
      </c>
      <c r="G50" s="258"/>
      <c r="H50" s="247"/>
      <c r="I50" s="105"/>
      <c r="J50" s="106" t="s">
        <v>18</v>
      </c>
      <c r="K50" s="269">
        <f>SUM(K52:K77)</f>
        <v>51.9</v>
      </c>
    </row>
    <row r="51" spans="1:12" ht="15.5" x14ac:dyDescent="0.35">
      <c r="A51" s="111"/>
      <c r="B51" s="126" t="s">
        <v>231</v>
      </c>
      <c r="C51" s="127"/>
      <c r="D51" s="226"/>
      <c r="E51" s="250"/>
      <c r="F51" s="165" t="str">
        <f t="shared" si="0"/>
        <v/>
      </c>
      <c r="G51" s="259"/>
      <c r="H51" s="247"/>
      <c r="I51" s="127"/>
      <c r="J51" s="127"/>
      <c r="K51" s="128"/>
    </row>
    <row r="52" spans="1:12" hidden="1" x14ac:dyDescent="0.35">
      <c r="A52" s="103"/>
      <c r="B52" s="12" t="s">
        <v>13</v>
      </c>
      <c r="C52" s="10" t="s">
        <v>78</v>
      </c>
      <c r="D52" s="152"/>
      <c r="E52" s="170"/>
      <c r="F52" s="153" t="str">
        <f t="shared" si="0"/>
        <v/>
      </c>
      <c r="G52" s="256"/>
      <c r="H52" s="166">
        <f t="shared" si="5"/>
        <v>0</v>
      </c>
      <c r="I52" s="10" t="s">
        <v>20</v>
      </c>
      <c r="J52" s="11">
        <v>13</v>
      </c>
      <c r="K52" s="12">
        <f>H52*J52</f>
        <v>0</v>
      </c>
    </row>
    <row r="53" spans="1:12" hidden="1" x14ac:dyDescent="0.35">
      <c r="A53" s="103"/>
      <c r="B53" s="12" t="s">
        <v>13</v>
      </c>
      <c r="C53" s="10" t="s">
        <v>232</v>
      </c>
      <c r="D53" s="152"/>
      <c r="E53" s="170"/>
      <c r="F53" s="153" t="str">
        <f t="shared" si="0"/>
        <v/>
      </c>
      <c r="G53" s="256"/>
      <c r="H53" s="166">
        <f t="shared" si="5"/>
        <v>0</v>
      </c>
      <c r="I53" s="10" t="s">
        <v>20</v>
      </c>
      <c r="J53" s="11">
        <v>13</v>
      </c>
      <c r="K53" s="12">
        <f t="shared" ref="K53:K77" si="7">H53*J53</f>
        <v>0</v>
      </c>
      <c r="L53" s="87"/>
    </row>
    <row r="54" spans="1:12" hidden="1" x14ac:dyDescent="0.35">
      <c r="A54" s="103"/>
      <c r="B54" s="12" t="s">
        <v>13</v>
      </c>
      <c r="C54" s="10" t="s">
        <v>233</v>
      </c>
      <c r="D54" s="152"/>
      <c r="E54" s="170"/>
      <c r="F54" s="153" t="str">
        <f t="shared" si="0"/>
        <v/>
      </c>
      <c r="G54" s="256"/>
      <c r="H54" s="166">
        <f t="shared" si="5"/>
        <v>0</v>
      </c>
      <c r="I54" s="10" t="s">
        <v>20</v>
      </c>
      <c r="J54" s="11">
        <v>8.9</v>
      </c>
      <c r="K54" s="12">
        <f t="shared" si="7"/>
        <v>0</v>
      </c>
    </row>
    <row r="55" spans="1:12" x14ac:dyDescent="0.35">
      <c r="A55" s="103"/>
      <c r="B55" s="12" t="s">
        <v>13</v>
      </c>
      <c r="C55" s="10" t="s">
        <v>32</v>
      </c>
      <c r="D55" s="152">
        <v>2</v>
      </c>
      <c r="E55" s="170">
        <v>2</v>
      </c>
      <c r="F55" s="153" t="str">
        <f t="shared" si="0"/>
        <v/>
      </c>
      <c r="G55" s="256"/>
      <c r="H55" s="166">
        <f t="shared" si="5"/>
        <v>2</v>
      </c>
      <c r="I55" s="10" t="s">
        <v>20</v>
      </c>
      <c r="J55" s="11">
        <v>8.35</v>
      </c>
      <c r="K55" s="12">
        <f t="shared" si="7"/>
        <v>16.7</v>
      </c>
    </row>
    <row r="56" spans="1:12" x14ac:dyDescent="0.35">
      <c r="A56" s="103"/>
      <c r="B56" s="12" t="s">
        <v>13</v>
      </c>
      <c r="C56" s="10" t="s">
        <v>33</v>
      </c>
      <c r="D56" s="152">
        <v>2</v>
      </c>
      <c r="E56" s="170">
        <v>2</v>
      </c>
      <c r="F56" s="153" t="str">
        <f t="shared" si="0"/>
        <v/>
      </c>
      <c r="G56" s="256"/>
      <c r="H56" s="166">
        <f t="shared" si="5"/>
        <v>2</v>
      </c>
      <c r="I56" s="10" t="s">
        <v>20</v>
      </c>
      <c r="J56" s="11">
        <v>8.9</v>
      </c>
      <c r="K56" s="12">
        <f t="shared" si="7"/>
        <v>17.8</v>
      </c>
    </row>
    <row r="57" spans="1:12" x14ac:dyDescent="0.35">
      <c r="A57" s="103"/>
      <c r="B57" s="12" t="s">
        <v>13</v>
      </c>
      <c r="C57" s="10" t="s">
        <v>59</v>
      </c>
      <c r="D57" s="152">
        <v>2</v>
      </c>
      <c r="E57" s="170">
        <v>2</v>
      </c>
      <c r="F57" s="153" t="str">
        <f t="shared" si="0"/>
        <v/>
      </c>
      <c r="G57" s="256"/>
      <c r="H57" s="166">
        <f t="shared" si="5"/>
        <v>2</v>
      </c>
      <c r="I57" s="10" t="s">
        <v>20</v>
      </c>
      <c r="J57" s="11">
        <v>8.6999999999999993</v>
      </c>
      <c r="K57" s="12">
        <f t="shared" si="7"/>
        <v>17.399999999999999</v>
      </c>
    </row>
    <row r="58" spans="1:12" hidden="1" x14ac:dyDescent="0.35">
      <c r="A58" s="103"/>
      <c r="B58" s="12" t="s">
        <v>13</v>
      </c>
      <c r="C58" s="10" t="s">
        <v>234</v>
      </c>
      <c r="D58" s="152"/>
      <c r="E58" s="170"/>
      <c r="F58" s="153" t="str">
        <f t="shared" si="0"/>
        <v/>
      </c>
      <c r="G58" s="256"/>
      <c r="H58" s="166">
        <f t="shared" si="5"/>
        <v>0</v>
      </c>
      <c r="I58" s="10" t="s">
        <v>20</v>
      </c>
      <c r="J58" s="11">
        <v>12.15</v>
      </c>
      <c r="K58" s="12">
        <f t="shared" si="7"/>
        <v>0</v>
      </c>
    </row>
    <row r="59" spans="1:12" hidden="1" x14ac:dyDescent="0.35">
      <c r="A59" s="103"/>
      <c r="B59" s="12" t="s">
        <v>13</v>
      </c>
      <c r="C59" s="10" t="s">
        <v>235</v>
      </c>
      <c r="D59" s="152"/>
      <c r="E59" s="170"/>
      <c r="F59" s="153" t="str">
        <f t="shared" si="0"/>
        <v/>
      </c>
      <c r="G59" s="256"/>
      <c r="H59" s="166">
        <f t="shared" si="5"/>
        <v>0</v>
      </c>
      <c r="I59" s="10" t="s">
        <v>20</v>
      </c>
      <c r="J59" s="11">
        <v>11.35</v>
      </c>
      <c r="K59" s="12">
        <f t="shared" si="7"/>
        <v>0</v>
      </c>
    </row>
    <row r="60" spans="1:12" hidden="1" x14ac:dyDescent="0.35">
      <c r="A60" s="103"/>
      <c r="B60" s="12" t="s">
        <v>13</v>
      </c>
      <c r="C60" s="10" t="s">
        <v>236</v>
      </c>
      <c r="D60" s="152"/>
      <c r="E60" s="170"/>
      <c r="F60" s="153" t="str">
        <f t="shared" si="0"/>
        <v/>
      </c>
      <c r="G60" s="256"/>
      <c r="H60" s="166">
        <f t="shared" si="5"/>
        <v>0</v>
      </c>
      <c r="I60" s="10" t="s">
        <v>20</v>
      </c>
      <c r="J60" s="11">
        <v>14.65</v>
      </c>
      <c r="K60" s="12">
        <f t="shared" si="7"/>
        <v>0</v>
      </c>
    </row>
    <row r="61" spans="1:12" hidden="1" x14ac:dyDescent="0.35">
      <c r="A61" s="103"/>
      <c r="B61" s="12" t="s">
        <v>13</v>
      </c>
      <c r="C61" s="10" t="s">
        <v>237</v>
      </c>
      <c r="D61" s="152"/>
      <c r="E61" s="170"/>
      <c r="F61" s="153" t="str">
        <f t="shared" si="0"/>
        <v/>
      </c>
      <c r="G61" s="256"/>
      <c r="H61" s="166">
        <f t="shared" si="5"/>
        <v>0</v>
      </c>
      <c r="I61" s="10" t="s">
        <v>20</v>
      </c>
      <c r="J61" s="11">
        <v>16.25</v>
      </c>
      <c r="K61" s="12">
        <f t="shared" si="7"/>
        <v>0</v>
      </c>
    </row>
    <row r="62" spans="1:12" hidden="1" x14ac:dyDescent="0.35">
      <c r="A62" s="103"/>
      <c r="B62" s="12" t="s">
        <v>13</v>
      </c>
      <c r="C62" s="10" t="s">
        <v>238</v>
      </c>
      <c r="D62" s="152"/>
      <c r="E62" s="170"/>
      <c r="F62" s="153" t="str">
        <f t="shared" si="0"/>
        <v/>
      </c>
      <c r="G62" s="256"/>
      <c r="H62" s="166">
        <f t="shared" si="5"/>
        <v>0</v>
      </c>
      <c r="I62" s="10" t="s">
        <v>20</v>
      </c>
      <c r="J62" s="11">
        <v>17.899999999999999</v>
      </c>
      <c r="K62" s="12">
        <f t="shared" si="7"/>
        <v>0</v>
      </c>
    </row>
    <row r="63" spans="1:12" hidden="1" x14ac:dyDescent="0.35">
      <c r="A63" s="103"/>
      <c r="B63" s="12" t="s">
        <v>13</v>
      </c>
      <c r="C63" s="10" t="s">
        <v>239</v>
      </c>
      <c r="D63" s="152"/>
      <c r="E63" s="170"/>
      <c r="F63" s="153" t="str">
        <f t="shared" si="0"/>
        <v/>
      </c>
      <c r="G63" s="256"/>
      <c r="H63" s="166">
        <f t="shared" si="5"/>
        <v>0</v>
      </c>
      <c r="I63" s="10" t="s">
        <v>20</v>
      </c>
      <c r="J63" s="11">
        <v>15.95</v>
      </c>
      <c r="K63" s="12">
        <f t="shared" si="7"/>
        <v>0</v>
      </c>
    </row>
    <row r="64" spans="1:12" hidden="1" x14ac:dyDescent="0.35">
      <c r="A64" s="103"/>
      <c r="B64" s="12" t="s">
        <v>13</v>
      </c>
      <c r="C64" s="10" t="s">
        <v>240</v>
      </c>
      <c r="D64" s="152"/>
      <c r="E64" s="170"/>
      <c r="F64" s="153" t="str">
        <f t="shared" si="0"/>
        <v/>
      </c>
      <c r="G64" s="256"/>
      <c r="H64" s="166">
        <f t="shared" si="5"/>
        <v>0</v>
      </c>
      <c r="I64" s="10" t="s">
        <v>20</v>
      </c>
      <c r="J64" s="11">
        <v>15.45</v>
      </c>
      <c r="K64" s="12">
        <f t="shared" si="7"/>
        <v>0</v>
      </c>
    </row>
    <row r="65" spans="1:15" ht="15.5" hidden="1" x14ac:dyDescent="0.35">
      <c r="A65" s="111"/>
      <c r="B65" s="126" t="s">
        <v>241</v>
      </c>
      <c r="C65" s="127"/>
      <c r="D65" s="226"/>
      <c r="E65" s="250"/>
      <c r="F65" s="165" t="str">
        <f t="shared" si="0"/>
        <v/>
      </c>
      <c r="G65" s="259"/>
      <c r="H65" s="247"/>
      <c r="I65" s="127"/>
      <c r="J65" s="127"/>
      <c r="K65" s="270"/>
    </row>
    <row r="66" spans="1:15" hidden="1" x14ac:dyDescent="0.35">
      <c r="A66" s="103"/>
      <c r="B66" s="12" t="s">
        <v>13</v>
      </c>
      <c r="C66" s="10" t="s">
        <v>242</v>
      </c>
      <c r="D66" s="152"/>
      <c r="E66" s="170"/>
      <c r="F66" s="153" t="str">
        <f t="shared" si="0"/>
        <v/>
      </c>
      <c r="G66" s="256"/>
      <c r="H66" s="166">
        <f t="shared" si="5"/>
        <v>0</v>
      </c>
      <c r="I66" s="10" t="s">
        <v>20</v>
      </c>
      <c r="J66" s="11">
        <v>31.05</v>
      </c>
      <c r="K66" s="12">
        <f t="shared" si="7"/>
        <v>0</v>
      </c>
    </row>
    <row r="67" spans="1:15" hidden="1" x14ac:dyDescent="0.35">
      <c r="A67" s="103"/>
      <c r="B67" s="12" t="s">
        <v>13</v>
      </c>
      <c r="C67" s="10" t="s">
        <v>243</v>
      </c>
      <c r="D67" s="152"/>
      <c r="E67" s="170"/>
      <c r="F67" s="153" t="str">
        <f t="shared" si="0"/>
        <v/>
      </c>
      <c r="G67" s="256"/>
      <c r="H67" s="166">
        <f t="shared" si="5"/>
        <v>0</v>
      </c>
      <c r="I67" s="10" t="s">
        <v>20</v>
      </c>
      <c r="J67" s="11">
        <v>60.79</v>
      </c>
      <c r="K67" s="12">
        <f t="shared" si="7"/>
        <v>0</v>
      </c>
    </row>
    <row r="68" spans="1:15" hidden="1" x14ac:dyDescent="0.35">
      <c r="A68" s="103"/>
      <c r="B68" s="12" t="s">
        <v>13</v>
      </c>
      <c r="C68" s="10" t="s">
        <v>244</v>
      </c>
      <c r="D68" s="152"/>
      <c r="E68" s="170"/>
      <c r="F68" s="153" t="str">
        <f t="shared" si="0"/>
        <v/>
      </c>
      <c r="G68" s="256"/>
      <c r="H68" s="166">
        <f t="shared" si="5"/>
        <v>0</v>
      </c>
      <c r="I68" s="10" t="s">
        <v>20</v>
      </c>
      <c r="J68" s="11">
        <v>56.55</v>
      </c>
      <c r="K68" s="12">
        <f t="shared" si="7"/>
        <v>0</v>
      </c>
    </row>
    <row r="69" spans="1:15" hidden="1" x14ac:dyDescent="0.35">
      <c r="A69" s="103"/>
      <c r="B69" s="12" t="s">
        <v>13</v>
      </c>
      <c r="C69" s="10" t="s">
        <v>245</v>
      </c>
      <c r="D69" s="152"/>
      <c r="E69" s="170"/>
      <c r="F69" s="153" t="str">
        <f t="shared" si="0"/>
        <v/>
      </c>
      <c r="G69" s="256"/>
      <c r="H69" s="166">
        <f t="shared" si="5"/>
        <v>0</v>
      </c>
      <c r="I69" s="10" t="s">
        <v>20</v>
      </c>
      <c r="J69" s="11">
        <v>107.44</v>
      </c>
      <c r="K69" s="12">
        <f t="shared" si="7"/>
        <v>0</v>
      </c>
    </row>
    <row r="70" spans="1:15" hidden="1" x14ac:dyDescent="0.35">
      <c r="A70" s="103"/>
      <c r="B70" s="12" t="s">
        <v>13</v>
      </c>
      <c r="C70" s="10" t="s">
        <v>246</v>
      </c>
      <c r="D70" s="152"/>
      <c r="E70" s="170"/>
      <c r="F70" s="153" t="str">
        <f t="shared" si="0"/>
        <v/>
      </c>
      <c r="G70" s="256"/>
      <c r="H70" s="166">
        <f t="shared" si="5"/>
        <v>0</v>
      </c>
      <c r="I70" s="10" t="s">
        <v>20</v>
      </c>
      <c r="J70" s="11">
        <v>47.4</v>
      </c>
      <c r="K70" s="12">
        <f t="shared" si="7"/>
        <v>0</v>
      </c>
    </row>
    <row r="71" spans="1:15" hidden="1" x14ac:dyDescent="0.35">
      <c r="A71" s="103"/>
      <c r="B71" s="12" t="s">
        <v>13</v>
      </c>
      <c r="C71" s="10" t="s">
        <v>247</v>
      </c>
      <c r="D71" s="152"/>
      <c r="E71" s="170"/>
      <c r="F71" s="153" t="str">
        <f t="shared" si="0"/>
        <v/>
      </c>
      <c r="G71" s="256"/>
      <c r="H71" s="166">
        <f t="shared" si="5"/>
        <v>0</v>
      </c>
      <c r="I71" s="10" t="s">
        <v>20</v>
      </c>
      <c r="J71" s="11">
        <v>87.63</v>
      </c>
      <c r="K71" s="12">
        <f t="shared" si="7"/>
        <v>0</v>
      </c>
    </row>
    <row r="72" spans="1:15" hidden="1" x14ac:dyDescent="0.35">
      <c r="A72" s="103"/>
      <c r="B72" s="12" t="s">
        <v>13</v>
      </c>
      <c r="C72" s="10" t="s">
        <v>248</v>
      </c>
      <c r="D72" s="152"/>
      <c r="E72" s="170"/>
      <c r="F72" s="153" t="str">
        <f t="shared" si="0"/>
        <v/>
      </c>
      <c r="G72" s="256"/>
      <c r="H72" s="166">
        <f t="shared" si="5"/>
        <v>0</v>
      </c>
      <c r="I72" s="10" t="s">
        <v>20</v>
      </c>
      <c r="J72" s="11">
        <v>52.31</v>
      </c>
      <c r="K72" s="12">
        <f t="shared" si="7"/>
        <v>0</v>
      </c>
    </row>
    <row r="73" spans="1:15" ht="15.5" hidden="1" x14ac:dyDescent="0.35">
      <c r="A73" s="111"/>
      <c r="B73" s="126" t="s">
        <v>249</v>
      </c>
      <c r="C73" s="127"/>
      <c r="D73" s="226"/>
      <c r="E73" s="170"/>
      <c r="F73" s="153" t="str">
        <f t="shared" si="0"/>
        <v/>
      </c>
      <c r="G73" s="259"/>
      <c r="H73" s="166">
        <f t="shared" si="5"/>
        <v>0</v>
      </c>
      <c r="I73" s="127"/>
      <c r="J73" s="127"/>
      <c r="K73" s="271"/>
    </row>
    <row r="74" spans="1:15" hidden="1" x14ac:dyDescent="0.35">
      <c r="A74" s="103"/>
      <c r="B74" s="12" t="s">
        <v>13</v>
      </c>
      <c r="C74" s="10" t="s">
        <v>250</v>
      </c>
      <c r="D74" s="152"/>
      <c r="E74" s="170"/>
      <c r="F74" s="153" t="str">
        <f t="shared" si="0"/>
        <v/>
      </c>
      <c r="G74" s="256"/>
      <c r="H74" s="166">
        <f t="shared" si="5"/>
        <v>0</v>
      </c>
      <c r="I74" s="10" t="s">
        <v>20</v>
      </c>
      <c r="J74" s="11">
        <v>10.8</v>
      </c>
      <c r="K74" s="12">
        <f t="shared" si="7"/>
        <v>0</v>
      </c>
    </row>
    <row r="75" spans="1:15" hidden="1" x14ac:dyDescent="0.35">
      <c r="A75" s="103"/>
      <c r="B75" s="12" t="s">
        <v>13</v>
      </c>
      <c r="C75" s="10" t="s">
        <v>251</v>
      </c>
      <c r="D75" s="152"/>
      <c r="E75" s="170"/>
      <c r="F75" s="153" t="str">
        <f t="shared" si="0"/>
        <v/>
      </c>
      <c r="G75" s="256"/>
      <c r="H75" s="166">
        <f t="shared" si="5"/>
        <v>0</v>
      </c>
      <c r="I75" s="10" t="s">
        <v>20</v>
      </c>
      <c r="J75" s="11">
        <v>11.2</v>
      </c>
      <c r="K75" s="12">
        <f t="shared" si="7"/>
        <v>0</v>
      </c>
    </row>
    <row r="76" spans="1:15" hidden="1" x14ac:dyDescent="0.35">
      <c r="A76" s="103"/>
      <c r="B76" s="12" t="s">
        <v>13</v>
      </c>
      <c r="C76" s="10" t="s">
        <v>252</v>
      </c>
      <c r="D76" s="152"/>
      <c r="E76" s="170"/>
      <c r="F76" s="153" t="str">
        <f t="shared" si="0"/>
        <v/>
      </c>
      <c r="G76" s="256"/>
      <c r="H76" s="166">
        <f t="shared" si="5"/>
        <v>0</v>
      </c>
      <c r="I76" s="10" t="s">
        <v>23</v>
      </c>
      <c r="J76" s="11">
        <v>4.5599999999999996</v>
      </c>
      <c r="K76" s="12">
        <f t="shared" si="7"/>
        <v>0</v>
      </c>
    </row>
    <row r="77" spans="1:15" x14ac:dyDescent="0.35">
      <c r="A77" s="103"/>
      <c r="B77" s="12" t="s">
        <v>13</v>
      </c>
      <c r="C77" s="10" t="s">
        <v>253</v>
      </c>
      <c r="D77" s="152"/>
      <c r="E77" s="170"/>
      <c r="F77" s="153" t="str">
        <f t="shared" si="0"/>
        <v/>
      </c>
      <c r="G77" s="256"/>
      <c r="H77" s="166">
        <f t="shared" si="5"/>
        <v>0</v>
      </c>
      <c r="I77" s="10" t="s">
        <v>23</v>
      </c>
      <c r="J77" s="11">
        <v>37.700000000000003</v>
      </c>
      <c r="K77" s="12">
        <f t="shared" si="7"/>
        <v>0</v>
      </c>
      <c r="O77" s="87"/>
    </row>
    <row r="78" spans="1:15" ht="15.5" x14ac:dyDescent="0.35">
      <c r="A78" s="108" t="s">
        <v>254</v>
      </c>
      <c r="B78" s="108"/>
      <c r="C78" s="108"/>
      <c r="D78" s="223"/>
      <c r="E78" s="250"/>
      <c r="F78" s="165" t="str">
        <f t="shared" si="0"/>
        <v/>
      </c>
      <c r="G78" s="186"/>
      <c r="H78" s="247"/>
      <c r="I78" s="108"/>
      <c r="J78" s="110" t="s">
        <v>18</v>
      </c>
      <c r="K78" s="269">
        <f>SUM(K80:K121)</f>
        <v>0</v>
      </c>
    </row>
    <row r="79" spans="1:15" ht="15.5" hidden="1" x14ac:dyDescent="0.35">
      <c r="A79" s="111"/>
      <c r="B79" s="126" t="s">
        <v>255</v>
      </c>
      <c r="C79" s="127"/>
      <c r="D79" s="226"/>
      <c r="E79" s="250"/>
      <c r="F79" s="153" t="str">
        <f t="shared" si="0"/>
        <v/>
      </c>
      <c r="G79" s="259"/>
      <c r="H79" s="247"/>
      <c r="I79" s="127"/>
      <c r="J79" s="127"/>
      <c r="K79" s="128"/>
    </row>
    <row r="80" spans="1:15" hidden="1" x14ac:dyDescent="0.35">
      <c r="A80" s="103"/>
      <c r="B80" s="12" t="s">
        <v>3</v>
      </c>
      <c r="C80" s="10" t="s">
        <v>256</v>
      </c>
      <c r="D80" s="152"/>
      <c r="E80" s="170"/>
      <c r="F80" s="153" t="str">
        <f t="shared" si="0"/>
        <v/>
      </c>
      <c r="G80" s="256"/>
      <c r="H80" s="166">
        <f t="shared" si="5"/>
        <v>0</v>
      </c>
      <c r="I80" s="10" t="s">
        <v>20</v>
      </c>
      <c r="J80" s="11">
        <v>32.950000000000003</v>
      </c>
      <c r="K80" s="12">
        <f t="shared" ref="K80:K86" si="8">G80*J80</f>
        <v>0</v>
      </c>
    </row>
    <row r="81" spans="1:11" hidden="1" x14ac:dyDescent="0.35">
      <c r="A81" s="103"/>
      <c r="B81" s="12" t="s">
        <v>3</v>
      </c>
      <c r="C81" s="10" t="s">
        <v>257</v>
      </c>
      <c r="D81" s="152"/>
      <c r="E81" s="170"/>
      <c r="F81" s="153" t="str">
        <f t="shared" si="0"/>
        <v/>
      </c>
      <c r="G81" s="256"/>
      <c r="H81" s="166">
        <f t="shared" si="5"/>
        <v>0</v>
      </c>
      <c r="I81" s="10" t="s">
        <v>20</v>
      </c>
      <c r="J81" s="11">
        <v>56.95</v>
      </c>
      <c r="K81" s="12">
        <f t="shared" si="8"/>
        <v>0</v>
      </c>
    </row>
    <row r="82" spans="1:11" hidden="1" x14ac:dyDescent="0.35">
      <c r="A82" s="103"/>
      <c r="B82" s="12" t="s">
        <v>3</v>
      </c>
      <c r="C82" s="10" t="s">
        <v>258</v>
      </c>
      <c r="D82" s="152"/>
      <c r="E82" s="170"/>
      <c r="F82" s="153" t="str">
        <f t="shared" si="0"/>
        <v/>
      </c>
      <c r="G82" s="256"/>
      <c r="H82" s="166">
        <f t="shared" si="5"/>
        <v>0</v>
      </c>
      <c r="I82" s="10" t="s">
        <v>20</v>
      </c>
      <c r="J82" s="11">
        <v>15.95</v>
      </c>
      <c r="K82" s="12">
        <f t="shared" si="8"/>
        <v>0</v>
      </c>
    </row>
    <row r="83" spans="1:11" hidden="1" x14ac:dyDescent="0.35">
      <c r="A83" s="103"/>
      <c r="B83" s="12" t="s">
        <v>3</v>
      </c>
      <c r="C83" s="10" t="s">
        <v>259</v>
      </c>
      <c r="D83" s="152"/>
      <c r="E83" s="170"/>
      <c r="F83" s="153" t="str">
        <f t="shared" si="0"/>
        <v/>
      </c>
      <c r="G83" s="256"/>
      <c r="H83" s="166">
        <f t="shared" si="5"/>
        <v>0</v>
      </c>
      <c r="I83" s="10" t="s">
        <v>20</v>
      </c>
      <c r="J83" s="11">
        <v>19.95</v>
      </c>
      <c r="K83" s="12">
        <f t="shared" si="8"/>
        <v>0</v>
      </c>
    </row>
    <row r="84" spans="1:11" hidden="1" x14ac:dyDescent="0.35">
      <c r="A84" s="103"/>
      <c r="B84" s="12" t="s">
        <v>3</v>
      </c>
      <c r="C84" s="10" t="s">
        <v>260</v>
      </c>
      <c r="D84" s="152"/>
      <c r="E84" s="170"/>
      <c r="F84" s="153" t="str">
        <f t="shared" si="0"/>
        <v/>
      </c>
      <c r="G84" s="256"/>
      <c r="H84" s="166">
        <f t="shared" si="5"/>
        <v>0</v>
      </c>
      <c r="I84" s="10" t="s">
        <v>20</v>
      </c>
      <c r="J84" s="11">
        <v>46.95</v>
      </c>
      <c r="K84" s="12">
        <f t="shared" si="8"/>
        <v>0</v>
      </c>
    </row>
    <row r="85" spans="1:11" hidden="1" x14ac:dyDescent="0.35">
      <c r="A85" s="103"/>
      <c r="B85" s="12" t="s">
        <v>3</v>
      </c>
      <c r="C85" s="10" t="s">
        <v>261</v>
      </c>
      <c r="D85" s="152"/>
      <c r="E85" s="170"/>
      <c r="F85" s="153" t="str">
        <f t="shared" si="0"/>
        <v/>
      </c>
      <c r="G85" s="256"/>
      <c r="H85" s="166">
        <f t="shared" si="5"/>
        <v>0</v>
      </c>
      <c r="I85" s="10" t="s">
        <v>20</v>
      </c>
      <c r="J85" s="11">
        <v>34.950000000000003</v>
      </c>
      <c r="K85" s="12">
        <f t="shared" si="8"/>
        <v>0</v>
      </c>
    </row>
    <row r="86" spans="1:11" hidden="1" x14ac:dyDescent="0.35">
      <c r="A86" s="103"/>
      <c r="B86" s="12" t="s">
        <v>3</v>
      </c>
      <c r="C86" s="10" t="s">
        <v>262</v>
      </c>
      <c r="D86" s="152"/>
      <c r="E86" s="170"/>
      <c r="F86" s="153" t="str">
        <f t="shared" si="0"/>
        <v/>
      </c>
      <c r="G86" s="256"/>
      <c r="H86" s="166">
        <f t="shared" si="5"/>
        <v>0</v>
      </c>
      <c r="I86" s="10" t="s">
        <v>20</v>
      </c>
      <c r="J86" s="11">
        <v>24.95</v>
      </c>
      <c r="K86" s="12">
        <f t="shared" si="8"/>
        <v>0</v>
      </c>
    </row>
    <row r="87" spans="1:11" ht="15.5" hidden="1" x14ac:dyDescent="0.35">
      <c r="A87" s="111"/>
      <c r="B87" s="126" t="s">
        <v>263</v>
      </c>
      <c r="C87" s="127"/>
      <c r="D87" s="226"/>
      <c r="E87" s="250"/>
      <c r="F87" s="165" t="str">
        <f t="shared" si="0"/>
        <v/>
      </c>
      <c r="G87" s="259"/>
      <c r="H87" s="247"/>
      <c r="I87" s="127"/>
      <c r="J87" s="127"/>
      <c r="K87" s="272"/>
    </row>
    <row r="88" spans="1:11" hidden="1" x14ac:dyDescent="0.35">
      <c r="A88" s="103"/>
      <c r="B88" s="12" t="s">
        <v>3</v>
      </c>
      <c r="C88" s="10" t="s">
        <v>264</v>
      </c>
      <c r="D88" s="152"/>
      <c r="E88" s="170"/>
      <c r="F88" s="153" t="str">
        <f t="shared" si="0"/>
        <v/>
      </c>
      <c r="G88" s="256"/>
      <c r="H88" s="166">
        <f t="shared" si="5"/>
        <v>0</v>
      </c>
      <c r="I88" s="10" t="s">
        <v>20</v>
      </c>
      <c r="J88" s="11">
        <v>19.5</v>
      </c>
      <c r="K88" s="12">
        <f t="shared" ref="K88:K94" si="9">G88*J88</f>
        <v>0</v>
      </c>
    </row>
    <row r="89" spans="1:11" hidden="1" x14ac:dyDescent="0.35">
      <c r="A89" s="103"/>
      <c r="B89" s="12" t="s">
        <v>3</v>
      </c>
      <c r="C89" s="10" t="s">
        <v>265</v>
      </c>
      <c r="D89" s="152"/>
      <c r="E89" s="170"/>
      <c r="F89" s="153" t="str">
        <f t="shared" ref="F89:F152" si="10">IF(E89="","",IF(D89-E89&gt;0,D89-E89,""))</f>
        <v/>
      </c>
      <c r="G89" s="256"/>
      <c r="H89" s="166">
        <f t="shared" si="5"/>
        <v>0</v>
      </c>
      <c r="I89" s="10" t="s">
        <v>20</v>
      </c>
      <c r="J89" s="11">
        <v>16.95</v>
      </c>
      <c r="K89" s="12">
        <f t="shared" si="9"/>
        <v>0</v>
      </c>
    </row>
    <row r="90" spans="1:11" hidden="1" x14ac:dyDescent="0.35">
      <c r="A90" s="103"/>
      <c r="B90" s="12" t="s">
        <v>3</v>
      </c>
      <c r="C90" s="10" t="s">
        <v>266</v>
      </c>
      <c r="D90" s="152"/>
      <c r="E90" s="170"/>
      <c r="F90" s="153" t="str">
        <f t="shared" si="10"/>
        <v/>
      </c>
      <c r="G90" s="256"/>
      <c r="H90" s="166">
        <f t="shared" si="5"/>
        <v>0</v>
      </c>
      <c r="I90" s="10" t="s">
        <v>20</v>
      </c>
      <c r="J90" s="11">
        <v>17.95</v>
      </c>
      <c r="K90" s="12">
        <f t="shared" si="9"/>
        <v>0</v>
      </c>
    </row>
    <row r="91" spans="1:11" hidden="1" x14ac:dyDescent="0.35">
      <c r="A91" s="103"/>
      <c r="B91" s="12" t="s">
        <v>3</v>
      </c>
      <c r="C91" s="10" t="s">
        <v>267</v>
      </c>
      <c r="D91" s="152"/>
      <c r="E91" s="170"/>
      <c r="F91" s="153" t="str">
        <f t="shared" si="10"/>
        <v/>
      </c>
      <c r="G91" s="256"/>
      <c r="H91" s="166">
        <f t="shared" si="5"/>
        <v>0</v>
      </c>
      <c r="I91" s="10" t="s">
        <v>20</v>
      </c>
      <c r="J91" s="11">
        <v>15.95</v>
      </c>
      <c r="K91" s="12">
        <f t="shared" si="9"/>
        <v>0</v>
      </c>
    </row>
    <row r="92" spans="1:11" hidden="1" x14ac:dyDescent="0.35">
      <c r="A92" s="103"/>
      <c r="B92" s="12" t="s">
        <v>3</v>
      </c>
      <c r="C92" s="10" t="s">
        <v>268</v>
      </c>
      <c r="D92" s="152"/>
      <c r="E92" s="170"/>
      <c r="F92" s="153" t="str">
        <f t="shared" si="10"/>
        <v/>
      </c>
      <c r="G92" s="256"/>
      <c r="H92" s="166">
        <f t="shared" si="5"/>
        <v>0</v>
      </c>
      <c r="I92" s="10" t="s">
        <v>20</v>
      </c>
      <c r="J92" s="11">
        <v>20.95</v>
      </c>
      <c r="K92" s="12">
        <f t="shared" si="9"/>
        <v>0</v>
      </c>
    </row>
    <row r="93" spans="1:11" hidden="1" x14ac:dyDescent="0.35">
      <c r="A93" s="103"/>
      <c r="B93" s="12" t="s">
        <v>3</v>
      </c>
      <c r="C93" s="10" t="s">
        <v>269</v>
      </c>
      <c r="D93" s="152"/>
      <c r="E93" s="170"/>
      <c r="F93" s="153" t="str">
        <f t="shared" si="10"/>
        <v/>
      </c>
      <c r="G93" s="256"/>
      <c r="H93" s="166">
        <f t="shared" si="5"/>
        <v>0</v>
      </c>
      <c r="I93" s="10" t="s">
        <v>20</v>
      </c>
      <c r="J93" s="11">
        <v>26.95</v>
      </c>
      <c r="K93" s="12">
        <f t="shared" si="9"/>
        <v>0</v>
      </c>
    </row>
    <row r="94" spans="1:11" hidden="1" x14ac:dyDescent="0.35">
      <c r="A94" s="103"/>
      <c r="B94" s="12" t="s">
        <v>3</v>
      </c>
      <c r="C94" s="10" t="s">
        <v>270</v>
      </c>
      <c r="D94" s="152"/>
      <c r="E94" s="170"/>
      <c r="F94" s="153" t="str">
        <f t="shared" si="10"/>
        <v/>
      </c>
      <c r="G94" s="256"/>
      <c r="H94" s="166">
        <f t="shared" si="5"/>
        <v>0</v>
      </c>
      <c r="I94" s="10" t="s">
        <v>20</v>
      </c>
      <c r="J94" s="11">
        <v>26.95</v>
      </c>
      <c r="K94" s="12">
        <f t="shared" si="9"/>
        <v>0</v>
      </c>
    </row>
    <row r="95" spans="1:11" ht="15.5" hidden="1" x14ac:dyDescent="0.35">
      <c r="A95" s="111"/>
      <c r="B95" s="126" t="s">
        <v>271</v>
      </c>
      <c r="C95" s="127"/>
      <c r="D95" s="226"/>
      <c r="E95" s="250"/>
      <c r="F95" s="165" t="str">
        <f t="shared" si="10"/>
        <v/>
      </c>
      <c r="G95" s="259"/>
      <c r="H95" s="247"/>
      <c r="I95" s="127"/>
      <c r="J95" s="127"/>
      <c r="K95" s="272"/>
    </row>
    <row r="96" spans="1:11" hidden="1" x14ac:dyDescent="0.35">
      <c r="A96" s="103"/>
      <c r="B96" s="12" t="s">
        <v>3</v>
      </c>
      <c r="C96" s="10" t="s">
        <v>272</v>
      </c>
      <c r="D96" s="152"/>
      <c r="E96" s="170"/>
      <c r="F96" s="153" t="str">
        <f t="shared" si="10"/>
        <v/>
      </c>
      <c r="G96" s="256"/>
      <c r="H96" s="166">
        <f t="shared" si="5"/>
        <v>0</v>
      </c>
      <c r="I96" s="10" t="s">
        <v>20</v>
      </c>
      <c r="J96" s="11">
        <v>20.95</v>
      </c>
      <c r="K96" s="12">
        <f>G96*J96</f>
        <v>0</v>
      </c>
    </row>
    <row r="97" spans="1:11" hidden="1" x14ac:dyDescent="0.35">
      <c r="A97" s="103"/>
      <c r="B97" s="12" t="s">
        <v>3</v>
      </c>
      <c r="C97" s="10" t="s">
        <v>273</v>
      </c>
      <c r="D97" s="152"/>
      <c r="E97" s="170"/>
      <c r="F97" s="153" t="str">
        <f t="shared" si="10"/>
        <v/>
      </c>
      <c r="G97" s="256"/>
      <c r="H97" s="166">
        <f t="shared" si="5"/>
        <v>0</v>
      </c>
      <c r="I97" s="10" t="s">
        <v>20</v>
      </c>
      <c r="J97" s="11">
        <v>23.95</v>
      </c>
      <c r="K97" s="12">
        <f>G97*J97</f>
        <v>0</v>
      </c>
    </row>
    <row r="98" spans="1:11" hidden="1" x14ac:dyDescent="0.35">
      <c r="A98" s="103"/>
      <c r="B98" s="12" t="s">
        <v>3</v>
      </c>
      <c r="C98" s="10" t="s">
        <v>274</v>
      </c>
      <c r="D98" s="152"/>
      <c r="E98" s="170"/>
      <c r="F98" s="153" t="str">
        <f t="shared" si="10"/>
        <v/>
      </c>
      <c r="G98" s="256"/>
      <c r="H98" s="166">
        <f t="shared" si="5"/>
        <v>0</v>
      </c>
      <c r="I98" s="10" t="s">
        <v>20</v>
      </c>
      <c r="J98" s="11">
        <v>22.5</v>
      </c>
      <c r="K98" s="12">
        <f>G98*J98</f>
        <v>0</v>
      </c>
    </row>
    <row r="99" spans="1:11" hidden="1" x14ac:dyDescent="0.35">
      <c r="A99" s="103"/>
      <c r="B99" s="12" t="s">
        <v>3</v>
      </c>
      <c r="C99" s="10" t="s">
        <v>275</v>
      </c>
      <c r="D99" s="152"/>
      <c r="E99" s="170"/>
      <c r="F99" s="153" t="str">
        <f t="shared" si="10"/>
        <v/>
      </c>
      <c r="G99" s="256"/>
      <c r="H99" s="166">
        <f t="shared" si="5"/>
        <v>0</v>
      </c>
      <c r="I99" s="10" t="s">
        <v>20</v>
      </c>
      <c r="J99" s="11">
        <v>29.95</v>
      </c>
      <c r="K99" s="12">
        <f>G99*J99</f>
        <v>0</v>
      </c>
    </row>
    <row r="100" spans="1:11" ht="15.5" hidden="1" x14ac:dyDescent="0.35">
      <c r="A100" s="111"/>
      <c r="B100" s="126" t="s">
        <v>276</v>
      </c>
      <c r="C100" s="127"/>
      <c r="D100" s="226"/>
      <c r="E100" s="250"/>
      <c r="F100" s="165" t="str">
        <f t="shared" si="10"/>
        <v/>
      </c>
      <c r="G100" s="259"/>
      <c r="H100" s="247"/>
      <c r="I100" s="127"/>
      <c r="J100" s="127"/>
      <c r="K100" s="272"/>
    </row>
    <row r="101" spans="1:11" hidden="1" x14ac:dyDescent="0.35">
      <c r="A101" s="103"/>
      <c r="B101" s="12" t="s">
        <v>3</v>
      </c>
      <c r="C101" s="10" t="s">
        <v>277</v>
      </c>
      <c r="D101" s="152"/>
      <c r="E101" s="170"/>
      <c r="F101" s="153" t="str">
        <f t="shared" si="10"/>
        <v/>
      </c>
      <c r="G101" s="256"/>
      <c r="H101" s="166">
        <f t="shared" si="5"/>
        <v>0</v>
      </c>
      <c r="I101" s="10" t="s">
        <v>20</v>
      </c>
      <c r="J101" s="11">
        <v>17.95</v>
      </c>
      <c r="K101" s="12">
        <f>G101*J101</f>
        <v>0</v>
      </c>
    </row>
    <row r="102" spans="1:11" hidden="1" x14ac:dyDescent="0.35">
      <c r="A102" s="103"/>
      <c r="B102" s="12" t="s">
        <v>3</v>
      </c>
      <c r="C102" s="10" t="s">
        <v>278</v>
      </c>
      <c r="D102" s="152"/>
      <c r="E102" s="170"/>
      <c r="F102" s="153" t="str">
        <f t="shared" si="10"/>
        <v/>
      </c>
      <c r="G102" s="256"/>
      <c r="H102" s="166">
        <f t="shared" si="5"/>
        <v>0</v>
      </c>
      <c r="I102" s="10" t="s">
        <v>20</v>
      </c>
      <c r="J102" s="11">
        <v>20.95</v>
      </c>
      <c r="K102" s="12">
        <f>G102*J102</f>
        <v>0</v>
      </c>
    </row>
    <row r="103" spans="1:11" hidden="1" x14ac:dyDescent="0.35">
      <c r="A103" s="103"/>
      <c r="B103" s="12" t="s">
        <v>3</v>
      </c>
      <c r="C103" s="10" t="s">
        <v>279</v>
      </c>
      <c r="D103" s="152"/>
      <c r="E103" s="170"/>
      <c r="F103" s="153" t="str">
        <f t="shared" si="10"/>
        <v/>
      </c>
      <c r="G103" s="256"/>
      <c r="H103" s="166">
        <f t="shared" si="5"/>
        <v>0</v>
      </c>
      <c r="I103" s="10" t="s">
        <v>20</v>
      </c>
      <c r="J103" s="11">
        <v>19.95</v>
      </c>
      <c r="K103" s="12">
        <f>G103*J103</f>
        <v>0</v>
      </c>
    </row>
    <row r="104" spans="1:11" hidden="1" x14ac:dyDescent="0.35">
      <c r="A104" s="103"/>
      <c r="B104" s="40" t="s">
        <v>3</v>
      </c>
      <c r="C104" s="41" t="s">
        <v>280</v>
      </c>
      <c r="D104" s="227"/>
      <c r="E104" s="170"/>
      <c r="F104" s="153" t="str">
        <f t="shared" si="10"/>
        <v/>
      </c>
      <c r="G104" s="256"/>
      <c r="H104" s="166">
        <f t="shared" si="5"/>
        <v>0</v>
      </c>
      <c r="I104" s="41" t="s">
        <v>20</v>
      </c>
      <c r="J104" s="42">
        <v>59.95</v>
      </c>
      <c r="K104" s="40">
        <f>G104*J104</f>
        <v>0</v>
      </c>
    </row>
    <row r="105" spans="1:11" ht="15.5" hidden="1" x14ac:dyDescent="0.35">
      <c r="A105" s="111"/>
      <c r="B105" s="126" t="s">
        <v>281</v>
      </c>
      <c r="C105" s="127"/>
      <c r="D105" s="226"/>
      <c r="E105" s="170"/>
      <c r="F105" s="153" t="str">
        <f t="shared" si="10"/>
        <v/>
      </c>
      <c r="G105" s="259"/>
      <c r="H105" s="166">
        <f t="shared" si="5"/>
        <v>0</v>
      </c>
      <c r="I105" s="127"/>
      <c r="J105" s="127"/>
      <c r="K105" s="272"/>
    </row>
    <row r="106" spans="1:11" hidden="1" x14ac:dyDescent="0.35">
      <c r="A106" s="103"/>
      <c r="B106" s="12" t="s">
        <v>3</v>
      </c>
      <c r="C106" s="10" t="s">
        <v>282</v>
      </c>
      <c r="D106" s="152"/>
      <c r="E106" s="170"/>
      <c r="F106" s="153" t="str">
        <f t="shared" si="10"/>
        <v/>
      </c>
      <c r="G106" s="256"/>
      <c r="H106" s="166">
        <f t="shared" si="5"/>
        <v>0</v>
      </c>
      <c r="I106" s="10" t="s">
        <v>20</v>
      </c>
      <c r="J106" s="11">
        <v>54.95</v>
      </c>
      <c r="K106" s="12">
        <f>G106*J106</f>
        <v>0</v>
      </c>
    </row>
    <row r="107" spans="1:11" hidden="1" x14ac:dyDescent="0.35">
      <c r="A107" s="103"/>
      <c r="B107" s="12" t="s">
        <v>3</v>
      </c>
      <c r="C107" s="10" t="s">
        <v>283</v>
      </c>
      <c r="D107" s="152"/>
      <c r="E107" s="170"/>
      <c r="F107" s="153" t="str">
        <f t="shared" si="10"/>
        <v/>
      </c>
      <c r="G107" s="256"/>
      <c r="H107" s="166">
        <f t="shared" si="5"/>
        <v>0</v>
      </c>
      <c r="I107" s="10" t="s">
        <v>20</v>
      </c>
      <c r="J107" s="11">
        <v>49.95</v>
      </c>
      <c r="K107" s="12">
        <f>G107*J107</f>
        <v>0</v>
      </c>
    </row>
    <row r="108" spans="1:11" ht="15.5" hidden="1" x14ac:dyDescent="0.35">
      <c r="A108" s="111"/>
      <c r="B108" s="126" t="s">
        <v>284</v>
      </c>
      <c r="C108" s="127"/>
      <c r="D108" s="226"/>
      <c r="E108" s="250"/>
      <c r="F108" s="165" t="str">
        <f t="shared" si="10"/>
        <v/>
      </c>
      <c r="G108" s="259"/>
      <c r="H108" s="247"/>
      <c r="I108" s="127"/>
      <c r="J108" s="127"/>
      <c r="K108" s="272"/>
    </row>
    <row r="109" spans="1:11" hidden="1" x14ac:dyDescent="0.35">
      <c r="A109" s="103"/>
      <c r="B109" s="12" t="s">
        <v>3</v>
      </c>
      <c r="C109" s="10" t="s">
        <v>285</v>
      </c>
      <c r="D109" s="152"/>
      <c r="E109" s="170"/>
      <c r="F109" s="153" t="str">
        <f t="shared" si="10"/>
        <v/>
      </c>
      <c r="G109" s="256"/>
      <c r="H109" s="166">
        <f t="shared" si="5"/>
        <v>0</v>
      </c>
      <c r="I109" s="10" t="s">
        <v>20</v>
      </c>
      <c r="J109" s="11">
        <v>41.5</v>
      </c>
      <c r="K109" s="12">
        <f t="shared" ref="K109:K114" si="11">G109*J109</f>
        <v>0</v>
      </c>
    </row>
    <row r="110" spans="1:11" hidden="1" x14ac:dyDescent="0.35">
      <c r="A110" s="103"/>
      <c r="B110" s="12" t="s">
        <v>3</v>
      </c>
      <c r="C110" s="10" t="s">
        <v>286</v>
      </c>
      <c r="D110" s="152"/>
      <c r="E110" s="170"/>
      <c r="F110" s="153" t="str">
        <f t="shared" si="10"/>
        <v/>
      </c>
      <c r="G110" s="256"/>
      <c r="H110" s="166">
        <f t="shared" si="5"/>
        <v>0</v>
      </c>
      <c r="I110" s="10" t="s">
        <v>20</v>
      </c>
      <c r="J110" s="11">
        <v>36.200000000000003</v>
      </c>
      <c r="K110" s="12">
        <f t="shared" si="11"/>
        <v>0</v>
      </c>
    </row>
    <row r="111" spans="1:11" hidden="1" x14ac:dyDescent="0.35">
      <c r="A111" s="103"/>
      <c r="B111" s="12" t="s">
        <v>3</v>
      </c>
      <c r="C111" s="10" t="s">
        <v>287</v>
      </c>
      <c r="D111" s="152"/>
      <c r="E111" s="170"/>
      <c r="F111" s="153" t="str">
        <f t="shared" si="10"/>
        <v/>
      </c>
      <c r="G111" s="256"/>
      <c r="H111" s="166">
        <f t="shared" ref="H111:H174" si="12">IF(ISNUMBER(E111),E111,0)+IF(ISNUMBER(F111),F111,0)-IF(ISNUMBER(G111),G111,0)</f>
        <v>0</v>
      </c>
      <c r="I111" s="10" t="s">
        <v>20</v>
      </c>
      <c r="J111" s="11">
        <v>25.95</v>
      </c>
      <c r="K111" s="12">
        <f t="shared" si="11"/>
        <v>0</v>
      </c>
    </row>
    <row r="112" spans="1:11" hidden="1" x14ac:dyDescent="0.35">
      <c r="A112" s="103"/>
      <c r="B112" s="12" t="s">
        <v>3</v>
      </c>
      <c r="C112" s="10" t="s">
        <v>288</v>
      </c>
      <c r="D112" s="152"/>
      <c r="E112" s="170"/>
      <c r="F112" s="153" t="str">
        <f t="shared" si="10"/>
        <v/>
      </c>
      <c r="G112" s="256"/>
      <c r="H112" s="166">
        <f t="shared" si="12"/>
        <v>0</v>
      </c>
      <c r="I112" s="10" t="s">
        <v>20</v>
      </c>
      <c r="J112" s="11">
        <v>32.799999999999997</v>
      </c>
      <c r="K112" s="12">
        <f t="shared" si="11"/>
        <v>0</v>
      </c>
    </row>
    <row r="113" spans="1:11" hidden="1" x14ac:dyDescent="0.35">
      <c r="A113" s="103"/>
      <c r="B113" s="12" t="s">
        <v>3</v>
      </c>
      <c r="C113" s="10" t="s">
        <v>289</v>
      </c>
      <c r="D113" s="152"/>
      <c r="E113" s="170"/>
      <c r="F113" s="153" t="str">
        <f t="shared" si="10"/>
        <v/>
      </c>
      <c r="G113" s="256"/>
      <c r="H113" s="166">
        <f t="shared" si="12"/>
        <v>0</v>
      </c>
      <c r="I113" s="10" t="s">
        <v>20</v>
      </c>
      <c r="J113" s="11">
        <v>29.2</v>
      </c>
      <c r="K113" s="12">
        <f t="shared" si="11"/>
        <v>0</v>
      </c>
    </row>
    <row r="114" spans="1:11" hidden="1" x14ac:dyDescent="0.35">
      <c r="A114" s="103"/>
      <c r="B114" s="12" t="s">
        <v>3</v>
      </c>
      <c r="C114" s="10" t="s">
        <v>290</v>
      </c>
      <c r="D114" s="152"/>
      <c r="E114" s="170"/>
      <c r="F114" s="153" t="str">
        <f t="shared" si="10"/>
        <v/>
      </c>
      <c r="G114" s="256"/>
      <c r="H114" s="166">
        <f t="shared" si="12"/>
        <v>0</v>
      </c>
      <c r="I114" s="10" t="s">
        <v>20</v>
      </c>
      <c r="J114" s="11">
        <v>22.95</v>
      </c>
      <c r="K114" s="12">
        <f t="shared" si="11"/>
        <v>0</v>
      </c>
    </row>
    <row r="115" spans="1:11" ht="15.5" hidden="1" x14ac:dyDescent="0.35">
      <c r="A115" s="111"/>
      <c r="B115" s="126" t="s">
        <v>291</v>
      </c>
      <c r="C115" s="127"/>
      <c r="D115" s="226"/>
      <c r="E115" s="250"/>
      <c r="F115" s="165" t="str">
        <f t="shared" si="10"/>
        <v/>
      </c>
      <c r="G115" s="259"/>
      <c r="H115" s="247"/>
      <c r="I115" s="127"/>
      <c r="J115" s="127"/>
      <c r="K115" s="272"/>
    </row>
    <row r="116" spans="1:11" hidden="1" x14ac:dyDescent="0.35">
      <c r="A116" s="103"/>
      <c r="B116" s="12" t="s">
        <v>3</v>
      </c>
      <c r="C116" s="10" t="s">
        <v>292</v>
      </c>
      <c r="D116" s="152"/>
      <c r="E116" s="170"/>
      <c r="F116" s="153" t="str">
        <f t="shared" si="10"/>
        <v/>
      </c>
      <c r="G116" s="256"/>
      <c r="H116" s="166">
        <f t="shared" si="12"/>
        <v>0</v>
      </c>
      <c r="I116" s="10" t="s">
        <v>20</v>
      </c>
      <c r="J116" s="11">
        <v>17.95</v>
      </c>
      <c r="K116" s="12">
        <f t="shared" ref="K116:K121" si="13">G116*J116</f>
        <v>0</v>
      </c>
    </row>
    <row r="117" spans="1:11" hidden="1" x14ac:dyDescent="0.35">
      <c r="A117" s="103"/>
      <c r="B117" s="12" t="s">
        <v>3</v>
      </c>
      <c r="C117" s="10" t="s">
        <v>293</v>
      </c>
      <c r="D117" s="152"/>
      <c r="E117" s="170"/>
      <c r="F117" s="153" t="str">
        <f t="shared" si="10"/>
        <v/>
      </c>
      <c r="G117" s="256"/>
      <c r="H117" s="166">
        <f t="shared" si="12"/>
        <v>0</v>
      </c>
      <c r="I117" s="10" t="s">
        <v>20</v>
      </c>
      <c r="J117" s="11">
        <v>12.95</v>
      </c>
      <c r="K117" s="12">
        <f t="shared" si="13"/>
        <v>0</v>
      </c>
    </row>
    <row r="118" spans="1:11" hidden="1" x14ac:dyDescent="0.35">
      <c r="A118" s="103"/>
      <c r="B118" s="12" t="s">
        <v>3</v>
      </c>
      <c r="C118" s="10" t="s">
        <v>294</v>
      </c>
      <c r="D118" s="152"/>
      <c r="E118" s="170"/>
      <c r="F118" s="153" t="str">
        <f t="shared" si="10"/>
        <v/>
      </c>
      <c r="G118" s="256"/>
      <c r="H118" s="166">
        <f t="shared" si="12"/>
        <v>0</v>
      </c>
      <c r="I118" s="10" t="s">
        <v>20</v>
      </c>
      <c r="J118" s="11">
        <v>21.95</v>
      </c>
      <c r="K118" s="12">
        <f t="shared" si="13"/>
        <v>0</v>
      </c>
    </row>
    <row r="119" spans="1:11" hidden="1" x14ac:dyDescent="0.35">
      <c r="A119" s="103"/>
      <c r="B119" s="12" t="s">
        <v>3</v>
      </c>
      <c r="C119" s="10" t="s">
        <v>295</v>
      </c>
      <c r="D119" s="152"/>
      <c r="E119" s="170"/>
      <c r="F119" s="153" t="str">
        <f t="shared" si="10"/>
        <v/>
      </c>
      <c r="G119" s="256"/>
      <c r="H119" s="166">
        <f t="shared" si="12"/>
        <v>0</v>
      </c>
      <c r="I119" s="10" t="s">
        <v>20</v>
      </c>
      <c r="J119" s="11"/>
      <c r="K119" s="12">
        <f t="shared" si="13"/>
        <v>0</v>
      </c>
    </row>
    <row r="120" spans="1:11" hidden="1" x14ac:dyDescent="0.35">
      <c r="A120" s="103"/>
      <c r="B120" s="12" t="s">
        <v>3</v>
      </c>
      <c r="C120" s="10" t="s">
        <v>296</v>
      </c>
      <c r="D120" s="152"/>
      <c r="E120" s="170"/>
      <c r="F120" s="153" t="str">
        <f t="shared" si="10"/>
        <v/>
      </c>
      <c r="G120" s="256"/>
      <c r="H120" s="166">
        <f t="shared" si="12"/>
        <v>0</v>
      </c>
      <c r="I120" s="10" t="s">
        <v>20</v>
      </c>
      <c r="J120" s="11"/>
      <c r="K120" s="12">
        <f t="shared" si="13"/>
        <v>0</v>
      </c>
    </row>
    <row r="121" spans="1:11" hidden="1" x14ac:dyDescent="0.35">
      <c r="A121" s="103"/>
      <c r="B121" s="12" t="s">
        <v>3</v>
      </c>
      <c r="C121" s="10" t="s">
        <v>297</v>
      </c>
      <c r="D121" s="152"/>
      <c r="E121" s="170"/>
      <c r="F121" s="153" t="str">
        <f t="shared" si="10"/>
        <v/>
      </c>
      <c r="G121" s="256"/>
      <c r="H121" s="166">
        <f t="shared" si="12"/>
        <v>0</v>
      </c>
      <c r="I121" s="10" t="s">
        <v>20</v>
      </c>
      <c r="J121" s="11">
        <v>22.95</v>
      </c>
      <c r="K121" s="12">
        <f t="shared" si="13"/>
        <v>0</v>
      </c>
    </row>
    <row r="122" spans="1:11" ht="15.5" hidden="1" x14ac:dyDescent="0.35">
      <c r="A122" s="112" t="s">
        <v>298</v>
      </c>
      <c r="B122" s="116"/>
      <c r="C122" s="116"/>
      <c r="D122" s="228"/>
      <c r="E122" s="250"/>
      <c r="F122" s="165" t="str">
        <f t="shared" si="10"/>
        <v/>
      </c>
      <c r="G122" s="260"/>
      <c r="H122" s="247"/>
      <c r="I122" s="117"/>
      <c r="J122" s="106" t="s">
        <v>18</v>
      </c>
      <c r="K122" s="269">
        <f>SUM(K123:K175)</f>
        <v>362.22</v>
      </c>
    </row>
    <row r="123" spans="1:11" hidden="1" x14ac:dyDescent="0.35">
      <c r="A123" s="103"/>
      <c r="B123" s="20" t="s">
        <v>4</v>
      </c>
      <c r="C123" s="18" t="s">
        <v>62</v>
      </c>
      <c r="D123" s="229"/>
      <c r="E123" s="250"/>
      <c r="F123" s="153" t="str">
        <f t="shared" si="10"/>
        <v/>
      </c>
      <c r="G123" s="256"/>
      <c r="H123" s="166">
        <f t="shared" si="12"/>
        <v>0</v>
      </c>
      <c r="I123" s="18" t="s">
        <v>20</v>
      </c>
      <c r="J123" s="19">
        <v>7.35</v>
      </c>
      <c r="K123" s="20">
        <f>G123*J123</f>
        <v>0</v>
      </c>
    </row>
    <row r="124" spans="1:11" hidden="1" x14ac:dyDescent="0.35">
      <c r="A124" s="103"/>
      <c r="B124" s="20" t="s">
        <v>4</v>
      </c>
      <c r="C124" s="18" t="s">
        <v>60</v>
      </c>
      <c r="D124" s="229"/>
      <c r="E124" s="250"/>
      <c r="F124" s="153" t="str">
        <f t="shared" si="10"/>
        <v/>
      </c>
      <c r="G124" s="256"/>
      <c r="H124" s="166">
        <f t="shared" si="12"/>
        <v>0</v>
      </c>
      <c r="I124" s="18" t="s">
        <v>20</v>
      </c>
      <c r="J124" s="19">
        <v>10.65</v>
      </c>
      <c r="K124" s="20">
        <f>G124*J124</f>
        <v>0</v>
      </c>
    </row>
    <row r="125" spans="1:11" hidden="1" x14ac:dyDescent="0.35">
      <c r="A125" s="113" t="s">
        <v>40</v>
      </c>
      <c r="B125" s="124"/>
      <c r="C125" s="124"/>
      <c r="D125" s="230"/>
      <c r="E125" s="250"/>
      <c r="F125" s="153" t="str">
        <f t="shared" si="10"/>
        <v/>
      </c>
      <c r="G125" s="261"/>
      <c r="H125" s="166">
        <f t="shared" si="12"/>
        <v>0</v>
      </c>
      <c r="I125" s="124"/>
      <c r="J125" s="124"/>
      <c r="K125" s="273"/>
    </row>
    <row r="126" spans="1:11" hidden="1" x14ac:dyDescent="0.35">
      <c r="A126" s="103"/>
      <c r="B126" s="20" t="s">
        <v>4</v>
      </c>
      <c r="C126" s="18" t="s">
        <v>299</v>
      </c>
      <c r="D126" s="229"/>
      <c r="E126" s="250"/>
      <c r="F126" s="153" t="str">
        <f t="shared" si="10"/>
        <v/>
      </c>
      <c r="G126" s="256"/>
      <c r="H126" s="166">
        <f t="shared" si="12"/>
        <v>0</v>
      </c>
      <c r="I126" s="18" t="s">
        <v>20</v>
      </c>
      <c r="J126" s="19">
        <v>1.31</v>
      </c>
      <c r="K126" s="12">
        <f t="shared" ref="K126:K137" si="14">G126*J126</f>
        <v>0</v>
      </c>
    </row>
    <row r="127" spans="1:11" hidden="1" x14ac:dyDescent="0.35">
      <c r="A127" s="103"/>
      <c r="B127" s="12" t="s">
        <v>4</v>
      </c>
      <c r="C127" s="10" t="s">
        <v>300</v>
      </c>
      <c r="D127" s="152"/>
      <c r="E127" s="250"/>
      <c r="F127" s="153" t="str">
        <f t="shared" si="10"/>
        <v/>
      </c>
      <c r="G127" s="256"/>
      <c r="H127" s="166">
        <f t="shared" si="12"/>
        <v>0</v>
      </c>
      <c r="I127" s="10" t="s">
        <v>20</v>
      </c>
      <c r="J127" s="11">
        <v>1.31</v>
      </c>
      <c r="K127" s="12">
        <f t="shared" si="14"/>
        <v>0</v>
      </c>
    </row>
    <row r="128" spans="1:11" hidden="1" x14ac:dyDescent="0.35">
      <c r="A128" s="103"/>
      <c r="B128" s="20" t="s">
        <v>4</v>
      </c>
      <c r="C128" s="18" t="s">
        <v>301</v>
      </c>
      <c r="D128" s="229"/>
      <c r="E128" s="250"/>
      <c r="F128" s="153" t="str">
        <f t="shared" si="10"/>
        <v/>
      </c>
      <c r="G128" s="256"/>
      <c r="H128" s="166">
        <f t="shared" si="12"/>
        <v>0</v>
      </c>
      <c r="I128" s="18" t="s">
        <v>20</v>
      </c>
      <c r="J128" s="19">
        <v>1.4039999999999999</v>
      </c>
      <c r="K128" s="12">
        <f t="shared" si="14"/>
        <v>0</v>
      </c>
    </row>
    <row r="129" spans="1:11" hidden="1" x14ac:dyDescent="0.35">
      <c r="A129" s="103"/>
      <c r="B129" s="12" t="s">
        <v>4</v>
      </c>
      <c r="C129" s="10" t="s">
        <v>302</v>
      </c>
      <c r="D129" s="152"/>
      <c r="E129" s="250"/>
      <c r="F129" s="153" t="str">
        <f t="shared" si="10"/>
        <v/>
      </c>
      <c r="G129" s="256"/>
      <c r="H129" s="166">
        <f t="shared" si="12"/>
        <v>0</v>
      </c>
      <c r="I129" s="10" t="s">
        <v>20</v>
      </c>
      <c r="J129" s="11">
        <v>1.4039999999999999</v>
      </c>
      <c r="K129" s="12">
        <f t="shared" si="14"/>
        <v>0</v>
      </c>
    </row>
    <row r="130" spans="1:11" hidden="1" x14ac:dyDescent="0.35">
      <c r="A130" s="103"/>
      <c r="B130" s="12" t="s">
        <v>4</v>
      </c>
      <c r="C130" s="10" t="s">
        <v>303</v>
      </c>
      <c r="D130" s="152"/>
      <c r="E130" s="250"/>
      <c r="F130" s="153" t="str">
        <f t="shared" si="10"/>
        <v/>
      </c>
      <c r="G130" s="256"/>
      <c r="H130" s="166">
        <f t="shared" si="12"/>
        <v>0</v>
      </c>
      <c r="I130" s="10" t="s">
        <v>20</v>
      </c>
      <c r="J130" s="11">
        <v>1.53</v>
      </c>
      <c r="K130" s="12">
        <f t="shared" si="14"/>
        <v>0</v>
      </c>
    </row>
    <row r="131" spans="1:11" hidden="1" x14ac:dyDescent="0.35">
      <c r="A131" s="103"/>
      <c r="B131" s="12" t="s">
        <v>4</v>
      </c>
      <c r="C131" s="10" t="s">
        <v>304</v>
      </c>
      <c r="D131" s="152"/>
      <c r="E131" s="250"/>
      <c r="F131" s="153" t="str">
        <f t="shared" si="10"/>
        <v/>
      </c>
      <c r="G131" s="256"/>
      <c r="H131" s="166">
        <f t="shared" si="12"/>
        <v>0</v>
      </c>
      <c r="I131" s="10" t="s">
        <v>20</v>
      </c>
      <c r="J131" s="11">
        <v>1.65</v>
      </c>
      <c r="K131" s="12">
        <f t="shared" si="14"/>
        <v>0</v>
      </c>
    </row>
    <row r="132" spans="1:11" hidden="1" x14ac:dyDescent="0.35">
      <c r="A132" s="103"/>
      <c r="B132" s="12" t="s">
        <v>4</v>
      </c>
      <c r="C132" s="10" t="s">
        <v>83</v>
      </c>
      <c r="D132" s="152"/>
      <c r="E132" s="250"/>
      <c r="F132" s="153" t="str">
        <f t="shared" si="10"/>
        <v/>
      </c>
      <c r="G132" s="256"/>
      <c r="H132" s="166">
        <f t="shared" si="12"/>
        <v>0</v>
      </c>
      <c r="I132" s="10" t="s">
        <v>20</v>
      </c>
      <c r="J132" s="11">
        <v>1.04</v>
      </c>
      <c r="K132" s="12">
        <f t="shared" si="14"/>
        <v>0</v>
      </c>
    </row>
    <row r="133" spans="1:11" hidden="1" x14ac:dyDescent="0.35">
      <c r="A133" s="103"/>
      <c r="B133" s="12" t="s">
        <v>4</v>
      </c>
      <c r="C133" s="10" t="s">
        <v>305</v>
      </c>
      <c r="D133" s="152"/>
      <c r="E133" s="250"/>
      <c r="F133" s="153" t="str">
        <f t="shared" si="10"/>
        <v/>
      </c>
      <c r="G133" s="256"/>
      <c r="H133" s="166">
        <f t="shared" si="12"/>
        <v>0</v>
      </c>
      <c r="I133" s="10" t="s">
        <v>20</v>
      </c>
      <c r="J133" s="11">
        <v>1.04</v>
      </c>
      <c r="K133" s="12">
        <f t="shared" si="14"/>
        <v>0</v>
      </c>
    </row>
    <row r="134" spans="1:11" hidden="1" x14ac:dyDescent="0.35">
      <c r="A134" s="103"/>
      <c r="B134" s="12" t="s">
        <v>4</v>
      </c>
      <c r="C134" s="10" t="s">
        <v>306</v>
      </c>
      <c r="D134" s="152"/>
      <c r="E134" s="250"/>
      <c r="F134" s="153" t="str">
        <f t="shared" si="10"/>
        <v/>
      </c>
      <c r="G134" s="256"/>
      <c r="H134" s="166">
        <f t="shared" si="12"/>
        <v>0</v>
      </c>
      <c r="I134" s="10" t="s">
        <v>20</v>
      </c>
      <c r="J134" s="11">
        <v>1.06</v>
      </c>
      <c r="K134" s="12">
        <f t="shared" si="14"/>
        <v>0</v>
      </c>
    </row>
    <row r="135" spans="1:11" hidden="1" x14ac:dyDescent="0.35">
      <c r="A135" s="103"/>
      <c r="B135" s="12" t="s">
        <v>4</v>
      </c>
      <c r="C135" s="10" t="s">
        <v>307</v>
      </c>
      <c r="D135" s="152"/>
      <c r="E135" s="250"/>
      <c r="F135" s="153" t="str">
        <f t="shared" si="10"/>
        <v/>
      </c>
      <c r="G135" s="256"/>
      <c r="H135" s="166">
        <f t="shared" si="12"/>
        <v>0</v>
      </c>
      <c r="I135" s="10" t="s">
        <v>20</v>
      </c>
      <c r="J135" s="11">
        <v>1.06</v>
      </c>
      <c r="K135" s="12">
        <f t="shared" si="14"/>
        <v>0</v>
      </c>
    </row>
    <row r="136" spans="1:11" hidden="1" x14ac:dyDescent="0.35">
      <c r="A136" s="103"/>
      <c r="B136" s="12" t="s">
        <v>4</v>
      </c>
      <c r="C136" s="10" t="s">
        <v>308</v>
      </c>
      <c r="D136" s="152"/>
      <c r="E136" s="250"/>
      <c r="F136" s="153" t="str">
        <f t="shared" si="10"/>
        <v/>
      </c>
      <c r="G136" s="256"/>
      <c r="H136" s="166">
        <f t="shared" si="12"/>
        <v>0</v>
      </c>
      <c r="I136" s="10" t="s">
        <v>20</v>
      </c>
      <c r="J136" s="11">
        <v>1.2869999999999999</v>
      </c>
      <c r="K136" s="12">
        <f t="shared" si="14"/>
        <v>0</v>
      </c>
    </row>
    <row r="137" spans="1:11" hidden="1" x14ac:dyDescent="0.35">
      <c r="A137" s="103"/>
      <c r="B137" s="12" t="s">
        <v>4</v>
      </c>
      <c r="C137" s="10" t="s">
        <v>309</v>
      </c>
      <c r="D137" s="152"/>
      <c r="E137" s="250"/>
      <c r="F137" s="153" t="str">
        <f t="shared" si="10"/>
        <v/>
      </c>
      <c r="G137" s="256"/>
      <c r="H137" s="166">
        <f t="shared" si="12"/>
        <v>0</v>
      </c>
      <c r="I137" s="10" t="s">
        <v>20</v>
      </c>
      <c r="J137" s="11">
        <v>1.59</v>
      </c>
      <c r="K137" s="12">
        <f t="shared" si="14"/>
        <v>0</v>
      </c>
    </row>
    <row r="138" spans="1:11" hidden="1" x14ac:dyDescent="0.35">
      <c r="A138" s="113" t="s">
        <v>310</v>
      </c>
      <c r="B138" s="124"/>
      <c r="C138" s="124"/>
      <c r="D138" s="230"/>
      <c r="E138" s="250"/>
      <c r="F138" s="153" t="str">
        <f t="shared" si="10"/>
        <v/>
      </c>
      <c r="G138" s="261"/>
      <c r="H138" s="166">
        <f t="shared" si="12"/>
        <v>0</v>
      </c>
      <c r="I138" s="124"/>
      <c r="J138" s="124"/>
      <c r="K138" s="273"/>
    </row>
    <row r="139" spans="1:11" hidden="1" x14ac:dyDescent="0.35">
      <c r="A139" s="103"/>
      <c r="B139" s="12" t="s">
        <v>4</v>
      </c>
      <c r="C139" s="10" t="s">
        <v>311</v>
      </c>
      <c r="D139" s="152"/>
      <c r="E139" s="250"/>
      <c r="F139" s="153" t="str">
        <f t="shared" si="10"/>
        <v/>
      </c>
      <c r="G139" s="256"/>
      <c r="H139" s="166">
        <f t="shared" si="12"/>
        <v>0</v>
      </c>
      <c r="I139" s="10" t="s">
        <v>20</v>
      </c>
      <c r="J139" s="11">
        <v>1.1000000000000001</v>
      </c>
      <c r="K139" s="12">
        <f t="shared" ref="K139:K149" si="15">G139*J139</f>
        <v>0</v>
      </c>
    </row>
    <row r="140" spans="1:11" hidden="1" x14ac:dyDescent="0.35">
      <c r="A140" s="103"/>
      <c r="B140" s="12" t="s">
        <v>4</v>
      </c>
      <c r="C140" s="10" t="s">
        <v>312</v>
      </c>
      <c r="D140" s="152"/>
      <c r="E140" s="250"/>
      <c r="F140" s="153" t="str">
        <f t="shared" si="10"/>
        <v/>
      </c>
      <c r="G140" s="256"/>
      <c r="H140" s="166">
        <f t="shared" si="12"/>
        <v>0</v>
      </c>
      <c r="I140" s="10" t="s">
        <v>20</v>
      </c>
      <c r="J140" s="11">
        <v>1.1000000000000001</v>
      </c>
      <c r="K140" s="12">
        <f t="shared" si="15"/>
        <v>0</v>
      </c>
    </row>
    <row r="141" spans="1:11" hidden="1" x14ac:dyDescent="0.35">
      <c r="A141" s="103"/>
      <c r="B141" s="12" t="s">
        <v>4</v>
      </c>
      <c r="C141" s="10" t="s">
        <v>313</v>
      </c>
      <c r="D141" s="152"/>
      <c r="E141" s="250"/>
      <c r="F141" s="153" t="str">
        <f t="shared" si="10"/>
        <v/>
      </c>
      <c r="G141" s="256"/>
      <c r="H141" s="166">
        <f t="shared" si="12"/>
        <v>0</v>
      </c>
      <c r="I141" s="10" t="s">
        <v>20</v>
      </c>
      <c r="J141" s="11">
        <v>1.3</v>
      </c>
      <c r="K141" s="12">
        <f t="shared" si="15"/>
        <v>0</v>
      </c>
    </row>
    <row r="142" spans="1:11" hidden="1" x14ac:dyDescent="0.35">
      <c r="A142" s="103"/>
      <c r="B142" s="12" t="s">
        <v>4</v>
      </c>
      <c r="C142" s="10" t="s">
        <v>314</v>
      </c>
      <c r="D142" s="152"/>
      <c r="E142" s="250"/>
      <c r="F142" s="153" t="str">
        <f t="shared" si="10"/>
        <v/>
      </c>
      <c r="G142" s="256"/>
      <c r="H142" s="166">
        <f t="shared" si="12"/>
        <v>0</v>
      </c>
      <c r="I142" s="10" t="s">
        <v>20</v>
      </c>
      <c r="J142" s="11">
        <v>1.36</v>
      </c>
      <c r="K142" s="12">
        <f t="shared" si="15"/>
        <v>0</v>
      </c>
    </row>
    <row r="143" spans="1:11" hidden="1" x14ac:dyDescent="0.35">
      <c r="A143" s="103"/>
      <c r="B143" s="12" t="s">
        <v>4</v>
      </c>
      <c r="C143" s="10" t="s">
        <v>315</v>
      </c>
      <c r="D143" s="152"/>
      <c r="E143" s="250"/>
      <c r="F143" s="153" t="str">
        <f t="shared" si="10"/>
        <v/>
      </c>
      <c r="G143" s="256"/>
      <c r="H143" s="166">
        <f t="shared" si="12"/>
        <v>0</v>
      </c>
      <c r="I143" s="10" t="s">
        <v>20</v>
      </c>
      <c r="J143" s="11">
        <v>1.3</v>
      </c>
      <c r="K143" s="12">
        <f t="shared" si="15"/>
        <v>0</v>
      </c>
    </row>
    <row r="144" spans="1:11" hidden="1" x14ac:dyDescent="0.35">
      <c r="A144" s="103"/>
      <c r="B144" s="12" t="s">
        <v>4</v>
      </c>
      <c r="C144" s="10" t="s">
        <v>316</v>
      </c>
      <c r="D144" s="152"/>
      <c r="E144" s="250"/>
      <c r="F144" s="153" t="str">
        <f t="shared" si="10"/>
        <v/>
      </c>
      <c r="G144" s="256"/>
      <c r="H144" s="166">
        <f t="shared" si="12"/>
        <v>0</v>
      </c>
      <c r="I144" s="10" t="s">
        <v>20</v>
      </c>
      <c r="J144" s="11">
        <v>1.35</v>
      </c>
      <c r="K144" s="12">
        <f t="shared" si="15"/>
        <v>0</v>
      </c>
    </row>
    <row r="145" spans="1:11" hidden="1" x14ac:dyDescent="0.35">
      <c r="A145" s="103"/>
      <c r="B145" s="12" t="s">
        <v>4</v>
      </c>
      <c r="C145" s="10" t="s">
        <v>317</v>
      </c>
      <c r="D145" s="152"/>
      <c r="E145" s="250"/>
      <c r="F145" s="153" t="str">
        <f t="shared" si="10"/>
        <v/>
      </c>
      <c r="G145" s="256"/>
      <c r="H145" s="166">
        <f t="shared" si="12"/>
        <v>0</v>
      </c>
      <c r="I145" s="10" t="s">
        <v>20</v>
      </c>
      <c r="J145" s="11">
        <v>1.28</v>
      </c>
      <c r="K145" s="12">
        <f t="shared" si="15"/>
        <v>0</v>
      </c>
    </row>
    <row r="146" spans="1:11" hidden="1" x14ac:dyDescent="0.35">
      <c r="A146" s="103"/>
      <c r="B146" s="12" t="s">
        <v>4</v>
      </c>
      <c r="C146" s="10" t="s">
        <v>318</v>
      </c>
      <c r="D146" s="152"/>
      <c r="E146" s="250"/>
      <c r="F146" s="153" t="str">
        <f t="shared" si="10"/>
        <v/>
      </c>
      <c r="G146" s="256"/>
      <c r="H146" s="166">
        <f t="shared" si="12"/>
        <v>0</v>
      </c>
      <c r="I146" s="10" t="s">
        <v>20</v>
      </c>
      <c r="J146" s="11">
        <v>1.1000000000000001</v>
      </c>
      <c r="K146" s="12">
        <f t="shared" si="15"/>
        <v>0</v>
      </c>
    </row>
    <row r="147" spans="1:11" hidden="1" x14ac:dyDescent="0.35">
      <c r="A147" s="103"/>
      <c r="B147" s="12" t="s">
        <v>4</v>
      </c>
      <c r="C147" s="10" t="s">
        <v>319</v>
      </c>
      <c r="D147" s="152"/>
      <c r="E147" s="250"/>
      <c r="F147" s="153" t="str">
        <f t="shared" si="10"/>
        <v/>
      </c>
      <c r="G147" s="256"/>
      <c r="H147" s="166">
        <f t="shared" si="12"/>
        <v>0</v>
      </c>
      <c r="I147" s="10" t="s">
        <v>20</v>
      </c>
      <c r="J147" s="11">
        <v>1.1000000000000001</v>
      </c>
      <c r="K147" s="12">
        <f t="shared" si="15"/>
        <v>0</v>
      </c>
    </row>
    <row r="148" spans="1:11" hidden="1" x14ac:dyDescent="0.35">
      <c r="A148" s="103"/>
      <c r="B148" s="12" t="s">
        <v>4</v>
      </c>
      <c r="C148" s="10" t="s">
        <v>320</v>
      </c>
      <c r="D148" s="152"/>
      <c r="E148" s="250"/>
      <c r="F148" s="153" t="str">
        <f t="shared" si="10"/>
        <v/>
      </c>
      <c r="G148" s="256"/>
      <c r="H148" s="166">
        <f t="shared" si="12"/>
        <v>0</v>
      </c>
      <c r="I148" s="10" t="s">
        <v>20</v>
      </c>
      <c r="J148" s="11">
        <v>1.1000000000000001</v>
      </c>
      <c r="K148" s="12">
        <f t="shared" si="15"/>
        <v>0</v>
      </c>
    </row>
    <row r="149" spans="1:11" hidden="1" x14ac:dyDescent="0.35">
      <c r="A149" s="103"/>
      <c r="B149" s="12" t="s">
        <v>4</v>
      </c>
      <c r="C149" s="10" t="s">
        <v>321</v>
      </c>
      <c r="D149" s="152"/>
      <c r="E149" s="250"/>
      <c r="F149" s="153" t="str">
        <f t="shared" si="10"/>
        <v/>
      </c>
      <c r="G149" s="256"/>
      <c r="H149" s="166">
        <f t="shared" si="12"/>
        <v>0</v>
      </c>
      <c r="I149" s="10" t="s">
        <v>20</v>
      </c>
      <c r="J149" s="11">
        <v>1.1000000000000001</v>
      </c>
      <c r="K149" s="12">
        <f t="shared" si="15"/>
        <v>0</v>
      </c>
    </row>
    <row r="150" spans="1:11" x14ac:dyDescent="0.35">
      <c r="A150" s="113" t="s">
        <v>41</v>
      </c>
      <c r="B150" s="124"/>
      <c r="C150" s="124"/>
      <c r="D150" s="230"/>
      <c r="E150" s="250"/>
      <c r="F150" s="165" t="str">
        <f t="shared" si="10"/>
        <v/>
      </c>
      <c r="G150" s="261"/>
      <c r="H150" s="247"/>
      <c r="I150" s="124"/>
      <c r="J150" s="124"/>
      <c r="K150" s="273"/>
    </row>
    <row r="151" spans="1:11" x14ac:dyDescent="0.35">
      <c r="A151" s="103"/>
      <c r="B151" s="12" t="s">
        <v>4</v>
      </c>
      <c r="C151" s="10" t="s">
        <v>24</v>
      </c>
      <c r="D151" s="152">
        <v>18</v>
      </c>
      <c r="E151" s="170">
        <v>17</v>
      </c>
      <c r="F151" s="153">
        <f t="shared" si="10"/>
        <v>1</v>
      </c>
      <c r="G151" s="256"/>
      <c r="H151" s="166">
        <f t="shared" si="12"/>
        <v>18</v>
      </c>
      <c r="I151" s="10" t="s">
        <v>20</v>
      </c>
      <c r="J151" s="11">
        <v>3.04</v>
      </c>
      <c r="K151" s="12">
        <f>H151*J151</f>
        <v>54.72</v>
      </c>
    </row>
    <row r="152" spans="1:11" x14ac:dyDescent="0.35">
      <c r="A152" s="103"/>
      <c r="B152" s="12" t="s">
        <v>4</v>
      </c>
      <c r="C152" s="10" t="s">
        <v>80</v>
      </c>
      <c r="D152" s="152">
        <v>30</v>
      </c>
      <c r="E152" s="170">
        <v>26</v>
      </c>
      <c r="F152" s="153">
        <f t="shared" si="10"/>
        <v>4</v>
      </c>
      <c r="G152" s="256"/>
      <c r="H152" s="166">
        <f t="shared" si="12"/>
        <v>30</v>
      </c>
      <c r="I152" s="10" t="s">
        <v>20</v>
      </c>
      <c r="J152" s="11">
        <v>2.31</v>
      </c>
      <c r="K152" s="12">
        <f t="shared" ref="K152:K168" si="16">H152*J152</f>
        <v>69.3</v>
      </c>
    </row>
    <row r="153" spans="1:11" x14ac:dyDescent="0.35">
      <c r="A153" s="103"/>
      <c r="B153" s="12" t="s">
        <v>4</v>
      </c>
      <c r="C153" s="10" t="s">
        <v>84</v>
      </c>
      <c r="D153" s="152">
        <v>18</v>
      </c>
      <c r="E153" s="170">
        <v>16</v>
      </c>
      <c r="F153" s="153">
        <f t="shared" ref="F153:F219" si="17">IF(E153="","",IF(D153-E153&gt;0,D153-E153,""))</f>
        <v>2</v>
      </c>
      <c r="G153" s="256"/>
      <c r="H153" s="166">
        <f t="shared" si="12"/>
        <v>18</v>
      </c>
      <c r="I153" s="10" t="s">
        <v>20</v>
      </c>
      <c r="J153" s="11">
        <v>2.31</v>
      </c>
      <c r="K153" s="12">
        <f t="shared" si="16"/>
        <v>41.58</v>
      </c>
    </row>
    <row r="154" spans="1:11" hidden="1" x14ac:dyDescent="0.35">
      <c r="A154" s="103"/>
      <c r="B154" s="12" t="s">
        <v>4</v>
      </c>
      <c r="C154" s="10" t="s">
        <v>394</v>
      </c>
      <c r="D154" s="152"/>
      <c r="E154" s="170"/>
      <c r="F154" s="153" t="str">
        <f t="shared" si="17"/>
        <v/>
      </c>
      <c r="G154" s="256"/>
      <c r="H154" s="166">
        <f t="shared" si="12"/>
        <v>0</v>
      </c>
      <c r="I154" s="10" t="s">
        <v>20</v>
      </c>
      <c r="J154" s="11">
        <v>2.54</v>
      </c>
      <c r="K154" s="12">
        <f t="shared" si="16"/>
        <v>0</v>
      </c>
    </row>
    <row r="155" spans="1:11" hidden="1" x14ac:dyDescent="0.35">
      <c r="A155" s="103"/>
      <c r="B155" s="12" t="s">
        <v>4</v>
      </c>
      <c r="C155" s="10" t="s">
        <v>394</v>
      </c>
      <c r="D155" s="152"/>
      <c r="E155" s="170"/>
      <c r="F155" s="153" t="str">
        <f t="shared" si="17"/>
        <v/>
      </c>
      <c r="G155" s="256"/>
      <c r="H155" s="166">
        <f t="shared" si="12"/>
        <v>0</v>
      </c>
      <c r="I155" s="10" t="s">
        <v>20</v>
      </c>
      <c r="J155" s="11">
        <v>2.54</v>
      </c>
      <c r="K155" s="12">
        <f t="shared" si="16"/>
        <v>0</v>
      </c>
    </row>
    <row r="156" spans="1:11" x14ac:dyDescent="0.35">
      <c r="A156" s="103"/>
      <c r="B156" s="12" t="s">
        <v>4</v>
      </c>
      <c r="C156" s="10" t="s">
        <v>25</v>
      </c>
      <c r="D156" s="152">
        <v>18</v>
      </c>
      <c r="E156" s="170">
        <v>17</v>
      </c>
      <c r="F156" s="153">
        <f t="shared" si="17"/>
        <v>1</v>
      </c>
      <c r="G156" s="256"/>
      <c r="H156" s="166">
        <f t="shared" si="12"/>
        <v>18</v>
      </c>
      <c r="I156" s="10" t="s">
        <v>20</v>
      </c>
      <c r="J156" s="11">
        <v>1.79</v>
      </c>
      <c r="K156" s="12">
        <f t="shared" si="16"/>
        <v>32.22</v>
      </c>
    </row>
    <row r="157" spans="1:11" hidden="1" x14ac:dyDescent="0.35">
      <c r="A157" s="103"/>
      <c r="B157" s="12" t="s">
        <v>4</v>
      </c>
      <c r="C157" s="10" t="s">
        <v>322</v>
      </c>
      <c r="D157" s="152"/>
      <c r="E157" s="170"/>
      <c r="F157" s="153" t="str">
        <f t="shared" si="17"/>
        <v/>
      </c>
      <c r="G157" s="256"/>
      <c r="H157" s="166">
        <f t="shared" si="12"/>
        <v>0</v>
      </c>
      <c r="I157" s="10" t="s">
        <v>20</v>
      </c>
      <c r="J157" s="11">
        <v>2.46</v>
      </c>
      <c r="K157" s="12">
        <f t="shared" si="16"/>
        <v>0</v>
      </c>
    </row>
    <row r="158" spans="1:11" x14ac:dyDescent="0.35">
      <c r="A158" s="103"/>
      <c r="B158" s="12" t="s">
        <v>4</v>
      </c>
      <c r="C158" s="10" t="s">
        <v>393</v>
      </c>
      <c r="D158" s="152">
        <v>30</v>
      </c>
      <c r="E158" s="170">
        <v>27</v>
      </c>
      <c r="F158" s="153">
        <f t="shared" si="17"/>
        <v>3</v>
      </c>
      <c r="G158" s="256"/>
      <c r="H158" s="166">
        <f t="shared" si="12"/>
        <v>30</v>
      </c>
      <c r="I158" s="10" t="s">
        <v>20</v>
      </c>
      <c r="J158" s="11">
        <v>2.46</v>
      </c>
      <c r="K158" s="12">
        <f t="shared" si="16"/>
        <v>73.8</v>
      </c>
    </row>
    <row r="159" spans="1:11" hidden="1" x14ac:dyDescent="0.35">
      <c r="A159" s="103"/>
      <c r="B159" s="12" t="s">
        <v>4</v>
      </c>
      <c r="C159" s="10" t="s">
        <v>43</v>
      </c>
      <c r="D159" s="152"/>
      <c r="E159" s="170"/>
      <c r="F159" s="153" t="str">
        <f t="shared" si="17"/>
        <v/>
      </c>
      <c r="G159" s="256"/>
      <c r="H159" s="166">
        <f t="shared" si="12"/>
        <v>0</v>
      </c>
      <c r="I159" s="10" t="s">
        <v>20</v>
      </c>
      <c r="J159" s="11">
        <v>2.5499999999999998</v>
      </c>
      <c r="K159" s="12">
        <f t="shared" si="16"/>
        <v>0</v>
      </c>
    </row>
    <row r="160" spans="1:11" x14ac:dyDescent="0.35">
      <c r="A160" s="103"/>
      <c r="B160" s="12" t="s">
        <v>4</v>
      </c>
      <c r="C160" s="10" t="s">
        <v>81</v>
      </c>
      <c r="D160" s="152">
        <v>30</v>
      </c>
      <c r="E160" s="170">
        <v>29</v>
      </c>
      <c r="F160" s="153">
        <f t="shared" si="17"/>
        <v>1</v>
      </c>
      <c r="G160" s="256"/>
      <c r="H160" s="166">
        <f t="shared" si="12"/>
        <v>30</v>
      </c>
      <c r="I160" s="10" t="s">
        <v>20</v>
      </c>
      <c r="J160" s="11">
        <v>1.51</v>
      </c>
      <c r="K160" s="12">
        <f t="shared" si="16"/>
        <v>45.3</v>
      </c>
    </row>
    <row r="161" spans="1:11" x14ac:dyDescent="0.35">
      <c r="A161" s="103"/>
      <c r="B161" s="12" t="s">
        <v>4</v>
      </c>
      <c r="C161" s="10" t="s">
        <v>82</v>
      </c>
      <c r="D161" s="152">
        <v>30</v>
      </c>
      <c r="E161" s="170">
        <v>28</v>
      </c>
      <c r="F161" s="153">
        <f t="shared" si="17"/>
        <v>2</v>
      </c>
      <c r="G161" s="256"/>
      <c r="H161" s="166">
        <f t="shared" si="12"/>
        <v>30</v>
      </c>
      <c r="I161" s="10" t="s">
        <v>20</v>
      </c>
      <c r="J161" s="11">
        <v>1.51</v>
      </c>
      <c r="K161" s="12">
        <f t="shared" si="16"/>
        <v>45.3</v>
      </c>
    </row>
    <row r="162" spans="1:11" hidden="1" x14ac:dyDescent="0.35">
      <c r="A162" s="103"/>
      <c r="B162" s="12" t="s">
        <v>4</v>
      </c>
      <c r="C162" s="10" t="s">
        <v>323</v>
      </c>
      <c r="D162" s="152"/>
      <c r="E162" s="170"/>
      <c r="F162" s="153" t="str">
        <f t="shared" si="17"/>
        <v/>
      </c>
      <c r="G162" s="256"/>
      <c r="H162" s="166">
        <f t="shared" si="12"/>
        <v>0</v>
      </c>
      <c r="I162" s="10" t="s">
        <v>20</v>
      </c>
      <c r="J162" s="11">
        <v>1.54</v>
      </c>
      <c r="K162" s="12">
        <f t="shared" si="16"/>
        <v>0</v>
      </c>
    </row>
    <row r="163" spans="1:11" hidden="1" x14ac:dyDescent="0.35">
      <c r="A163" s="103"/>
      <c r="B163" s="12" t="s">
        <v>4</v>
      </c>
      <c r="C163" s="10" t="s">
        <v>324</v>
      </c>
      <c r="D163" s="152"/>
      <c r="E163" s="170"/>
      <c r="F163" s="153" t="str">
        <f t="shared" si="17"/>
        <v/>
      </c>
      <c r="G163" s="256"/>
      <c r="H163" s="166">
        <f t="shared" si="12"/>
        <v>0</v>
      </c>
      <c r="I163" s="10" t="s">
        <v>20</v>
      </c>
      <c r="J163" s="11">
        <v>1.6</v>
      </c>
      <c r="K163" s="12">
        <f t="shared" si="16"/>
        <v>0</v>
      </c>
    </row>
    <row r="164" spans="1:11" hidden="1" x14ac:dyDescent="0.35">
      <c r="A164" s="103"/>
      <c r="B164" s="12" t="s">
        <v>4</v>
      </c>
      <c r="C164" s="78" t="s">
        <v>325</v>
      </c>
      <c r="D164" s="224"/>
      <c r="E164" s="170"/>
      <c r="F164" s="153" t="str">
        <f t="shared" si="17"/>
        <v/>
      </c>
      <c r="G164" s="256"/>
      <c r="H164" s="166">
        <f t="shared" si="12"/>
        <v>0</v>
      </c>
      <c r="I164" s="10" t="s">
        <v>20</v>
      </c>
      <c r="J164" s="79">
        <v>49.95</v>
      </c>
      <c r="K164" s="12">
        <f t="shared" si="16"/>
        <v>0</v>
      </c>
    </row>
    <row r="165" spans="1:11" hidden="1" x14ac:dyDescent="0.35">
      <c r="A165" s="113" t="s">
        <v>44</v>
      </c>
      <c r="B165" s="124"/>
      <c r="C165" s="124"/>
      <c r="D165" s="230"/>
      <c r="E165" s="250"/>
      <c r="F165" s="165" t="str">
        <f t="shared" si="17"/>
        <v/>
      </c>
      <c r="G165" s="261"/>
      <c r="H165" s="247"/>
      <c r="I165" s="124"/>
      <c r="J165" s="124"/>
      <c r="K165" s="270"/>
    </row>
    <row r="166" spans="1:11" hidden="1" x14ac:dyDescent="0.35">
      <c r="A166" s="103"/>
      <c r="B166" s="12" t="s">
        <v>4</v>
      </c>
      <c r="C166" s="10" t="s">
        <v>48</v>
      </c>
      <c r="D166" s="152"/>
      <c r="E166" s="170"/>
      <c r="F166" s="153" t="str">
        <f t="shared" si="17"/>
        <v/>
      </c>
      <c r="G166" s="256"/>
      <c r="H166" s="166">
        <f t="shared" si="12"/>
        <v>0</v>
      </c>
      <c r="I166" s="10" t="s">
        <v>20</v>
      </c>
      <c r="J166" s="11">
        <v>1.94</v>
      </c>
      <c r="K166" s="12">
        <f t="shared" si="16"/>
        <v>0</v>
      </c>
    </row>
    <row r="167" spans="1:11" hidden="1" x14ac:dyDescent="0.35">
      <c r="A167" s="103"/>
      <c r="B167" s="12" t="s">
        <v>4</v>
      </c>
      <c r="C167" s="10" t="s">
        <v>49</v>
      </c>
      <c r="D167" s="152"/>
      <c r="E167" s="170"/>
      <c r="F167" s="153" t="str">
        <f t="shared" si="17"/>
        <v/>
      </c>
      <c r="G167" s="256"/>
      <c r="H167" s="166">
        <f t="shared" si="12"/>
        <v>0</v>
      </c>
      <c r="I167" s="10" t="s">
        <v>20</v>
      </c>
      <c r="J167" s="11">
        <v>1.94</v>
      </c>
      <c r="K167" s="12">
        <f t="shared" si="16"/>
        <v>0</v>
      </c>
    </row>
    <row r="168" spans="1:11" hidden="1" x14ac:dyDescent="0.35">
      <c r="A168" s="103"/>
      <c r="B168" s="12" t="s">
        <v>4</v>
      </c>
      <c r="C168" s="10" t="s">
        <v>50</v>
      </c>
      <c r="D168" s="152"/>
      <c r="E168" s="170"/>
      <c r="F168" s="153" t="str">
        <f t="shared" si="17"/>
        <v/>
      </c>
      <c r="G168" s="256"/>
      <c r="H168" s="166">
        <f t="shared" si="12"/>
        <v>0</v>
      </c>
      <c r="I168" s="10" t="s">
        <v>20</v>
      </c>
      <c r="J168" s="11">
        <v>1.94</v>
      </c>
      <c r="K168" s="12">
        <f t="shared" si="16"/>
        <v>0</v>
      </c>
    </row>
    <row r="169" spans="1:11" hidden="1" x14ac:dyDescent="0.35">
      <c r="A169" s="103"/>
      <c r="B169" s="12" t="s">
        <v>4</v>
      </c>
      <c r="C169" s="10" t="s">
        <v>415</v>
      </c>
      <c r="D169" s="152"/>
      <c r="E169" s="170"/>
      <c r="F169" s="153" t="str">
        <f t="shared" si="17"/>
        <v/>
      </c>
      <c r="G169" s="256"/>
      <c r="H169" s="166">
        <f t="shared" si="12"/>
        <v>0</v>
      </c>
      <c r="I169" s="10" t="s">
        <v>20</v>
      </c>
      <c r="J169" s="11">
        <v>1.98</v>
      </c>
      <c r="K169" s="12">
        <f t="shared" ref="K169:K175" si="18">G169*J169</f>
        <v>0</v>
      </c>
    </row>
    <row r="170" spans="1:11" hidden="1" x14ac:dyDescent="0.35">
      <c r="A170" s="103"/>
      <c r="B170" s="12" t="s">
        <v>4</v>
      </c>
      <c r="C170" s="10" t="s">
        <v>414</v>
      </c>
      <c r="D170" s="152"/>
      <c r="E170" s="170"/>
      <c r="F170" s="153" t="str">
        <f t="shared" si="17"/>
        <v/>
      </c>
      <c r="G170" s="256"/>
      <c r="H170" s="166">
        <f t="shared" si="12"/>
        <v>0</v>
      </c>
      <c r="I170" s="10" t="s">
        <v>20</v>
      </c>
      <c r="J170" s="11">
        <v>1.98</v>
      </c>
      <c r="K170" s="12">
        <f t="shared" si="18"/>
        <v>0</v>
      </c>
    </row>
    <row r="171" spans="1:11" hidden="1" x14ac:dyDescent="0.35">
      <c r="A171" s="103"/>
      <c r="B171" s="12" t="s">
        <v>4</v>
      </c>
      <c r="C171" s="10" t="s">
        <v>415</v>
      </c>
      <c r="D171" s="152"/>
      <c r="E171" s="170"/>
      <c r="F171" s="153" t="str">
        <f t="shared" si="17"/>
        <v/>
      </c>
      <c r="G171" s="256"/>
      <c r="H171" s="166">
        <f t="shared" si="12"/>
        <v>0</v>
      </c>
      <c r="I171" s="10" t="s">
        <v>20</v>
      </c>
      <c r="J171" s="11">
        <v>1.98</v>
      </c>
      <c r="K171" s="12">
        <f t="shared" si="18"/>
        <v>0</v>
      </c>
    </row>
    <row r="172" spans="1:11" hidden="1" x14ac:dyDescent="0.35">
      <c r="A172" s="103"/>
      <c r="B172" s="12" t="s">
        <v>4</v>
      </c>
      <c r="C172" s="10" t="s">
        <v>432</v>
      </c>
      <c r="D172" s="152"/>
      <c r="E172" s="170"/>
      <c r="F172" s="153" t="str">
        <f t="shared" si="17"/>
        <v/>
      </c>
      <c r="G172" s="256"/>
      <c r="H172" s="166">
        <f t="shared" si="12"/>
        <v>0</v>
      </c>
      <c r="I172" s="10" t="s">
        <v>20</v>
      </c>
      <c r="J172" s="11">
        <v>1.98</v>
      </c>
      <c r="K172" s="12">
        <f t="shared" si="18"/>
        <v>0</v>
      </c>
    </row>
    <row r="173" spans="1:11" hidden="1" x14ac:dyDescent="0.35">
      <c r="A173" s="103"/>
      <c r="B173" s="40" t="s">
        <v>4</v>
      </c>
      <c r="C173" s="41" t="s">
        <v>330</v>
      </c>
      <c r="D173" s="227"/>
      <c r="E173" s="170"/>
      <c r="F173" s="153" t="str">
        <f t="shared" si="17"/>
        <v/>
      </c>
      <c r="G173" s="256"/>
      <c r="H173" s="166">
        <f t="shared" si="12"/>
        <v>0</v>
      </c>
      <c r="I173" s="10" t="s">
        <v>20</v>
      </c>
      <c r="J173" s="11">
        <v>1.98</v>
      </c>
      <c r="K173" s="12">
        <f t="shared" si="18"/>
        <v>0</v>
      </c>
    </row>
    <row r="174" spans="1:11" hidden="1" x14ac:dyDescent="0.35">
      <c r="A174" s="103"/>
      <c r="B174" s="40" t="s">
        <v>4</v>
      </c>
      <c r="C174" s="41" t="s">
        <v>331</v>
      </c>
      <c r="D174" s="227"/>
      <c r="E174" s="170"/>
      <c r="F174" s="153" t="str">
        <f t="shared" si="17"/>
        <v/>
      </c>
      <c r="G174" s="256"/>
      <c r="H174" s="166">
        <f t="shared" si="12"/>
        <v>0</v>
      </c>
      <c r="I174" s="10" t="s">
        <v>20</v>
      </c>
      <c r="J174" s="11">
        <v>1.98</v>
      </c>
      <c r="K174" s="12">
        <f t="shared" si="18"/>
        <v>0</v>
      </c>
    </row>
    <row r="175" spans="1:11" hidden="1" x14ac:dyDescent="0.35">
      <c r="A175" s="103"/>
      <c r="B175" s="40" t="s">
        <v>4</v>
      </c>
      <c r="C175" s="41" t="s">
        <v>413</v>
      </c>
      <c r="D175" s="227"/>
      <c r="E175" s="170"/>
      <c r="F175" s="153" t="str">
        <f t="shared" si="17"/>
        <v/>
      </c>
      <c r="G175" s="256"/>
      <c r="H175" s="166">
        <f t="shared" ref="H175:H240" si="19">IF(ISNUMBER(E175),E175,0)+IF(ISNUMBER(F175),F175,0)-IF(ISNUMBER(G175),G175,0)</f>
        <v>0</v>
      </c>
      <c r="I175" s="41" t="s">
        <v>20</v>
      </c>
      <c r="J175" s="42">
        <v>1.98</v>
      </c>
      <c r="K175" s="12">
        <f t="shared" si="18"/>
        <v>0</v>
      </c>
    </row>
    <row r="176" spans="1:11" ht="15.5" hidden="1" x14ac:dyDescent="0.35">
      <c r="A176" s="114" t="s">
        <v>333</v>
      </c>
      <c r="B176" s="120"/>
      <c r="C176" s="120"/>
      <c r="D176" s="228"/>
      <c r="E176" s="170"/>
      <c r="F176" s="153" t="str">
        <f t="shared" si="17"/>
        <v/>
      </c>
      <c r="G176" s="292"/>
      <c r="H176" s="166">
        <f t="shared" si="19"/>
        <v>0</v>
      </c>
      <c r="I176" s="121"/>
      <c r="J176" s="122" t="s">
        <v>18</v>
      </c>
      <c r="K176" s="274">
        <f>SUM(K177:K186)</f>
        <v>0</v>
      </c>
    </row>
    <row r="177" spans="1:11" hidden="1" x14ac:dyDescent="0.35">
      <c r="A177" s="103"/>
      <c r="B177" s="12" t="s">
        <v>26</v>
      </c>
      <c r="C177" s="10" t="s">
        <v>334</v>
      </c>
      <c r="D177" s="152"/>
      <c r="E177" s="170"/>
      <c r="F177" s="153" t="str">
        <f t="shared" si="17"/>
        <v/>
      </c>
      <c r="G177" s="256"/>
      <c r="H177" s="166">
        <f t="shared" si="19"/>
        <v>0</v>
      </c>
      <c r="I177" s="10" t="s">
        <v>335</v>
      </c>
      <c r="J177" s="11">
        <v>20</v>
      </c>
      <c r="K177" s="12">
        <f t="shared" ref="K177:K186" si="20">G177*J177</f>
        <v>0</v>
      </c>
    </row>
    <row r="178" spans="1:11" hidden="1" x14ac:dyDescent="0.35">
      <c r="A178" s="103"/>
      <c r="B178" s="20" t="s">
        <v>26</v>
      </c>
      <c r="C178" s="18" t="s">
        <v>53</v>
      </c>
      <c r="D178" s="229"/>
      <c r="E178" s="170"/>
      <c r="F178" s="153" t="str">
        <f t="shared" si="17"/>
        <v/>
      </c>
      <c r="G178" s="256"/>
      <c r="H178" s="166">
        <f t="shared" si="19"/>
        <v>0</v>
      </c>
      <c r="I178" s="18" t="s">
        <v>20</v>
      </c>
      <c r="J178" s="19">
        <v>0.43</v>
      </c>
      <c r="K178" s="20">
        <f t="shared" si="20"/>
        <v>0</v>
      </c>
    </row>
    <row r="179" spans="1:11" hidden="1" x14ac:dyDescent="0.35">
      <c r="A179" s="103"/>
      <c r="B179" s="20" t="s">
        <v>26</v>
      </c>
      <c r="C179" s="18" t="s">
        <v>336</v>
      </c>
      <c r="D179" s="229"/>
      <c r="E179" s="170"/>
      <c r="F179" s="153" t="str">
        <f t="shared" si="17"/>
        <v/>
      </c>
      <c r="G179" s="256"/>
      <c r="H179" s="166">
        <f t="shared" si="19"/>
        <v>0</v>
      </c>
      <c r="I179" s="18" t="s">
        <v>20</v>
      </c>
      <c r="J179" s="19">
        <v>0.43</v>
      </c>
      <c r="K179" s="20">
        <f t="shared" si="20"/>
        <v>0</v>
      </c>
    </row>
    <row r="180" spans="1:11" hidden="1" x14ac:dyDescent="0.35">
      <c r="A180" s="103"/>
      <c r="B180" s="12" t="s">
        <v>26</v>
      </c>
      <c r="C180" s="10" t="s">
        <v>337</v>
      </c>
      <c r="D180" s="152"/>
      <c r="E180" s="170"/>
      <c r="F180" s="153" t="str">
        <f t="shared" si="17"/>
        <v/>
      </c>
      <c r="G180" s="256"/>
      <c r="H180" s="166">
        <f t="shared" si="19"/>
        <v>0</v>
      </c>
      <c r="I180" s="10" t="s">
        <v>20</v>
      </c>
      <c r="J180" s="11">
        <v>0.43</v>
      </c>
      <c r="K180" s="12">
        <f t="shared" si="20"/>
        <v>0</v>
      </c>
    </row>
    <row r="181" spans="1:11" hidden="1" x14ac:dyDescent="0.35">
      <c r="A181" s="103"/>
      <c r="B181" s="12" t="s">
        <v>26</v>
      </c>
      <c r="C181" s="10" t="s">
        <v>51</v>
      </c>
      <c r="D181" s="152"/>
      <c r="E181" s="170"/>
      <c r="F181" s="153" t="str">
        <f t="shared" si="17"/>
        <v/>
      </c>
      <c r="G181" s="256"/>
      <c r="H181" s="166">
        <f t="shared" si="19"/>
        <v>0</v>
      </c>
      <c r="I181" s="10" t="s">
        <v>61</v>
      </c>
      <c r="J181" s="11">
        <v>14</v>
      </c>
      <c r="K181" s="12">
        <f t="shared" si="20"/>
        <v>0</v>
      </c>
    </row>
    <row r="182" spans="1:11" hidden="1" x14ac:dyDescent="0.35">
      <c r="A182" s="103"/>
      <c r="B182" s="12" t="s">
        <v>26</v>
      </c>
      <c r="C182" s="10" t="s">
        <v>338</v>
      </c>
      <c r="D182" s="152"/>
      <c r="E182" s="170"/>
      <c r="F182" s="153" t="str">
        <f t="shared" si="17"/>
        <v/>
      </c>
      <c r="G182" s="256"/>
      <c r="H182" s="166">
        <f t="shared" si="19"/>
        <v>0</v>
      </c>
      <c r="I182" s="10" t="s">
        <v>61</v>
      </c>
      <c r="J182" s="11">
        <v>14.78</v>
      </c>
      <c r="K182" s="12">
        <f t="shared" si="20"/>
        <v>0</v>
      </c>
    </row>
    <row r="183" spans="1:11" hidden="1" x14ac:dyDescent="0.35">
      <c r="A183" s="103"/>
      <c r="B183" s="12" t="s">
        <v>26</v>
      </c>
      <c r="C183" s="10" t="s">
        <v>339</v>
      </c>
      <c r="D183" s="152"/>
      <c r="E183" s="170"/>
      <c r="F183" s="153" t="str">
        <f t="shared" si="17"/>
        <v/>
      </c>
      <c r="G183" s="256"/>
      <c r="H183" s="166">
        <f t="shared" si="19"/>
        <v>0</v>
      </c>
      <c r="I183" s="10" t="s">
        <v>61</v>
      </c>
      <c r="J183" s="11">
        <v>14.78</v>
      </c>
      <c r="K183" s="12">
        <f t="shared" si="20"/>
        <v>0</v>
      </c>
    </row>
    <row r="184" spans="1:11" hidden="1" x14ac:dyDescent="0.35">
      <c r="A184" s="103"/>
      <c r="B184" s="12" t="s">
        <v>26</v>
      </c>
      <c r="C184" s="10" t="s">
        <v>340</v>
      </c>
      <c r="D184" s="152"/>
      <c r="E184" s="170"/>
      <c r="F184" s="153" t="str">
        <f t="shared" si="17"/>
        <v/>
      </c>
      <c r="G184" s="256"/>
      <c r="H184" s="166">
        <f t="shared" si="19"/>
        <v>0</v>
      </c>
      <c r="I184" s="10" t="s">
        <v>61</v>
      </c>
      <c r="J184" s="11">
        <v>14.78</v>
      </c>
      <c r="K184" s="12">
        <f t="shared" si="20"/>
        <v>0</v>
      </c>
    </row>
    <row r="185" spans="1:11" hidden="1" x14ac:dyDescent="0.35">
      <c r="A185" s="103"/>
      <c r="B185" s="12" t="s">
        <v>26</v>
      </c>
      <c r="C185" s="10" t="s">
        <v>341</v>
      </c>
      <c r="D185" s="152"/>
      <c r="E185" s="170"/>
      <c r="F185" s="153" t="str">
        <f t="shared" si="17"/>
        <v/>
      </c>
      <c r="G185" s="256"/>
      <c r="H185" s="166">
        <f t="shared" si="19"/>
        <v>0</v>
      </c>
      <c r="I185" s="10" t="s">
        <v>61</v>
      </c>
      <c r="J185" s="11">
        <v>14.78</v>
      </c>
      <c r="K185" s="12">
        <f t="shared" si="20"/>
        <v>0</v>
      </c>
    </row>
    <row r="186" spans="1:11" hidden="1" x14ac:dyDescent="0.35">
      <c r="A186" s="103"/>
      <c r="B186" s="12" t="s">
        <v>26</v>
      </c>
      <c r="C186" s="10" t="s">
        <v>342</v>
      </c>
      <c r="D186" s="152"/>
      <c r="E186" s="170"/>
      <c r="F186" s="153" t="str">
        <f t="shared" si="17"/>
        <v/>
      </c>
      <c r="G186" s="256"/>
      <c r="H186" s="166">
        <f t="shared" si="19"/>
        <v>0</v>
      </c>
      <c r="I186" s="10" t="s">
        <v>61</v>
      </c>
      <c r="J186" s="11">
        <v>14.78</v>
      </c>
      <c r="K186" s="10">
        <f t="shared" si="20"/>
        <v>0</v>
      </c>
    </row>
    <row r="187" spans="1:11" ht="15.5" x14ac:dyDescent="0.35">
      <c r="A187" s="108" t="s">
        <v>343</v>
      </c>
      <c r="B187" s="108"/>
      <c r="C187" s="108"/>
      <c r="D187" s="223"/>
      <c r="E187" s="250"/>
      <c r="F187" s="165" t="str">
        <f t="shared" si="17"/>
        <v/>
      </c>
      <c r="G187" s="186"/>
      <c r="H187" s="247"/>
      <c r="I187" s="108"/>
      <c r="J187" s="106" t="s">
        <v>18</v>
      </c>
      <c r="K187" s="269">
        <f>SUM(K188:K192)</f>
        <v>118.8</v>
      </c>
    </row>
    <row r="188" spans="1:11" hidden="1" x14ac:dyDescent="0.35">
      <c r="A188" s="103"/>
      <c r="B188" s="7" t="s">
        <v>6</v>
      </c>
      <c r="C188" s="14" t="s">
        <v>344</v>
      </c>
      <c r="D188" s="152"/>
      <c r="E188" s="170"/>
      <c r="F188" s="153" t="str">
        <f t="shared" si="17"/>
        <v/>
      </c>
      <c r="G188" s="256"/>
      <c r="H188" s="166">
        <f t="shared" si="19"/>
        <v>0</v>
      </c>
      <c r="I188" s="14" t="s">
        <v>20</v>
      </c>
      <c r="J188" s="35">
        <v>0.79</v>
      </c>
      <c r="K188" s="7">
        <f>G188*J188</f>
        <v>0</v>
      </c>
    </row>
    <row r="189" spans="1:11" x14ac:dyDescent="0.35">
      <c r="A189" s="103"/>
      <c r="B189" s="7" t="s">
        <v>6</v>
      </c>
      <c r="C189" s="14" t="s">
        <v>345</v>
      </c>
      <c r="D189" s="152">
        <v>30</v>
      </c>
      <c r="E189" s="170">
        <v>30</v>
      </c>
      <c r="F189" s="153" t="str">
        <f t="shared" si="17"/>
        <v/>
      </c>
      <c r="G189" s="256"/>
      <c r="H189" s="166">
        <f t="shared" si="19"/>
        <v>30</v>
      </c>
      <c r="I189" s="14" t="s">
        <v>20</v>
      </c>
      <c r="J189" s="35">
        <v>2.76</v>
      </c>
      <c r="K189" s="7">
        <f>H189*J189</f>
        <v>82.8</v>
      </c>
    </row>
    <row r="190" spans="1:11" x14ac:dyDescent="0.35">
      <c r="A190" s="103"/>
      <c r="B190" s="7" t="s">
        <v>6</v>
      </c>
      <c r="C190" s="14" t="s">
        <v>346</v>
      </c>
      <c r="D190" s="152"/>
      <c r="E190" s="170"/>
      <c r="F190" s="153" t="str">
        <f t="shared" si="17"/>
        <v/>
      </c>
      <c r="G190" s="256"/>
      <c r="H190" s="166">
        <f t="shared" si="19"/>
        <v>0</v>
      </c>
      <c r="I190" s="14" t="s">
        <v>20</v>
      </c>
      <c r="J190" s="35">
        <v>1</v>
      </c>
      <c r="K190" s="7">
        <f t="shared" ref="K190:K192" si="21">H190*J190</f>
        <v>0</v>
      </c>
    </row>
    <row r="191" spans="1:11" x14ac:dyDescent="0.35">
      <c r="A191" s="103"/>
      <c r="B191" s="7" t="s">
        <v>6</v>
      </c>
      <c r="C191" s="14" t="s">
        <v>34</v>
      </c>
      <c r="D191" s="152">
        <v>10</v>
      </c>
      <c r="E191" s="170">
        <v>10</v>
      </c>
      <c r="F191" s="153" t="str">
        <f t="shared" si="17"/>
        <v/>
      </c>
      <c r="G191" s="256"/>
      <c r="H191" s="166">
        <f t="shared" si="19"/>
        <v>10</v>
      </c>
      <c r="I191" s="14" t="s">
        <v>20</v>
      </c>
      <c r="J191" s="35">
        <v>1.8</v>
      </c>
      <c r="K191" s="7">
        <f t="shared" si="21"/>
        <v>18</v>
      </c>
    </row>
    <row r="192" spans="1:11" x14ac:dyDescent="0.35">
      <c r="A192" s="103"/>
      <c r="B192" s="7" t="s">
        <v>6</v>
      </c>
      <c r="C192" s="14" t="s">
        <v>35</v>
      </c>
      <c r="D192" s="152">
        <v>10</v>
      </c>
      <c r="E192" s="170">
        <v>10</v>
      </c>
      <c r="F192" s="153" t="str">
        <f t="shared" si="17"/>
        <v/>
      </c>
      <c r="G192" s="256"/>
      <c r="H192" s="166">
        <f t="shared" si="19"/>
        <v>10</v>
      </c>
      <c r="I192" s="14" t="s">
        <v>20</v>
      </c>
      <c r="J192" s="35">
        <v>1.8</v>
      </c>
      <c r="K192" s="7">
        <f t="shared" si="21"/>
        <v>18</v>
      </c>
    </row>
    <row r="193" spans="1:11" ht="15.5" hidden="1" x14ac:dyDescent="0.35">
      <c r="A193" s="112" t="s">
        <v>347</v>
      </c>
      <c r="B193" s="116"/>
      <c r="C193" s="116"/>
      <c r="D193" s="228"/>
      <c r="E193" s="250"/>
      <c r="F193" s="165" t="str">
        <f t="shared" si="17"/>
        <v/>
      </c>
      <c r="G193" s="260"/>
      <c r="H193" s="247"/>
      <c r="I193" s="117"/>
      <c r="J193" s="118" t="s">
        <v>18</v>
      </c>
      <c r="K193" s="275">
        <f>SUM(K194:K194)</f>
        <v>0</v>
      </c>
    </row>
    <row r="194" spans="1:11" hidden="1" x14ac:dyDescent="0.35">
      <c r="A194" s="103"/>
      <c r="B194" s="12" t="s">
        <v>5</v>
      </c>
      <c r="C194" s="10" t="s">
        <v>55</v>
      </c>
      <c r="D194" s="152"/>
      <c r="E194" s="170"/>
      <c r="F194" s="153" t="str">
        <f t="shared" si="17"/>
        <v/>
      </c>
      <c r="G194" s="256"/>
      <c r="H194" s="166">
        <f t="shared" si="19"/>
        <v>0</v>
      </c>
      <c r="I194" s="10" t="s">
        <v>20</v>
      </c>
      <c r="J194" s="11">
        <v>1.01</v>
      </c>
      <c r="K194" s="12">
        <f>H194*J194</f>
        <v>0</v>
      </c>
    </row>
    <row r="195" spans="1:11" ht="15.5" x14ac:dyDescent="0.35">
      <c r="A195" s="112" t="s">
        <v>348</v>
      </c>
      <c r="B195" s="116"/>
      <c r="C195" s="116"/>
      <c r="D195" s="228"/>
      <c r="E195" s="250"/>
      <c r="F195" s="165" t="str">
        <f t="shared" si="17"/>
        <v/>
      </c>
      <c r="G195" s="260"/>
      <c r="H195" s="247"/>
      <c r="I195" s="117"/>
      <c r="J195" s="118" t="s">
        <v>18</v>
      </c>
      <c r="K195" s="275">
        <f>SUM(K196:K207)</f>
        <v>158.42000000000002</v>
      </c>
    </row>
    <row r="196" spans="1:11" hidden="1" x14ac:dyDescent="0.35">
      <c r="A196" s="103"/>
      <c r="B196" s="20" t="s">
        <v>8</v>
      </c>
      <c r="C196" s="18" t="s">
        <v>349</v>
      </c>
      <c r="D196" s="229"/>
      <c r="E196" s="170"/>
      <c r="F196" s="153" t="str">
        <f t="shared" si="17"/>
        <v/>
      </c>
      <c r="G196" s="256"/>
      <c r="H196" s="166">
        <f t="shared" si="19"/>
        <v>0</v>
      </c>
      <c r="I196" s="18" t="s">
        <v>27</v>
      </c>
      <c r="J196" s="20">
        <v>28.62</v>
      </c>
      <c r="K196" s="12">
        <f t="shared" ref="K196:K207" si="22">G196*J196</f>
        <v>0</v>
      </c>
    </row>
    <row r="197" spans="1:11" hidden="1" x14ac:dyDescent="0.35">
      <c r="A197" s="103"/>
      <c r="B197" s="12" t="s">
        <v>8</v>
      </c>
      <c r="C197" s="10" t="s">
        <v>350</v>
      </c>
      <c r="D197" s="152"/>
      <c r="E197" s="170"/>
      <c r="F197" s="153" t="str">
        <f t="shared" si="17"/>
        <v/>
      </c>
      <c r="G197" s="256"/>
      <c r="H197" s="166">
        <f t="shared" si="19"/>
        <v>0</v>
      </c>
      <c r="I197" s="10" t="s">
        <v>335</v>
      </c>
      <c r="J197" s="12">
        <v>30</v>
      </c>
      <c r="K197" s="12">
        <f t="shared" si="22"/>
        <v>0</v>
      </c>
    </row>
    <row r="198" spans="1:11" x14ac:dyDescent="0.35">
      <c r="A198" s="103"/>
      <c r="B198" s="12" t="s">
        <v>8</v>
      </c>
      <c r="C198" s="10" t="s">
        <v>351</v>
      </c>
      <c r="D198" s="152"/>
      <c r="E198" s="170"/>
      <c r="F198" s="153" t="str">
        <f t="shared" si="17"/>
        <v/>
      </c>
      <c r="G198" s="256"/>
      <c r="H198" s="166">
        <f t="shared" si="19"/>
        <v>0</v>
      </c>
      <c r="I198" s="10" t="s">
        <v>335</v>
      </c>
      <c r="J198" s="11">
        <v>1.1499999999999999</v>
      </c>
      <c r="K198" s="12">
        <f t="shared" si="22"/>
        <v>0</v>
      </c>
    </row>
    <row r="199" spans="1:11" x14ac:dyDescent="0.35">
      <c r="A199" s="103"/>
      <c r="B199" s="12" t="s">
        <v>8</v>
      </c>
      <c r="C199" s="10" t="s">
        <v>352</v>
      </c>
      <c r="D199" s="152">
        <v>2</v>
      </c>
      <c r="E199" s="170">
        <v>2</v>
      </c>
      <c r="F199" s="153" t="str">
        <f t="shared" si="17"/>
        <v/>
      </c>
      <c r="G199" s="256"/>
      <c r="H199" s="166">
        <f t="shared" si="19"/>
        <v>2</v>
      </c>
      <c r="I199" s="10">
        <v>23.83</v>
      </c>
      <c r="J199" s="11">
        <v>30.95</v>
      </c>
      <c r="K199" s="12">
        <f>H199*J199</f>
        <v>61.9</v>
      </c>
    </row>
    <row r="200" spans="1:11" x14ac:dyDescent="0.35">
      <c r="A200" s="103"/>
      <c r="B200" s="12" t="s">
        <v>8</v>
      </c>
      <c r="C200" s="10" t="s">
        <v>353</v>
      </c>
      <c r="D200" s="152">
        <v>2</v>
      </c>
      <c r="E200" s="170">
        <v>2</v>
      </c>
      <c r="F200" s="153" t="str">
        <f t="shared" si="17"/>
        <v/>
      </c>
      <c r="G200" s="256"/>
      <c r="H200" s="166">
        <f t="shared" si="19"/>
        <v>2</v>
      </c>
      <c r="I200" s="10" t="s">
        <v>27</v>
      </c>
      <c r="J200" s="11">
        <v>28.89</v>
      </c>
      <c r="K200" s="12">
        <f t="shared" ref="K200" si="23">H200*J200</f>
        <v>57.78</v>
      </c>
    </row>
    <row r="201" spans="1:11" x14ac:dyDescent="0.35">
      <c r="A201" s="103"/>
      <c r="B201" s="12" t="s">
        <v>8</v>
      </c>
      <c r="C201" s="10" t="s">
        <v>354</v>
      </c>
      <c r="D201" s="152">
        <v>2</v>
      </c>
      <c r="E201" s="170">
        <v>2</v>
      </c>
      <c r="F201" s="153" t="str">
        <f>IF(E201="","",IF(D201-E201&gt;0,D201-E201,""))</f>
        <v/>
      </c>
      <c r="G201" s="256"/>
      <c r="H201" s="166">
        <f>IF(ISNUMBER(E201),E201,0)+IF(ISNUMBER(F201),F201,0)-IF(ISNUMBER(G201),G201,0)</f>
        <v>2</v>
      </c>
      <c r="I201" s="10" t="s">
        <v>27</v>
      </c>
      <c r="J201" s="11">
        <v>19.37</v>
      </c>
      <c r="K201" s="12">
        <f>H201*J201</f>
        <v>38.74</v>
      </c>
    </row>
    <row r="202" spans="1:11" x14ac:dyDescent="0.35">
      <c r="A202" s="103"/>
      <c r="B202" s="12" t="s">
        <v>8</v>
      </c>
      <c r="C202" s="10" t="s">
        <v>429</v>
      </c>
      <c r="D202" s="152"/>
      <c r="E202" s="170"/>
      <c r="F202" s="153"/>
      <c r="G202" s="256"/>
      <c r="H202" s="166">
        <f t="shared" ref="H202:H204" si="24">IF(ISNUMBER(E202),E202,0)+IF(ISNUMBER(F202),F202,0)-IF(ISNUMBER(G202),G202,0)</f>
        <v>0</v>
      </c>
      <c r="I202" s="10">
        <v>14.07</v>
      </c>
      <c r="J202" s="11"/>
      <c r="K202" s="12"/>
    </row>
    <row r="203" spans="1:11" x14ac:dyDescent="0.35">
      <c r="A203" s="103"/>
      <c r="B203" s="12" t="s">
        <v>8</v>
      </c>
      <c r="C203" s="10" t="s">
        <v>430</v>
      </c>
      <c r="D203" s="152"/>
      <c r="E203" s="170"/>
      <c r="F203" s="153"/>
      <c r="G203" s="256"/>
      <c r="H203" s="166">
        <f t="shared" si="24"/>
        <v>0</v>
      </c>
      <c r="I203" s="10">
        <v>16.07</v>
      </c>
      <c r="J203" s="11"/>
      <c r="K203" s="12"/>
    </row>
    <row r="204" spans="1:11" x14ac:dyDescent="0.35">
      <c r="A204" s="103"/>
      <c r="B204" s="12" t="s">
        <v>8</v>
      </c>
      <c r="C204" s="10" t="s">
        <v>431</v>
      </c>
      <c r="D204" s="152"/>
      <c r="G204" s="256"/>
      <c r="H204" s="166">
        <f t="shared" si="24"/>
        <v>0</v>
      </c>
      <c r="I204" s="289">
        <v>14.62</v>
      </c>
      <c r="J204" s="11"/>
    </row>
    <row r="205" spans="1:11" hidden="1" x14ac:dyDescent="0.35">
      <c r="A205" s="103"/>
      <c r="B205" s="12" t="s">
        <v>8</v>
      </c>
      <c r="C205" s="10" t="s">
        <v>355</v>
      </c>
      <c r="D205" s="152"/>
      <c r="E205" s="170"/>
      <c r="F205" s="153" t="str">
        <f t="shared" si="17"/>
        <v/>
      </c>
      <c r="G205" s="256"/>
      <c r="H205" s="166">
        <f t="shared" si="19"/>
        <v>0</v>
      </c>
      <c r="I205" s="10" t="s">
        <v>61</v>
      </c>
      <c r="J205" s="11">
        <v>17.11</v>
      </c>
      <c r="K205" s="12">
        <f t="shared" si="22"/>
        <v>0</v>
      </c>
    </row>
    <row r="206" spans="1:11" hidden="1" x14ac:dyDescent="0.35">
      <c r="A206" s="103"/>
      <c r="B206" s="12" t="s">
        <v>8</v>
      </c>
      <c r="C206" s="10" t="s">
        <v>356</v>
      </c>
      <c r="D206" s="152"/>
      <c r="E206" s="170"/>
      <c r="F206" s="153" t="str">
        <f t="shared" si="17"/>
        <v/>
      </c>
      <c r="G206" s="256"/>
      <c r="H206" s="166">
        <f t="shared" si="19"/>
        <v>0</v>
      </c>
      <c r="I206" s="10" t="s">
        <v>61</v>
      </c>
      <c r="J206" s="11">
        <v>22.13</v>
      </c>
      <c r="K206" s="12">
        <f t="shared" si="22"/>
        <v>0</v>
      </c>
    </row>
    <row r="207" spans="1:11" hidden="1" x14ac:dyDescent="0.35">
      <c r="A207" s="103"/>
      <c r="B207" s="40" t="s">
        <v>8</v>
      </c>
      <c r="C207" s="41" t="s">
        <v>357</v>
      </c>
      <c r="D207" s="227"/>
      <c r="E207" s="170"/>
      <c r="F207" s="153" t="str">
        <f t="shared" si="17"/>
        <v/>
      </c>
      <c r="G207" s="256"/>
      <c r="H207" s="166">
        <f t="shared" si="19"/>
        <v>0</v>
      </c>
      <c r="I207" s="41" t="s">
        <v>61</v>
      </c>
      <c r="J207" s="42">
        <v>18.8</v>
      </c>
      <c r="K207" s="40">
        <f t="shared" si="22"/>
        <v>0</v>
      </c>
    </row>
    <row r="208" spans="1:11" ht="15.5" x14ac:dyDescent="0.35">
      <c r="A208" s="112" t="s">
        <v>358</v>
      </c>
      <c r="B208" s="116"/>
      <c r="C208" s="116"/>
      <c r="D208" s="228"/>
      <c r="E208" s="250"/>
      <c r="F208" s="165" t="str">
        <f t="shared" si="17"/>
        <v/>
      </c>
      <c r="G208" s="260"/>
      <c r="H208" s="247"/>
      <c r="I208" s="117"/>
      <c r="J208" s="118" t="s">
        <v>18</v>
      </c>
      <c r="K208" s="275">
        <f>SUM(K209)</f>
        <v>0</v>
      </c>
    </row>
    <row r="209" spans="1:11" x14ac:dyDescent="0.35">
      <c r="A209" s="103"/>
      <c r="B209" s="13" t="s">
        <v>11</v>
      </c>
      <c r="C209" s="18" t="s">
        <v>359</v>
      </c>
      <c r="D209" s="229"/>
      <c r="E209" s="170"/>
      <c r="F209" s="153" t="str">
        <f t="shared" si="17"/>
        <v/>
      </c>
      <c r="G209" s="256"/>
      <c r="H209" s="166">
        <f t="shared" si="19"/>
        <v>0</v>
      </c>
      <c r="I209" s="10" t="s">
        <v>52</v>
      </c>
      <c r="J209" s="11">
        <v>11.63</v>
      </c>
      <c r="K209" s="12">
        <f>G209*J209</f>
        <v>0</v>
      </c>
    </row>
    <row r="210" spans="1:11" ht="15.5" x14ac:dyDescent="0.35">
      <c r="A210" s="108" t="s">
        <v>360</v>
      </c>
      <c r="B210" s="108"/>
      <c r="C210" s="108"/>
      <c r="D210" s="223"/>
      <c r="E210" s="250"/>
      <c r="F210" s="165" t="str">
        <f t="shared" si="17"/>
        <v/>
      </c>
      <c r="G210" s="186"/>
      <c r="H210" s="247"/>
      <c r="I210" s="108"/>
      <c r="J210" s="106" t="s">
        <v>18</v>
      </c>
      <c r="K210" s="269">
        <f>SUM(K211:K212)</f>
        <v>0</v>
      </c>
    </row>
    <row r="211" spans="1:11" x14ac:dyDescent="0.35">
      <c r="A211" s="103"/>
      <c r="B211" s="12" t="s">
        <v>12</v>
      </c>
      <c r="C211" s="10" t="s">
        <v>70</v>
      </c>
      <c r="D211" s="152"/>
      <c r="E211" s="170"/>
      <c r="F211" s="153" t="str">
        <f t="shared" si="17"/>
        <v/>
      </c>
      <c r="G211" s="256"/>
      <c r="H211" s="166">
        <f t="shared" si="19"/>
        <v>0</v>
      </c>
      <c r="I211" s="10" t="s">
        <v>27</v>
      </c>
      <c r="J211" s="11">
        <v>20.7</v>
      </c>
      <c r="K211" s="12">
        <f>H211*J211</f>
        <v>0</v>
      </c>
    </row>
    <row r="212" spans="1:11" x14ac:dyDescent="0.35">
      <c r="A212" s="103"/>
      <c r="B212" s="12" t="s">
        <v>12</v>
      </c>
      <c r="C212" s="10" t="s">
        <v>71</v>
      </c>
      <c r="D212" s="152"/>
      <c r="E212" s="170"/>
      <c r="F212" s="153" t="str">
        <f t="shared" si="17"/>
        <v/>
      </c>
      <c r="G212" s="256"/>
      <c r="H212" s="166">
        <f t="shared" si="19"/>
        <v>0</v>
      </c>
      <c r="I212" s="10" t="s">
        <v>27</v>
      </c>
      <c r="J212" s="11">
        <v>13.7</v>
      </c>
      <c r="K212" s="12">
        <f>H212*J212</f>
        <v>0</v>
      </c>
    </row>
    <row r="213" spans="1:11" ht="15.5" hidden="1" x14ac:dyDescent="0.35">
      <c r="A213" s="108" t="s">
        <v>361</v>
      </c>
      <c r="B213" s="108"/>
      <c r="C213" s="108"/>
      <c r="D213" s="223"/>
      <c r="E213" s="250"/>
      <c r="F213" s="165" t="str">
        <f t="shared" si="17"/>
        <v/>
      </c>
      <c r="G213" s="186"/>
      <c r="H213" s="247"/>
      <c r="I213" s="108"/>
      <c r="J213" s="106" t="s">
        <v>18</v>
      </c>
      <c r="K213" s="269">
        <f>SUM(K214:K217)</f>
        <v>0</v>
      </c>
    </row>
    <row r="214" spans="1:11" hidden="1" x14ac:dyDescent="0.35">
      <c r="A214" s="103"/>
      <c r="B214" s="12" t="s">
        <v>10</v>
      </c>
      <c r="C214" s="10" t="s">
        <v>362</v>
      </c>
      <c r="D214" s="152"/>
      <c r="E214" s="170"/>
      <c r="F214" s="153" t="str">
        <f t="shared" si="17"/>
        <v/>
      </c>
      <c r="G214" s="256"/>
      <c r="H214" s="166">
        <f t="shared" si="19"/>
        <v>0</v>
      </c>
      <c r="I214" s="10" t="s">
        <v>20</v>
      </c>
      <c r="J214" s="11">
        <v>11.08</v>
      </c>
      <c r="K214" s="12">
        <f>H214*J214</f>
        <v>0</v>
      </c>
    </row>
    <row r="215" spans="1:11" hidden="1" x14ac:dyDescent="0.35">
      <c r="A215" s="103"/>
      <c r="B215" s="12" t="s">
        <v>10</v>
      </c>
      <c r="C215" s="10" t="s">
        <v>363</v>
      </c>
      <c r="D215" s="152"/>
      <c r="E215" s="170"/>
      <c r="F215" s="153" t="str">
        <f t="shared" si="17"/>
        <v/>
      </c>
      <c r="G215" s="256"/>
      <c r="H215" s="166">
        <f t="shared" si="19"/>
        <v>0</v>
      </c>
      <c r="I215" s="10" t="s">
        <v>27</v>
      </c>
      <c r="J215" s="11">
        <v>16.21</v>
      </c>
      <c r="K215" s="12">
        <f t="shared" ref="K215:K217" si="25">H215*J215</f>
        <v>0</v>
      </c>
    </row>
    <row r="216" spans="1:11" hidden="1" x14ac:dyDescent="0.35">
      <c r="A216" s="103"/>
      <c r="B216" s="12" t="s">
        <v>10</v>
      </c>
      <c r="C216" s="10" t="s">
        <v>364</v>
      </c>
      <c r="D216" s="152"/>
      <c r="E216" s="170"/>
      <c r="F216" s="153" t="str">
        <f t="shared" si="17"/>
        <v/>
      </c>
      <c r="G216" s="256"/>
      <c r="H216" s="166">
        <f t="shared" si="19"/>
        <v>0</v>
      </c>
      <c r="I216" s="10" t="s">
        <v>27</v>
      </c>
      <c r="J216" s="11">
        <v>19.350000000000001</v>
      </c>
      <c r="K216" s="12">
        <f t="shared" si="25"/>
        <v>0</v>
      </c>
    </row>
    <row r="217" spans="1:11" hidden="1" x14ac:dyDescent="0.35">
      <c r="A217" s="103"/>
      <c r="B217" s="12" t="s">
        <v>10</v>
      </c>
      <c r="C217" s="10" t="s">
        <v>365</v>
      </c>
      <c r="D217" s="152"/>
      <c r="E217" s="170"/>
      <c r="F217" s="153" t="str">
        <f t="shared" si="17"/>
        <v/>
      </c>
      <c r="G217" s="256"/>
      <c r="H217" s="166">
        <f t="shared" si="19"/>
        <v>0</v>
      </c>
      <c r="I217" s="10" t="s">
        <v>27</v>
      </c>
      <c r="J217" s="11">
        <v>19.809999999999999</v>
      </c>
      <c r="K217" s="12">
        <f t="shared" si="25"/>
        <v>0</v>
      </c>
    </row>
    <row r="218" spans="1:11" ht="15.5" x14ac:dyDescent="0.35">
      <c r="A218" s="108" t="s">
        <v>366</v>
      </c>
      <c r="B218" s="108"/>
      <c r="C218" s="108"/>
      <c r="D218" s="223"/>
      <c r="E218" s="250"/>
      <c r="F218" s="165" t="str">
        <f t="shared" si="17"/>
        <v/>
      </c>
      <c r="G218" s="186"/>
      <c r="H218" s="247"/>
      <c r="I218" s="108"/>
      <c r="J218" s="106" t="s">
        <v>18</v>
      </c>
      <c r="K218" s="269">
        <f>SUM(K219:K219)</f>
        <v>0</v>
      </c>
    </row>
    <row r="219" spans="1:11" x14ac:dyDescent="0.35">
      <c r="A219" s="103"/>
      <c r="B219" s="12" t="s">
        <v>28</v>
      </c>
      <c r="C219" s="10" t="s">
        <v>29</v>
      </c>
      <c r="D219" s="152"/>
      <c r="E219" s="170"/>
      <c r="F219" s="153" t="str">
        <f t="shared" si="17"/>
        <v/>
      </c>
      <c r="G219" s="256"/>
      <c r="H219" s="166">
        <f t="shared" si="19"/>
        <v>0</v>
      </c>
      <c r="I219" s="10" t="s">
        <v>54</v>
      </c>
      <c r="J219" s="11">
        <v>104</v>
      </c>
      <c r="K219" s="12">
        <f>+J219*G219</f>
        <v>0</v>
      </c>
    </row>
    <row r="220" spans="1:11" ht="15.5" x14ac:dyDescent="0.35">
      <c r="A220" s="108" t="s">
        <v>367</v>
      </c>
      <c r="B220" s="108"/>
      <c r="C220" s="108"/>
      <c r="D220" s="223"/>
      <c r="E220" s="250"/>
      <c r="F220" s="165" t="str">
        <f t="shared" ref="F220:F255" si="26">IF(E220="","",IF(D220-E220&gt;0,D220-E220,""))</f>
        <v/>
      </c>
      <c r="G220" s="186"/>
      <c r="H220" s="247"/>
      <c r="I220" s="108"/>
      <c r="J220" s="106" t="s">
        <v>18</v>
      </c>
      <c r="K220" s="269">
        <f>SUM(K224:K239)</f>
        <v>144.72</v>
      </c>
    </row>
    <row r="221" spans="1:11" x14ac:dyDescent="0.35">
      <c r="A221" s="103"/>
      <c r="B221" s="12" t="s">
        <v>9</v>
      </c>
      <c r="C221" s="10" t="s">
        <v>423</v>
      </c>
      <c r="D221" s="152"/>
      <c r="E221" s="170"/>
      <c r="F221" s="153" t="str">
        <f t="shared" si="26"/>
        <v/>
      </c>
      <c r="G221" s="256"/>
      <c r="H221" s="166">
        <f t="shared" si="19"/>
        <v>0</v>
      </c>
      <c r="I221" s="10" t="s">
        <v>20</v>
      </c>
      <c r="J221" s="11">
        <v>78</v>
      </c>
      <c r="K221" s="50">
        <f t="shared" ref="K221:K240" si="27">G221*J221</f>
        <v>0</v>
      </c>
    </row>
    <row r="222" spans="1:11" x14ac:dyDescent="0.35">
      <c r="A222" s="103"/>
      <c r="B222" s="12" t="s">
        <v>9</v>
      </c>
      <c r="C222" s="10" t="s">
        <v>424</v>
      </c>
      <c r="D222" s="152"/>
      <c r="E222" s="170"/>
      <c r="F222" s="153" t="str">
        <f t="shared" si="26"/>
        <v/>
      </c>
      <c r="G222" s="256"/>
      <c r="H222" s="166">
        <f t="shared" si="19"/>
        <v>0</v>
      </c>
      <c r="I222" s="10" t="s">
        <v>61</v>
      </c>
      <c r="J222" s="51">
        <v>107.12</v>
      </c>
      <c r="K222" s="50">
        <f t="shared" si="27"/>
        <v>0</v>
      </c>
    </row>
    <row r="223" spans="1:11" x14ac:dyDescent="0.35">
      <c r="A223" s="103"/>
      <c r="B223" s="12" t="s">
        <v>9</v>
      </c>
      <c r="C223" s="10" t="s">
        <v>369</v>
      </c>
      <c r="D223" s="152"/>
      <c r="E223" s="170"/>
      <c r="F223" s="153" t="str">
        <f t="shared" si="26"/>
        <v/>
      </c>
      <c r="G223" s="256"/>
      <c r="H223" s="166">
        <f t="shared" si="19"/>
        <v>0</v>
      </c>
      <c r="I223" s="10" t="s">
        <v>20</v>
      </c>
      <c r="J223" s="11">
        <v>0.04</v>
      </c>
      <c r="K223" s="50">
        <f t="shared" si="27"/>
        <v>0</v>
      </c>
    </row>
    <row r="224" spans="1:11" x14ac:dyDescent="0.35">
      <c r="A224" s="103"/>
      <c r="B224" s="12" t="s">
        <v>9</v>
      </c>
      <c r="C224" s="10" t="s">
        <v>370</v>
      </c>
      <c r="D224" s="152">
        <v>1</v>
      </c>
      <c r="E224" s="170"/>
      <c r="F224" s="153" t="str">
        <f t="shared" si="26"/>
        <v/>
      </c>
      <c r="G224" s="256"/>
      <c r="H224" s="166">
        <f t="shared" si="19"/>
        <v>0</v>
      </c>
      <c r="I224" s="10" t="s">
        <v>20</v>
      </c>
      <c r="J224" s="11">
        <v>7.0999999999999994E-2</v>
      </c>
      <c r="K224" s="233">
        <f>H224*J224</f>
        <v>0</v>
      </c>
    </row>
    <row r="225" spans="1:11" x14ac:dyDescent="0.35">
      <c r="A225" s="103"/>
      <c r="B225" s="12" t="s">
        <v>9</v>
      </c>
      <c r="C225" s="10" t="s">
        <v>411</v>
      </c>
      <c r="D225" s="152"/>
      <c r="E225" s="170"/>
      <c r="F225" s="153" t="str">
        <f t="shared" si="26"/>
        <v/>
      </c>
      <c r="G225" s="256"/>
      <c r="H225" s="166">
        <f t="shared" si="19"/>
        <v>0</v>
      </c>
      <c r="I225" s="10" t="s">
        <v>20</v>
      </c>
      <c r="J225" s="11">
        <v>1.97</v>
      </c>
      <c r="K225" s="233">
        <f>H225*J225</f>
        <v>0</v>
      </c>
    </row>
    <row r="226" spans="1:11" x14ac:dyDescent="0.35">
      <c r="A226" s="103"/>
      <c r="B226" s="12" t="s">
        <v>9</v>
      </c>
      <c r="C226" s="10" t="s">
        <v>371</v>
      </c>
      <c r="D226" s="152"/>
      <c r="E226" s="170"/>
      <c r="F226" s="153" t="str">
        <f t="shared" si="26"/>
        <v/>
      </c>
      <c r="G226" s="256"/>
      <c r="H226" s="166">
        <f t="shared" si="19"/>
        <v>0</v>
      </c>
      <c r="I226" s="10" t="s">
        <v>61</v>
      </c>
      <c r="J226" s="11">
        <v>163.80000000000001</v>
      </c>
      <c r="K226" s="233">
        <f t="shared" ref="K226:K239" si="28">H226*J226</f>
        <v>0</v>
      </c>
    </row>
    <row r="227" spans="1:11" x14ac:dyDescent="0.35">
      <c r="A227" s="103"/>
      <c r="B227" s="12" t="s">
        <v>9</v>
      </c>
      <c r="C227" s="10" t="s">
        <v>410</v>
      </c>
      <c r="D227" s="152"/>
      <c r="E227" s="170"/>
      <c r="F227" s="153" t="str">
        <f t="shared" si="26"/>
        <v/>
      </c>
      <c r="G227" s="256"/>
      <c r="H227" s="166">
        <f t="shared" si="19"/>
        <v>0</v>
      </c>
      <c r="I227" s="10" t="s">
        <v>61</v>
      </c>
      <c r="J227" s="11">
        <v>49.33</v>
      </c>
      <c r="K227" s="233">
        <f t="shared" si="28"/>
        <v>0</v>
      </c>
    </row>
    <row r="228" spans="1:11" x14ac:dyDescent="0.35">
      <c r="A228" s="103"/>
      <c r="B228" s="12" t="s">
        <v>9</v>
      </c>
      <c r="C228" s="10" t="s">
        <v>373</v>
      </c>
      <c r="D228" s="152"/>
      <c r="E228" s="170"/>
      <c r="F228" s="153" t="str">
        <f t="shared" si="26"/>
        <v/>
      </c>
      <c r="G228" s="256"/>
      <c r="H228" s="166">
        <f t="shared" si="19"/>
        <v>0</v>
      </c>
      <c r="I228" s="10" t="s">
        <v>61</v>
      </c>
      <c r="J228" s="11">
        <v>105.6</v>
      </c>
      <c r="K228" s="233">
        <f t="shared" si="28"/>
        <v>0</v>
      </c>
    </row>
    <row r="229" spans="1:11" x14ac:dyDescent="0.35">
      <c r="A229" s="103"/>
      <c r="B229" s="12" t="s">
        <v>9</v>
      </c>
      <c r="C229" s="10" t="s">
        <v>374</v>
      </c>
      <c r="D229" s="152"/>
      <c r="E229" s="170"/>
      <c r="F229" s="153" t="str">
        <f t="shared" si="26"/>
        <v/>
      </c>
      <c r="G229" s="256"/>
      <c r="H229" s="166">
        <f t="shared" si="19"/>
        <v>0</v>
      </c>
      <c r="I229" s="10" t="s">
        <v>61</v>
      </c>
      <c r="J229" s="11">
        <v>114.75</v>
      </c>
      <c r="K229" s="233">
        <f t="shared" si="28"/>
        <v>0</v>
      </c>
    </row>
    <row r="230" spans="1:11" x14ac:dyDescent="0.35">
      <c r="A230" s="103"/>
      <c r="B230" s="12" t="s">
        <v>9</v>
      </c>
      <c r="C230" s="10" t="s">
        <v>375</v>
      </c>
      <c r="D230" s="152"/>
      <c r="E230" s="170"/>
      <c r="F230" s="153" t="str">
        <f t="shared" si="26"/>
        <v/>
      </c>
      <c r="G230" s="256"/>
      <c r="H230" s="166">
        <f t="shared" si="19"/>
        <v>0</v>
      </c>
      <c r="I230" s="10" t="s">
        <v>61</v>
      </c>
      <c r="J230" s="11">
        <v>105.55</v>
      </c>
      <c r="K230" s="233">
        <f t="shared" si="28"/>
        <v>0</v>
      </c>
    </row>
    <row r="231" spans="1:11" x14ac:dyDescent="0.35">
      <c r="A231" s="103"/>
      <c r="B231" s="12" t="s">
        <v>9</v>
      </c>
      <c r="C231" s="10" t="s">
        <v>376</v>
      </c>
      <c r="D231" s="152">
        <v>1</v>
      </c>
      <c r="E231" s="170">
        <v>1</v>
      </c>
      <c r="F231" s="153" t="str">
        <f t="shared" si="26"/>
        <v/>
      </c>
      <c r="G231" s="256"/>
      <c r="H231" s="166">
        <f t="shared" si="19"/>
        <v>1</v>
      </c>
      <c r="I231" s="10" t="s">
        <v>61</v>
      </c>
      <c r="J231" s="11">
        <v>33.25</v>
      </c>
      <c r="K231" s="233">
        <f>H231*J231</f>
        <v>33.25</v>
      </c>
    </row>
    <row r="232" spans="1:11" x14ac:dyDescent="0.35">
      <c r="A232" s="103"/>
      <c r="B232" s="12" t="s">
        <v>9</v>
      </c>
      <c r="C232" s="10" t="s">
        <v>377</v>
      </c>
      <c r="D232" s="152"/>
      <c r="E232" s="170"/>
      <c r="F232" s="153" t="str">
        <f t="shared" si="26"/>
        <v/>
      </c>
      <c r="G232" s="256"/>
      <c r="H232" s="166">
        <f t="shared" si="19"/>
        <v>0</v>
      </c>
      <c r="I232" s="10" t="s">
        <v>20</v>
      </c>
      <c r="J232" s="11">
        <v>0.28999999999999998</v>
      </c>
      <c r="K232" s="233">
        <f t="shared" si="28"/>
        <v>0</v>
      </c>
    </row>
    <row r="233" spans="1:11" x14ac:dyDescent="0.35">
      <c r="A233" s="103"/>
      <c r="B233" s="12" t="s">
        <v>9</v>
      </c>
      <c r="C233" s="10" t="s">
        <v>378</v>
      </c>
      <c r="D233" s="152"/>
      <c r="E233" s="170"/>
      <c r="F233" s="153" t="str">
        <f t="shared" si="26"/>
        <v/>
      </c>
      <c r="G233" s="256"/>
      <c r="H233" s="166">
        <f t="shared" si="19"/>
        <v>0</v>
      </c>
      <c r="I233" s="10" t="s">
        <v>61</v>
      </c>
      <c r="J233" s="35">
        <v>37.85</v>
      </c>
      <c r="K233" s="233">
        <f t="shared" si="28"/>
        <v>0</v>
      </c>
    </row>
    <row r="234" spans="1:11" x14ac:dyDescent="0.35">
      <c r="A234" s="103"/>
      <c r="B234" s="12" t="s">
        <v>9</v>
      </c>
      <c r="C234" s="10" t="s">
        <v>425</v>
      </c>
      <c r="D234" s="152">
        <v>1</v>
      </c>
      <c r="E234" s="170">
        <v>1</v>
      </c>
      <c r="F234" s="153" t="str">
        <f t="shared" si="26"/>
        <v/>
      </c>
      <c r="G234" s="256"/>
      <c r="H234" s="166">
        <f t="shared" si="19"/>
        <v>1</v>
      </c>
      <c r="I234" s="10" t="s">
        <v>61</v>
      </c>
      <c r="J234" s="35">
        <v>111.47</v>
      </c>
      <c r="K234" s="233">
        <f t="shared" si="28"/>
        <v>111.47</v>
      </c>
    </row>
    <row r="235" spans="1:11" x14ac:dyDescent="0.35">
      <c r="A235" s="103"/>
      <c r="B235" s="12" t="s">
        <v>9</v>
      </c>
      <c r="C235" s="10" t="s">
        <v>379</v>
      </c>
      <c r="D235" s="152"/>
      <c r="E235" s="170"/>
      <c r="F235" s="153" t="str">
        <f t="shared" si="26"/>
        <v/>
      </c>
      <c r="G235" s="256"/>
      <c r="H235" s="166">
        <f t="shared" si="19"/>
        <v>0</v>
      </c>
      <c r="I235" s="10" t="s">
        <v>61</v>
      </c>
      <c r="J235" s="35">
        <v>174.97</v>
      </c>
      <c r="K235" s="233">
        <f t="shared" si="28"/>
        <v>0</v>
      </c>
    </row>
    <row r="236" spans="1:11" x14ac:dyDescent="0.35">
      <c r="A236" s="103"/>
      <c r="B236" s="12" t="s">
        <v>9</v>
      </c>
      <c r="C236" s="10" t="s">
        <v>380</v>
      </c>
      <c r="D236" s="152"/>
      <c r="E236" s="170"/>
      <c r="F236" s="153" t="str">
        <f t="shared" si="26"/>
        <v/>
      </c>
      <c r="G236" s="256"/>
      <c r="H236" s="166">
        <f t="shared" si="19"/>
        <v>0</v>
      </c>
      <c r="I236" s="10" t="s">
        <v>61</v>
      </c>
      <c r="J236" s="35">
        <v>44.93</v>
      </c>
      <c r="K236" s="233">
        <f t="shared" si="28"/>
        <v>0</v>
      </c>
    </row>
    <row r="237" spans="1:11" x14ac:dyDescent="0.35">
      <c r="A237" s="103"/>
      <c r="B237" s="12" t="s">
        <v>9</v>
      </c>
      <c r="C237" s="10" t="s">
        <v>426</v>
      </c>
      <c r="D237" s="152">
        <v>1</v>
      </c>
      <c r="E237" s="170">
        <v>1</v>
      </c>
      <c r="F237" s="153" t="str">
        <f t="shared" si="26"/>
        <v/>
      </c>
      <c r="G237" s="256"/>
      <c r="H237" s="166">
        <f t="shared" si="19"/>
        <v>1</v>
      </c>
      <c r="I237" s="10" t="s">
        <v>61</v>
      </c>
      <c r="J237" s="35"/>
      <c r="K237" s="233">
        <f>H237*J237</f>
        <v>0</v>
      </c>
    </row>
    <row r="238" spans="1:11" x14ac:dyDescent="0.35">
      <c r="A238" s="103"/>
      <c r="B238" s="12" t="s">
        <v>9</v>
      </c>
      <c r="C238" s="10" t="s">
        <v>427</v>
      </c>
      <c r="D238" s="152">
        <v>1</v>
      </c>
      <c r="E238" s="170">
        <v>1</v>
      </c>
      <c r="F238" s="153" t="str">
        <f t="shared" si="26"/>
        <v/>
      </c>
      <c r="G238" s="256"/>
      <c r="H238" s="166">
        <f t="shared" si="19"/>
        <v>1</v>
      </c>
      <c r="I238" s="10" t="s">
        <v>61</v>
      </c>
      <c r="J238" s="35"/>
      <c r="K238" s="233">
        <f>H238*J238</f>
        <v>0</v>
      </c>
    </row>
    <row r="239" spans="1:11" x14ac:dyDescent="0.35">
      <c r="A239" s="103"/>
      <c r="B239" s="12" t="s">
        <v>9</v>
      </c>
      <c r="C239" s="10" t="s">
        <v>428</v>
      </c>
      <c r="D239" s="152">
        <v>1</v>
      </c>
      <c r="E239" s="170">
        <v>1</v>
      </c>
      <c r="F239" s="153" t="str">
        <f t="shared" si="26"/>
        <v/>
      </c>
      <c r="G239" s="256"/>
      <c r="H239" s="166">
        <f t="shared" si="19"/>
        <v>1</v>
      </c>
      <c r="I239" s="10" t="s">
        <v>61</v>
      </c>
      <c r="J239" s="35"/>
      <c r="K239" s="233">
        <f t="shared" si="28"/>
        <v>0</v>
      </c>
    </row>
    <row r="240" spans="1:11" x14ac:dyDescent="0.35">
      <c r="A240" s="103"/>
      <c r="B240" s="12" t="s">
        <v>9</v>
      </c>
      <c r="C240" s="10" t="s">
        <v>381</v>
      </c>
      <c r="D240" s="152"/>
      <c r="E240" s="170"/>
      <c r="F240" s="153" t="str">
        <f t="shared" si="26"/>
        <v/>
      </c>
      <c r="G240" s="256"/>
      <c r="H240" s="166">
        <f t="shared" si="19"/>
        <v>0</v>
      </c>
      <c r="I240" s="10" t="s">
        <v>61</v>
      </c>
      <c r="J240" s="35">
        <v>0.02</v>
      </c>
      <c r="K240" s="50">
        <f t="shared" si="27"/>
        <v>0</v>
      </c>
    </row>
    <row r="241" spans="1:18" ht="15.5" x14ac:dyDescent="0.35">
      <c r="A241" s="108" t="s">
        <v>382</v>
      </c>
      <c r="B241" s="108"/>
      <c r="C241" s="108"/>
      <c r="D241" s="223"/>
      <c r="E241" s="250"/>
      <c r="F241" s="165" t="str">
        <f t="shared" si="26"/>
        <v/>
      </c>
      <c r="G241" s="186"/>
      <c r="H241" s="247"/>
      <c r="I241" s="108">
        <v>29.2</v>
      </c>
      <c r="J241" s="106" t="s">
        <v>18</v>
      </c>
      <c r="K241" s="269">
        <f>SUM(K242:K252)</f>
        <v>51.82</v>
      </c>
    </row>
    <row r="242" spans="1:18" hidden="1" x14ac:dyDescent="0.35">
      <c r="A242" s="103"/>
      <c r="B242" s="12" t="s">
        <v>31</v>
      </c>
      <c r="C242" s="10" t="s">
        <v>383</v>
      </c>
      <c r="D242" s="152"/>
      <c r="E242" s="170"/>
      <c r="F242" s="153" t="str">
        <f t="shared" si="26"/>
        <v/>
      </c>
      <c r="G242" s="256"/>
      <c r="H242" s="166">
        <f t="shared" ref="H242:H255" si="29">IF(ISNUMBER(E242),E242,0)+IF(ISNUMBER(F242),F242,0)-IF(ISNUMBER(G242),G242,0)</f>
        <v>0</v>
      </c>
      <c r="I242" s="10">
        <v>19.03</v>
      </c>
      <c r="J242" s="11">
        <v>5.5</v>
      </c>
      <c r="K242" s="12">
        <f t="shared" ref="K242" si="30">G242*J242</f>
        <v>0</v>
      </c>
    </row>
    <row r="243" spans="1:18" x14ac:dyDescent="0.35">
      <c r="A243" s="103"/>
      <c r="B243" s="12" t="s">
        <v>31</v>
      </c>
      <c r="C243" s="10" t="s">
        <v>39</v>
      </c>
      <c r="D243" s="152">
        <v>1</v>
      </c>
      <c r="E243" s="170">
        <v>1</v>
      </c>
      <c r="F243" s="153" t="str">
        <f t="shared" si="26"/>
        <v/>
      </c>
      <c r="G243" s="256"/>
      <c r="H243" s="166">
        <f t="shared" si="29"/>
        <v>1</v>
      </c>
      <c r="I243" s="10">
        <v>8.4600000000000009</v>
      </c>
      <c r="J243" s="11">
        <v>4.55</v>
      </c>
      <c r="K243" s="12">
        <f>H243*J243</f>
        <v>4.55</v>
      </c>
      <c r="R243" s="87"/>
    </row>
    <row r="244" spans="1:18" x14ac:dyDescent="0.35">
      <c r="A244" s="103"/>
      <c r="B244" s="12" t="s">
        <v>31</v>
      </c>
      <c r="C244" s="10" t="s">
        <v>422</v>
      </c>
      <c r="D244" s="152">
        <v>1</v>
      </c>
      <c r="E244" s="170">
        <v>1</v>
      </c>
      <c r="F244" s="153" t="str">
        <f t="shared" si="26"/>
        <v/>
      </c>
      <c r="G244" s="256"/>
      <c r="H244" s="166">
        <f t="shared" si="29"/>
        <v>1</v>
      </c>
      <c r="I244" s="10" t="s">
        <v>20</v>
      </c>
      <c r="J244" s="11">
        <v>3.7</v>
      </c>
      <c r="K244" s="12">
        <f t="shared" ref="K244:K255" si="31">H244*J244</f>
        <v>3.7</v>
      </c>
    </row>
    <row r="245" spans="1:18" x14ac:dyDescent="0.35">
      <c r="A245" s="103"/>
      <c r="B245" s="12" t="s">
        <v>31</v>
      </c>
      <c r="C245" s="10" t="s">
        <v>67</v>
      </c>
      <c r="D245" s="152">
        <v>1</v>
      </c>
      <c r="E245" s="170">
        <v>1</v>
      </c>
      <c r="F245" s="153" t="str">
        <f t="shared" si="26"/>
        <v/>
      </c>
      <c r="G245" s="256"/>
      <c r="H245" s="166">
        <f t="shared" si="29"/>
        <v>1</v>
      </c>
      <c r="I245" s="10" t="s">
        <v>20</v>
      </c>
      <c r="J245" s="11">
        <v>15.56</v>
      </c>
      <c r="K245" s="12">
        <f t="shared" si="31"/>
        <v>15.56</v>
      </c>
    </row>
    <row r="246" spans="1:18" hidden="1" x14ac:dyDescent="0.35">
      <c r="A246" s="103"/>
      <c r="B246" s="12" t="s">
        <v>31</v>
      </c>
      <c r="C246" s="10" t="s">
        <v>384</v>
      </c>
      <c r="D246" s="152"/>
      <c r="E246" s="170"/>
      <c r="F246" s="153" t="str">
        <f t="shared" si="26"/>
        <v/>
      </c>
      <c r="G246" s="256"/>
      <c r="H246" s="166">
        <f t="shared" si="29"/>
        <v>0</v>
      </c>
      <c r="I246" s="10" t="s">
        <v>20</v>
      </c>
      <c r="J246" s="11">
        <v>0.8</v>
      </c>
      <c r="K246" s="12">
        <f t="shared" si="31"/>
        <v>0</v>
      </c>
    </row>
    <row r="247" spans="1:18" hidden="1" x14ac:dyDescent="0.35">
      <c r="A247" s="103"/>
      <c r="B247" s="12" t="s">
        <v>31</v>
      </c>
      <c r="C247" s="10" t="s">
        <v>385</v>
      </c>
      <c r="D247" s="152"/>
      <c r="E247" s="170"/>
      <c r="F247" s="153" t="str">
        <f t="shared" si="26"/>
        <v/>
      </c>
      <c r="G247" s="256"/>
      <c r="H247" s="166">
        <f t="shared" si="29"/>
        <v>0</v>
      </c>
      <c r="I247" s="10" t="s">
        <v>20</v>
      </c>
      <c r="J247" s="11">
        <v>1.83</v>
      </c>
      <c r="K247" s="12">
        <f t="shared" si="31"/>
        <v>0</v>
      </c>
    </row>
    <row r="248" spans="1:18" x14ac:dyDescent="0.35">
      <c r="A248" s="103"/>
      <c r="B248" s="12" t="s">
        <v>31</v>
      </c>
      <c r="C248" s="10" t="s">
        <v>386</v>
      </c>
      <c r="D248" s="152">
        <v>1</v>
      </c>
      <c r="E248" s="170">
        <v>1</v>
      </c>
      <c r="F248" s="153" t="str">
        <f t="shared" si="26"/>
        <v/>
      </c>
      <c r="G248" s="256"/>
      <c r="H248" s="166">
        <f t="shared" si="29"/>
        <v>1</v>
      </c>
      <c r="I248" s="10" t="s">
        <v>20</v>
      </c>
      <c r="J248" s="11">
        <v>2.65</v>
      </c>
      <c r="K248" s="12">
        <f t="shared" si="31"/>
        <v>2.65</v>
      </c>
    </row>
    <row r="249" spans="1:18" x14ac:dyDescent="0.35">
      <c r="A249" s="103"/>
      <c r="B249" s="12" t="s">
        <v>31</v>
      </c>
      <c r="C249" s="10" t="s">
        <v>65</v>
      </c>
      <c r="D249" s="152">
        <v>1</v>
      </c>
      <c r="E249" s="170">
        <v>1</v>
      </c>
      <c r="F249" s="153" t="str">
        <f t="shared" si="26"/>
        <v/>
      </c>
      <c r="G249" s="256"/>
      <c r="H249" s="166">
        <f t="shared" si="29"/>
        <v>1</v>
      </c>
      <c r="I249" s="10" t="s">
        <v>20</v>
      </c>
      <c r="J249" s="11">
        <v>13.43</v>
      </c>
      <c r="K249" s="12">
        <f t="shared" si="31"/>
        <v>13.43</v>
      </c>
    </row>
    <row r="250" spans="1:18" hidden="1" x14ac:dyDescent="0.35">
      <c r="A250" s="103"/>
      <c r="B250" s="12" t="s">
        <v>31</v>
      </c>
      <c r="C250" s="10" t="s">
        <v>66</v>
      </c>
      <c r="D250" s="152"/>
      <c r="E250" s="170"/>
      <c r="F250" s="153" t="str">
        <f t="shared" si="26"/>
        <v/>
      </c>
      <c r="G250" s="256"/>
      <c r="H250" s="166">
        <f t="shared" si="29"/>
        <v>0</v>
      </c>
      <c r="I250" s="10" t="s">
        <v>20</v>
      </c>
      <c r="J250" s="11">
        <v>75.38</v>
      </c>
      <c r="K250" s="12">
        <f t="shared" si="31"/>
        <v>0</v>
      </c>
    </row>
    <row r="251" spans="1:18" x14ac:dyDescent="0.35">
      <c r="A251" s="103"/>
      <c r="B251" s="12" t="s">
        <v>31</v>
      </c>
      <c r="C251" s="10" t="s">
        <v>412</v>
      </c>
      <c r="D251" s="152">
        <v>1</v>
      </c>
      <c r="E251" s="170">
        <v>1</v>
      </c>
      <c r="F251" s="153" t="str">
        <f t="shared" si="26"/>
        <v/>
      </c>
      <c r="G251" s="256"/>
      <c r="H251" s="166">
        <f t="shared" si="29"/>
        <v>1</v>
      </c>
      <c r="I251" s="10" t="s">
        <v>20</v>
      </c>
      <c r="J251" s="11">
        <v>8.43</v>
      </c>
      <c r="K251" s="12">
        <f t="shared" si="31"/>
        <v>8.43</v>
      </c>
    </row>
    <row r="252" spans="1:18" x14ac:dyDescent="0.35">
      <c r="A252" s="103"/>
      <c r="B252" s="12" t="s">
        <v>31</v>
      </c>
      <c r="C252" s="10" t="s">
        <v>69</v>
      </c>
      <c r="D252" s="152">
        <v>1</v>
      </c>
      <c r="E252" s="170">
        <v>1</v>
      </c>
      <c r="F252" s="153" t="str">
        <f t="shared" si="26"/>
        <v/>
      </c>
      <c r="G252" s="256"/>
      <c r="H252" s="166">
        <f t="shared" si="29"/>
        <v>1</v>
      </c>
      <c r="I252" s="10" t="s">
        <v>63</v>
      </c>
      <c r="J252" s="11">
        <v>3.5</v>
      </c>
      <c r="K252" s="12">
        <f t="shared" si="31"/>
        <v>3.5</v>
      </c>
    </row>
    <row r="253" spans="1:18" ht="15.5" x14ac:dyDescent="0.35">
      <c r="A253" s="108" t="s">
        <v>57</v>
      </c>
      <c r="B253" s="108"/>
      <c r="C253" s="108"/>
      <c r="D253" s="111"/>
      <c r="E253" s="250"/>
      <c r="F253" s="165" t="str">
        <f t="shared" si="26"/>
        <v/>
      </c>
      <c r="G253" s="186"/>
      <c r="H253" s="247"/>
      <c r="I253" s="108"/>
      <c r="J253" s="106" t="s">
        <v>18</v>
      </c>
      <c r="K253" s="270">
        <f>K254+K255</f>
        <v>108.1</v>
      </c>
    </row>
    <row r="254" spans="1:18" x14ac:dyDescent="0.35">
      <c r="A254" s="103"/>
      <c r="B254" s="12" t="s">
        <v>56</v>
      </c>
      <c r="C254" s="10" t="s">
        <v>58</v>
      </c>
      <c r="D254" s="152">
        <v>2</v>
      </c>
      <c r="E254" s="170">
        <v>0</v>
      </c>
      <c r="F254" s="153">
        <f t="shared" si="26"/>
        <v>2</v>
      </c>
      <c r="G254" s="256"/>
      <c r="H254" s="166">
        <f t="shared" si="29"/>
        <v>2</v>
      </c>
      <c r="I254" s="10" t="s">
        <v>20</v>
      </c>
      <c r="J254" s="11">
        <v>54.05</v>
      </c>
      <c r="K254" s="12">
        <f t="shared" si="31"/>
        <v>108.1</v>
      </c>
    </row>
    <row r="255" spans="1:18" x14ac:dyDescent="0.35">
      <c r="A255" s="103"/>
      <c r="B255" s="12" t="s">
        <v>56</v>
      </c>
      <c r="C255" s="10" t="s">
        <v>388</v>
      </c>
      <c r="D255" s="135"/>
      <c r="E255" s="170"/>
      <c r="F255" s="153" t="str">
        <f t="shared" si="26"/>
        <v/>
      </c>
      <c r="G255" s="256"/>
      <c r="H255" s="166">
        <f t="shared" si="29"/>
        <v>0</v>
      </c>
      <c r="I255" s="10" t="s">
        <v>20</v>
      </c>
      <c r="J255" s="11">
        <v>0</v>
      </c>
      <c r="K255" s="12">
        <f t="shared" si="31"/>
        <v>0</v>
      </c>
    </row>
  </sheetData>
  <mergeCells count="2">
    <mergeCell ref="B1:C1"/>
    <mergeCell ref="B2:C2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26C18-F269-4FBD-BBC6-8476D505676B}">
  <sheetPr codeName="Feuil39">
    <tabColor rgb="FFFF5050"/>
  </sheetPr>
  <dimension ref="A1:R256"/>
  <sheetViews>
    <sheetView topLeftCell="A8" zoomScale="112" zoomScaleNormal="112" workbookViewId="0">
      <pane ySplit="15" topLeftCell="A23" activePane="bottomLeft" state="frozen"/>
      <selection activeCell="M244" sqref="M244"/>
      <selection pane="bottomLeft" activeCell="M244" sqref="M244"/>
    </sheetView>
  </sheetViews>
  <sheetFormatPr baseColWidth="10" defaultColWidth="10.7265625" defaultRowHeight="14.5" x14ac:dyDescent="0.35"/>
  <cols>
    <col min="1" max="1" width="2.81640625" customWidth="1"/>
    <col min="2" max="2" width="33" bestFit="1" customWidth="1"/>
    <col min="3" max="3" width="44.54296875" bestFit="1" customWidth="1"/>
    <col min="4" max="4" width="14.26953125" style="13" bestFit="1" customWidth="1"/>
    <col min="5" max="5" width="17.1796875" style="34" bestFit="1" customWidth="1"/>
    <col min="6" max="6" width="17" bestFit="1" customWidth="1"/>
    <col min="7" max="7" width="15.26953125" style="253" bestFit="1" customWidth="1"/>
    <col min="8" max="8" width="10.26953125" style="16" customWidth="1"/>
    <col min="9" max="9" width="6.81640625" bestFit="1" customWidth="1"/>
    <col min="10" max="10" width="10.26953125" customWidth="1"/>
    <col min="11" max="11" width="19.54296875" bestFit="1" customWidth="1"/>
  </cols>
  <sheetData>
    <row r="1" spans="2:6" ht="15" thickBot="1" x14ac:dyDescent="0.4">
      <c r="B1" s="321" t="s">
        <v>198</v>
      </c>
      <c r="C1" s="322"/>
      <c r="E1" s="154"/>
      <c r="F1" s="89"/>
    </row>
    <row r="2" spans="2:6" ht="15" thickBot="1" x14ac:dyDescent="0.4">
      <c r="B2" s="319"/>
      <c r="C2" s="320"/>
      <c r="E2" s="155"/>
      <c r="F2" s="90"/>
    </row>
    <row r="3" spans="2:6" x14ac:dyDescent="0.35">
      <c r="B3" s="75"/>
      <c r="C3" s="75"/>
      <c r="E3" s="156"/>
      <c r="F3" s="75"/>
    </row>
    <row r="4" spans="2:6" ht="15.5" x14ac:dyDescent="0.35">
      <c r="B4" s="70" t="s">
        <v>0</v>
      </c>
      <c r="C4" s="70" t="s">
        <v>1</v>
      </c>
      <c r="E4" s="157"/>
      <c r="F4" s="91"/>
    </row>
    <row r="5" spans="2:6" x14ac:dyDescent="0.35">
      <c r="B5" s="71" t="s">
        <v>2</v>
      </c>
      <c r="C5" s="72">
        <f>K23</f>
        <v>318.65000000000003</v>
      </c>
      <c r="E5" s="156"/>
      <c r="F5" s="75"/>
    </row>
    <row r="6" spans="2:6" x14ac:dyDescent="0.35">
      <c r="B6" s="71" t="s">
        <v>7</v>
      </c>
      <c r="C6" s="72">
        <f>K41</f>
        <v>200</v>
      </c>
      <c r="E6" s="156"/>
      <c r="F6" s="75"/>
    </row>
    <row r="7" spans="2:6" x14ac:dyDescent="0.35">
      <c r="B7" s="71" t="s">
        <v>13</v>
      </c>
      <c r="C7" s="72">
        <f>K50</f>
        <v>177.25000000000003</v>
      </c>
      <c r="E7" s="156"/>
      <c r="F7" s="75"/>
    </row>
    <row r="8" spans="2:6" x14ac:dyDescent="0.35">
      <c r="B8" s="71" t="s">
        <v>3</v>
      </c>
      <c r="C8" s="72">
        <f>K78</f>
        <v>171.5</v>
      </c>
      <c r="E8" s="156"/>
      <c r="F8" s="75"/>
    </row>
    <row r="9" spans="2:6" x14ac:dyDescent="0.35">
      <c r="B9" s="71" t="s">
        <v>4</v>
      </c>
      <c r="C9" s="72">
        <f>K122</f>
        <v>360.51</v>
      </c>
      <c r="E9" s="156"/>
      <c r="F9" s="75"/>
    </row>
    <row r="10" spans="2:6" x14ac:dyDescent="0.35">
      <c r="B10" s="71" t="s">
        <v>199</v>
      </c>
      <c r="C10" s="72">
        <f>K176</f>
        <v>0</v>
      </c>
      <c r="E10" s="156"/>
      <c r="F10" s="75"/>
    </row>
    <row r="11" spans="2:6" x14ac:dyDescent="0.35">
      <c r="B11" s="71" t="s">
        <v>200</v>
      </c>
      <c r="C11" s="72">
        <f>K187</f>
        <v>131.28</v>
      </c>
      <c r="E11" s="156"/>
      <c r="F11" s="75"/>
    </row>
    <row r="12" spans="2:6" x14ac:dyDescent="0.35">
      <c r="B12" s="71" t="s">
        <v>201</v>
      </c>
      <c r="C12" s="72">
        <f>K193</f>
        <v>0</v>
      </c>
      <c r="E12" s="156"/>
      <c r="F12" s="75"/>
    </row>
    <row r="13" spans="2:6" x14ac:dyDescent="0.35">
      <c r="B13" s="71" t="s">
        <v>202</v>
      </c>
      <c r="C13" s="72">
        <f>K195</f>
        <v>0</v>
      </c>
      <c r="E13" s="156"/>
      <c r="F13" s="75"/>
    </row>
    <row r="14" spans="2:6" x14ac:dyDescent="0.35">
      <c r="B14" s="71" t="s">
        <v>203</v>
      </c>
      <c r="C14" s="72">
        <f>K208</f>
        <v>0</v>
      </c>
      <c r="E14" s="285"/>
      <c r="F14" s="75"/>
    </row>
    <row r="15" spans="2:6" x14ac:dyDescent="0.35">
      <c r="B15" s="71" t="s">
        <v>416</v>
      </c>
      <c r="C15" s="72">
        <f>K213</f>
        <v>0</v>
      </c>
      <c r="E15" s="156"/>
      <c r="F15" s="75"/>
    </row>
    <row r="16" spans="2:6" x14ac:dyDescent="0.35">
      <c r="B16" s="71" t="s">
        <v>204</v>
      </c>
      <c r="C16" s="72">
        <f>K218</f>
        <v>0</v>
      </c>
      <c r="E16" s="156"/>
      <c r="F16" s="75"/>
    </row>
    <row r="17" spans="1:17" x14ac:dyDescent="0.35">
      <c r="B17" s="71" t="s">
        <v>9</v>
      </c>
      <c r="C17" s="72">
        <f>K220</f>
        <v>0</v>
      </c>
      <c r="E17" s="156"/>
      <c r="F17" s="75"/>
    </row>
    <row r="18" spans="1:17" x14ac:dyDescent="0.35">
      <c r="B18" s="71" t="s">
        <v>205</v>
      </c>
      <c r="C18" s="72">
        <f>K241</f>
        <v>0</v>
      </c>
      <c r="E18" s="156"/>
      <c r="F18" s="75"/>
    </row>
    <row r="19" spans="1:17" x14ac:dyDescent="0.35">
      <c r="B19" s="71" t="s">
        <v>56</v>
      </c>
      <c r="C19" s="72">
        <f>K253</f>
        <v>0</v>
      </c>
      <c r="E19" s="156"/>
      <c r="F19" s="75"/>
    </row>
    <row r="20" spans="1:17" x14ac:dyDescent="0.35">
      <c r="B20" s="73" t="s">
        <v>14</v>
      </c>
      <c r="C20" s="74">
        <f>C5+C6+C7+C8+C9+C10+C11+C12+C13+C14+C15+C16+C17+C18+C19</f>
        <v>1359.19</v>
      </c>
      <c r="E20" s="248"/>
      <c r="F20" s="243"/>
    </row>
    <row r="21" spans="1:17" ht="18.5" x14ac:dyDescent="0.45">
      <c r="A21" s="76" t="s">
        <v>397</v>
      </c>
      <c r="B21" s="76"/>
      <c r="C21" s="76"/>
      <c r="D21" s="234"/>
      <c r="E21" s="160"/>
      <c r="F21" s="76"/>
      <c r="G21" s="254"/>
      <c r="H21" s="69"/>
      <c r="I21" s="76"/>
      <c r="J21" s="76"/>
      <c r="K21" s="76"/>
    </row>
    <row r="22" spans="1:17" x14ac:dyDescent="0.35">
      <c r="A22" s="129"/>
      <c r="B22" s="129" t="s">
        <v>15</v>
      </c>
      <c r="C22" s="129" t="s">
        <v>16</v>
      </c>
      <c r="D22" s="235" t="s">
        <v>398</v>
      </c>
      <c r="E22" s="185" t="s">
        <v>404</v>
      </c>
      <c r="F22" s="130" t="s">
        <v>399</v>
      </c>
      <c r="G22" s="255" t="s">
        <v>405</v>
      </c>
      <c r="H22" s="131" t="s">
        <v>408</v>
      </c>
      <c r="I22" s="129" t="s">
        <v>406</v>
      </c>
      <c r="J22" s="133" t="s">
        <v>45</v>
      </c>
      <c r="K22" s="129" t="s">
        <v>1</v>
      </c>
    </row>
    <row r="23" spans="1:17" ht="15.5" x14ac:dyDescent="0.35">
      <c r="A23" s="108" t="s">
        <v>208</v>
      </c>
      <c r="B23" s="108"/>
      <c r="C23" s="108"/>
      <c r="D23" s="111"/>
      <c r="E23" s="286" t="s">
        <v>421</v>
      </c>
      <c r="F23" s="108"/>
      <c r="G23" s="286" t="s">
        <v>421</v>
      </c>
      <c r="H23" s="109"/>
      <c r="I23" s="108"/>
      <c r="J23" s="110" t="s">
        <v>18</v>
      </c>
      <c r="K23" s="269">
        <f>SUM(K24:K40)</f>
        <v>318.65000000000003</v>
      </c>
    </row>
    <row r="24" spans="1:17" x14ac:dyDescent="0.35">
      <c r="A24" s="103"/>
      <c r="B24" s="7" t="s">
        <v>2</v>
      </c>
      <c r="C24" s="14" t="s">
        <v>19</v>
      </c>
      <c r="D24" s="152"/>
      <c r="E24" s="170">
        <v>3</v>
      </c>
      <c r="F24" s="153" t="str">
        <f t="shared" ref="F24:F88" si="0">IF(E24="","",IF(D24-E24&gt;0,D24-E24,""))</f>
        <v/>
      </c>
      <c r="G24" s="256"/>
      <c r="H24" s="166">
        <f t="shared" ref="H24:H45" si="1">IF(ISNUMBER(E24),E24,0)+IF(ISNUMBER(F24),F24,0)-IF(ISNUMBER(G24),G24,0)</f>
        <v>3</v>
      </c>
      <c r="I24" s="10" t="s">
        <v>20</v>
      </c>
      <c r="J24" s="11">
        <v>55.95</v>
      </c>
      <c r="K24" s="12">
        <f>H24*J24</f>
        <v>167.85000000000002</v>
      </c>
    </row>
    <row r="25" spans="1:17" hidden="1" x14ac:dyDescent="0.35">
      <c r="A25" s="103">
        <v>4</v>
      </c>
      <c r="B25" s="7" t="s">
        <v>2</v>
      </c>
      <c r="C25" s="14" t="s">
        <v>209</v>
      </c>
      <c r="D25" s="152"/>
      <c r="E25" s="170"/>
      <c r="F25" s="153" t="str">
        <f t="shared" si="0"/>
        <v/>
      </c>
      <c r="G25" s="256"/>
      <c r="H25" s="166">
        <f t="shared" si="1"/>
        <v>0</v>
      </c>
      <c r="I25" s="10" t="s">
        <v>20</v>
      </c>
      <c r="J25" s="11">
        <v>173.1</v>
      </c>
      <c r="K25" s="12">
        <f>H25*J25</f>
        <v>0</v>
      </c>
    </row>
    <row r="26" spans="1:17" x14ac:dyDescent="0.35">
      <c r="A26" s="103"/>
      <c r="B26" s="12" t="s">
        <v>2</v>
      </c>
      <c r="C26" s="10" t="s">
        <v>21</v>
      </c>
      <c r="D26" s="152">
        <v>4</v>
      </c>
      <c r="E26" s="170">
        <v>2</v>
      </c>
      <c r="F26" s="153">
        <f t="shared" si="0"/>
        <v>2</v>
      </c>
      <c r="G26" s="256">
        <v>2</v>
      </c>
      <c r="H26" s="166">
        <f t="shared" si="1"/>
        <v>2</v>
      </c>
      <c r="I26" s="10" t="s">
        <v>20</v>
      </c>
      <c r="J26" s="11">
        <v>75.400000000000006</v>
      </c>
      <c r="K26" s="12">
        <f>H26*J26</f>
        <v>150.80000000000001</v>
      </c>
    </row>
    <row r="27" spans="1:17" hidden="1" x14ac:dyDescent="0.35">
      <c r="A27" s="103"/>
      <c r="B27" s="12" t="s">
        <v>2</v>
      </c>
      <c r="C27" s="10" t="s">
        <v>210</v>
      </c>
      <c r="D27" s="152"/>
      <c r="E27" s="170"/>
      <c r="F27" s="153" t="str">
        <f t="shared" si="0"/>
        <v/>
      </c>
      <c r="G27" s="257"/>
      <c r="H27" s="166">
        <f t="shared" si="1"/>
        <v>0</v>
      </c>
      <c r="I27" s="10" t="s">
        <v>20</v>
      </c>
      <c r="J27" s="11">
        <v>84.9</v>
      </c>
      <c r="K27" s="12">
        <f t="shared" ref="K27" si="2">G27*J27</f>
        <v>0</v>
      </c>
    </row>
    <row r="28" spans="1:17" hidden="1" x14ac:dyDescent="0.35">
      <c r="A28" s="103"/>
      <c r="B28" s="12" t="s">
        <v>2</v>
      </c>
      <c r="C28" s="10" t="s">
        <v>211</v>
      </c>
      <c r="D28" s="152"/>
      <c r="E28" s="170"/>
      <c r="F28" s="153" t="str">
        <f t="shared" si="0"/>
        <v/>
      </c>
      <c r="G28" s="256"/>
      <c r="H28" s="166">
        <f t="shared" si="1"/>
        <v>0</v>
      </c>
      <c r="I28" s="10" t="s">
        <v>20</v>
      </c>
      <c r="J28" s="11">
        <v>2.96</v>
      </c>
      <c r="K28" s="12">
        <f>H28*J28</f>
        <v>0</v>
      </c>
    </row>
    <row r="29" spans="1:17" hidden="1" x14ac:dyDescent="0.35">
      <c r="A29" s="103"/>
      <c r="B29" s="12" t="s">
        <v>2</v>
      </c>
      <c r="C29" s="10" t="s">
        <v>212</v>
      </c>
      <c r="D29" s="152"/>
      <c r="E29" s="170"/>
      <c r="F29" s="153" t="str">
        <f t="shared" si="0"/>
        <v/>
      </c>
      <c r="G29" s="256"/>
      <c r="H29" s="166">
        <f t="shared" si="1"/>
        <v>0</v>
      </c>
      <c r="I29" s="10" t="s">
        <v>20</v>
      </c>
      <c r="J29" s="11">
        <v>2.96</v>
      </c>
      <c r="K29" s="12">
        <f t="shared" ref="K29:K40" si="3">H29*J29</f>
        <v>0</v>
      </c>
    </row>
    <row r="30" spans="1:17" hidden="1" x14ac:dyDescent="0.35">
      <c r="A30" s="103"/>
      <c r="B30" s="12" t="s">
        <v>2</v>
      </c>
      <c r="C30" s="10" t="s">
        <v>213</v>
      </c>
      <c r="D30" s="152"/>
      <c r="E30" s="170"/>
      <c r="F30" s="153" t="str">
        <f t="shared" si="0"/>
        <v/>
      </c>
      <c r="G30" s="256"/>
      <c r="H30" s="166">
        <f t="shared" si="1"/>
        <v>0</v>
      </c>
      <c r="I30" s="10" t="s">
        <v>20</v>
      </c>
      <c r="J30" s="11">
        <v>2.96</v>
      </c>
      <c r="K30" s="12">
        <f t="shared" si="3"/>
        <v>0</v>
      </c>
      <c r="Q30" s="268"/>
    </row>
    <row r="31" spans="1:17" hidden="1" x14ac:dyDescent="0.35">
      <c r="A31" s="103"/>
      <c r="B31" s="7" t="s">
        <v>2</v>
      </c>
      <c r="C31" s="14" t="s">
        <v>22</v>
      </c>
      <c r="D31" s="152"/>
      <c r="E31" s="170"/>
      <c r="F31" s="153" t="str">
        <f t="shared" si="0"/>
        <v/>
      </c>
      <c r="G31" s="256"/>
      <c r="H31" s="166">
        <f t="shared" si="1"/>
        <v>0</v>
      </c>
      <c r="I31" s="10" t="s">
        <v>20</v>
      </c>
      <c r="J31" s="11">
        <v>107.2</v>
      </c>
      <c r="K31" s="12">
        <f t="shared" si="3"/>
        <v>0</v>
      </c>
    </row>
    <row r="32" spans="1:17" hidden="1" x14ac:dyDescent="0.35">
      <c r="A32" s="103"/>
      <c r="B32" s="7" t="s">
        <v>2</v>
      </c>
      <c r="C32" s="14" t="s">
        <v>214</v>
      </c>
      <c r="D32" s="152"/>
      <c r="E32" s="170"/>
      <c r="F32" s="153" t="str">
        <f t="shared" si="0"/>
        <v/>
      </c>
      <c r="G32" s="256"/>
      <c r="H32" s="166">
        <f t="shared" si="1"/>
        <v>0</v>
      </c>
      <c r="I32" s="10" t="s">
        <v>20</v>
      </c>
      <c r="J32" s="11">
        <v>170.7</v>
      </c>
      <c r="K32" s="12">
        <f t="shared" si="3"/>
        <v>0</v>
      </c>
      <c r="M32" s="87"/>
    </row>
    <row r="33" spans="1:14" hidden="1" x14ac:dyDescent="0.35">
      <c r="A33" s="103"/>
      <c r="B33" s="12" t="s">
        <v>2</v>
      </c>
      <c r="C33" s="10" t="s">
        <v>215</v>
      </c>
      <c r="D33" s="152"/>
      <c r="E33" s="170"/>
      <c r="F33" s="153" t="str">
        <f t="shared" si="0"/>
        <v/>
      </c>
      <c r="G33" s="256"/>
      <c r="H33" s="166">
        <f t="shared" si="1"/>
        <v>0</v>
      </c>
      <c r="I33" s="10" t="s">
        <v>216</v>
      </c>
      <c r="J33" s="11">
        <v>3.77</v>
      </c>
      <c r="K33" s="12">
        <f t="shared" si="3"/>
        <v>0</v>
      </c>
    </row>
    <row r="34" spans="1:14" hidden="1" x14ac:dyDescent="0.35">
      <c r="A34" s="103"/>
      <c r="B34" s="12" t="s">
        <v>2</v>
      </c>
      <c r="C34" s="10" t="s">
        <v>217</v>
      </c>
      <c r="D34" s="152"/>
      <c r="E34" s="170"/>
      <c r="F34" s="153" t="str">
        <f t="shared" si="0"/>
        <v/>
      </c>
      <c r="G34" s="256"/>
      <c r="H34" s="166">
        <f t="shared" si="1"/>
        <v>0</v>
      </c>
      <c r="I34" s="10" t="s">
        <v>20</v>
      </c>
      <c r="J34" s="11">
        <v>2.56</v>
      </c>
      <c r="K34" s="12">
        <f t="shared" si="3"/>
        <v>0</v>
      </c>
      <c r="N34" s="87"/>
    </row>
    <row r="35" spans="1:14" hidden="1" x14ac:dyDescent="0.35">
      <c r="A35" s="103"/>
      <c r="B35" s="12" t="s">
        <v>2</v>
      </c>
      <c r="C35" s="10" t="s">
        <v>218</v>
      </c>
      <c r="D35" s="152"/>
      <c r="E35" s="170"/>
      <c r="F35" s="153" t="str">
        <f t="shared" si="0"/>
        <v/>
      </c>
      <c r="G35" s="256"/>
      <c r="H35" s="166">
        <f t="shared" si="1"/>
        <v>0</v>
      </c>
      <c r="I35" s="10" t="s">
        <v>20</v>
      </c>
      <c r="J35" s="11">
        <v>3.08</v>
      </c>
      <c r="K35" s="12">
        <f t="shared" si="3"/>
        <v>0</v>
      </c>
    </row>
    <row r="36" spans="1:14" hidden="1" x14ac:dyDescent="0.35">
      <c r="A36" s="103"/>
      <c r="B36" s="12" t="s">
        <v>2</v>
      </c>
      <c r="C36" s="10" t="s">
        <v>219</v>
      </c>
      <c r="D36" s="152"/>
      <c r="E36" s="170"/>
      <c r="F36" s="153" t="str">
        <f t="shared" si="0"/>
        <v/>
      </c>
      <c r="G36" s="256"/>
      <c r="H36" s="166">
        <f t="shared" si="1"/>
        <v>0</v>
      </c>
      <c r="I36" s="10" t="s">
        <v>20</v>
      </c>
      <c r="J36" s="11">
        <v>2.56</v>
      </c>
      <c r="K36" s="12">
        <f t="shared" si="3"/>
        <v>0</v>
      </c>
    </row>
    <row r="37" spans="1:14" hidden="1" x14ac:dyDescent="0.35">
      <c r="A37" s="103"/>
      <c r="B37" s="12" t="s">
        <v>2</v>
      </c>
      <c r="C37" s="10" t="s">
        <v>220</v>
      </c>
      <c r="D37" s="152"/>
      <c r="E37" s="170"/>
      <c r="F37" s="153" t="str">
        <f t="shared" si="0"/>
        <v/>
      </c>
      <c r="G37" s="256"/>
      <c r="H37" s="166">
        <f t="shared" si="1"/>
        <v>0</v>
      </c>
      <c r="I37" s="10" t="s">
        <v>20</v>
      </c>
      <c r="J37" s="11">
        <v>1.41</v>
      </c>
      <c r="K37" s="12">
        <f t="shared" si="3"/>
        <v>0</v>
      </c>
    </row>
    <row r="38" spans="1:14" hidden="1" x14ac:dyDescent="0.35">
      <c r="A38" s="103"/>
      <c r="B38" s="12" t="s">
        <v>2</v>
      </c>
      <c r="C38" s="10" t="s">
        <v>221</v>
      </c>
      <c r="D38" s="152"/>
      <c r="E38" s="170"/>
      <c r="F38" s="153" t="str">
        <f t="shared" si="0"/>
        <v/>
      </c>
      <c r="G38" s="256"/>
      <c r="H38" s="166">
        <f t="shared" si="1"/>
        <v>0</v>
      </c>
      <c r="I38" s="10" t="s">
        <v>20</v>
      </c>
      <c r="J38" s="11">
        <v>1.73</v>
      </c>
      <c r="K38" s="12">
        <f t="shared" si="3"/>
        <v>0</v>
      </c>
    </row>
    <row r="39" spans="1:14" hidden="1" x14ac:dyDescent="0.35">
      <c r="A39" s="103"/>
      <c r="B39" s="12" t="s">
        <v>2</v>
      </c>
      <c r="C39" s="10" t="s">
        <v>222</v>
      </c>
      <c r="D39" s="152"/>
      <c r="E39" s="170"/>
      <c r="F39" s="153" t="str">
        <f t="shared" si="0"/>
        <v/>
      </c>
      <c r="G39" s="256"/>
      <c r="H39" s="166">
        <f t="shared" si="1"/>
        <v>0</v>
      </c>
      <c r="I39" s="10" t="s">
        <v>20</v>
      </c>
      <c r="J39" s="11">
        <v>1.46</v>
      </c>
      <c r="K39" s="12">
        <f t="shared" si="3"/>
        <v>0</v>
      </c>
    </row>
    <row r="40" spans="1:14" hidden="1" x14ac:dyDescent="0.35">
      <c r="A40" s="103"/>
      <c r="B40" s="12" t="s">
        <v>2</v>
      </c>
      <c r="C40" s="10" t="s">
        <v>223</v>
      </c>
      <c r="D40" s="222"/>
      <c r="E40" s="170"/>
      <c r="F40" s="153" t="str">
        <f t="shared" si="0"/>
        <v/>
      </c>
      <c r="G40" s="256"/>
      <c r="H40" s="166">
        <f t="shared" si="1"/>
        <v>0</v>
      </c>
      <c r="I40" s="10" t="s">
        <v>20</v>
      </c>
      <c r="J40" s="77">
        <v>3.45</v>
      </c>
      <c r="K40" s="12">
        <f t="shared" si="3"/>
        <v>0</v>
      </c>
    </row>
    <row r="41" spans="1:14" ht="15.5" x14ac:dyDescent="0.35">
      <c r="A41" s="108" t="s">
        <v>119</v>
      </c>
      <c r="B41" s="108"/>
      <c r="C41" s="108"/>
      <c r="D41" s="223"/>
      <c r="E41" s="287"/>
      <c r="F41" s="165"/>
      <c r="G41" s="286"/>
      <c r="H41" s="247"/>
      <c r="I41" s="108"/>
      <c r="J41" s="106" t="s">
        <v>18</v>
      </c>
      <c r="K41" s="269">
        <f>SUM(K42:K49)</f>
        <v>200</v>
      </c>
    </row>
    <row r="42" spans="1:14" x14ac:dyDescent="0.35">
      <c r="A42" s="103"/>
      <c r="B42" s="12" t="s">
        <v>7</v>
      </c>
      <c r="C42" s="10" t="s">
        <v>224</v>
      </c>
      <c r="D42" s="152"/>
      <c r="E42" s="170"/>
      <c r="F42" s="153" t="str">
        <f t="shared" si="0"/>
        <v/>
      </c>
      <c r="G42" s="256"/>
      <c r="H42" s="166">
        <f t="shared" si="1"/>
        <v>0</v>
      </c>
      <c r="I42" s="10" t="s">
        <v>20</v>
      </c>
      <c r="J42" s="11">
        <v>100</v>
      </c>
      <c r="K42" s="12">
        <f t="shared" ref="K42:K49" si="4">G42*J42</f>
        <v>0</v>
      </c>
    </row>
    <row r="43" spans="1:14" hidden="1" x14ac:dyDescent="0.35">
      <c r="A43" s="103"/>
      <c r="B43" s="12" t="s">
        <v>7</v>
      </c>
      <c r="C43" s="10" t="s">
        <v>225</v>
      </c>
      <c r="D43" s="152"/>
      <c r="E43" s="170">
        <f>'[7]Cocktail (2)'!E43</f>
        <v>0</v>
      </c>
      <c r="F43" s="153" t="str">
        <f t="shared" si="0"/>
        <v/>
      </c>
      <c r="G43" s="256"/>
      <c r="H43" s="166">
        <f t="shared" si="1"/>
        <v>0</v>
      </c>
      <c r="I43" s="10" t="s">
        <v>20</v>
      </c>
      <c r="J43" s="11">
        <v>12.2</v>
      </c>
      <c r="K43" s="12">
        <f t="shared" si="4"/>
        <v>0</v>
      </c>
    </row>
    <row r="44" spans="1:14" hidden="1" x14ac:dyDescent="0.35">
      <c r="A44" s="103"/>
      <c r="B44" s="12" t="s">
        <v>7</v>
      </c>
      <c r="C44" s="10" t="s">
        <v>226</v>
      </c>
      <c r="D44" s="152"/>
      <c r="E44" s="170">
        <f>'[7]Cocktail (2)'!E44</f>
        <v>0</v>
      </c>
      <c r="F44" s="153" t="str">
        <f t="shared" si="0"/>
        <v/>
      </c>
      <c r="G44" s="256"/>
      <c r="H44" s="166">
        <f t="shared" si="1"/>
        <v>0</v>
      </c>
      <c r="I44" s="10" t="s">
        <v>20</v>
      </c>
      <c r="J44" s="11">
        <v>11</v>
      </c>
      <c r="K44" s="12">
        <f t="shared" si="4"/>
        <v>0</v>
      </c>
    </row>
    <row r="45" spans="1:14" hidden="1" x14ac:dyDescent="0.35">
      <c r="A45" s="103"/>
      <c r="B45" s="12" t="s">
        <v>7</v>
      </c>
      <c r="C45" s="10" t="s">
        <v>227</v>
      </c>
      <c r="D45" s="152"/>
      <c r="E45" s="170">
        <f>'[7]Cocktail (2)'!E45</f>
        <v>0</v>
      </c>
      <c r="F45" s="153" t="str">
        <f t="shared" si="0"/>
        <v/>
      </c>
      <c r="G45" s="256"/>
      <c r="H45" s="166">
        <f t="shared" si="1"/>
        <v>0</v>
      </c>
      <c r="I45" s="10" t="s">
        <v>20</v>
      </c>
      <c r="J45" s="11">
        <v>5</v>
      </c>
      <c r="K45" s="12">
        <f t="shared" si="4"/>
        <v>0</v>
      </c>
    </row>
    <row r="46" spans="1:14" x14ac:dyDescent="0.35">
      <c r="A46" s="103"/>
      <c r="B46" s="12" t="s">
        <v>7</v>
      </c>
      <c r="C46" s="10" t="s">
        <v>46</v>
      </c>
      <c r="D46" s="152"/>
      <c r="E46" s="170"/>
      <c r="F46" s="153" t="str">
        <f t="shared" si="0"/>
        <v/>
      </c>
      <c r="G46" s="256"/>
      <c r="H46" s="166">
        <f>IF(ISNUMBER(E46),E46,0)+IF(ISNUMBER(F46),F46,0)-IF(ISNUMBER(G46),G46,0)</f>
        <v>0</v>
      </c>
      <c r="I46" s="10" t="s">
        <v>20</v>
      </c>
      <c r="J46" s="11">
        <v>5</v>
      </c>
      <c r="K46" s="12">
        <f>H46*J46</f>
        <v>0</v>
      </c>
    </row>
    <row r="47" spans="1:14" hidden="1" x14ac:dyDescent="0.35">
      <c r="A47" s="103"/>
      <c r="B47" s="12" t="s">
        <v>7</v>
      </c>
      <c r="C47" s="10" t="s">
        <v>228</v>
      </c>
      <c r="D47" s="152"/>
      <c r="E47" s="170"/>
      <c r="F47" s="153" t="str">
        <f t="shared" si="0"/>
        <v/>
      </c>
      <c r="G47" s="256"/>
      <c r="H47" s="166">
        <f t="shared" ref="H47:H110" si="5">IF(ISNUMBER(E47),E47,0)+IF(ISNUMBER(F47),F47,0)-IF(ISNUMBER(G47),G47,0)</f>
        <v>0</v>
      </c>
      <c r="I47" s="10" t="s">
        <v>20</v>
      </c>
      <c r="J47" s="11">
        <v>11</v>
      </c>
      <c r="K47" s="12">
        <f t="shared" ref="K47:K48" si="6">H47*J47</f>
        <v>0</v>
      </c>
    </row>
    <row r="48" spans="1:14" x14ac:dyDescent="0.35">
      <c r="A48" s="103"/>
      <c r="B48" s="12" t="s">
        <v>7</v>
      </c>
      <c r="C48" s="10" t="s">
        <v>229</v>
      </c>
      <c r="D48" s="152"/>
      <c r="E48" s="170">
        <v>4</v>
      </c>
      <c r="F48" s="153" t="str">
        <f t="shared" si="0"/>
        <v/>
      </c>
      <c r="G48" s="256"/>
      <c r="H48" s="166">
        <f t="shared" si="5"/>
        <v>4</v>
      </c>
      <c r="I48" s="10" t="s">
        <v>20</v>
      </c>
      <c r="J48" s="11">
        <v>50</v>
      </c>
      <c r="K48" s="12">
        <f t="shared" si="6"/>
        <v>200</v>
      </c>
    </row>
    <row r="49" spans="1:12" hidden="1" x14ac:dyDescent="0.35">
      <c r="A49" s="103"/>
      <c r="B49" s="12" t="s">
        <v>7</v>
      </c>
      <c r="C49" s="78" t="s">
        <v>206</v>
      </c>
      <c r="D49" s="224"/>
      <c r="E49" s="170"/>
      <c r="F49" s="153" t="str">
        <f t="shared" si="0"/>
        <v/>
      </c>
      <c r="G49" s="256"/>
      <c r="H49" s="166">
        <f t="shared" si="5"/>
        <v>0</v>
      </c>
      <c r="I49" s="10" t="s">
        <v>20</v>
      </c>
      <c r="J49" s="79">
        <v>5</v>
      </c>
      <c r="K49" s="12">
        <f t="shared" si="4"/>
        <v>0</v>
      </c>
    </row>
    <row r="50" spans="1:12" ht="15.5" x14ac:dyDescent="0.35">
      <c r="A50" s="103"/>
      <c r="B50" s="104" t="s">
        <v>230</v>
      </c>
      <c r="C50" s="105"/>
      <c r="D50" s="225"/>
      <c r="E50" s="250"/>
      <c r="F50" s="165" t="str">
        <f t="shared" si="0"/>
        <v/>
      </c>
      <c r="G50" s="258"/>
      <c r="H50" s="247"/>
      <c r="I50" s="105"/>
      <c r="J50" s="106" t="s">
        <v>18</v>
      </c>
      <c r="K50" s="269">
        <f>SUM(K52:K77)</f>
        <v>177.25000000000003</v>
      </c>
    </row>
    <row r="51" spans="1:12" ht="15.5" x14ac:dyDescent="0.35">
      <c r="A51" s="111"/>
      <c r="B51" s="126" t="s">
        <v>231</v>
      </c>
      <c r="C51" s="127"/>
      <c r="D51" s="226"/>
      <c r="E51" s="250"/>
      <c r="F51" s="165" t="str">
        <f t="shared" si="0"/>
        <v/>
      </c>
      <c r="G51" s="259"/>
      <c r="H51" s="247"/>
      <c r="I51" s="127"/>
      <c r="J51" s="127"/>
      <c r="K51" s="128"/>
    </row>
    <row r="52" spans="1:12" x14ac:dyDescent="0.35">
      <c r="A52" s="103"/>
      <c r="B52" s="12" t="s">
        <v>13</v>
      </c>
      <c r="C52" s="10" t="s">
        <v>78</v>
      </c>
      <c r="D52" s="152">
        <v>12</v>
      </c>
      <c r="E52" s="170">
        <v>9</v>
      </c>
      <c r="F52" s="153">
        <f t="shared" si="0"/>
        <v>3</v>
      </c>
      <c r="G52" s="256">
        <v>3</v>
      </c>
      <c r="H52" s="166">
        <f t="shared" si="5"/>
        <v>9</v>
      </c>
      <c r="I52" s="10" t="s">
        <v>20</v>
      </c>
      <c r="J52" s="11">
        <v>13</v>
      </c>
      <c r="K52" s="12">
        <f>H52*J52</f>
        <v>117</v>
      </c>
    </row>
    <row r="53" spans="1:12" hidden="1" x14ac:dyDescent="0.35">
      <c r="A53" s="103"/>
      <c r="B53" s="12" t="s">
        <v>13</v>
      </c>
      <c r="C53" s="10" t="s">
        <v>232</v>
      </c>
      <c r="D53" s="152"/>
      <c r="E53" s="170"/>
      <c r="F53" s="153" t="str">
        <f t="shared" si="0"/>
        <v/>
      </c>
      <c r="G53" s="256"/>
      <c r="H53" s="166">
        <f t="shared" si="5"/>
        <v>0</v>
      </c>
      <c r="I53" s="10" t="s">
        <v>20</v>
      </c>
      <c r="J53" s="11">
        <v>13</v>
      </c>
      <c r="K53" s="12">
        <f t="shared" ref="K53:K77" si="7">H53*J53</f>
        <v>0</v>
      </c>
      <c r="L53" s="87"/>
    </row>
    <row r="54" spans="1:12" hidden="1" x14ac:dyDescent="0.35">
      <c r="A54" s="103"/>
      <c r="B54" s="12" t="s">
        <v>13</v>
      </c>
      <c r="C54" s="10" t="s">
        <v>233</v>
      </c>
      <c r="D54" s="152"/>
      <c r="E54" s="170"/>
      <c r="F54" s="153" t="str">
        <f t="shared" si="0"/>
        <v/>
      </c>
      <c r="G54" s="256"/>
      <c r="H54" s="166">
        <f t="shared" si="5"/>
        <v>0</v>
      </c>
      <c r="I54" s="10" t="s">
        <v>20</v>
      </c>
      <c r="J54" s="11">
        <v>8.9</v>
      </c>
      <c r="K54" s="12">
        <f t="shared" si="7"/>
        <v>0</v>
      </c>
    </row>
    <row r="55" spans="1:12" x14ac:dyDescent="0.35">
      <c r="A55" s="103"/>
      <c r="B55" s="12" t="s">
        <v>13</v>
      </c>
      <c r="C55" s="10" t="s">
        <v>32</v>
      </c>
      <c r="D55" s="152">
        <v>2</v>
      </c>
      <c r="E55" s="170">
        <v>4</v>
      </c>
      <c r="F55" s="153" t="str">
        <f t="shared" si="0"/>
        <v/>
      </c>
      <c r="G55" s="256">
        <v>1</v>
      </c>
      <c r="H55" s="166">
        <f t="shared" si="5"/>
        <v>3</v>
      </c>
      <c r="I55" s="10" t="s">
        <v>20</v>
      </c>
      <c r="J55" s="11">
        <v>8.35</v>
      </c>
      <c r="K55" s="12">
        <f t="shared" si="7"/>
        <v>25.049999999999997</v>
      </c>
    </row>
    <row r="56" spans="1:12" x14ac:dyDescent="0.35">
      <c r="A56" s="103"/>
      <c r="B56" s="12" t="s">
        <v>13</v>
      </c>
      <c r="C56" s="10" t="s">
        <v>33</v>
      </c>
      <c r="D56" s="152">
        <v>2</v>
      </c>
      <c r="E56" s="170">
        <v>2</v>
      </c>
      <c r="F56" s="153" t="str">
        <f t="shared" si="0"/>
        <v/>
      </c>
      <c r="G56" s="256"/>
      <c r="H56" s="166">
        <f t="shared" si="5"/>
        <v>2</v>
      </c>
      <c r="I56" s="10" t="s">
        <v>20</v>
      </c>
      <c r="J56" s="11">
        <v>8.9</v>
      </c>
      <c r="K56" s="12">
        <f t="shared" si="7"/>
        <v>17.8</v>
      </c>
    </row>
    <row r="57" spans="1:12" x14ac:dyDescent="0.35">
      <c r="A57" s="103"/>
      <c r="B57" s="12" t="s">
        <v>13</v>
      </c>
      <c r="C57" s="10" t="s">
        <v>59</v>
      </c>
      <c r="D57" s="152">
        <v>2</v>
      </c>
      <c r="E57" s="170">
        <v>2</v>
      </c>
      <c r="F57" s="153" t="str">
        <f t="shared" si="0"/>
        <v/>
      </c>
      <c r="G57" s="256"/>
      <c r="H57" s="166">
        <f t="shared" si="5"/>
        <v>2</v>
      </c>
      <c r="I57" s="10" t="s">
        <v>20</v>
      </c>
      <c r="J57" s="11">
        <v>8.6999999999999993</v>
      </c>
      <c r="K57" s="12">
        <f t="shared" si="7"/>
        <v>17.399999999999999</v>
      </c>
    </row>
    <row r="58" spans="1:12" hidden="1" x14ac:dyDescent="0.35">
      <c r="A58" s="103"/>
      <c r="B58" s="12" t="s">
        <v>13</v>
      </c>
      <c r="C58" s="10" t="s">
        <v>234</v>
      </c>
      <c r="D58" s="152"/>
      <c r="E58" s="170"/>
      <c r="F58" s="153" t="str">
        <f t="shared" si="0"/>
        <v/>
      </c>
      <c r="G58" s="256"/>
      <c r="H58" s="166">
        <f t="shared" si="5"/>
        <v>0</v>
      </c>
      <c r="I58" s="10" t="s">
        <v>20</v>
      </c>
      <c r="J58" s="11">
        <v>12.15</v>
      </c>
      <c r="K58" s="12">
        <f t="shared" si="7"/>
        <v>0</v>
      </c>
    </row>
    <row r="59" spans="1:12" hidden="1" x14ac:dyDescent="0.35">
      <c r="A59" s="103"/>
      <c r="B59" s="12" t="s">
        <v>13</v>
      </c>
      <c r="C59" s="10" t="s">
        <v>235</v>
      </c>
      <c r="D59" s="152"/>
      <c r="E59" s="170"/>
      <c r="F59" s="153" t="str">
        <f t="shared" si="0"/>
        <v/>
      </c>
      <c r="G59" s="256"/>
      <c r="H59" s="166">
        <f t="shared" si="5"/>
        <v>0</v>
      </c>
      <c r="I59" s="10" t="s">
        <v>20</v>
      </c>
      <c r="J59" s="11">
        <v>11.35</v>
      </c>
      <c r="K59" s="12">
        <f t="shared" si="7"/>
        <v>0</v>
      </c>
    </row>
    <row r="60" spans="1:12" hidden="1" x14ac:dyDescent="0.35">
      <c r="A60" s="103"/>
      <c r="B60" s="12" t="s">
        <v>13</v>
      </c>
      <c r="C60" s="10" t="s">
        <v>236</v>
      </c>
      <c r="D60" s="152"/>
      <c r="E60" s="170"/>
      <c r="F60" s="153" t="str">
        <f t="shared" si="0"/>
        <v/>
      </c>
      <c r="G60" s="256"/>
      <c r="H60" s="166">
        <f t="shared" si="5"/>
        <v>0</v>
      </c>
      <c r="I60" s="10" t="s">
        <v>20</v>
      </c>
      <c r="J60" s="11">
        <v>14.65</v>
      </c>
      <c r="K60" s="12">
        <f t="shared" si="7"/>
        <v>0</v>
      </c>
    </row>
    <row r="61" spans="1:12" hidden="1" x14ac:dyDescent="0.35">
      <c r="A61" s="103"/>
      <c r="B61" s="12" t="s">
        <v>13</v>
      </c>
      <c r="C61" s="10" t="s">
        <v>237</v>
      </c>
      <c r="D61" s="152"/>
      <c r="E61" s="170"/>
      <c r="F61" s="153" t="str">
        <f t="shared" si="0"/>
        <v/>
      </c>
      <c r="G61" s="256"/>
      <c r="H61" s="166">
        <f t="shared" si="5"/>
        <v>0</v>
      </c>
      <c r="I61" s="10" t="s">
        <v>20</v>
      </c>
      <c r="J61" s="11">
        <v>16.25</v>
      </c>
      <c r="K61" s="12">
        <f t="shared" si="7"/>
        <v>0</v>
      </c>
    </row>
    <row r="62" spans="1:12" hidden="1" x14ac:dyDescent="0.35">
      <c r="A62" s="103"/>
      <c r="B62" s="12" t="s">
        <v>13</v>
      </c>
      <c r="C62" s="10" t="s">
        <v>238</v>
      </c>
      <c r="D62" s="152"/>
      <c r="E62" s="170"/>
      <c r="F62" s="153" t="str">
        <f t="shared" si="0"/>
        <v/>
      </c>
      <c r="G62" s="256"/>
      <c r="H62" s="166">
        <f t="shared" si="5"/>
        <v>0</v>
      </c>
      <c r="I62" s="10" t="s">
        <v>20</v>
      </c>
      <c r="J62" s="11">
        <v>17.899999999999999</v>
      </c>
      <c r="K62" s="12">
        <f t="shared" si="7"/>
        <v>0</v>
      </c>
    </row>
    <row r="63" spans="1:12" hidden="1" x14ac:dyDescent="0.35">
      <c r="A63" s="103"/>
      <c r="B63" s="12" t="s">
        <v>13</v>
      </c>
      <c r="C63" s="10" t="s">
        <v>239</v>
      </c>
      <c r="D63" s="152"/>
      <c r="E63" s="170"/>
      <c r="F63" s="153" t="str">
        <f t="shared" si="0"/>
        <v/>
      </c>
      <c r="G63" s="256"/>
      <c r="H63" s="166">
        <f t="shared" si="5"/>
        <v>0</v>
      </c>
      <c r="I63" s="10" t="s">
        <v>20</v>
      </c>
      <c r="J63" s="11">
        <v>15.95</v>
      </c>
      <c r="K63" s="12">
        <f t="shared" si="7"/>
        <v>0</v>
      </c>
    </row>
    <row r="64" spans="1:12" hidden="1" x14ac:dyDescent="0.35">
      <c r="A64" s="103"/>
      <c r="B64" s="12" t="s">
        <v>13</v>
      </c>
      <c r="C64" s="10" t="s">
        <v>240</v>
      </c>
      <c r="D64" s="152"/>
      <c r="E64" s="170"/>
      <c r="F64" s="153" t="str">
        <f t="shared" si="0"/>
        <v/>
      </c>
      <c r="G64" s="256"/>
      <c r="H64" s="166">
        <f t="shared" si="5"/>
        <v>0</v>
      </c>
      <c r="I64" s="10" t="s">
        <v>20</v>
      </c>
      <c r="J64" s="11">
        <v>15.45</v>
      </c>
      <c r="K64" s="12">
        <f t="shared" si="7"/>
        <v>0</v>
      </c>
    </row>
    <row r="65" spans="1:15" ht="15.5" hidden="1" x14ac:dyDescent="0.35">
      <c r="A65" s="111"/>
      <c r="B65" s="126" t="s">
        <v>241</v>
      </c>
      <c r="C65" s="127"/>
      <c r="D65" s="226"/>
      <c r="E65" s="250"/>
      <c r="F65" s="165" t="str">
        <f t="shared" si="0"/>
        <v/>
      </c>
      <c r="G65" s="259"/>
      <c r="H65" s="247"/>
      <c r="I65" s="127"/>
      <c r="J65" s="127"/>
      <c r="K65" s="270"/>
    </row>
    <row r="66" spans="1:15" hidden="1" x14ac:dyDescent="0.35">
      <c r="A66" s="103"/>
      <c r="B66" s="12" t="s">
        <v>13</v>
      </c>
      <c r="C66" s="10" t="s">
        <v>242</v>
      </c>
      <c r="D66" s="152"/>
      <c r="E66" s="170"/>
      <c r="F66" s="153" t="str">
        <f t="shared" si="0"/>
        <v/>
      </c>
      <c r="G66" s="256"/>
      <c r="H66" s="166">
        <f t="shared" si="5"/>
        <v>0</v>
      </c>
      <c r="I66" s="10" t="s">
        <v>20</v>
      </c>
      <c r="J66" s="11">
        <v>31.05</v>
      </c>
      <c r="K66" s="12">
        <f t="shared" si="7"/>
        <v>0</v>
      </c>
    </row>
    <row r="67" spans="1:15" hidden="1" x14ac:dyDescent="0.35">
      <c r="A67" s="103"/>
      <c r="B67" s="12" t="s">
        <v>13</v>
      </c>
      <c r="C67" s="10" t="s">
        <v>243</v>
      </c>
      <c r="D67" s="152"/>
      <c r="E67" s="170"/>
      <c r="F67" s="153" t="str">
        <f t="shared" si="0"/>
        <v/>
      </c>
      <c r="G67" s="256"/>
      <c r="H67" s="166">
        <f t="shared" si="5"/>
        <v>0</v>
      </c>
      <c r="I67" s="10" t="s">
        <v>20</v>
      </c>
      <c r="J67" s="11">
        <v>60.79</v>
      </c>
      <c r="K67" s="12">
        <f t="shared" si="7"/>
        <v>0</v>
      </c>
    </row>
    <row r="68" spans="1:15" hidden="1" x14ac:dyDescent="0.35">
      <c r="A68" s="103"/>
      <c r="B68" s="12" t="s">
        <v>13</v>
      </c>
      <c r="C68" s="10" t="s">
        <v>244</v>
      </c>
      <c r="D68" s="152"/>
      <c r="E68" s="170"/>
      <c r="F68" s="153" t="str">
        <f t="shared" si="0"/>
        <v/>
      </c>
      <c r="G68" s="256"/>
      <c r="H68" s="166">
        <f t="shared" si="5"/>
        <v>0</v>
      </c>
      <c r="I68" s="10" t="s">
        <v>20</v>
      </c>
      <c r="J68" s="11">
        <v>56.55</v>
      </c>
      <c r="K68" s="12">
        <f t="shared" si="7"/>
        <v>0</v>
      </c>
    </row>
    <row r="69" spans="1:15" hidden="1" x14ac:dyDescent="0.35">
      <c r="A69" s="103"/>
      <c r="B69" s="12" t="s">
        <v>13</v>
      </c>
      <c r="C69" s="10" t="s">
        <v>245</v>
      </c>
      <c r="D69" s="152"/>
      <c r="E69" s="170"/>
      <c r="F69" s="153" t="str">
        <f t="shared" si="0"/>
        <v/>
      </c>
      <c r="G69" s="256"/>
      <c r="H69" s="166">
        <f t="shared" si="5"/>
        <v>0</v>
      </c>
      <c r="I69" s="10" t="s">
        <v>20</v>
      </c>
      <c r="J69" s="11">
        <v>107.44</v>
      </c>
      <c r="K69" s="12">
        <f t="shared" si="7"/>
        <v>0</v>
      </c>
    </row>
    <row r="70" spans="1:15" hidden="1" x14ac:dyDescent="0.35">
      <c r="A70" s="103"/>
      <c r="B70" s="12" t="s">
        <v>13</v>
      </c>
      <c r="C70" s="10" t="s">
        <v>246</v>
      </c>
      <c r="D70" s="152"/>
      <c r="E70" s="170"/>
      <c r="F70" s="153" t="str">
        <f t="shared" si="0"/>
        <v/>
      </c>
      <c r="G70" s="256"/>
      <c r="H70" s="166">
        <f t="shared" si="5"/>
        <v>0</v>
      </c>
      <c r="I70" s="10" t="s">
        <v>20</v>
      </c>
      <c r="J70" s="11">
        <v>47.4</v>
      </c>
      <c r="K70" s="12">
        <f t="shared" si="7"/>
        <v>0</v>
      </c>
    </row>
    <row r="71" spans="1:15" hidden="1" x14ac:dyDescent="0.35">
      <c r="A71" s="103"/>
      <c r="B71" s="12" t="s">
        <v>13</v>
      </c>
      <c r="C71" s="10" t="s">
        <v>247</v>
      </c>
      <c r="D71" s="152"/>
      <c r="E71" s="170"/>
      <c r="F71" s="153" t="str">
        <f t="shared" si="0"/>
        <v/>
      </c>
      <c r="G71" s="256"/>
      <c r="H71" s="166">
        <f t="shared" si="5"/>
        <v>0</v>
      </c>
      <c r="I71" s="10" t="s">
        <v>20</v>
      </c>
      <c r="J71" s="11">
        <v>87.63</v>
      </c>
      <c r="K71" s="12">
        <f t="shared" si="7"/>
        <v>0</v>
      </c>
    </row>
    <row r="72" spans="1:15" hidden="1" x14ac:dyDescent="0.35">
      <c r="A72" s="103"/>
      <c r="B72" s="12" t="s">
        <v>13</v>
      </c>
      <c r="C72" s="10" t="s">
        <v>248</v>
      </c>
      <c r="D72" s="152"/>
      <c r="E72" s="170"/>
      <c r="F72" s="153" t="str">
        <f t="shared" si="0"/>
        <v/>
      </c>
      <c r="G72" s="256"/>
      <c r="H72" s="166">
        <f t="shared" si="5"/>
        <v>0</v>
      </c>
      <c r="I72" s="10" t="s">
        <v>20</v>
      </c>
      <c r="J72" s="11">
        <v>52.31</v>
      </c>
      <c r="K72" s="12">
        <f t="shared" si="7"/>
        <v>0</v>
      </c>
    </row>
    <row r="73" spans="1:15" ht="15.5" hidden="1" x14ac:dyDescent="0.35">
      <c r="A73" s="111"/>
      <c r="B73" s="126" t="s">
        <v>249</v>
      </c>
      <c r="C73" s="127"/>
      <c r="D73" s="226"/>
      <c r="E73" s="170"/>
      <c r="F73" s="153" t="str">
        <f t="shared" si="0"/>
        <v/>
      </c>
      <c r="G73" s="259"/>
      <c r="H73" s="166">
        <f t="shared" si="5"/>
        <v>0</v>
      </c>
      <c r="I73" s="127"/>
      <c r="J73" s="127"/>
      <c r="K73" s="271"/>
    </row>
    <row r="74" spans="1:15" hidden="1" x14ac:dyDescent="0.35">
      <c r="A74" s="103"/>
      <c r="B74" s="12" t="s">
        <v>13</v>
      </c>
      <c r="C74" s="10" t="s">
        <v>250</v>
      </c>
      <c r="D74" s="152"/>
      <c r="E74" s="170"/>
      <c r="F74" s="153" t="str">
        <f t="shared" si="0"/>
        <v/>
      </c>
      <c r="G74" s="256"/>
      <c r="H74" s="166">
        <f t="shared" si="5"/>
        <v>0</v>
      </c>
      <c r="I74" s="10" t="s">
        <v>20</v>
      </c>
      <c r="J74" s="11">
        <v>10.8</v>
      </c>
      <c r="K74" s="12">
        <f t="shared" si="7"/>
        <v>0</v>
      </c>
    </row>
    <row r="75" spans="1:15" hidden="1" x14ac:dyDescent="0.35">
      <c r="A75" s="103"/>
      <c r="B75" s="12" t="s">
        <v>13</v>
      </c>
      <c r="C75" s="10" t="s">
        <v>251</v>
      </c>
      <c r="D75" s="152"/>
      <c r="E75" s="170"/>
      <c r="F75" s="153" t="str">
        <f t="shared" si="0"/>
        <v/>
      </c>
      <c r="G75" s="256"/>
      <c r="H75" s="166">
        <f t="shared" si="5"/>
        <v>0</v>
      </c>
      <c r="I75" s="10" t="s">
        <v>20</v>
      </c>
      <c r="J75" s="11">
        <v>11.2</v>
      </c>
      <c r="K75" s="12">
        <f t="shared" si="7"/>
        <v>0</v>
      </c>
    </row>
    <row r="76" spans="1:15" x14ac:dyDescent="0.35">
      <c r="A76" s="103"/>
      <c r="B76" s="12" t="s">
        <v>13</v>
      </c>
      <c r="C76" s="10" t="s">
        <v>252</v>
      </c>
      <c r="D76" s="152"/>
      <c r="E76" s="170"/>
      <c r="F76" s="153" t="str">
        <f t="shared" si="0"/>
        <v/>
      </c>
      <c r="G76" s="256"/>
      <c r="H76" s="166">
        <f t="shared" si="5"/>
        <v>0</v>
      </c>
      <c r="I76" s="10" t="s">
        <v>23</v>
      </c>
      <c r="J76" s="11">
        <v>4.5599999999999996</v>
      </c>
      <c r="K76" s="12">
        <f t="shared" si="7"/>
        <v>0</v>
      </c>
    </row>
    <row r="77" spans="1:15" x14ac:dyDescent="0.35">
      <c r="A77" s="103"/>
      <c r="B77" s="12" t="s">
        <v>13</v>
      </c>
      <c r="C77" s="10" t="s">
        <v>253</v>
      </c>
      <c r="D77" s="152"/>
      <c r="E77" s="170"/>
      <c r="F77" s="153" t="str">
        <f t="shared" si="0"/>
        <v/>
      </c>
      <c r="G77" s="256"/>
      <c r="H77" s="166">
        <f t="shared" si="5"/>
        <v>0</v>
      </c>
      <c r="I77" s="10" t="s">
        <v>23</v>
      </c>
      <c r="J77" s="11">
        <v>37.700000000000003</v>
      </c>
      <c r="K77" s="12">
        <f t="shared" si="7"/>
        <v>0</v>
      </c>
      <c r="O77" s="87"/>
    </row>
    <row r="78" spans="1:15" ht="15.5" x14ac:dyDescent="0.35">
      <c r="A78" s="108" t="s">
        <v>254</v>
      </c>
      <c r="B78" s="108"/>
      <c r="C78" s="108"/>
      <c r="D78" s="223"/>
      <c r="E78" s="250"/>
      <c r="F78" s="165" t="str">
        <f t="shared" si="0"/>
        <v/>
      </c>
      <c r="G78" s="186"/>
      <c r="H78" s="247"/>
      <c r="I78" s="108"/>
      <c r="J78" s="110" t="s">
        <v>18</v>
      </c>
      <c r="K78" s="269">
        <f>SUM(K80:K121)</f>
        <v>171.5</v>
      </c>
    </row>
    <row r="79" spans="1:15" ht="15.5" x14ac:dyDescent="0.35">
      <c r="A79" s="111"/>
      <c r="B79" s="126" t="s">
        <v>255</v>
      </c>
      <c r="C79" s="127"/>
      <c r="D79" s="226"/>
      <c r="E79" s="250"/>
      <c r="F79" s="165" t="str">
        <f t="shared" si="0"/>
        <v/>
      </c>
      <c r="G79" s="259"/>
      <c r="H79" s="247"/>
      <c r="I79" s="127"/>
      <c r="J79" s="127"/>
      <c r="K79" s="128"/>
    </row>
    <row r="80" spans="1:15" hidden="1" x14ac:dyDescent="0.35">
      <c r="A80" s="103"/>
      <c r="B80" s="12" t="s">
        <v>3</v>
      </c>
      <c r="C80" s="10" t="s">
        <v>256</v>
      </c>
      <c r="D80" s="152"/>
      <c r="E80" s="170"/>
      <c r="F80" s="153" t="str">
        <f t="shared" si="0"/>
        <v/>
      </c>
      <c r="G80" s="256"/>
      <c r="H80" s="166">
        <f t="shared" si="5"/>
        <v>0</v>
      </c>
      <c r="I80" s="10" t="s">
        <v>20</v>
      </c>
      <c r="J80" s="11">
        <v>32.950000000000003</v>
      </c>
      <c r="K80" s="12">
        <f t="shared" ref="K80:K82" si="8">G80*J80</f>
        <v>0</v>
      </c>
    </row>
    <row r="81" spans="1:11" hidden="1" x14ac:dyDescent="0.35">
      <c r="A81" s="103"/>
      <c r="B81" s="12" t="s">
        <v>3</v>
      </c>
      <c r="C81" s="10" t="s">
        <v>257</v>
      </c>
      <c r="D81" s="152"/>
      <c r="E81" s="170"/>
      <c r="F81" s="153" t="str">
        <f t="shared" si="0"/>
        <v/>
      </c>
      <c r="G81" s="256"/>
      <c r="H81" s="166">
        <f t="shared" si="5"/>
        <v>0</v>
      </c>
      <c r="I81" s="10" t="s">
        <v>20</v>
      </c>
      <c r="J81" s="11">
        <v>56.95</v>
      </c>
      <c r="K81" s="12">
        <f t="shared" si="8"/>
        <v>0</v>
      </c>
    </row>
    <row r="82" spans="1:11" hidden="1" x14ac:dyDescent="0.35">
      <c r="A82" s="103"/>
      <c r="B82" s="12" t="s">
        <v>3</v>
      </c>
      <c r="C82" s="10" t="s">
        <v>258</v>
      </c>
      <c r="D82" s="152"/>
      <c r="E82" s="170"/>
      <c r="F82" s="153" t="str">
        <f t="shared" si="0"/>
        <v/>
      </c>
      <c r="G82" s="256"/>
      <c r="H82" s="166">
        <f t="shared" si="5"/>
        <v>0</v>
      </c>
      <c r="I82" s="10" t="s">
        <v>20</v>
      </c>
      <c r="J82" s="11">
        <v>15.95</v>
      </c>
      <c r="K82" s="12">
        <f t="shared" si="8"/>
        <v>0</v>
      </c>
    </row>
    <row r="83" spans="1:11" x14ac:dyDescent="0.35">
      <c r="A83" s="103"/>
      <c r="B83" s="12" t="s">
        <v>3</v>
      </c>
      <c r="C83" s="10" t="s">
        <v>259</v>
      </c>
      <c r="D83" s="152"/>
      <c r="E83" s="170"/>
      <c r="F83" s="153" t="str">
        <f t="shared" si="0"/>
        <v/>
      </c>
      <c r="G83" s="256"/>
      <c r="H83" s="166">
        <f t="shared" si="5"/>
        <v>0</v>
      </c>
      <c r="I83" s="10" t="s">
        <v>20</v>
      </c>
      <c r="J83" s="11">
        <v>19.95</v>
      </c>
      <c r="K83" s="12">
        <f>H83*J83</f>
        <v>0</v>
      </c>
    </row>
    <row r="84" spans="1:11" hidden="1" x14ac:dyDescent="0.35">
      <c r="A84" s="103"/>
      <c r="B84" s="12" t="s">
        <v>3</v>
      </c>
      <c r="C84" s="10" t="s">
        <v>260</v>
      </c>
      <c r="D84" s="152"/>
      <c r="E84" s="170"/>
      <c r="F84" s="153" t="str">
        <f t="shared" si="0"/>
        <v/>
      </c>
      <c r="G84" s="256"/>
      <c r="H84" s="166">
        <f t="shared" si="5"/>
        <v>0</v>
      </c>
      <c r="I84" s="10" t="s">
        <v>20</v>
      </c>
      <c r="J84" s="11">
        <v>46.95</v>
      </c>
      <c r="K84" s="12">
        <f>H84*J84</f>
        <v>0</v>
      </c>
    </row>
    <row r="85" spans="1:11" hidden="1" x14ac:dyDescent="0.35">
      <c r="A85" s="103"/>
      <c r="B85" s="12" t="s">
        <v>3</v>
      </c>
      <c r="C85" s="10" t="s">
        <v>261</v>
      </c>
      <c r="D85" s="152"/>
      <c r="E85" s="170"/>
      <c r="F85" s="153" t="str">
        <f t="shared" si="0"/>
        <v/>
      </c>
      <c r="G85" s="256"/>
      <c r="H85" s="166">
        <f t="shared" si="5"/>
        <v>0</v>
      </c>
      <c r="I85" s="10" t="s">
        <v>20</v>
      </c>
      <c r="J85" s="11">
        <v>34.950000000000003</v>
      </c>
      <c r="K85" s="12">
        <f>H85*J85</f>
        <v>0</v>
      </c>
    </row>
    <row r="86" spans="1:11" hidden="1" x14ac:dyDescent="0.35">
      <c r="A86" s="103"/>
      <c r="B86" s="12" t="s">
        <v>3</v>
      </c>
      <c r="C86" s="10" t="s">
        <v>262</v>
      </c>
      <c r="D86" s="152"/>
      <c r="E86" s="170"/>
      <c r="F86" s="153" t="str">
        <f t="shared" si="0"/>
        <v/>
      </c>
      <c r="G86" s="256"/>
      <c r="H86" s="166">
        <f t="shared" si="5"/>
        <v>0</v>
      </c>
      <c r="I86" s="10" t="s">
        <v>20</v>
      </c>
      <c r="J86" s="11">
        <v>24.95</v>
      </c>
      <c r="K86" s="12">
        <f>H86*J86</f>
        <v>0</v>
      </c>
    </row>
    <row r="87" spans="1:11" ht="15.5" x14ac:dyDescent="0.35">
      <c r="A87" s="111"/>
      <c r="B87" s="126" t="s">
        <v>263</v>
      </c>
      <c r="C87" s="127"/>
      <c r="D87" s="226"/>
      <c r="E87" s="250"/>
      <c r="F87" s="165" t="str">
        <f t="shared" si="0"/>
        <v/>
      </c>
      <c r="G87" s="259"/>
      <c r="H87" s="247"/>
      <c r="I87" s="127"/>
      <c r="J87" s="127"/>
      <c r="K87" s="127"/>
    </row>
    <row r="88" spans="1:11" x14ac:dyDescent="0.35">
      <c r="A88" s="103"/>
      <c r="B88" s="12" t="s">
        <v>3</v>
      </c>
      <c r="C88" s="10" t="s">
        <v>264</v>
      </c>
      <c r="D88" s="152"/>
      <c r="E88" s="170"/>
      <c r="F88" s="153" t="str">
        <f t="shared" si="0"/>
        <v/>
      </c>
      <c r="G88" s="256"/>
      <c r="H88" s="166">
        <f t="shared" si="5"/>
        <v>0</v>
      </c>
      <c r="I88" s="10" t="s">
        <v>20</v>
      </c>
      <c r="J88" s="11">
        <v>19.5</v>
      </c>
      <c r="K88" s="12">
        <f t="shared" ref="K88:K94" si="9">H88*J88</f>
        <v>0</v>
      </c>
    </row>
    <row r="89" spans="1:11" hidden="1" x14ac:dyDescent="0.35">
      <c r="A89" s="103"/>
      <c r="B89" s="12" t="s">
        <v>3</v>
      </c>
      <c r="C89" s="10" t="s">
        <v>265</v>
      </c>
      <c r="D89" s="152"/>
      <c r="E89" s="170"/>
      <c r="F89" s="153" t="str">
        <f t="shared" ref="F89:F152" si="10">IF(E89="","",IF(D89-E89&gt;0,D89-E89,""))</f>
        <v/>
      </c>
      <c r="G89" s="256"/>
      <c r="H89" s="166">
        <f t="shared" si="5"/>
        <v>0</v>
      </c>
      <c r="I89" s="10" t="s">
        <v>20</v>
      </c>
      <c r="J89" s="11">
        <v>16.95</v>
      </c>
      <c r="K89" s="12">
        <f t="shared" si="9"/>
        <v>0</v>
      </c>
    </row>
    <row r="90" spans="1:11" x14ac:dyDescent="0.35">
      <c r="A90" s="103"/>
      <c r="B90" s="12" t="s">
        <v>3</v>
      </c>
      <c r="C90" s="10" t="s">
        <v>266</v>
      </c>
      <c r="D90" s="152"/>
      <c r="E90" s="170">
        <v>1</v>
      </c>
      <c r="F90" s="153" t="str">
        <f t="shared" si="10"/>
        <v/>
      </c>
      <c r="G90" s="256"/>
      <c r="H90" s="166">
        <f t="shared" si="5"/>
        <v>1</v>
      </c>
      <c r="I90" s="10" t="s">
        <v>20</v>
      </c>
      <c r="J90" s="11">
        <v>17.95</v>
      </c>
      <c r="K90" s="12">
        <f t="shared" si="9"/>
        <v>17.95</v>
      </c>
    </row>
    <row r="91" spans="1:11" x14ac:dyDescent="0.35">
      <c r="A91" s="103"/>
      <c r="B91" s="12" t="s">
        <v>3</v>
      </c>
      <c r="C91" s="10" t="s">
        <v>267</v>
      </c>
      <c r="D91" s="152">
        <v>2</v>
      </c>
      <c r="E91" s="170"/>
      <c r="F91" s="153" t="str">
        <f t="shared" si="10"/>
        <v/>
      </c>
      <c r="G91" s="256"/>
      <c r="H91" s="166">
        <f t="shared" si="5"/>
        <v>0</v>
      </c>
      <c r="I91" s="10" t="s">
        <v>20</v>
      </c>
      <c r="J91" s="11">
        <v>15.95</v>
      </c>
      <c r="K91" s="12">
        <f t="shared" si="9"/>
        <v>0</v>
      </c>
    </row>
    <row r="92" spans="1:11" hidden="1" x14ac:dyDescent="0.35">
      <c r="A92" s="103"/>
      <c r="B92" s="12" t="s">
        <v>3</v>
      </c>
      <c r="C92" s="10" t="s">
        <v>268</v>
      </c>
      <c r="D92" s="152"/>
      <c r="E92" s="170"/>
      <c r="F92" s="153" t="str">
        <f t="shared" si="10"/>
        <v/>
      </c>
      <c r="G92" s="256"/>
      <c r="H92" s="166">
        <f t="shared" si="5"/>
        <v>0</v>
      </c>
      <c r="I92" s="10" t="s">
        <v>20</v>
      </c>
      <c r="J92" s="11">
        <v>20.95</v>
      </c>
      <c r="K92" s="12">
        <f t="shared" si="9"/>
        <v>0</v>
      </c>
    </row>
    <row r="93" spans="1:11" hidden="1" x14ac:dyDescent="0.35">
      <c r="A93" s="103"/>
      <c r="B93" s="12" t="s">
        <v>3</v>
      </c>
      <c r="C93" s="10" t="s">
        <v>269</v>
      </c>
      <c r="D93" s="152"/>
      <c r="E93" s="170"/>
      <c r="F93" s="153" t="str">
        <f t="shared" si="10"/>
        <v/>
      </c>
      <c r="G93" s="256"/>
      <c r="H93" s="166">
        <f t="shared" si="5"/>
        <v>0</v>
      </c>
      <c r="I93" s="10" t="s">
        <v>20</v>
      </c>
      <c r="J93" s="11">
        <v>26.95</v>
      </c>
      <c r="K93" s="12">
        <f t="shared" si="9"/>
        <v>0</v>
      </c>
    </row>
    <row r="94" spans="1:11" hidden="1" x14ac:dyDescent="0.35">
      <c r="A94" s="103"/>
      <c r="B94" s="12" t="s">
        <v>3</v>
      </c>
      <c r="C94" s="10" t="s">
        <v>270</v>
      </c>
      <c r="D94" s="152"/>
      <c r="E94" s="170"/>
      <c r="F94" s="153" t="str">
        <f t="shared" si="10"/>
        <v/>
      </c>
      <c r="G94" s="256"/>
      <c r="H94" s="166">
        <f t="shared" si="5"/>
        <v>0</v>
      </c>
      <c r="I94" s="10" t="s">
        <v>20</v>
      </c>
      <c r="J94" s="11">
        <v>26.95</v>
      </c>
      <c r="K94" s="12">
        <f t="shared" si="9"/>
        <v>0</v>
      </c>
    </row>
    <row r="95" spans="1:11" ht="15.5" x14ac:dyDescent="0.35">
      <c r="A95" s="111"/>
      <c r="B95" s="126" t="s">
        <v>271</v>
      </c>
      <c r="C95" s="127"/>
      <c r="D95" s="226"/>
      <c r="E95" s="250"/>
      <c r="F95" s="165" t="str">
        <f t="shared" si="10"/>
        <v/>
      </c>
      <c r="G95" s="259"/>
      <c r="H95" s="247"/>
      <c r="I95" s="127"/>
      <c r="J95" s="127"/>
      <c r="K95" s="127"/>
    </row>
    <row r="96" spans="1:11" hidden="1" x14ac:dyDescent="0.35">
      <c r="A96" s="103"/>
      <c r="B96" s="12" t="s">
        <v>3</v>
      </c>
      <c r="C96" s="10" t="s">
        <v>272</v>
      </c>
      <c r="D96" s="152"/>
      <c r="E96" s="170"/>
      <c r="F96" s="153" t="str">
        <f t="shared" si="10"/>
        <v/>
      </c>
      <c r="G96" s="256"/>
      <c r="H96" s="166">
        <f t="shared" si="5"/>
        <v>0</v>
      </c>
      <c r="I96" s="10" t="s">
        <v>20</v>
      </c>
      <c r="J96" s="11">
        <v>20.95</v>
      </c>
      <c r="K96" s="12">
        <f>H96*J96</f>
        <v>0</v>
      </c>
    </row>
    <row r="97" spans="1:11" x14ac:dyDescent="0.35">
      <c r="A97" s="103"/>
      <c r="B97" s="12" t="s">
        <v>3</v>
      </c>
      <c r="C97" s="10" t="s">
        <v>273</v>
      </c>
      <c r="D97" s="152">
        <v>2</v>
      </c>
      <c r="E97" s="170">
        <v>2</v>
      </c>
      <c r="F97" s="153" t="str">
        <f t="shared" si="10"/>
        <v/>
      </c>
      <c r="G97" s="256"/>
      <c r="H97" s="166">
        <f t="shared" si="5"/>
        <v>2</v>
      </c>
      <c r="I97" s="10" t="s">
        <v>20</v>
      </c>
      <c r="J97" s="11">
        <v>23.95</v>
      </c>
      <c r="K97" s="12">
        <f>H97*J97</f>
        <v>47.9</v>
      </c>
    </row>
    <row r="98" spans="1:11" hidden="1" x14ac:dyDescent="0.35">
      <c r="A98" s="103"/>
      <c r="B98" s="12" t="s">
        <v>3</v>
      </c>
      <c r="C98" s="10" t="s">
        <v>274</v>
      </c>
      <c r="D98" s="152"/>
      <c r="E98" s="170"/>
      <c r="F98" s="153" t="str">
        <f t="shared" si="10"/>
        <v/>
      </c>
      <c r="G98" s="256"/>
      <c r="H98" s="166">
        <f t="shared" si="5"/>
        <v>0</v>
      </c>
      <c r="I98" s="10" t="s">
        <v>20</v>
      </c>
      <c r="J98" s="11">
        <v>22.5</v>
      </c>
      <c r="K98" s="12">
        <f>H98*J98</f>
        <v>0</v>
      </c>
    </row>
    <row r="99" spans="1:11" hidden="1" x14ac:dyDescent="0.35">
      <c r="A99" s="103"/>
      <c r="B99" s="12" t="s">
        <v>3</v>
      </c>
      <c r="C99" s="10" t="s">
        <v>275</v>
      </c>
      <c r="D99" s="152"/>
      <c r="E99" s="170"/>
      <c r="F99" s="153" t="str">
        <f t="shared" si="10"/>
        <v/>
      </c>
      <c r="G99" s="256"/>
      <c r="H99" s="166">
        <f t="shared" si="5"/>
        <v>0</v>
      </c>
      <c r="I99" s="10" t="s">
        <v>20</v>
      </c>
      <c r="J99" s="11">
        <v>29.95</v>
      </c>
      <c r="K99" s="12">
        <f>H99*J99</f>
        <v>0</v>
      </c>
    </row>
    <row r="100" spans="1:11" ht="15.5" x14ac:dyDescent="0.35">
      <c r="A100" s="111"/>
      <c r="B100" s="126" t="s">
        <v>276</v>
      </c>
      <c r="C100" s="127"/>
      <c r="D100" s="226"/>
      <c r="E100" s="250"/>
      <c r="F100" s="165" t="str">
        <f t="shared" si="10"/>
        <v/>
      </c>
      <c r="G100" s="259"/>
      <c r="H100" s="247"/>
      <c r="I100" s="127"/>
      <c r="J100" s="127"/>
      <c r="K100" s="127"/>
    </row>
    <row r="101" spans="1:11" x14ac:dyDescent="0.35">
      <c r="A101" s="103"/>
      <c r="B101" s="12" t="s">
        <v>3</v>
      </c>
      <c r="C101" s="10" t="s">
        <v>277</v>
      </c>
      <c r="D101" s="152"/>
      <c r="E101" s="170">
        <v>3</v>
      </c>
      <c r="F101" s="153" t="str">
        <f t="shared" si="10"/>
        <v/>
      </c>
      <c r="G101" s="256"/>
      <c r="H101" s="166">
        <f t="shared" si="5"/>
        <v>3</v>
      </c>
      <c r="I101" s="10" t="s">
        <v>20</v>
      </c>
      <c r="J101" s="11">
        <v>17.95</v>
      </c>
      <c r="K101" s="12">
        <f t="shared" ref="K101:K107" si="11">H101*J101</f>
        <v>53.849999999999994</v>
      </c>
    </row>
    <row r="102" spans="1:11" hidden="1" x14ac:dyDescent="0.35">
      <c r="A102" s="103"/>
      <c r="B102" s="12" t="s">
        <v>3</v>
      </c>
      <c r="C102" s="10" t="s">
        <v>278</v>
      </c>
      <c r="D102" s="152"/>
      <c r="E102" s="170"/>
      <c r="F102" s="153" t="str">
        <f t="shared" si="10"/>
        <v/>
      </c>
      <c r="G102" s="256"/>
      <c r="H102" s="166">
        <f t="shared" si="5"/>
        <v>0</v>
      </c>
      <c r="I102" s="10" t="s">
        <v>20</v>
      </c>
      <c r="J102" s="11">
        <v>20.95</v>
      </c>
      <c r="K102" s="12">
        <f t="shared" si="11"/>
        <v>0</v>
      </c>
    </row>
    <row r="103" spans="1:11" hidden="1" x14ac:dyDescent="0.35">
      <c r="A103" s="103"/>
      <c r="B103" s="12" t="s">
        <v>3</v>
      </c>
      <c r="C103" s="10" t="s">
        <v>279</v>
      </c>
      <c r="D103" s="152"/>
      <c r="E103" s="170"/>
      <c r="F103" s="153" t="str">
        <f t="shared" si="10"/>
        <v/>
      </c>
      <c r="G103" s="256"/>
      <c r="H103" s="166">
        <f t="shared" si="5"/>
        <v>0</v>
      </c>
      <c r="I103" s="10" t="s">
        <v>20</v>
      </c>
      <c r="J103" s="11">
        <v>19.95</v>
      </c>
      <c r="K103" s="12">
        <f t="shared" si="11"/>
        <v>0</v>
      </c>
    </row>
    <row r="104" spans="1:11" hidden="1" x14ac:dyDescent="0.35">
      <c r="A104" s="103"/>
      <c r="B104" s="40" t="s">
        <v>3</v>
      </c>
      <c r="C104" s="41" t="s">
        <v>280</v>
      </c>
      <c r="D104" s="227"/>
      <c r="E104" s="170"/>
      <c r="F104" s="153" t="str">
        <f t="shared" si="10"/>
        <v/>
      </c>
      <c r="G104" s="256"/>
      <c r="H104" s="166">
        <f t="shared" si="5"/>
        <v>0</v>
      </c>
      <c r="I104" s="41" t="s">
        <v>20</v>
      </c>
      <c r="J104" s="42">
        <v>59.95</v>
      </c>
      <c r="K104" s="12">
        <f t="shared" si="11"/>
        <v>0</v>
      </c>
    </row>
    <row r="105" spans="1:11" ht="15.5" hidden="1" x14ac:dyDescent="0.35">
      <c r="A105" s="111"/>
      <c r="B105" s="126" t="s">
        <v>281</v>
      </c>
      <c r="C105" s="127"/>
      <c r="D105" s="226"/>
      <c r="E105" s="170"/>
      <c r="F105" s="153" t="str">
        <f t="shared" si="10"/>
        <v/>
      </c>
      <c r="G105" s="259"/>
      <c r="H105" s="166">
        <f t="shared" si="5"/>
        <v>0</v>
      </c>
      <c r="I105" s="127"/>
      <c r="J105" s="127"/>
      <c r="K105" s="12">
        <f t="shared" si="11"/>
        <v>0</v>
      </c>
    </row>
    <row r="106" spans="1:11" hidden="1" x14ac:dyDescent="0.35">
      <c r="A106" s="103"/>
      <c r="B106" s="12" t="s">
        <v>3</v>
      </c>
      <c r="C106" s="10" t="s">
        <v>282</v>
      </c>
      <c r="D106" s="152"/>
      <c r="E106" s="170"/>
      <c r="F106" s="153" t="str">
        <f t="shared" si="10"/>
        <v/>
      </c>
      <c r="G106" s="256"/>
      <c r="H106" s="166">
        <f t="shared" si="5"/>
        <v>0</v>
      </c>
      <c r="I106" s="10" t="s">
        <v>20</v>
      </c>
      <c r="J106" s="11">
        <v>54.95</v>
      </c>
      <c r="K106" s="12">
        <f t="shared" si="11"/>
        <v>0</v>
      </c>
    </row>
    <row r="107" spans="1:11" hidden="1" x14ac:dyDescent="0.35">
      <c r="A107" s="103"/>
      <c r="B107" s="12" t="s">
        <v>3</v>
      </c>
      <c r="C107" s="10" t="s">
        <v>283</v>
      </c>
      <c r="D107" s="152"/>
      <c r="E107" s="170"/>
      <c r="F107" s="153" t="str">
        <f t="shared" si="10"/>
        <v/>
      </c>
      <c r="G107" s="256"/>
      <c r="H107" s="166">
        <f t="shared" si="5"/>
        <v>0</v>
      </c>
      <c r="I107" s="10" t="s">
        <v>20</v>
      </c>
      <c r="J107" s="11">
        <v>49.95</v>
      </c>
      <c r="K107" s="12">
        <f t="shared" si="11"/>
        <v>0</v>
      </c>
    </row>
    <row r="108" spans="1:11" ht="15.5" x14ac:dyDescent="0.35">
      <c r="A108" s="111"/>
      <c r="B108" s="126" t="s">
        <v>284</v>
      </c>
      <c r="C108" s="127"/>
      <c r="D108" s="226"/>
      <c r="E108" s="250"/>
      <c r="F108" s="165" t="str">
        <f t="shared" si="10"/>
        <v/>
      </c>
      <c r="G108" s="259"/>
      <c r="H108" s="247"/>
      <c r="I108" s="127"/>
      <c r="J108" s="127"/>
      <c r="K108" s="127"/>
    </row>
    <row r="109" spans="1:11" x14ac:dyDescent="0.35">
      <c r="A109" s="103"/>
      <c r="B109" s="12" t="s">
        <v>3</v>
      </c>
      <c r="C109" s="10" t="s">
        <v>285</v>
      </c>
      <c r="D109" s="152"/>
      <c r="E109" s="170"/>
      <c r="F109" s="153" t="str">
        <f t="shared" si="10"/>
        <v/>
      </c>
      <c r="G109" s="256"/>
      <c r="H109" s="166">
        <f t="shared" si="5"/>
        <v>0</v>
      </c>
      <c r="I109" s="10" t="s">
        <v>20</v>
      </c>
      <c r="J109" s="11">
        <v>41.5</v>
      </c>
      <c r="K109" s="12">
        <f t="shared" ref="K109:K114" si="12">H109*J109</f>
        <v>0</v>
      </c>
    </row>
    <row r="110" spans="1:11" hidden="1" x14ac:dyDescent="0.35">
      <c r="A110" s="103"/>
      <c r="B110" s="12" t="s">
        <v>3</v>
      </c>
      <c r="C110" s="10" t="s">
        <v>286</v>
      </c>
      <c r="D110" s="152"/>
      <c r="E110" s="170"/>
      <c r="F110" s="153" t="str">
        <f t="shared" si="10"/>
        <v/>
      </c>
      <c r="G110" s="256"/>
      <c r="H110" s="166">
        <f t="shared" si="5"/>
        <v>0</v>
      </c>
      <c r="I110" s="10" t="s">
        <v>20</v>
      </c>
      <c r="J110" s="11">
        <v>36.200000000000003</v>
      </c>
      <c r="K110" s="12">
        <f t="shared" si="12"/>
        <v>0</v>
      </c>
    </row>
    <row r="111" spans="1:11" hidden="1" x14ac:dyDescent="0.35">
      <c r="A111" s="103"/>
      <c r="B111" s="12" t="s">
        <v>3</v>
      </c>
      <c r="C111" s="10" t="s">
        <v>287</v>
      </c>
      <c r="D111" s="152"/>
      <c r="E111" s="170"/>
      <c r="F111" s="153" t="str">
        <f t="shared" si="10"/>
        <v/>
      </c>
      <c r="G111" s="256"/>
      <c r="H111" s="166">
        <f t="shared" ref="H111:H174" si="13">IF(ISNUMBER(E111),E111,0)+IF(ISNUMBER(F111),F111,0)-IF(ISNUMBER(G111),G111,0)</f>
        <v>0</v>
      </c>
      <c r="I111" s="10" t="s">
        <v>20</v>
      </c>
      <c r="J111" s="11">
        <v>25.95</v>
      </c>
      <c r="K111" s="12">
        <f t="shared" si="12"/>
        <v>0</v>
      </c>
    </row>
    <row r="112" spans="1:11" hidden="1" x14ac:dyDescent="0.35">
      <c r="A112" s="103"/>
      <c r="B112" s="12" t="s">
        <v>3</v>
      </c>
      <c r="C112" s="10" t="s">
        <v>288</v>
      </c>
      <c r="D112" s="152"/>
      <c r="E112" s="170"/>
      <c r="F112" s="153" t="str">
        <f t="shared" si="10"/>
        <v/>
      </c>
      <c r="G112" s="256"/>
      <c r="H112" s="166">
        <f t="shared" si="13"/>
        <v>0</v>
      </c>
      <c r="I112" s="10" t="s">
        <v>20</v>
      </c>
      <c r="J112" s="11">
        <v>32.799999999999997</v>
      </c>
      <c r="K112" s="12">
        <f t="shared" si="12"/>
        <v>0</v>
      </c>
    </row>
    <row r="113" spans="1:11" hidden="1" x14ac:dyDescent="0.35">
      <c r="A113" s="103"/>
      <c r="B113" s="12" t="s">
        <v>3</v>
      </c>
      <c r="C113" s="10" t="s">
        <v>289</v>
      </c>
      <c r="D113" s="152"/>
      <c r="E113" s="170"/>
      <c r="F113" s="153" t="str">
        <f t="shared" si="10"/>
        <v/>
      </c>
      <c r="G113" s="256"/>
      <c r="H113" s="166">
        <f t="shared" si="13"/>
        <v>0</v>
      </c>
      <c r="I113" s="10" t="s">
        <v>20</v>
      </c>
      <c r="J113" s="11">
        <v>29.2</v>
      </c>
      <c r="K113" s="12">
        <f t="shared" si="12"/>
        <v>0</v>
      </c>
    </row>
    <row r="114" spans="1:11" hidden="1" x14ac:dyDescent="0.35">
      <c r="A114" s="103"/>
      <c r="B114" s="12" t="s">
        <v>3</v>
      </c>
      <c r="C114" s="10" t="s">
        <v>290</v>
      </c>
      <c r="D114" s="152"/>
      <c r="E114" s="170"/>
      <c r="F114" s="153" t="str">
        <f t="shared" si="10"/>
        <v/>
      </c>
      <c r="G114" s="256"/>
      <c r="H114" s="166">
        <f t="shared" si="13"/>
        <v>0</v>
      </c>
      <c r="I114" s="10" t="s">
        <v>20</v>
      </c>
      <c r="J114" s="11">
        <v>22.95</v>
      </c>
      <c r="K114" s="12">
        <f t="shared" si="12"/>
        <v>0</v>
      </c>
    </row>
    <row r="115" spans="1:11" ht="15.5" x14ac:dyDescent="0.35">
      <c r="A115" s="111"/>
      <c r="B115" s="126" t="s">
        <v>291</v>
      </c>
      <c r="C115" s="127"/>
      <c r="D115" s="226"/>
      <c r="E115" s="250"/>
      <c r="F115" s="165" t="str">
        <f t="shared" si="10"/>
        <v/>
      </c>
      <c r="G115" s="259"/>
      <c r="H115" s="247"/>
      <c r="I115" s="127"/>
      <c r="J115" s="127"/>
      <c r="K115" s="127"/>
    </row>
    <row r="116" spans="1:11" x14ac:dyDescent="0.35">
      <c r="A116" s="103"/>
      <c r="B116" s="12" t="s">
        <v>3</v>
      </c>
      <c r="C116" s="10" t="s">
        <v>292</v>
      </c>
      <c r="D116" s="152">
        <v>2</v>
      </c>
      <c r="E116" s="170"/>
      <c r="F116" s="153" t="str">
        <f t="shared" si="10"/>
        <v/>
      </c>
      <c r="G116" s="256"/>
      <c r="H116" s="166">
        <f t="shared" si="13"/>
        <v>0</v>
      </c>
      <c r="I116" s="10" t="s">
        <v>20</v>
      </c>
      <c r="J116" s="11">
        <v>17.95</v>
      </c>
      <c r="K116" s="12">
        <f>H116*J116</f>
        <v>0</v>
      </c>
    </row>
    <row r="117" spans="1:11" x14ac:dyDescent="0.35">
      <c r="A117" s="103"/>
      <c r="B117" s="12" t="s">
        <v>3</v>
      </c>
      <c r="C117" s="10" t="s">
        <v>293</v>
      </c>
      <c r="D117" s="152">
        <v>2</v>
      </c>
      <c r="E117" s="170">
        <v>4</v>
      </c>
      <c r="F117" s="153" t="str">
        <f t="shared" si="10"/>
        <v/>
      </c>
      <c r="G117" s="256"/>
      <c r="H117" s="166">
        <f t="shared" si="13"/>
        <v>4</v>
      </c>
      <c r="I117" s="10" t="s">
        <v>20</v>
      </c>
      <c r="J117" s="11">
        <v>12.95</v>
      </c>
      <c r="K117" s="12">
        <f>H117*J117</f>
        <v>51.8</v>
      </c>
    </row>
    <row r="118" spans="1:11" hidden="1" x14ac:dyDescent="0.35">
      <c r="A118" s="103"/>
      <c r="B118" s="12" t="s">
        <v>3</v>
      </c>
      <c r="C118" s="10" t="s">
        <v>294</v>
      </c>
      <c r="D118" s="152"/>
      <c r="E118" s="170"/>
      <c r="F118" s="153" t="str">
        <f t="shared" si="10"/>
        <v/>
      </c>
      <c r="G118" s="256"/>
      <c r="H118" s="166">
        <f t="shared" si="13"/>
        <v>0</v>
      </c>
      <c r="I118" s="10" t="s">
        <v>20</v>
      </c>
      <c r="J118" s="11">
        <v>21.95</v>
      </c>
      <c r="K118" s="12">
        <f t="shared" ref="K118:K121" si="14">G118*J118</f>
        <v>0</v>
      </c>
    </row>
    <row r="119" spans="1:11" hidden="1" x14ac:dyDescent="0.35">
      <c r="A119" s="103"/>
      <c r="B119" s="12" t="s">
        <v>3</v>
      </c>
      <c r="C119" s="10" t="s">
        <v>295</v>
      </c>
      <c r="D119" s="152"/>
      <c r="E119" s="170"/>
      <c r="F119" s="153" t="str">
        <f t="shared" si="10"/>
        <v/>
      </c>
      <c r="G119" s="256"/>
      <c r="H119" s="166">
        <f t="shared" si="13"/>
        <v>0</v>
      </c>
      <c r="I119" s="10" t="s">
        <v>20</v>
      </c>
      <c r="J119" s="11"/>
      <c r="K119" s="12">
        <f t="shared" si="14"/>
        <v>0</v>
      </c>
    </row>
    <row r="120" spans="1:11" hidden="1" x14ac:dyDescent="0.35">
      <c r="A120" s="103"/>
      <c r="B120" s="12" t="s">
        <v>3</v>
      </c>
      <c r="C120" s="10" t="s">
        <v>296</v>
      </c>
      <c r="D120" s="152"/>
      <c r="E120" s="170"/>
      <c r="F120" s="153" t="str">
        <f t="shared" si="10"/>
        <v/>
      </c>
      <c r="G120" s="256"/>
      <c r="H120" s="166">
        <f t="shared" si="13"/>
        <v>0</v>
      </c>
      <c r="I120" s="10" t="s">
        <v>20</v>
      </c>
      <c r="J120" s="11"/>
      <c r="K120" s="12">
        <f t="shared" si="14"/>
        <v>0</v>
      </c>
    </row>
    <row r="121" spans="1:11" hidden="1" x14ac:dyDescent="0.35">
      <c r="A121" s="103"/>
      <c r="B121" s="12" t="s">
        <v>3</v>
      </c>
      <c r="C121" s="10" t="s">
        <v>297</v>
      </c>
      <c r="D121" s="152"/>
      <c r="E121" s="170"/>
      <c r="F121" s="153" t="str">
        <f t="shared" si="10"/>
        <v/>
      </c>
      <c r="G121" s="256"/>
      <c r="H121" s="166">
        <f t="shared" si="13"/>
        <v>0</v>
      </c>
      <c r="I121" s="10" t="s">
        <v>20</v>
      </c>
      <c r="J121" s="11">
        <v>22.95</v>
      </c>
      <c r="K121" s="12">
        <f t="shared" si="14"/>
        <v>0</v>
      </c>
    </row>
    <row r="122" spans="1:11" ht="15.5" x14ac:dyDescent="0.35">
      <c r="A122" s="112" t="s">
        <v>298</v>
      </c>
      <c r="B122" s="116"/>
      <c r="C122" s="116"/>
      <c r="D122" s="228"/>
      <c r="E122" s="250"/>
      <c r="F122" s="165" t="str">
        <f t="shared" si="10"/>
        <v/>
      </c>
      <c r="G122" s="260"/>
      <c r="H122" s="247"/>
      <c r="I122" s="117"/>
      <c r="J122" s="106" t="s">
        <v>18</v>
      </c>
      <c r="K122" s="269">
        <f>SUM(K123:K175)</f>
        <v>360.51</v>
      </c>
    </row>
    <row r="123" spans="1:11" x14ac:dyDescent="0.35">
      <c r="A123" s="103"/>
      <c r="B123" s="20" t="s">
        <v>4</v>
      </c>
      <c r="C123" s="18" t="s">
        <v>62</v>
      </c>
      <c r="D123" s="229"/>
      <c r="E123" s="170"/>
      <c r="F123" s="153" t="str">
        <f t="shared" si="10"/>
        <v/>
      </c>
      <c r="G123" s="256"/>
      <c r="H123" s="166">
        <f t="shared" si="13"/>
        <v>0</v>
      </c>
      <c r="I123" s="18" t="s">
        <v>20</v>
      </c>
      <c r="J123" s="19">
        <v>7.35</v>
      </c>
      <c r="K123" s="20">
        <f>G123*J123</f>
        <v>0</v>
      </c>
    </row>
    <row r="124" spans="1:11" x14ac:dyDescent="0.35">
      <c r="A124" s="103"/>
      <c r="B124" s="20" t="s">
        <v>4</v>
      </c>
      <c r="C124" s="18" t="s">
        <v>60</v>
      </c>
      <c r="D124" s="229"/>
      <c r="E124" s="170">
        <v>1</v>
      </c>
      <c r="F124" s="153" t="str">
        <f t="shared" si="10"/>
        <v/>
      </c>
      <c r="G124" s="256"/>
      <c r="H124" s="166">
        <f t="shared" si="13"/>
        <v>1</v>
      </c>
      <c r="I124" s="18" t="s">
        <v>20</v>
      </c>
      <c r="J124" s="19">
        <v>10.65</v>
      </c>
      <c r="K124" s="20">
        <f>G124*J124</f>
        <v>0</v>
      </c>
    </row>
    <row r="125" spans="1:11" hidden="1" x14ac:dyDescent="0.35">
      <c r="A125" s="113" t="s">
        <v>40</v>
      </c>
      <c r="B125" s="124"/>
      <c r="C125" s="124"/>
      <c r="D125" s="230"/>
      <c r="E125" s="250"/>
      <c r="F125" s="153" t="str">
        <f t="shared" si="10"/>
        <v/>
      </c>
      <c r="G125" s="261"/>
      <c r="H125" s="166">
        <f t="shared" si="13"/>
        <v>0</v>
      </c>
      <c r="I125" s="124"/>
      <c r="J125" s="124"/>
      <c r="K125" s="273"/>
    </row>
    <row r="126" spans="1:11" hidden="1" x14ac:dyDescent="0.35">
      <c r="A126" s="103"/>
      <c r="B126" s="20" t="s">
        <v>4</v>
      </c>
      <c r="C126" s="18" t="s">
        <v>299</v>
      </c>
      <c r="D126" s="229"/>
      <c r="E126" s="250"/>
      <c r="F126" s="153" t="str">
        <f t="shared" si="10"/>
        <v/>
      </c>
      <c r="G126" s="256"/>
      <c r="H126" s="166">
        <f t="shared" si="13"/>
        <v>0</v>
      </c>
      <c r="I126" s="18" t="s">
        <v>20</v>
      </c>
      <c r="J126" s="19">
        <v>1.31</v>
      </c>
      <c r="K126" s="12">
        <f t="shared" ref="K126:K137" si="15">G126*J126</f>
        <v>0</v>
      </c>
    </row>
    <row r="127" spans="1:11" hidden="1" x14ac:dyDescent="0.35">
      <c r="A127" s="103"/>
      <c r="B127" s="12" t="s">
        <v>4</v>
      </c>
      <c r="C127" s="10" t="s">
        <v>300</v>
      </c>
      <c r="D127" s="152"/>
      <c r="E127" s="250"/>
      <c r="F127" s="153" t="str">
        <f t="shared" si="10"/>
        <v/>
      </c>
      <c r="G127" s="256"/>
      <c r="H127" s="166">
        <f t="shared" si="13"/>
        <v>0</v>
      </c>
      <c r="I127" s="10" t="s">
        <v>20</v>
      </c>
      <c r="J127" s="11">
        <v>1.31</v>
      </c>
      <c r="K127" s="12">
        <f t="shared" si="15"/>
        <v>0</v>
      </c>
    </row>
    <row r="128" spans="1:11" hidden="1" x14ac:dyDescent="0.35">
      <c r="A128" s="103"/>
      <c r="B128" s="20" t="s">
        <v>4</v>
      </c>
      <c r="C128" s="18" t="s">
        <v>301</v>
      </c>
      <c r="D128" s="229"/>
      <c r="E128" s="250"/>
      <c r="F128" s="153" t="str">
        <f t="shared" si="10"/>
        <v/>
      </c>
      <c r="G128" s="256"/>
      <c r="H128" s="166">
        <f t="shared" si="13"/>
        <v>0</v>
      </c>
      <c r="I128" s="18" t="s">
        <v>20</v>
      </c>
      <c r="J128" s="19">
        <v>1.4039999999999999</v>
      </c>
      <c r="K128" s="12">
        <f t="shared" si="15"/>
        <v>0</v>
      </c>
    </row>
    <row r="129" spans="1:11" hidden="1" x14ac:dyDescent="0.35">
      <c r="A129" s="103"/>
      <c r="B129" s="12" t="s">
        <v>4</v>
      </c>
      <c r="C129" s="10" t="s">
        <v>302</v>
      </c>
      <c r="D129" s="152"/>
      <c r="E129" s="250"/>
      <c r="F129" s="153" t="str">
        <f t="shared" si="10"/>
        <v/>
      </c>
      <c r="G129" s="256"/>
      <c r="H129" s="166">
        <f t="shared" si="13"/>
        <v>0</v>
      </c>
      <c r="I129" s="10" t="s">
        <v>20</v>
      </c>
      <c r="J129" s="11">
        <v>1.4039999999999999</v>
      </c>
      <c r="K129" s="12">
        <f t="shared" si="15"/>
        <v>0</v>
      </c>
    </row>
    <row r="130" spans="1:11" hidden="1" x14ac:dyDescent="0.35">
      <c r="A130" s="103"/>
      <c r="B130" s="12" t="s">
        <v>4</v>
      </c>
      <c r="C130" s="10" t="s">
        <v>303</v>
      </c>
      <c r="D130" s="152"/>
      <c r="E130" s="250"/>
      <c r="F130" s="153" t="str">
        <f t="shared" si="10"/>
        <v/>
      </c>
      <c r="G130" s="256"/>
      <c r="H130" s="166">
        <f t="shared" si="13"/>
        <v>0</v>
      </c>
      <c r="I130" s="10" t="s">
        <v>20</v>
      </c>
      <c r="J130" s="11">
        <v>1.53</v>
      </c>
      <c r="K130" s="12">
        <f t="shared" si="15"/>
        <v>0</v>
      </c>
    </row>
    <row r="131" spans="1:11" hidden="1" x14ac:dyDescent="0.35">
      <c r="A131" s="103"/>
      <c r="B131" s="12" t="s">
        <v>4</v>
      </c>
      <c r="C131" s="10" t="s">
        <v>304</v>
      </c>
      <c r="D131" s="152"/>
      <c r="E131" s="250"/>
      <c r="F131" s="153" t="str">
        <f t="shared" si="10"/>
        <v/>
      </c>
      <c r="G131" s="256"/>
      <c r="H131" s="166">
        <f t="shared" si="13"/>
        <v>0</v>
      </c>
      <c r="I131" s="10" t="s">
        <v>20</v>
      </c>
      <c r="J131" s="11">
        <v>1.65</v>
      </c>
      <c r="K131" s="12">
        <f t="shared" si="15"/>
        <v>0</v>
      </c>
    </row>
    <row r="132" spans="1:11" hidden="1" x14ac:dyDescent="0.35">
      <c r="A132" s="103"/>
      <c r="B132" s="12" t="s">
        <v>4</v>
      </c>
      <c r="C132" s="10" t="s">
        <v>83</v>
      </c>
      <c r="D132" s="152"/>
      <c r="E132" s="250"/>
      <c r="F132" s="153" t="str">
        <f t="shared" si="10"/>
        <v/>
      </c>
      <c r="G132" s="256"/>
      <c r="H132" s="166">
        <f t="shared" si="13"/>
        <v>0</v>
      </c>
      <c r="I132" s="10" t="s">
        <v>20</v>
      </c>
      <c r="J132" s="11">
        <v>1.04</v>
      </c>
      <c r="K132" s="12">
        <f t="shared" si="15"/>
        <v>0</v>
      </c>
    </row>
    <row r="133" spans="1:11" hidden="1" x14ac:dyDescent="0.35">
      <c r="A133" s="103"/>
      <c r="B133" s="12" t="s">
        <v>4</v>
      </c>
      <c r="C133" s="10" t="s">
        <v>305</v>
      </c>
      <c r="D133" s="152"/>
      <c r="E133" s="250"/>
      <c r="F133" s="153" t="str">
        <f t="shared" si="10"/>
        <v/>
      </c>
      <c r="G133" s="256"/>
      <c r="H133" s="166">
        <f t="shared" si="13"/>
        <v>0</v>
      </c>
      <c r="I133" s="10" t="s">
        <v>20</v>
      </c>
      <c r="J133" s="11">
        <v>1.04</v>
      </c>
      <c r="K133" s="12">
        <f t="shared" si="15"/>
        <v>0</v>
      </c>
    </row>
    <row r="134" spans="1:11" hidden="1" x14ac:dyDescent="0.35">
      <c r="A134" s="103"/>
      <c r="B134" s="12" t="s">
        <v>4</v>
      </c>
      <c r="C134" s="10" t="s">
        <v>306</v>
      </c>
      <c r="D134" s="152"/>
      <c r="E134" s="250"/>
      <c r="F134" s="153" t="str">
        <f t="shared" si="10"/>
        <v/>
      </c>
      <c r="G134" s="256"/>
      <c r="H134" s="166">
        <f t="shared" si="13"/>
        <v>0</v>
      </c>
      <c r="I134" s="10" t="s">
        <v>20</v>
      </c>
      <c r="J134" s="11">
        <v>1.06</v>
      </c>
      <c r="K134" s="12">
        <f t="shared" si="15"/>
        <v>0</v>
      </c>
    </row>
    <row r="135" spans="1:11" hidden="1" x14ac:dyDescent="0.35">
      <c r="A135" s="103"/>
      <c r="B135" s="12" t="s">
        <v>4</v>
      </c>
      <c r="C135" s="10" t="s">
        <v>307</v>
      </c>
      <c r="D135" s="152"/>
      <c r="E135" s="250"/>
      <c r="F135" s="153" t="str">
        <f t="shared" si="10"/>
        <v/>
      </c>
      <c r="G135" s="256"/>
      <c r="H135" s="166">
        <f t="shared" si="13"/>
        <v>0</v>
      </c>
      <c r="I135" s="10" t="s">
        <v>20</v>
      </c>
      <c r="J135" s="11">
        <v>1.06</v>
      </c>
      <c r="K135" s="12">
        <f t="shared" si="15"/>
        <v>0</v>
      </c>
    </row>
    <row r="136" spans="1:11" hidden="1" x14ac:dyDescent="0.35">
      <c r="A136" s="103"/>
      <c r="B136" s="12" t="s">
        <v>4</v>
      </c>
      <c r="C136" s="10" t="s">
        <v>308</v>
      </c>
      <c r="D136" s="152"/>
      <c r="E136" s="250"/>
      <c r="F136" s="153" t="str">
        <f t="shared" si="10"/>
        <v/>
      </c>
      <c r="G136" s="256"/>
      <c r="H136" s="166">
        <f t="shared" si="13"/>
        <v>0</v>
      </c>
      <c r="I136" s="10" t="s">
        <v>20</v>
      </c>
      <c r="J136" s="11">
        <v>1.2869999999999999</v>
      </c>
      <c r="K136" s="12">
        <f t="shared" si="15"/>
        <v>0</v>
      </c>
    </row>
    <row r="137" spans="1:11" hidden="1" x14ac:dyDescent="0.35">
      <c r="A137" s="103"/>
      <c r="B137" s="12" t="s">
        <v>4</v>
      </c>
      <c r="C137" s="10" t="s">
        <v>309</v>
      </c>
      <c r="D137" s="152"/>
      <c r="E137" s="250"/>
      <c r="F137" s="153" t="str">
        <f t="shared" si="10"/>
        <v/>
      </c>
      <c r="G137" s="256"/>
      <c r="H137" s="166">
        <f t="shared" si="13"/>
        <v>0</v>
      </c>
      <c r="I137" s="10" t="s">
        <v>20</v>
      </c>
      <c r="J137" s="11">
        <v>1.59</v>
      </c>
      <c r="K137" s="12">
        <f t="shared" si="15"/>
        <v>0</v>
      </c>
    </row>
    <row r="138" spans="1:11" hidden="1" x14ac:dyDescent="0.35">
      <c r="A138" s="113" t="s">
        <v>310</v>
      </c>
      <c r="B138" s="124"/>
      <c r="C138" s="124"/>
      <c r="D138" s="230"/>
      <c r="E138" s="250"/>
      <c r="F138" s="153" t="str">
        <f t="shared" si="10"/>
        <v/>
      </c>
      <c r="G138" s="261"/>
      <c r="H138" s="166">
        <f t="shared" si="13"/>
        <v>0</v>
      </c>
      <c r="I138" s="124"/>
      <c r="J138" s="124"/>
      <c r="K138" s="273"/>
    </row>
    <row r="139" spans="1:11" hidden="1" x14ac:dyDescent="0.35">
      <c r="A139" s="103"/>
      <c r="B139" s="12" t="s">
        <v>4</v>
      </c>
      <c r="C139" s="10" t="s">
        <v>311</v>
      </c>
      <c r="D139" s="152"/>
      <c r="E139" s="250"/>
      <c r="F139" s="153" t="str">
        <f t="shared" si="10"/>
        <v/>
      </c>
      <c r="G139" s="256"/>
      <c r="H139" s="166">
        <f t="shared" si="13"/>
        <v>0</v>
      </c>
      <c r="I139" s="10" t="s">
        <v>20</v>
      </c>
      <c r="J139" s="11">
        <v>1.1000000000000001</v>
      </c>
      <c r="K139" s="12">
        <f t="shared" ref="K139:K149" si="16">G139*J139</f>
        <v>0</v>
      </c>
    </row>
    <row r="140" spans="1:11" hidden="1" x14ac:dyDescent="0.35">
      <c r="A140" s="103"/>
      <c r="B140" s="12" t="s">
        <v>4</v>
      </c>
      <c r="C140" s="10" t="s">
        <v>312</v>
      </c>
      <c r="D140" s="152"/>
      <c r="E140" s="250"/>
      <c r="F140" s="153" t="str">
        <f t="shared" si="10"/>
        <v/>
      </c>
      <c r="G140" s="256"/>
      <c r="H140" s="166">
        <f t="shared" si="13"/>
        <v>0</v>
      </c>
      <c r="I140" s="10" t="s">
        <v>20</v>
      </c>
      <c r="J140" s="11">
        <v>1.1000000000000001</v>
      </c>
      <c r="K140" s="12">
        <f t="shared" si="16"/>
        <v>0</v>
      </c>
    </row>
    <row r="141" spans="1:11" hidden="1" x14ac:dyDescent="0.35">
      <c r="A141" s="103"/>
      <c r="B141" s="12" t="s">
        <v>4</v>
      </c>
      <c r="C141" s="10" t="s">
        <v>313</v>
      </c>
      <c r="D141" s="152"/>
      <c r="E141" s="250"/>
      <c r="F141" s="153" t="str">
        <f t="shared" si="10"/>
        <v/>
      </c>
      <c r="G141" s="256"/>
      <c r="H141" s="166">
        <f t="shared" si="13"/>
        <v>0</v>
      </c>
      <c r="I141" s="10" t="s">
        <v>20</v>
      </c>
      <c r="J141" s="11">
        <v>1.3</v>
      </c>
      <c r="K141" s="12">
        <f t="shared" si="16"/>
        <v>0</v>
      </c>
    </row>
    <row r="142" spans="1:11" hidden="1" x14ac:dyDescent="0.35">
      <c r="A142" s="103"/>
      <c r="B142" s="12" t="s">
        <v>4</v>
      </c>
      <c r="C142" s="10" t="s">
        <v>314</v>
      </c>
      <c r="D142" s="152"/>
      <c r="E142" s="250"/>
      <c r="F142" s="153" t="str">
        <f t="shared" si="10"/>
        <v/>
      </c>
      <c r="G142" s="256"/>
      <c r="H142" s="166">
        <f t="shared" si="13"/>
        <v>0</v>
      </c>
      <c r="I142" s="10" t="s">
        <v>20</v>
      </c>
      <c r="J142" s="11">
        <v>1.36</v>
      </c>
      <c r="K142" s="12">
        <f t="shared" si="16"/>
        <v>0</v>
      </c>
    </row>
    <row r="143" spans="1:11" hidden="1" x14ac:dyDescent="0.35">
      <c r="A143" s="103"/>
      <c r="B143" s="12" t="s">
        <v>4</v>
      </c>
      <c r="C143" s="10" t="s">
        <v>315</v>
      </c>
      <c r="D143" s="152"/>
      <c r="E143" s="250"/>
      <c r="F143" s="153" t="str">
        <f t="shared" si="10"/>
        <v/>
      </c>
      <c r="G143" s="256"/>
      <c r="H143" s="166">
        <f t="shared" si="13"/>
        <v>0</v>
      </c>
      <c r="I143" s="10" t="s">
        <v>20</v>
      </c>
      <c r="J143" s="11">
        <v>1.3</v>
      </c>
      <c r="K143" s="12">
        <f t="shared" si="16"/>
        <v>0</v>
      </c>
    </row>
    <row r="144" spans="1:11" hidden="1" x14ac:dyDescent="0.35">
      <c r="A144" s="103"/>
      <c r="B144" s="12" t="s">
        <v>4</v>
      </c>
      <c r="C144" s="10" t="s">
        <v>316</v>
      </c>
      <c r="D144" s="152"/>
      <c r="E144" s="250"/>
      <c r="F144" s="153" t="str">
        <f t="shared" si="10"/>
        <v/>
      </c>
      <c r="G144" s="256"/>
      <c r="H144" s="166">
        <f t="shared" si="13"/>
        <v>0</v>
      </c>
      <c r="I144" s="10" t="s">
        <v>20</v>
      </c>
      <c r="J144" s="11">
        <v>1.35</v>
      </c>
      <c r="K144" s="12">
        <f t="shared" si="16"/>
        <v>0</v>
      </c>
    </row>
    <row r="145" spans="1:11" hidden="1" x14ac:dyDescent="0.35">
      <c r="A145" s="103"/>
      <c r="B145" s="12" t="s">
        <v>4</v>
      </c>
      <c r="C145" s="10" t="s">
        <v>317</v>
      </c>
      <c r="D145" s="152"/>
      <c r="E145" s="250"/>
      <c r="F145" s="153" t="str">
        <f t="shared" si="10"/>
        <v/>
      </c>
      <c r="G145" s="256"/>
      <c r="H145" s="166">
        <f t="shared" si="13"/>
        <v>0</v>
      </c>
      <c r="I145" s="10" t="s">
        <v>20</v>
      </c>
      <c r="J145" s="11">
        <v>1.28</v>
      </c>
      <c r="K145" s="12">
        <f t="shared" si="16"/>
        <v>0</v>
      </c>
    </row>
    <row r="146" spans="1:11" hidden="1" x14ac:dyDescent="0.35">
      <c r="A146" s="103"/>
      <c r="B146" s="12" t="s">
        <v>4</v>
      </c>
      <c r="C146" s="10" t="s">
        <v>318</v>
      </c>
      <c r="D146" s="152"/>
      <c r="E146" s="250"/>
      <c r="F146" s="153" t="str">
        <f t="shared" si="10"/>
        <v/>
      </c>
      <c r="G146" s="256"/>
      <c r="H146" s="166">
        <f t="shared" si="13"/>
        <v>0</v>
      </c>
      <c r="I146" s="10" t="s">
        <v>20</v>
      </c>
      <c r="J146" s="11">
        <v>1.1000000000000001</v>
      </c>
      <c r="K146" s="12">
        <f t="shared" si="16"/>
        <v>0</v>
      </c>
    </row>
    <row r="147" spans="1:11" hidden="1" x14ac:dyDescent="0.35">
      <c r="A147" s="103"/>
      <c r="B147" s="12" t="s">
        <v>4</v>
      </c>
      <c r="C147" s="10" t="s">
        <v>319</v>
      </c>
      <c r="D147" s="152"/>
      <c r="E147" s="250"/>
      <c r="F147" s="153" t="str">
        <f t="shared" si="10"/>
        <v/>
      </c>
      <c r="G147" s="256"/>
      <c r="H147" s="166">
        <f t="shared" si="13"/>
        <v>0</v>
      </c>
      <c r="I147" s="10" t="s">
        <v>20</v>
      </c>
      <c r="J147" s="11">
        <v>1.1000000000000001</v>
      </c>
      <c r="K147" s="12">
        <f t="shared" si="16"/>
        <v>0</v>
      </c>
    </row>
    <row r="148" spans="1:11" hidden="1" x14ac:dyDescent="0.35">
      <c r="A148" s="103"/>
      <c r="B148" s="12" t="s">
        <v>4</v>
      </c>
      <c r="C148" s="10" t="s">
        <v>320</v>
      </c>
      <c r="D148" s="152"/>
      <c r="E148" s="250"/>
      <c r="F148" s="153" t="str">
        <f t="shared" si="10"/>
        <v/>
      </c>
      <c r="G148" s="256"/>
      <c r="H148" s="166">
        <f t="shared" si="13"/>
        <v>0</v>
      </c>
      <c r="I148" s="10" t="s">
        <v>20</v>
      </c>
      <c r="J148" s="11">
        <v>1.1000000000000001</v>
      </c>
      <c r="K148" s="12">
        <f t="shared" si="16"/>
        <v>0</v>
      </c>
    </row>
    <row r="149" spans="1:11" hidden="1" x14ac:dyDescent="0.35">
      <c r="A149" s="103"/>
      <c r="B149" s="12" t="s">
        <v>4</v>
      </c>
      <c r="C149" s="10" t="s">
        <v>321</v>
      </c>
      <c r="D149" s="152"/>
      <c r="E149" s="250"/>
      <c r="F149" s="153" t="str">
        <f t="shared" si="10"/>
        <v/>
      </c>
      <c r="G149" s="256"/>
      <c r="H149" s="166">
        <f t="shared" si="13"/>
        <v>0</v>
      </c>
      <c r="I149" s="10" t="s">
        <v>20</v>
      </c>
      <c r="J149" s="11">
        <v>1.1000000000000001</v>
      </c>
      <c r="K149" s="12">
        <f t="shared" si="16"/>
        <v>0</v>
      </c>
    </row>
    <row r="150" spans="1:11" x14ac:dyDescent="0.35">
      <c r="A150" s="113" t="s">
        <v>41</v>
      </c>
      <c r="B150" s="124"/>
      <c r="C150" s="124"/>
      <c r="D150" s="230"/>
      <c r="E150" s="250"/>
      <c r="F150" s="165" t="str">
        <f t="shared" si="10"/>
        <v/>
      </c>
      <c r="G150" s="261"/>
      <c r="H150" s="247"/>
      <c r="I150" s="124"/>
      <c r="J150" s="124"/>
      <c r="K150" s="273"/>
    </row>
    <row r="151" spans="1:11" x14ac:dyDescent="0.35">
      <c r="A151" s="103"/>
      <c r="B151" s="12" t="s">
        <v>4</v>
      </c>
      <c r="C151" s="10" t="s">
        <v>24</v>
      </c>
      <c r="D151" s="152">
        <v>6</v>
      </c>
      <c r="E151" s="170">
        <v>6</v>
      </c>
      <c r="F151" s="153" t="str">
        <f t="shared" si="10"/>
        <v/>
      </c>
      <c r="G151" s="256"/>
      <c r="H151" s="166">
        <f t="shared" si="13"/>
        <v>6</v>
      </c>
      <c r="I151" s="10" t="s">
        <v>20</v>
      </c>
      <c r="J151" s="11">
        <v>3.04</v>
      </c>
      <c r="K151" s="12">
        <f>H151*J151</f>
        <v>18.240000000000002</v>
      </c>
    </row>
    <row r="152" spans="1:11" x14ac:dyDescent="0.35">
      <c r="A152" s="103"/>
      <c r="B152" s="12" t="s">
        <v>4</v>
      </c>
      <c r="C152" s="10" t="s">
        <v>80</v>
      </c>
      <c r="D152" s="152">
        <v>18</v>
      </c>
      <c r="E152" s="170">
        <v>9</v>
      </c>
      <c r="F152" s="153">
        <f t="shared" si="10"/>
        <v>9</v>
      </c>
      <c r="G152" s="256"/>
      <c r="H152" s="166">
        <f t="shared" si="13"/>
        <v>18</v>
      </c>
      <c r="I152" s="10" t="s">
        <v>20</v>
      </c>
      <c r="J152" s="11">
        <v>2.31</v>
      </c>
      <c r="K152" s="12">
        <f t="shared" ref="K152:K168" si="17">H152*J152</f>
        <v>41.58</v>
      </c>
    </row>
    <row r="153" spans="1:11" x14ac:dyDescent="0.35">
      <c r="A153" s="103"/>
      <c r="B153" s="12" t="s">
        <v>4</v>
      </c>
      <c r="C153" s="10" t="s">
        <v>84</v>
      </c>
      <c r="D153" s="152">
        <v>12</v>
      </c>
      <c r="E153" s="170">
        <v>8</v>
      </c>
      <c r="F153" s="153">
        <f t="shared" ref="F153:F219" si="18">IF(E153="","",IF(D153-E153&gt;0,D153-E153,""))</f>
        <v>4</v>
      </c>
      <c r="G153" s="256"/>
      <c r="H153" s="166">
        <f t="shared" si="13"/>
        <v>12</v>
      </c>
      <c r="I153" s="10" t="s">
        <v>20</v>
      </c>
      <c r="J153" s="11">
        <v>2.31</v>
      </c>
      <c r="K153" s="12">
        <f t="shared" si="17"/>
        <v>27.72</v>
      </c>
    </row>
    <row r="154" spans="1:11" hidden="1" x14ac:dyDescent="0.35">
      <c r="A154" s="103"/>
      <c r="B154" s="12" t="s">
        <v>4</v>
      </c>
      <c r="C154" s="10" t="s">
        <v>394</v>
      </c>
      <c r="D154" s="152"/>
      <c r="E154" s="170"/>
      <c r="F154" s="153" t="str">
        <f t="shared" si="18"/>
        <v/>
      </c>
      <c r="G154" s="256"/>
      <c r="H154" s="166">
        <f t="shared" si="13"/>
        <v>0</v>
      </c>
      <c r="I154" s="10" t="s">
        <v>20</v>
      </c>
      <c r="J154" s="11">
        <v>2.54</v>
      </c>
      <c r="K154" s="12">
        <f t="shared" si="17"/>
        <v>0</v>
      </c>
    </row>
    <row r="155" spans="1:11" hidden="1" x14ac:dyDescent="0.35">
      <c r="A155" s="103"/>
      <c r="B155" s="12" t="s">
        <v>4</v>
      </c>
      <c r="C155" s="10" t="s">
        <v>394</v>
      </c>
      <c r="D155" s="152"/>
      <c r="E155" s="170"/>
      <c r="F155" s="153" t="str">
        <f t="shared" si="18"/>
        <v/>
      </c>
      <c r="G155" s="256"/>
      <c r="H155" s="166">
        <f t="shared" si="13"/>
        <v>0</v>
      </c>
      <c r="I155" s="10" t="s">
        <v>20</v>
      </c>
      <c r="J155" s="11">
        <v>2.54</v>
      </c>
      <c r="K155" s="12">
        <f t="shared" si="17"/>
        <v>0</v>
      </c>
    </row>
    <row r="156" spans="1:11" x14ac:dyDescent="0.35">
      <c r="A156" s="103"/>
      <c r="B156" s="12" t="s">
        <v>4</v>
      </c>
      <c r="C156" s="10" t="s">
        <v>25</v>
      </c>
      <c r="D156" s="152">
        <v>6</v>
      </c>
      <c r="E156" s="170">
        <v>6</v>
      </c>
      <c r="F156" s="153" t="str">
        <f t="shared" si="18"/>
        <v/>
      </c>
      <c r="G156" s="256"/>
      <c r="H156" s="166">
        <f t="shared" si="13"/>
        <v>6</v>
      </c>
      <c r="I156" s="10" t="s">
        <v>20</v>
      </c>
      <c r="J156" s="11">
        <v>1.79</v>
      </c>
      <c r="K156" s="12">
        <f t="shared" si="17"/>
        <v>10.74</v>
      </c>
    </row>
    <row r="157" spans="1:11" hidden="1" x14ac:dyDescent="0.35">
      <c r="A157" s="103"/>
      <c r="B157" s="12" t="s">
        <v>4</v>
      </c>
      <c r="C157" s="10" t="s">
        <v>322</v>
      </c>
      <c r="D157" s="152"/>
      <c r="E157" s="170"/>
      <c r="F157" s="153" t="str">
        <f t="shared" si="18"/>
        <v/>
      </c>
      <c r="G157" s="256"/>
      <c r="H157" s="166">
        <f t="shared" si="13"/>
        <v>0</v>
      </c>
      <c r="I157" s="10" t="s">
        <v>20</v>
      </c>
      <c r="J157" s="11">
        <v>2.46</v>
      </c>
      <c r="K157" s="12">
        <f t="shared" si="17"/>
        <v>0</v>
      </c>
    </row>
    <row r="158" spans="1:11" x14ac:dyDescent="0.35">
      <c r="A158" s="103"/>
      <c r="B158" s="12" t="s">
        <v>4</v>
      </c>
      <c r="C158" s="10" t="s">
        <v>393</v>
      </c>
      <c r="D158" s="152">
        <v>18</v>
      </c>
      <c r="E158" s="170">
        <v>14</v>
      </c>
      <c r="F158" s="153">
        <f t="shared" si="18"/>
        <v>4</v>
      </c>
      <c r="G158" s="256"/>
      <c r="H158" s="166">
        <f t="shared" si="13"/>
        <v>18</v>
      </c>
      <c r="I158" s="10" t="s">
        <v>20</v>
      </c>
      <c r="J158" s="11">
        <v>2.46</v>
      </c>
      <c r="K158" s="12">
        <f t="shared" si="17"/>
        <v>44.28</v>
      </c>
    </row>
    <row r="159" spans="1:11" hidden="1" x14ac:dyDescent="0.35">
      <c r="A159" s="103"/>
      <c r="B159" s="12" t="s">
        <v>4</v>
      </c>
      <c r="C159" s="10" t="s">
        <v>43</v>
      </c>
      <c r="D159" s="152"/>
      <c r="E159" s="170"/>
      <c r="F159" s="153" t="str">
        <f t="shared" si="18"/>
        <v/>
      </c>
      <c r="G159" s="256"/>
      <c r="H159" s="166">
        <f t="shared" si="13"/>
        <v>0</v>
      </c>
      <c r="I159" s="10" t="s">
        <v>20</v>
      </c>
      <c r="J159" s="11">
        <v>2.5499999999999998</v>
      </c>
      <c r="K159" s="12">
        <f t="shared" si="17"/>
        <v>0</v>
      </c>
    </row>
    <row r="160" spans="1:11" x14ac:dyDescent="0.35">
      <c r="A160" s="103"/>
      <c r="B160" s="12" t="s">
        <v>4</v>
      </c>
      <c r="C160" s="10" t="s">
        <v>81</v>
      </c>
      <c r="D160" s="152">
        <v>12</v>
      </c>
      <c r="E160" s="170">
        <v>11</v>
      </c>
      <c r="F160" s="153">
        <f t="shared" si="18"/>
        <v>1</v>
      </c>
      <c r="G160" s="256">
        <v>9</v>
      </c>
      <c r="H160" s="166">
        <f t="shared" si="13"/>
        <v>3</v>
      </c>
      <c r="I160" s="10" t="s">
        <v>20</v>
      </c>
      <c r="J160" s="11">
        <v>1.51</v>
      </c>
      <c r="K160" s="12">
        <f t="shared" si="17"/>
        <v>4.53</v>
      </c>
    </row>
    <row r="161" spans="1:11" x14ac:dyDescent="0.35">
      <c r="A161" s="103"/>
      <c r="B161" s="12" t="s">
        <v>4</v>
      </c>
      <c r="C161" s="10" t="s">
        <v>82</v>
      </c>
      <c r="D161" s="152">
        <v>18</v>
      </c>
      <c r="E161" s="170">
        <v>7</v>
      </c>
      <c r="F161" s="153">
        <f t="shared" si="18"/>
        <v>11</v>
      </c>
      <c r="G161" s="256"/>
      <c r="H161" s="166">
        <f t="shared" si="13"/>
        <v>18</v>
      </c>
      <c r="I161" s="10" t="s">
        <v>20</v>
      </c>
      <c r="J161" s="11">
        <v>1.51</v>
      </c>
      <c r="K161" s="12">
        <f t="shared" si="17"/>
        <v>27.18</v>
      </c>
    </row>
    <row r="162" spans="1:11" hidden="1" x14ac:dyDescent="0.35">
      <c r="A162" s="103"/>
      <c r="B162" s="12" t="s">
        <v>4</v>
      </c>
      <c r="C162" s="10" t="s">
        <v>323</v>
      </c>
      <c r="D162" s="152"/>
      <c r="E162" s="170"/>
      <c r="F162" s="153" t="str">
        <f t="shared" si="18"/>
        <v/>
      </c>
      <c r="G162" s="256"/>
      <c r="H162" s="166">
        <f t="shared" si="13"/>
        <v>0</v>
      </c>
      <c r="I162" s="10" t="s">
        <v>20</v>
      </c>
      <c r="J162" s="11">
        <v>1.54</v>
      </c>
      <c r="K162" s="12">
        <f t="shared" si="17"/>
        <v>0</v>
      </c>
    </row>
    <row r="163" spans="1:11" hidden="1" x14ac:dyDescent="0.35">
      <c r="A163" s="103"/>
      <c r="B163" s="12" t="s">
        <v>4</v>
      </c>
      <c r="C163" s="10" t="s">
        <v>324</v>
      </c>
      <c r="D163" s="152"/>
      <c r="E163" s="170"/>
      <c r="F163" s="153" t="str">
        <f t="shared" si="18"/>
        <v/>
      </c>
      <c r="G163" s="256"/>
      <c r="H163" s="166">
        <f t="shared" si="13"/>
        <v>0</v>
      </c>
      <c r="I163" s="10" t="s">
        <v>20</v>
      </c>
      <c r="J163" s="11">
        <v>1.6</v>
      </c>
      <c r="K163" s="12">
        <f t="shared" si="17"/>
        <v>0</v>
      </c>
    </row>
    <row r="164" spans="1:11" hidden="1" x14ac:dyDescent="0.35">
      <c r="A164" s="103"/>
      <c r="B164" s="12" t="s">
        <v>4</v>
      </c>
      <c r="C164" s="78" t="s">
        <v>325</v>
      </c>
      <c r="D164" s="224"/>
      <c r="E164" s="170"/>
      <c r="F164" s="153" t="str">
        <f t="shared" si="18"/>
        <v/>
      </c>
      <c r="G164" s="256"/>
      <c r="H164" s="166">
        <f t="shared" si="13"/>
        <v>0</v>
      </c>
      <c r="I164" s="10" t="s">
        <v>20</v>
      </c>
      <c r="J164" s="79">
        <v>49.95</v>
      </c>
      <c r="K164" s="12">
        <f t="shared" si="17"/>
        <v>0</v>
      </c>
    </row>
    <row r="165" spans="1:11" x14ac:dyDescent="0.35">
      <c r="A165" s="113" t="s">
        <v>44</v>
      </c>
      <c r="B165" s="124"/>
      <c r="C165" s="124"/>
      <c r="D165" s="230"/>
      <c r="E165" s="250"/>
      <c r="F165" s="165" t="str">
        <f t="shared" si="18"/>
        <v/>
      </c>
      <c r="G165" s="261"/>
      <c r="H165" s="247"/>
      <c r="I165" s="124"/>
      <c r="J165" s="124"/>
      <c r="K165" s="270"/>
    </row>
    <row r="166" spans="1:11" x14ac:dyDescent="0.35">
      <c r="A166" s="103"/>
      <c r="B166" s="12" t="s">
        <v>4</v>
      </c>
      <c r="C166" s="10" t="s">
        <v>48</v>
      </c>
      <c r="D166" s="152">
        <v>48</v>
      </c>
      <c r="E166" s="170">
        <v>35</v>
      </c>
      <c r="F166" s="153">
        <f t="shared" si="18"/>
        <v>13</v>
      </c>
      <c r="G166" s="256"/>
      <c r="H166" s="166">
        <f t="shared" si="13"/>
        <v>48</v>
      </c>
      <c r="I166" s="10" t="s">
        <v>20</v>
      </c>
      <c r="J166" s="11">
        <v>1.94</v>
      </c>
      <c r="K166" s="12">
        <f t="shared" si="17"/>
        <v>93.12</v>
      </c>
    </row>
    <row r="167" spans="1:11" x14ac:dyDescent="0.35">
      <c r="A167" s="103"/>
      <c r="B167" s="12" t="s">
        <v>4</v>
      </c>
      <c r="C167" s="10" t="s">
        <v>49</v>
      </c>
      <c r="D167" s="152">
        <v>24</v>
      </c>
      <c r="E167" s="170">
        <v>18</v>
      </c>
      <c r="F167" s="153">
        <f t="shared" si="18"/>
        <v>6</v>
      </c>
      <c r="G167" s="256"/>
      <c r="H167" s="166">
        <f t="shared" si="13"/>
        <v>24</v>
      </c>
      <c r="I167" s="10" t="s">
        <v>20</v>
      </c>
      <c r="J167" s="11">
        <v>1.94</v>
      </c>
      <c r="K167" s="12">
        <f t="shared" si="17"/>
        <v>46.56</v>
      </c>
    </row>
    <row r="168" spans="1:11" x14ac:dyDescent="0.35">
      <c r="A168" s="103"/>
      <c r="B168" s="12" t="s">
        <v>4</v>
      </c>
      <c r="C168" s="10" t="s">
        <v>50</v>
      </c>
      <c r="D168" s="152">
        <v>24</v>
      </c>
      <c r="E168" s="170">
        <v>18</v>
      </c>
      <c r="F168" s="153">
        <f t="shared" si="18"/>
        <v>6</v>
      </c>
      <c r="G168" s="256"/>
      <c r="H168" s="166">
        <f t="shared" si="13"/>
        <v>24</v>
      </c>
      <c r="I168" s="10" t="s">
        <v>20</v>
      </c>
      <c r="J168" s="11">
        <v>1.94</v>
      </c>
      <c r="K168" s="12">
        <f t="shared" si="17"/>
        <v>46.56</v>
      </c>
    </row>
    <row r="169" spans="1:11" x14ac:dyDescent="0.35">
      <c r="A169" s="103"/>
      <c r="B169" s="12" t="s">
        <v>4</v>
      </c>
      <c r="C169" s="10" t="s">
        <v>415</v>
      </c>
      <c r="D169" s="152">
        <v>48</v>
      </c>
      <c r="E169" s="170">
        <v>16</v>
      </c>
      <c r="F169" s="153">
        <f t="shared" si="18"/>
        <v>32</v>
      </c>
      <c r="G169" s="256"/>
      <c r="H169" s="166">
        <f t="shared" si="13"/>
        <v>48</v>
      </c>
      <c r="I169" s="10" t="s">
        <v>20</v>
      </c>
      <c r="J169" s="11">
        <v>1.98</v>
      </c>
      <c r="K169" s="12">
        <f t="shared" ref="K169:K175" si="19">G169*J169</f>
        <v>0</v>
      </c>
    </row>
    <row r="170" spans="1:11" x14ac:dyDescent="0.35">
      <c r="A170" s="103"/>
      <c r="B170" s="12" t="s">
        <v>4</v>
      </c>
      <c r="C170" s="10" t="s">
        <v>414</v>
      </c>
      <c r="D170" s="152">
        <v>48</v>
      </c>
      <c r="E170" s="170">
        <v>68</v>
      </c>
      <c r="F170" s="153" t="str">
        <f t="shared" si="18"/>
        <v/>
      </c>
      <c r="G170" s="256"/>
      <c r="H170" s="166">
        <f t="shared" si="13"/>
        <v>68</v>
      </c>
      <c r="I170" s="10" t="s">
        <v>20</v>
      </c>
      <c r="J170" s="11">
        <v>1.98</v>
      </c>
      <c r="K170" s="12">
        <f t="shared" si="19"/>
        <v>0</v>
      </c>
    </row>
    <row r="171" spans="1:11" hidden="1" x14ac:dyDescent="0.35">
      <c r="A171" s="103"/>
      <c r="B171" s="12" t="s">
        <v>4</v>
      </c>
      <c r="C171" s="10" t="s">
        <v>415</v>
      </c>
      <c r="D171" s="152"/>
      <c r="E171" s="170"/>
      <c r="F171" s="153" t="str">
        <f t="shared" si="18"/>
        <v/>
      </c>
      <c r="G171" s="256"/>
      <c r="H171" s="166">
        <f t="shared" si="13"/>
        <v>0</v>
      </c>
      <c r="I171" s="10" t="s">
        <v>20</v>
      </c>
      <c r="J171" s="11">
        <v>1.98</v>
      </c>
      <c r="K171" s="12">
        <f t="shared" si="19"/>
        <v>0</v>
      </c>
    </row>
    <row r="172" spans="1:11" hidden="1" x14ac:dyDescent="0.35">
      <c r="A172" s="103"/>
      <c r="B172" s="12" t="s">
        <v>4</v>
      </c>
      <c r="C172" s="10" t="s">
        <v>432</v>
      </c>
      <c r="D172" s="152"/>
      <c r="E172" s="170"/>
      <c r="F172" s="153" t="str">
        <f t="shared" si="18"/>
        <v/>
      </c>
      <c r="G172" s="256"/>
      <c r="H172" s="166">
        <f t="shared" si="13"/>
        <v>0</v>
      </c>
      <c r="I172" s="10" t="s">
        <v>20</v>
      </c>
      <c r="J172" s="11">
        <v>1.98</v>
      </c>
      <c r="K172" s="12">
        <f t="shared" si="19"/>
        <v>0</v>
      </c>
    </row>
    <row r="173" spans="1:11" hidden="1" x14ac:dyDescent="0.35">
      <c r="A173" s="103"/>
      <c r="B173" s="40" t="s">
        <v>4</v>
      </c>
      <c r="C173" s="41" t="s">
        <v>330</v>
      </c>
      <c r="D173" s="227"/>
      <c r="E173" s="170"/>
      <c r="F173" s="153" t="str">
        <f t="shared" si="18"/>
        <v/>
      </c>
      <c r="G173" s="256"/>
      <c r="H173" s="166">
        <f t="shared" si="13"/>
        <v>0</v>
      </c>
      <c r="I173" s="10" t="s">
        <v>20</v>
      </c>
      <c r="J173" s="11">
        <v>1.98</v>
      </c>
      <c r="K173" s="12">
        <f t="shared" si="19"/>
        <v>0</v>
      </c>
    </row>
    <row r="174" spans="1:11" hidden="1" x14ac:dyDescent="0.35">
      <c r="A174" s="103"/>
      <c r="B174" s="40" t="s">
        <v>4</v>
      </c>
      <c r="C174" s="41" t="s">
        <v>331</v>
      </c>
      <c r="D174" s="227"/>
      <c r="E174" s="170"/>
      <c r="F174" s="153" t="str">
        <f t="shared" si="18"/>
        <v/>
      </c>
      <c r="G174" s="256"/>
      <c r="H174" s="166">
        <f t="shared" si="13"/>
        <v>0</v>
      </c>
      <c r="I174" s="10" t="s">
        <v>20</v>
      </c>
      <c r="J174" s="11">
        <v>1.98</v>
      </c>
      <c r="K174" s="12">
        <f t="shared" si="19"/>
        <v>0</v>
      </c>
    </row>
    <row r="175" spans="1:11" x14ac:dyDescent="0.35">
      <c r="A175" s="103"/>
      <c r="B175" s="40" t="s">
        <v>4</v>
      </c>
      <c r="C175" s="41" t="s">
        <v>413</v>
      </c>
      <c r="D175" s="227">
        <v>48</v>
      </c>
      <c r="E175" s="170">
        <v>39</v>
      </c>
      <c r="F175" s="153">
        <f t="shared" si="18"/>
        <v>9</v>
      </c>
      <c r="G175" s="256"/>
      <c r="H175" s="166">
        <f t="shared" ref="H175:H240" si="20">IF(ISNUMBER(E175),E175,0)+IF(ISNUMBER(F175),F175,0)-IF(ISNUMBER(G175),G175,0)</f>
        <v>48</v>
      </c>
      <c r="I175" s="41" t="s">
        <v>20</v>
      </c>
      <c r="J175" s="42">
        <v>1.98</v>
      </c>
      <c r="K175" s="12">
        <f t="shared" si="19"/>
        <v>0</v>
      </c>
    </row>
    <row r="176" spans="1:11" ht="15.5" hidden="1" x14ac:dyDescent="0.35">
      <c r="A176" s="114" t="s">
        <v>333</v>
      </c>
      <c r="B176" s="120"/>
      <c r="C176" s="120"/>
      <c r="D176" s="228"/>
      <c r="E176" s="170"/>
      <c r="F176" s="153" t="str">
        <f t="shared" si="18"/>
        <v/>
      </c>
      <c r="G176" s="292"/>
      <c r="H176" s="166">
        <f t="shared" si="20"/>
        <v>0</v>
      </c>
      <c r="I176" s="121"/>
      <c r="J176" s="122" t="s">
        <v>18</v>
      </c>
      <c r="K176" s="274">
        <f>SUM(K177:K186)</f>
        <v>0</v>
      </c>
    </row>
    <row r="177" spans="1:11" hidden="1" x14ac:dyDescent="0.35">
      <c r="A177" s="103"/>
      <c r="B177" s="12" t="s">
        <v>26</v>
      </c>
      <c r="C177" s="10" t="s">
        <v>334</v>
      </c>
      <c r="D177" s="152"/>
      <c r="E177" s="170"/>
      <c r="F177" s="153" t="str">
        <f t="shared" si="18"/>
        <v/>
      </c>
      <c r="G177" s="256"/>
      <c r="H177" s="166">
        <f t="shared" si="20"/>
        <v>0</v>
      </c>
      <c r="I177" s="10" t="s">
        <v>335</v>
      </c>
      <c r="J177" s="11">
        <v>20</v>
      </c>
      <c r="K177" s="12">
        <f t="shared" ref="K177:K186" si="21">G177*J177</f>
        <v>0</v>
      </c>
    </row>
    <row r="178" spans="1:11" hidden="1" x14ac:dyDescent="0.35">
      <c r="A178" s="103"/>
      <c r="B178" s="20" t="s">
        <v>26</v>
      </c>
      <c r="C178" s="18" t="s">
        <v>53</v>
      </c>
      <c r="D178" s="229"/>
      <c r="E178" s="170"/>
      <c r="F178" s="153" t="str">
        <f t="shared" si="18"/>
        <v/>
      </c>
      <c r="G178" s="256"/>
      <c r="H178" s="166">
        <f t="shared" si="20"/>
        <v>0</v>
      </c>
      <c r="I178" s="18" t="s">
        <v>20</v>
      </c>
      <c r="J178" s="19">
        <v>0.43</v>
      </c>
      <c r="K178" s="20">
        <f t="shared" si="21"/>
        <v>0</v>
      </c>
    </row>
    <row r="179" spans="1:11" hidden="1" x14ac:dyDescent="0.35">
      <c r="A179" s="103"/>
      <c r="B179" s="20" t="s">
        <v>26</v>
      </c>
      <c r="C179" s="18" t="s">
        <v>336</v>
      </c>
      <c r="D179" s="229"/>
      <c r="E179" s="170"/>
      <c r="F179" s="153" t="str">
        <f t="shared" si="18"/>
        <v/>
      </c>
      <c r="G179" s="256"/>
      <c r="H179" s="166">
        <f t="shared" si="20"/>
        <v>0</v>
      </c>
      <c r="I179" s="18" t="s">
        <v>20</v>
      </c>
      <c r="J179" s="19">
        <v>0.43</v>
      </c>
      <c r="K179" s="20">
        <f t="shared" si="21"/>
        <v>0</v>
      </c>
    </row>
    <row r="180" spans="1:11" hidden="1" x14ac:dyDescent="0.35">
      <c r="A180" s="103"/>
      <c r="B180" s="12" t="s">
        <v>26</v>
      </c>
      <c r="C180" s="10" t="s">
        <v>337</v>
      </c>
      <c r="D180" s="152"/>
      <c r="E180" s="170"/>
      <c r="F180" s="153" t="str">
        <f t="shared" si="18"/>
        <v/>
      </c>
      <c r="G180" s="256"/>
      <c r="H180" s="166">
        <f t="shared" si="20"/>
        <v>0</v>
      </c>
      <c r="I180" s="10" t="s">
        <v>20</v>
      </c>
      <c r="J180" s="11">
        <v>0.43</v>
      </c>
      <c r="K180" s="12">
        <f t="shared" si="21"/>
        <v>0</v>
      </c>
    </row>
    <row r="181" spans="1:11" hidden="1" x14ac:dyDescent="0.35">
      <c r="A181" s="103"/>
      <c r="B181" s="12" t="s">
        <v>26</v>
      </c>
      <c r="C181" s="10" t="s">
        <v>51</v>
      </c>
      <c r="D181" s="152"/>
      <c r="E181" s="170"/>
      <c r="F181" s="153" t="str">
        <f t="shared" si="18"/>
        <v/>
      </c>
      <c r="G181" s="256"/>
      <c r="H181" s="166">
        <f t="shared" si="20"/>
        <v>0</v>
      </c>
      <c r="I181" s="10" t="s">
        <v>61</v>
      </c>
      <c r="J181" s="11">
        <v>14</v>
      </c>
      <c r="K181" s="12">
        <f t="shared" si="21"/>
        <v>0</v>
      </c>
    </row>
    <row r="182" spans="1:11" hidden="1" x14ac:dyDescent="0.35">
      <c r="A182" s="103"/>
      <c r="B182" s="12" t="s">
        <v>26</v>
      </c>
      <c r="C182" s="10" t="s">
        <v>338</v>
      </c>
      <c r="D182" s="152"/>
      <c r="E182" s="170"/>
      <c r="F182" s="153" t="str">
        <f t="shared" si="18"/>
        <v/>
      </c>
      <c r="G182" s="256"/>
      <c r="H182" s="166">
        <f t="shared" si="20"/>
        <v>0</v>
      </c>
      <c r="I182" s="10" t="s">
        <v>61</v>
      </c>
      <c r="J182" s="11">
        <v>14.78</v>
      </c>
      <c r="K182" s="12">
        <f t="shared" si="21"/>
        <v>0</v>
      </c>
    </row>
    <row r="183" spans="1:11" hidden="1" x14ac:dyDescent="0.35">
      <c r="A183" s="103"/>
      <c r="B183" s="12" t="s">
        <v>26</v>
      </c>
      <c r="C183" s="10" t="s">
        <v>339</v>
      </c>
      <c r="D183" s="152"/>
      <c r="E183" s="170"/>
      <c r="F183" s="153" t="str">
        <f t="shared" si="18"/>
        <v/>
      </c>
      <c r="G183" s="256"/>
      <c r="H183" s="166">
        <f t="shared" si="20"/>
        <v>0</v>
      </c>
      <c r="I183" s="10" t="s">
        <v>61</v>
      </c>
      <c r="J183" s="11">
        <v>14.78</v>
      </c>
      <c r="K183" s="12">
        <f t="shared" si="21"/>
        <v>0</v>
      </c>
    </row>
    <row r="184" spans="1:11" hidden="1" x14ac:dyDescent="0.35">
      <c r="A184" s="103"/>
      <c r="B184" s="12" t="s">
        <v>26</v>
      </c>
      <c r="C184" s="10" t="s">
        <v>340</v>
      </c>
      <c r="D184" s="152"/>
      <c r="E184" s="170"/>
      <c r="F184" s="153" t="str">
        <f t="shared" si="18"/>
        <v/>
      </c>
      <c r="G184" s="256"/>
      <c r="H184" s="166">
        <f t="shared" si="20"/>
        <v>0</v>
      </c>
      <c r="I184" s="10" t="s">
        <v>61</v>
      </c>
      <c r="J184" s="11">
        <v>14.78</v>
      </c>
      <c r="K184" s="12">
        <f t="shared" si="21"/>
        <v>0</v>
      </c>
    </row>
    <row r="185" spans="1:11" hidden="1" x14ac:dyDescent="0.35">
      <c r="A185" s="103"/>
      <c r="B185" s="12" t="s">
        <v>26</v>
      </c>
      <c r="C185" s="10" t="s">
        <v>341</v>
      </c>
      <c r="D185" s="152"/>
      <c r="E185" s="170"/>
      <c r="F185" s="153" t="str">
        <f t="shared" si="18"/>
        <v/>
      </c>
      <c r="G185" s="256"/>
      <c r="H185" s="166">
        <f t="shared" si="20"/>
        <v>0</v>
      </c>
      <c r="I185" s="10" t="s">
        <v>61</v>
      </c>
      <c r="J185" s="11">
        <v>14.78</v>
      </c>
      <c r="K185" s="12">
        <f t="shared" si="21"/>
        <v>0</v>
      </c>
    </row>
    <row r="186" spans="1:11" hidden="1" x14ac:dyDescent="0.35">
      <c r="A186" s="103"/>
      <c r="B186" s="12" t="s">
        <v>26</v>
      </c>
      <c r="C186" s="10" t="s">
        <v>342</v>
      </c>
      <c r="D186" s="152"/>
      <c r="E186" s="170"/>
      <c r="F186" s="153" t="str">
        <f t="shared" si="18"/>
        <v/>
      </c>
      <c r="G186" s="256"/>
      <c r="H186" s="166">
        <f t="shared" si="20"/>
        <v>0</v>
      </c>
      <c r="I186" s="10" t="s">
        <v>61</v>
      </c>
      <c r="J186" s="11">
        <v>14.78</v>
      </c>
      <c r="K186" s="10">
        <f t="shared" si="21"/>
        <v>0</v>
      </c>
    </row>
    <row r="187" spans="1:11" ht="15.5" x14ac:dyDescent="0.35">
      <c r="A187" s="108" t="s">
        <v>343</v>
      </c>
      <c r="B187" s="108"/>
      <c r="C187" s="108"/>
      <c r="D187" s="223"/>
      <c r="E187" s="250"/>
      <c r="F187" s="165" t="str">
        <f t="shared" si="18"/>
        <v/>
      </c>
      <c r="G187" s="186"/>
      <c r="H187" s="247"/>
      <c r="I187" s="108"/>
      <c r="J187" s="106" t="s">
        <v>18</v>
      </c>
      <c r="K187" s="269">
        <f>SUM(K188:K192)</f>
        <v>131.28</v>
      </c>
    </row>
    <row r="188" spans="1:11" hidden="1" x14ac:dyDescent="0.35">
      <c r="A188" s="103"/>
      <c r="B188" s="7" t="s">
        <v>6</v>
      </c>
      <c r="C188" s="14" t="s">
        <v>344</v>
      </c>
      <c r="D188" s="152"/>
      <c r="E188" s="170"/>
      <c r="F188" s="153" t="str">
        <f t="shared" si="18"/>
        <v/>
      </c>
      <c r="G188" s="256"/>
      <c r="H188" s="166">
        <f t="shared" si="20"/>
        <v>0</v>
      </c>
      <c r="I188" s="14" t="s">
        <v>20</v>
      </c>
      <c r="J188" s="35">
        <v>0.79</v>
      </c>
      <c r="K188" s="7">
        <f>G188*J188</f>
        <v>0</v>
      </c>
    </row>
    <row r="189" spans="1:11" x14ac:dyDescent="0.35">
      <c r="A189" s="103"/>
      <c r="B189" s="7" t="s">
        <v>6</v>
      </c>
      <c r="C189" s="14" t="s">
        <v>345</v>
      </c>
      <c r="D189" s="152">
        <v>30</v>
      </c>
      <c r="E189" s="170">
        <v>20</v>
      </c>
      <c r="F189" s="153">
        <f t="shared" si="18"/>
        <v>10</v>
      </c>
      <c r="G189" s="256">
        <v>2</v>
      </c>
      <c r="H189" s="166">
        <f t="shared" si="20"/>
        <v>28</v>
      </c>
      <c r="I189" s="14" t="s">
        <v>20</v>
      </c>
      <c r="J189" s="35">
        <v>2.76</v>
      </c>
      <c r="K189" s="7">
        <f>H189*J189</f>
        <v>77.28</v>
      </c>
    </row>
    <row r="190" spans="1:11" x14ac:dyDescent="0.35">
      <c r="A190" s="103"/>
      <c r="B190" s="7" t="s">
        <v>6</v>
      </c>
      <c r="C190" s="14" t="s">
        <v>346</v>
      </c>
      <c r="D190" s="152"/>
      <c r="E190" s="170"/>
      <c r="F190" s="153" t="str">
        <f t="shared" si="18"/>
        <v/>
      </c>
      <c r="G190" s="256"/>
      <c r="H190" s="166">
        <f t="shared" si="20"/>
        <v>0</v>
      </c>
      <c r="I190" s="14" t="s">
        <v>20</v>
      </c>
      <c r="J190" s="35">
        <v>1</v>
      </c>
      <c r="K190" s="7">
        <f t="shared" ref="K190:K192" si="22">H190*J190</f>
        <v>0</v>
      </c>
    </row>
    <row r="191" spans="1:11" x14ac:dyDescent="0.35">
      <c r="A191" s="103"/>
      <c r="B191" s="7" t="s">
        <v>6</v>
      </c>
      <c r="C191" s="14" t="s">
        <v>34</v>
      </c>
      <c r="D191" s="152">
        <v>20</v>
      </c>
      <c r="E191" s="170">
        <v>10</v>
      </c>
      <c r="F191" s="153">
        <f t="shared" si="18"/>
        <v>10</v>
      </c>
      <c r="G191" s="256"/>
      <c r="H191" s="166">
        <f t="shared" si="20"/>
        <v>20</v>
      </c>
      <c r="I191" s="14" t="s">
        <v>20</v>
      </c>
      <c r="J191" s="35">
        <v>1.8</v>
      </c>
      <c r="K191" s="7">
        <f t="shared" si="22"/>
        <v>36</v>
      </c>
    </row>
    <row r="192" spans="1:11" x14ac:dyDescent="0.35">
      <c r="A192" s="103"/>
      <c r="B192" s="7" t="s">
        <v>6</v>
      </c>
      <c r="C192" s="14" t="s">
        <v>35</v>
      </c>
      <c r="D192" s="152">
        <v>20</v>
      </c>
      <c r="E192" s="170">
        <v>6</v>
      </c>
      <c r="F192" s="153">
        <f t="shared" si="18"/>
        <v>14</v>
      </c>
      <c r="G192" s="256">
        <v>10</v>
      </c>
      <c r="H192" s="166">
        <f t="shared" si="20"/>
        <v>10</v>
      </c>
      <c r="I192" s="14" t="s">
        <v>20</v>
      </c>
      <c r="J192" s="35">
        <v>1.8</v>
      </c>
      <c r="K192" s="7">
        <f t="shared" si="22"/>
        <v>18</v>
      </c>
    </row>
    <row r="193" spans="1:11" ht="15.5" hidden="1" x14ac:dyDescent="0.35">
      <c r="A193" s="112" t="s">
        <v>347</v>
      </c>
      <c r="B193" s="116"/>
      <c r="C193" s="116"/>
      <c r="D193" s="228"/>
      <c r="E193" s="250"/>
      <c r="F193" s="165" t="str">
        <f t="shared" si="18"/>
        <v/>
      </c>
      <c r="G193" s="260"/>
      <c r="H193" s="247"/>
      <c r="I193" s="117"/>
      <c r="J193" s="118" t="s">
        <v>18</v>
      </c>
      <c r="K193" s="275">
        <f>SUM(K194:K194)</f>
        <v>0</v>
      </c>
    </row>
    <row r="194" spans="1:11" hidden="1" x14ac:dyDescent="0.35">
      <c r="A194" s="103"/>
      <c r="B194" s="12" t="s">
        <v>5</v>
      </c>
      <c r="C194" s="10" t="s">
        <v>55</v>
      </c>
      <c r="D194" s="152"/>
      <c r="E194" s="170"/>
      <c r="F194" s="153" t="str">
        <f t="shared" si="18"/>
        <v/>
      </c>
      <c r="G194" s="256"/>
      <c r="H194" s="166">
        <f t="shared" si="20"/>
        <v>0</v>
      </c>
      <c r="I194" s="10" t="s">
        <v>20</v>
      </c>
      <c r="J194" s="11">
        <v>1.01</v>
      </c>
      <c r="K194" s="12">
        <f>H194*J194</f>
        <v>0</v>
      </c>
    </row>
    <row r="195" spans="1:11" ht="15.5" hidden="1" x14ac:dyDescent="0.35">
      <c r="A195" s="112" t="s">
        <v>348</v>
      </c>
      <c r="B195" s="116"/>
      <c r="C195" s="116"/>
      <c r="D195" s="228"/>
      <c r="E195" s="250"/>
      <c r="F195" s="165" t="str">
        <f t="shared" si="18"/>
        <v/>
      </c>
      <c r="G195" s="260"/>
      <c r="H195" s="247"/>
      <c r="I195" s="117"/>
      <c r="J195" s="118" t="s">
        <v>18</v>
      </c>
      <c r="K195" s="275">
        <f>SUM(K196:K207)</f>
        <v>0</v>
      </c>
    </row>
    <row r="196" spans="1:11" hidden="1" x14ac:dyDescent="0.35">
      <c r="A196" s="103"/>
      <c r="B196" s="20" t="s">
        <v>8</v>
      </c>
      <c r="C196" s="18" t="s">
        <v>349</v>
      </c>
      <c r="D196" s="229"/>
      <c r="E196" s="170"/>
      <c r="F196" s="153" t="str">
        <f t="shared" si="18"/>
        <v/>
      </c>
      <c r="G196" s="256"/>
      <c r="H196" s="166">
        <f t="shared" si="20"/>
        <v>0</v>
      </c>
      <c r="I196" s="18" t="s">
        <v>27</v>
      </c>
      <c r="J196" s="20">
        <v>28.62</v>
      </c>
      <c r="K196" s="12">
        <f t="shared" ref="K196:K207" si="23">G196*J196</f>
        <v>0</v>
      </c>
    </row>
    <row r="197" spans="1:11" hidden="1" x14ac:dyDescent="0.35">
      <c r="A197" s="103"/>
      <c r="B197" s="12" t="s">
        <v>8</v>
      </c>
      <c r="C197" s="10" t="s">
        <v>350</v>
      </c>
      <c r="D197" s="152"/>
      <c r="E197" s="170"/>
      <c r="F197" s="153" t="str">
        <f t="shared" si="18"/>
        <v/>
      </c>
      <c r="G197" s="256"/>
      <c r="H197" s="166">
        <f t="shared" si="20"/>
        <v>0</v>
      </c>
      <c r="I197" s="10" t="s">
        <v>335</v>
      </c>
      <c r="J197" s="12">
        <v>30</v>
      </c>
      <c r="K197" s="12">
        <f t="shared" si="23"/>
        <v>0</v>
      </c>
    </row>
    <row r="198" spans="1:11" hidden="1" x14ac:dyDescent="0.35">
      <c r="A198" s="103"/>
      <c r="B198" s="12" t="s">
        <v>8</v>
      </c>
      <c r="C198" s="10" t="s">
        <v>351</v>
      </c>
      <c r="D198" s="152"/>
      <c r="E198" s="170"/>
      <c r="F198" s="153" t="str">
        <f t="shared" si="18"/>
        <v/>
      </c>
      <c r="G198" s="256"/>
      <c r="H198" s="166">
        <f t="shared" si="20"/>
        <v>0</v>
      </c>
      <c r="I198" s="10" t="s">
        <v>335</v>
      </c>
      <c r="J198" s="11">
        <v>1.1499999999999999</v>
      </c>
      <c r="K198" s="12">
        <f t="shared" si="23"/>
        <v>0</v>
      </c>
    </row>
    <row r="199" spans="1:11" hidden="1" x14ac:dyDescent="0.35">
      <c r="A199" s="103"/>
      <c r="B199" s="12" t="s">
        <v>8</v>
      </c>
      <c r="C199" s="10" t="s">
        <v>352</v>
      </c>
      <c r="D199" s="152"/>
      <c r="E199" s="170"/>
      <c r="F199" s="153" t="str">
        <f t="shared" si="18"/>
        <v/>
      </c>
      <c r="G199" s="256"/>
      <c r="H199" s="166">
        <f t="shared" si="20"/>
        <v>0</v>
      </c>
      <c r="I199" s="10">
        <v>23.83</v>
      </c>
      <c r="J199" s="11">
        <v>30.95</v>
      </c>
      <c r="K199" s="12">
        <f>H199*J199</f>
        <v>0</v>
      </c>
    </row>
    <row r="200" spans="1:11" hidden="1" x14ac:dyDescent="0.35">
      <c r="A200" s="103"/>
      <c r="B200" s="12" t="s">
        <v>8</v>
      </c>
      <c r="C200" s="10" t="s">
        <v>353</v>
      </c>
      <c r="D200" s="152"/>
      <c r="E200" s="170"/>
      <c r="F200" s="153" t="str">
        <f t="shared" si="18"/>
        <v/>
      </c>
      <c r="G200" s="256"/>
      <c r="H200" s="166">
        <f t="shared" si="20"/>
        <v>0</v>
      </c>
      <c r="I200" s="10" t="s">
        <v>27</v>
      </c>
      <c r="J200" s="11">
        <v>28.89</v>
      </c>
      <c r="K200" s="12">
        <f t="shared" ref="K200" si="24">H200*J200</f>
        <v>0</v>
      </c>
    </row>
    <row r="201" spans="1:11" hidden="1" x14ac:dyDescent="0.35">
      <c r="A201" s="103"/>
      <c r="B201" s="12" t="s">
        <v>8</v>
      </c>
      <c r="C201" s="10" t="s">
        <v>354</v>
      </c>
      <c r="D201" s="152"/>
      <c r="E201" s="170"/>
      <c r="F201" s="153" t="str">
        <f>IF(E201="","",IF(D201-E201&gt;0,D201-E201,""))</f>
        <v/>
      </c>
      <c r="G201" s="256"/>
      <c r="H201" s="166">
        <f>IF(ISNUMBER(E201),E201,0)+IF(ISNUMBER(F201),F201,0)-IF(ISNUMBER(G201),G201,0)</f>
        <v>0</v>
      </c>
      <c r="I201" s="10" t="s">
        <v>27</v>
      </c>
      <c r="J201" s="11">
        <v>19.37</v>
      </c>
      <c r="K201" s="12">
        <f>H201*J201</f>
        <v>0</v>
      </c>
    </row>
    <row r="202" spans="1:11" hidden="1" x14ac:dyDescent="0.35">
      <c r="A202" s="103"/>
      <c r="B202" s="12" t="s">
        <v>8</v>
      </c>
      <c r="C202" s="10" t="s">
        <v>429</v>
      </c>
      <c r="D202" s="152"/>
      <c r="E202" s="170"/>
      <c r="F202" s="153"/>
      <c r="G202" s="256"/>
      <c r="H202" s="166">
        <f t="shared" ref="H202:H204" si="25">IF(ISNUMBER(E202),E202,0)+IF(ISNUMBER(F202),F202,0)-IF(ISNUMBER(G202),G202,0)</f>
        <v>0</v>
      </c>
      <c r="I202" s="10">
        <v>14.07</v>
      </c>
      <c r="J202" s="11"/>
      <c r="K202" s="12"/>
    </row>
    <row r="203" spans="1:11" hidden="1" x14ac:dyDescent="0.35">
      <c r="A203" s="103"/>
      <c r="B203" s="12" t="s">
        <v>8</v>
      </c>
      <c r="C203" s="10" t="s">
        <v>430</v>
      </c>
      <c r="D203" s="152"/>
      <c r="E203" s="170"/>
      <c r="F203" s="153"/>
      <c r="G203" s="256"/>
      <c r="H203" s="166">
        <f t="shared" si="25"/>
        <v>0</v>
      </c>
      <c r="I203" s="10">
        <v>16.07</v>
      </c>
      <c r="J203" s="11"/>
      <c r="K203" s="12"/>
    </row>
    <row r="204" spans="1:11" hidden="1" x14ac:dyDescent="0.35">
      <c r="A204" s="103"/>
      <c r="B204" s="12" t="s">
        <v>8</v>
      </c>
      <c r="C204" s="10" t="s">
        <v>431</v>
      </c>
      <c r="D204" s="152"/>
      <c r="G204" s="256"/>
      <c r="H204" s="166">
        <f t="shared" si="25"/>
        <v>0</v>
      </c>
      <c r="I204" s="289">
        <v>14.62</v>
      </c>
      <c r="J204" s="11"/>
    </row>
    <row r="205" spans="1:11" hidden="1" x14ac:dyDescent="0.35">
      <c r="A205" s="103"/>
      <c r="B205" s="12" t="s">
        <v>8</v>
      </c>
      <c r="C205" s="10" t="s">
        <v>355</v>
      </c>
      <c r="D205" s="152"/>
      <c r="E205" s="170"/>
      <c r="F205" s="153" t="str">
        <f t="shared" si="18"/>
        <v/>
      </c>
      <c r="G205" s="256"/>
      <c r="H205" s="166">
        <f t="shared" si="20"/>
        <v>0</v>
      </c>
      <c r="I205" s="10" t="s">
        <v>61</v>
      </c>
      <c r="J205" s="11">
        <v>17.11</v>
      </c>
      <c r="K205" s="12">
        <f t="shared" si="23"/>
        <v>0</v>
      </c>
    </row>
    <row r="206" spans="1:11" hidden="1" x14ac:dyDescent="0.35">
      <c r="A206" s="103"/>
      <c r="B206" s="12" t="s">
        <v>8</v>
      </c>
      <c r="C206" s="10" t="s">
        <v>356</v>
      </c>
      <c r="D206" s="152"/>
      <c r="E206" s="170"/>
      <c r="F206" s="153" t="str">
        <f t="shared" si="18"/>
        <v/>
      </c>
      <c r="G206" s="256"/>
      <c r="H206" s="166">
        <f t="shared" si="20"/>
        <v>0</v>
      </c>
      <c r="I206" s="10" t="s">
        <v>61</v>
      </c>
      <c r="J206" s="11">
        <v>22.13</v>
      </c>
      <c r="K206" s="12">
        <f t="shared" si="23"/>
        <v>0</v>
      </c>
    </row>
    <row r="207" spans="1:11" hidden="1" x14ac:dyDescent="0.35">
      <c r="A207" s="103"/>
      <c r="B207" s="40" t="s">
        <v>8</v>
      </c>
      <c r="C207" s="41" t="s">
        <v>357</v>
      </c>
      <c r="D207" s="227"/>
      <c r="E207" s="170"/>
      <c r="F207" s="153" t="str">
        <f t="shared" si="18"/>
        <v/>
      </c>
      <c r="G207" s="256"/>
      <c r="H207" s="166">
        <f t="shared" si="20"/>
        <v>0</v>
      </c>
      <c r="I207" s="41" t="s">
        <v>61</v>
      </c>
      <c r="J207" s="42">
        <v>18.8</v>
      </c>
      <c r="K207" s="40">
        <f t="shared" si="23"/>
        <v>0</v>
      </c>
    </row>
    <row r="208" spans="1:11" ht="15.5" hidden="1" x14ac:dyDescent="0.35">
      <c r="A208" s="112" t="s">
        <v>358</v>
      </c>
      <c r="B208" s="116"/>
      <c r="C208" s="116"/>
      <c r="D208" s="228"/>
      <c r="E208" s="170"/>
      <c r="F208" s="165" t="str">
        <f t="shared" si="18"/>
        <v/>
      </c>
      <c r="G208" s="260"/>
      <c r="H208" s="247"/>
      <c r="I208" s="117"/>
      <c r="J208" s="118" t="s">
        <v>18</v>
      </c>
      <c r="K208" s="275">
        <f>SUM(K209)</f>
        <v>0</v>
      </c>
    </row>
    <row r="209" spans="1:11" ht="13.5" hidden="1" customHeight="1" x14ac:dyDescent="0.35">
      <c r="A209" s="103"/>
      <c r="B209" s="13" t="s">
        <v>11</v>
      </c>
      <c r="C209" s="18" t="s">
        <v>359</v>
      </c>
      <c r="D209" s="229"/>
      <c r="E209" s="170"/>
      <c r="F209" s="153" t="str">
        <f t="shared" si="18"/>
        <v/>
      </c>
      <c r="G209" s="256"/>
      <c r="H209" s="166">
        <f t="shared" si="20"/>
        <v>0</v>
      </c>
      <c r="I209" s="10" t="s">
        <v>52</v>
      </c>
      <c r="J209" s="11">
        <v>11.63</v>
      </c>
      <c r="K209" s="12">
        <f>G209*J209</f>
        <v>0</v>
      </c>
    </row>
    <row r="210" spans="1:11" ht="15.5" hidden="1" x14ac:dyDescent="0.35">
      <c r="A210" s="108" t="s">
        <v>360</v>
      </c>
      <c r="B210" s="108"/>
      <c r="C210" s="108"/>
      <c r="D210" s="223"/>
      <c r="E210" s="250"/>
      <c r="F210" s="165" t="str">
        <f t="shared" si="18"/>
        <v/>
      </c>
      <c r="G210" s="186"/>
      <c r="H210" s="247"/>
      <c r="I210" s="108"/>
      <c r="J210" s="106" t="s">
        <v>18</v>
      </c>
      <c r="K210" s="269">
        <f>SUM(K211:K212)</f>
        <v>0</v>
      </c>
    </row>
    <row r="211" spans="1:11" hidden="1" x14ac:dyDescent="0.35">
      <c r="A211" s="103"/>
      <c r="B211" s="12" t="s">
        <v>12</v>
      </c>
      <c r="C211" s="10" t="s">
        <v>70</v>
      </c>
      <c r="D211" s="152"/>
      <c r="E211" s="170"/>
      <c r="F211" s="153" t="str">
        <f t="shared" si="18"/>
        <v/>
      </c>
      <c r="G211" s="256"/>
      <c r="H211" s="166">
        <f t="shared" si="20"/>
        <v>0</v>
      </c>
      <c r="I211" s="10" t="s">
        <v>27</v>
      </c>
      <c r="J211" s="11">
        <v>20.7</v>
      </c>
      <c r="K211" s="12">
        <f>H211*J211</f>
        <v>0</v>
      </c>
    </row>
    <row r="212" spans="1:11" hidden="1" x14ac:dyDescent="0.35">
      <c r="A212" s="103"/>
      <c r="B212" s="12" t="s">
        <v>12</v>
      </c>
      <c r="C212" s="10" t="s">
        <v>71</v>
      </c>
      <c r="D212" s="152"/>
      <c r="E212" s="170"/>
      <c r="F212" s="153" t="str">
        <f t="shared" si="18"/>
        <v/>
      </c>
      <c r="G212" s="256"/>
      <c r="H212" s="166">
        <f t="shared" si="20"/>
        <v>0</v>
      </c>
      <c r="I212" s="10" t="s">
        <v>27</v>
      </c>
      <c r="J212" s="11">
        <v>13.7</v>
      </c>
      <c r="K212" s="12">
        <f>H212*J212</f>
        <v>0</v>
      </c>
    </row>
    <row r="213" spans="1:11" ht="15.5" hidden="1" x14ac:dyDescent="0.35">
      <c r="A213" s="108" t="s">
        <v>361</v>
      </c>
      <c r="B213" s="108"/>
      <c r="C213" s="108"/>
      <c r="D213" s="223"/>
      <c r="E213" s="250"/>
      <c r="F213" s="165" t="str">
        <f t="shared" si="18"/>
        <v/>
      </c>
      <c r="G213" s="186"/>
      <c r="H213" s="247"/>
      <c r="I213" s="108"/>
      <c r="J213" s="106" t="s">
        <v>18</v>
      </c>
      <c r="K213" s="269">
        <f>SUM(K214:K217)</f>
        <v>0</v>
      </c>
    </row>
    <row r="214" spans="1:11" hidden="1" x14ac:dyDescent="0.35">
      <c r="A214" s="103"/>
      <c r="B214" s="12" t="s">
        <v>10</v>
      </c>
      <c r="C214" s="10" t="s">
        <v>362</v>
      </c>
      <c r="D214" s="152"/>
      <c r="E214" s="170"/>
      <c r="F214" s="153" t="str">
        <f t="shared" si="18"/>
        <v/>
      </c>
      <c r="G214" s="256"/>
      <c r="H214" s="166">
        <f t="shared" si="20"/>
        <v>0</v>
      </c>
      <c r="I214" s="10" t="s">
        <v>20</v>
      </c>
      <c r="J214" s="11">
        <v>11.08</v>
      </c>
      <c r="K214" s="12">
        <f>H214*J214</f>
        <v>0</v>
      </c>
    </row>
    <row r="215" spans="1:11" hidden="1" x14ac:dyDescent="0.35">
      <c r="A215" s="103"/>
      <c r="B215" s="12" t="s">
        <v>10</v>
      </c>
      <c r="C215" s="10" t="s">
        <v>363</v>
      </c>
      <c r="D215" s="152"/>
      <c r="E215" s="170"/>
      <c r="F215" s="153" t="str">
        <f t="shared" si="18"/>
        <v/>
      </c>
      <c r="G215" s="256"/>
      <c r="H215" s="166">
        <f t="shared" si="20"/>
        <v>0</v>
      </c>
      <c r="I215" s="10" t="s">
        <v>27</v>
      </c>
      <c r="J215" s="11">
        <v>16.21</v>
      </c>
      <c r="K215" s="12">
        <f t="shared" ref="K215:K217" si="26">H215*J215</f>
        <v>0</v>
      </c>
    </row>
    <row r="216" spans="1:11" hidden="1" x14ac:dyDescent="0.35">
      <c r="A216" s="103"/>
      <c r="B216" s="12" t="s">
        <v>10</v>
      </c>
      <c r="C216" s="10" t="s">
        <v>364</v>
      </c>
      <c r="D216" s="152"/>
      <c r="E216" s="170"/>
      <c r="F216" s="153" t="str">
        <f t="shared" si="18"/>
        <v/>
      </c>
      <c r="G216" s="256"/>
      <c r="H216" s="166">
        <f t="shared" si="20"/>
        <v>0</v>
      </c>
      <c r="I216" s="10" t="s">
        <v>27</v>
      </c>
      <c r="J216" s="11">
        <v>19.350000000000001</v>
      </c>
      <c r="K216" s="12">
        <f t="shared" si="26"/>
        <v>0</v>
      </c>
    </row>
    <row r="217" spans="1:11" hidden="1" x14ac:dyDescent="0.35">
      <c r="A217" s="103"/>
      <c r="B217" s="12" t="s">
        <v>10</v>
      </c>
      <c r="C217" s="10" t="s">
        <v>365</v>
      </c>
      <c r="D217" s="152"/>
      <c r="E217" s="170"/>
      <c r="F217" s="153" t="str">
        <f t="shared" si="18"/>
        <v/>
      </c>
      <c r="G217" s="256"/>
      <c r="H217" s="166">
        <f t="shared" si="20"/>
        <v>0</v>
      </c>
      <c r="I217" s="10" t="s">
        <v>27</v>
      </c>
      <c r="J217" s="11">
        <v>19.809999999999999</v>
      </c>
      <c r="K217" s="12">
        <f t="shared" si="26"/>
        <v>0</v>
      </c>
    </row>
    <row r="218" spans="1:11" ht="15.5" hidden="1" x14ac:dyDescent="0.35">
      <c r="A218" s="108" t="s">
        <v>366</v>
      </c>
      <c r="B218" s="108"/>
      <c r="C218" s="108"/>
      <c r="D218" s="223"/>
      <c r="E218" s="170"/>
      <c r="F218" s="165" t="str">
        <f t="shared" si="18"/>
        <v/>
      </c>
      <c r="G218" s="186"/>
      <c r="H218" s="247"/>
      <c r="I218" s="108"/>
      <c r="J218" s="106" t="s">
        <v>18</v>
      </c>
      <c r="K218" s="269">
        <f>SUM(K219:K219)</f>
        <v>0</v>
      </c>
    </row>
    <row r="219" spans="1:11" hidden="1" x14ac:dyDescent="0.35">
      <c r="A219" s="103"/>
      <c r="B219" s="12" t="s">
        <v>28</v>
      </c>
      <c r="C219" s="10" t="s">
        <v>29</v>
      </c>
      <c r="D219" s="152"/>
      <c r="E219" s="170"/>
      <c r="F219" s="153" t="str">
        <f t="shared" si="18"/>
        <v/>
      </c>
      <c r="G219" s="256"/>
      <c r="H219" s="166">
        <f t="shared" si="20"/>
        <v>0</v>
      </c>
      <c r="I219" s="10" t="s">
        <v>54</v>
      </c>
      <c r="J219" s="11">
        <v>104</v>
      </c>
      <c r="K219" s="12">
        <f>+J219*G219</f>
        <v>0</v>
      </c>
    </row>
    <row r="220" spans="1:11" ht="15.5" x14ac:dyDescent="0.35">
      <c r="A220" s="108" t="s">
        <v>367</v>
      </c>
      <c r="B220" s="108"/>
      <c r="C220" s="108"/>
      <c r="D220" s="223"/>
      <c r="E220" s="250"/>
      <c r="F220" s="165" t="str">
        <f t="shared" ref="F220:F255" si="27">IF(E220="","",IF(D220-E220&gt;0,D220-E220,""))</f>
        <v/>
      </c>
      <c r="G220" s="186"/>
      <c r="H220" s="247"/>
      <c r="I220" s="108"/>
      <c r="J220" s="106" t="s">
        <v>18</v>
      </c>
      <c r="K220" s="269">
        <f>SUM(K224:K239)</f>
        <v>0</v>
      </c>
    </row>
    <row r="221" spans="1:11" x14ac:dyDescent="0.35">
      <c r="A221" s="103"/>
      <c r="B221" s="12" t="s">
        <v>9</v>
      </c>
      <c r="C221" s="10" t="s">
        <v>423</v>
      </c>
      <c r="D221" s="152"/>
      <c r="E221" s="170"/>
      <c r="F221" s="153" t="str">
        <f t="shared" si="27"/>
        <v/>
      </c>
      <c r="G221" s="256"/>
      <c r="H221" s="166">
        <f t="shared" si="20"/>
        <v>0</v>
      </c>
      <c r="I221" s="10" t="s">
        <v>20</v>
      </c>
      <c r="J221" s="11">
        <v>78</v>
      </c>
      <c r="K221" s="50">
        <f t="shared" ref="K221:K240" si="28">G221*J221</f>
        <v>0</v>
      </c>
    </row>
    <row r="222" spans="1:11" x14ac:dyDescent="0.35">
      <c r="A222" s="103"/>
      <c r="B222" s="12" t="s">
        <v>9</v>
      </c>
      <c r="C222" s="10" t="s">
        <v>424</v>
      </c>
      <c r="D222" s="152"/>
      <c r="E222" s="170"/>
      <c r="F222" s="153" t="str">
        <f t="shared" si="27"/>
        <v/>
      </c>
      <c r="G222" s="256"/>
      <c r="H222" s="166">
        <f t="shared" si="20"/>
        <v>0</v>
      </c>
      <c r="I222" s="10" t="s">
        <v>61</v>
      </c>
      <c r="J222" s="51">
        <v>107.12</v>
      </c>
      <c r="K222" s="50">
        <f t="shared" si="28"/>
        <v>0</v>
      </c>
    </row>
    <row r="223" spans="1:11" x14ac:dyDescent="0.35">
      <c r="A223" s="103"/>
      <c r="B223" s="12" t="s">
        <v>9</v>
      </c>
      <c r="C223" s="10" t="s">
        <v>369</v>
      </c>
      <c r="D223" s="152"/>
      <c r="E223" s="170"/>
      <c r="F223" s="153" t="str">
        <f t="shared" si="27"/>
        <v/>
      </c>
      <c r="G223" s="256"/>
      <c r="H223" s="166">
        <f t="shared" si="20"/>
        <v>0</v>
      </c>
      <c r="I223" s="10" t="s">
        <v>20</v>
      </c>
      <c r="J223" s="11">
        <v>0.04</v>
      </c>
      <c r="K223" s="50">
        <f t="shared" si="28"/>
        <v>0</v>
      </c>
    </row>
    <row r="224" spans="1:11" x14ac:dyDescent="0.35">
      <c r="A224" s="103"/>
      <c r="B224" s="12" t="s">
        <v>9</v>
      </c>
      <c r="C224" s="10" t="s">
        <v>370</v>
      </c>
      <c r="D224" s="152"/>
      <c r="E224" s="170"/>
      <c r="F224" s="153" t="str">
        <f t="shared" si="27"/>
        <v/>
      </c>
      <c r="G224" s="256"/>
      <c r="H224" s="166">
        <f t="shared" si="20"/>
        <v>0</v>
      </c>
      <c r="I224" s="10" t="s">
        <v>20</v>
      </c>
      <c r="J224" s="11">
        <v>7.0999999999999994E-2</v>
      </c>
      <c r="K224" s="233">
        <f>H224*J224</f>
        <v>0</v>
      </c>
    </row>
    <row r="225" spans="1:11" x14ac:dyDescent="0.35">
      <c r="A225" s="103"/>
      <c r="B225" s="12" t="s">
        <v>9</v>
      </c>
      <c r="C225" s="10" t="s">
        <v>411</v>
      </c>
      <c r="D225" s="152"/>
      <c r="E225" s="170"/>
      <c r="F225" s="153" t="str">
        <f t="shared" si="27"/>
        <v/>
      </c>
      <c r="G225" s="256"/>
      <c r="H225" s="166">
        <f t="shared" si="20"/>
        <v>0</v>
      </c>
      <c r="I225" s="10" t="s">
        <v>20</v>
      </c>
      <c r="J225" s="11">
        <v>1.97</v>
      </c>
      <c r="K225" s="233">
        <f>H225*J225</f>
        <v>0</v>
      </c>
    </row>
    <row r="226" spans="1:11" x14ac:dyDescent="0.35">
      <c r="A226" s="103"/>
      <c r="B226" s="12" t="s">
        <v>9</v>
      </c>
      <c r="C226" s="10" t="s">
        <v>371</v>
      </c>
      <c r="D226" s="152"/>
      <c r="E226" s="170"/>
      <c r="F226" s="153" t="str">
        <f t="shared" si="27"/>
        <v/>
      </c>
      <c r="G226" s="256"/>
      <c r="H226" s="166">
        <f t="shared" si="20"/>
        <v>0</v>
      </c>
      <c r="I226" s="10" t="s">
        <v>61</v>
      </c>
      <c r="J226" s="11">
        <v>163.80000000000001</v>
      </c>
      <c r="K226" s="233">
        <f t="shared" ref="K226:K239" si="29">H226*J226</f>
        <v>0</v>
      </c>
    </row>
    <row r="227" spans="1:11" x14ac:dyDescent="0.35">
      <c r="A227" s="103"/>
      <c r="B227" s="12" t="s">
        <v>9</v>
      </c>
      <c r="C227" s="10" t="s">
        <v>410</v>
      </c>
      <c r="D227" s="152"/>
      <c r="E227" s="170"/>
      <c r="F227" s="153" t="str">
        <f t="shared" si="27"/>
        <v/>
      </c>
      <c r="G227" s="256"/>
      <c r="H227" s="166">
        <f t="shared" si="20"/>
        <v>0</v>
      </c>
      <c r="I227" s="10" t="s">
        <v>61</v>
      </c>
      <c r="J227" s="11">
        <v>49.33</v>
      </c>
      <c r="K227" s="233">
        <f t="shared" si="29"/>
        <v>0</v>
      </c>
    </row>
    <row r="228" spans="1:11" x14ac:dyDescent="0.35">
      <c r="A228" s="103"/>
      <c r="B228" s="12" t="s">
        <v>9</v>
      </c>
      <c r="C228" s="10" t="s">
        <v>373</v>
      </c>
      <c r="D228" s="152"/>
      <c r="E228" s="170"/>
      <c r="F228" s="153" t="str">
        <f t="shared" si="27"/>
        <v/>
      </c>
      <c r="G228" s="256"/>
      <c r="H228" s="166">
        <f t="shared" si="20"/>
        <v>0</v>
      </c>
      <c r="I228" s="10" t="s">
        <v>61</v>
      </c>
      <c r="J228" s="11">
        <v>105.6</v>
      </c>
      <c r="K228" s="233">
        <f t="shared" si="29"/>
        <v>0</v>
      </c>
    </row>
    <row r="229" spans="1:11" x14ac:dyDescent="0.35">
      <c r="A229" s="103"/>
      <c r="B229" s="12" t="s">
        <v>9</v>
      </c>
      <c r="C229" s="10" t="s">
        <v>374</v>
      </c>
      <c r="D229" s="152"/>
      <c r="E229" s="170"/>
      <c r="F229" s="153" t="str">
        <f t="shared" si="27"/>
        <v/>
      </c>
      <c r="G229" s="256"/>
      <c r="H229" s="166">
        <f t="shared" si="20"/>
        <v>0</v>
      </c>
      <c r="I229" s="10" t="s">
        <v>61</v>
      </c>
      <c r="J229" s="11">
        <v>114.75</v>
      </c>
      <c r="K229" s="233">
        <f t="shared" si="29"/>
        <v>0</v>
      </c>
    </row>
    <row r="230" spans="1:11" x14ac:dyDescent="0.35">
      <c r="A230" s="103"/>
      <c r="B230" s="12" t="s">
        <v>9</v>
      </c>
      <c r="C230" s="10" t="s">
        <v>375</v>
      </c>
      <c r="D230" s="152"/>
      <c r="E230" s="170"/>
      <c r="F230" s="153" t="str">
        <f t="shared" si="27"/>
        <v/>
      </c>
      <c r="G230" s="256"/>
      <c r="H230" s="166">
        <f t="shared" si="20"/>
        <v>0</v>
      </c>
      <c r="I230" s="10" t="s">
        <v>61</v>
      </c>
      <c r="J230" s="11">
        <v>105.55</v>
      </c>
      <c r="K230" s="233">
        <f t="shared" si="29"/>
        <v>0</v>
      </c>
    </row>
    <row r="231" spans="1:11" x14ac:dyDescent="0.35">
      <c r="A231" s="103"/>
      <c r="B231" s="12" t="s">
        <v>9</v>
      </c>
      <c r="C231" s="10" t="s">
        <v>376</v>
      </c>
      <c r="D231" s="152"/>
      <c r="E231" s="170"/>
      <c r="F231" s="153" t="str">
        <f t="shared" si="27"/>
        <v/>
      </c>
      <c r="G231" s="256"/>
      <c r="H231" s="166">
        <f t="shared" si="20"/>
        <v>0</v>
      </c>
      <c r="I231" s="10" t="s">
        <v>61</v>
      </c>
      <c r="J231" s="11">
        <v>33.25</v>
      </c>
      <c r="K231" s="233">
        <f t="shared" si="29"/>
        <v>0</v>
      </c>
    </row>
    <row r="232" spans="1:11" x14ac:dyDescent="0.35">
      <c r="A232" s="103"/>
      <c r="B232" s="12" t="s">
        <v>9</v>
      </c>
      <c r="C232" s="10" t="s">
        <v>377</v>
      </c>
      <c r="D232" s="152"/>
      <c r="E232" s="170"/>
      <c r="F232" s="153" t="str">
        <f t="shared" si="27"/>
        <v/>
      </c>
      <c r="G232" s="256"/>
      <c r="H232" s="166">
        <f t="shared" si="20"/>
        <v>0</v>
      </c>
      <c r="I232" s="10" t="s">
        <v>20</v>
      </c>
      <c r="J232" s="11">
        <v>0.28999999999999998</v>
      </c>
      <c r="K232" s="233">
        <f t="shared" si="29"/>
        <v>0</v>
      </c>
    </row>
    <row r="233" spans="1:11" x14ac:dyDescent="0.35">
      <c r="A233" s="103"/>
      <c r="B233" s="12" t="s">
        <v>9</v>
      </c>
      <c r="C233" s="10" t="s">
        <v>378</v>
      </c>
      <c r="D233" s="152"/>
      <c r="E233" s="170"/>
      <c r="F233" s="153" t="str">
        <f t="shared" si="27"/>
        <v/>
      </c>
      <c r="G233" s="256"/>
      <c r="H233" s="166">
        <f t="shared" si="20"/>
        <v>0</v>
      </c>
      <c r="I233" s="10" t="s">
        <v>61</v>
      </c>
      <c r="J233" s="35">
        <v>37.85</v>
      </c>
      <c r="K233" s="233">
        <f t="shared" si="29"/>
        <v>0</v>
      </c>
    </row>
    <row r="234" spans="1:11" x14ac:dyDescent="0.35">
      <c r="A234" s="103"/>
      <c r="B234" s="12" t="s">
        <v>9</v>
      </c>
      <c r="C234" s="10" t="s">
        <v>425</v>
      </c>
      <c r="D234" s="152"/>
      <c r="E234" s="170"/>
      <c r="F234" s="153" t="str">
        <f t="shared" si="27"/>
        <v/>
      </c>
      <c r="G234" s="256"/>
      <c r="H234" s="166">
        <f t="shared" si="20"/>
        <v>0</v>
      </c>
      <c r="I234" s="10" t="s">
        <v>61</v>
      </c>
      <c r="J234" s="35">
        <v>111.47</v>
      </c>
      <c r="K234" s="233">
        <f t="shared" si="29"/>
        <v>0</v>
      </c>
    </row>
    <row r="235" spans="1:11" x14ac:dyDescent="0.35">
      <c r="A235" s="103"/>
      <c r="B235" s="12" t="s">
        <v>9</v>
      </c>
      <c r="C235" s="10" t="s">
        <v>379</v>
      </c>
      <c r="D235" s="152"/>
      <c r="E235" s="170"/>
      <c r="F235" s="153" t="str">
        <f t="shared" si="27"/>
        <v/>
      </c>
      <c r="G235" s="256"/>
      <c r="H235" s="166">
        <f t="shared" si="20"/>
        <v>0</v>
      </c>
      <c r="I235" s="10" t="s">
        <v>61</v>
      </c>
      <c r="J235" s="35">
        <v>174.97</v>
      </c>
      <c r="K235" s="233">
        <f t="shared" si="29"/>
        <v>0</v>
      </c>
    </row>
    <row r="236" spans="1:11" x14ac:dyDescent="0.35">
      <c r="A236" s="103"/>
      <c r="B236" s="12" t="s">
        <v>9</v>
      </c>
      <c r="C236" s="10" t="s">
        <v>380</v>
      </c>
      <c r="D236" s="152"/>
      <c r="E236" s="170"/>
      <c r="F236" s="153" t="str">
        <f t="shared" si="27"/>
        <v/>
      </c>
      <c r="G236" s="256"/>
      <c r="H236" s="166">
        <f t="shared" si="20"/>
        <v>0</v>
      </c>
      <c r="I236" s="10" t="s">
        <v>61</v>
      </c>
      <c r="J236" s="35">
        <v>44.93</v>
      </c>
      <c r="K236" s="233">
        <f t="shared" si="29"/>
        <v>0</v>
      </c>
    </row>
    <row r="237" spans="1:11" x14ac:dyDescent="0.35">
      <c r="A237" s="103"/>
      <c r="B237" s="12" t="s">
        <v>9</v>
      </c>
      <c r="C237" s="10" t="s">
        <v>426</v>
      </c>
      <c r="D237" s="152"/>
      <c r="E237" s="170"/>
      <c r="F237" s="153" t="str">
        <f t="shared" si="27"/>
        <v/>
      </c>
      <c r="G237" s="256"/>
      <c r="H237" s="166">
        <f t="shared" si="20"/>
        <v>0</v>
      </c>
      <c r="I237" s="10" t="s">
        <v>61</v>
      </c>
      <c r="J237" s="35"/>
      <c r="K237" s="233">
        <f t="shared" si="29"/>
        <v>0</v>
      </c>
    </row>
    <row r="238" spans="1:11" x14ac:dyDescent="0.35">
      <c r="A238" s="103"/>
      <c r="B238" s="12" t="s">
        <v>9</v>
      </c>
      <c r="C238" s="10" t="s">
        <v>427</v>
      </c>
      <c r="D238" s="152"/>
      <c r="E238" s="170"/>
      <c r="F238" s="153" t="str">
        <f t="shared" si="27"/>
        <v/>
      </c>
      <c r="G238" s="256"/>
      <c r="H238" s="166">
        <f t="shared" si="20"/>
        <v>0</v>
      </c>
      <c r="I238" s="10" t="s">
        <v>61</v>
      </c>
      <c r="J238" s="35"/>
      <c r="K238" s="233">
        <f>H238*J238</f>
        <v>0</v>
      </c>
    </row>
    <row r="239" spans="1:11" x14ac:dyDescent="0.35">
      <c r="A239" s="103"/>
      <c r="B239" s="12" t="s">
        <v>9</v>
      </c>
      <c r="C239" s="10" t="s">
        <v>428</v>
      </c>
      <c r="D239" s="152"/>
      <c r="E239" s="170"/>
      <c r="F239" s="153" t="str">
        <f t="shared" si="27"/>
        <v/>
      </c>
      <c r="G239" s="256"/>
      <c r="H239" s="166">
        <f t="shared" si="20"/>
        <v>0</v>
      </c>
      <c r="I239" s="10" t="s">
        <v>61</v>
      </c>
      <c r="J239" s="35"/>
      <c r="K239" s="233">
        <f t="shared" si="29"/>
        <v>0</v>
      </c>
    </row>
    <row r="240" spans="1:11" x14ac:dyDescent="0.35">
      <c r="A240" s="103"/>
      <c r="B240" s="12" t="s">
        <v>9</v>
      </c>
      <c r="C240" s="10" t="s">
        <v>381</v>
      </c>
      <c r="D240" s="152"/>
      <c r="E240" s="170"/>
      <c r="F240" s="153" t="str">
        <f t="shared" si="27"/>
        <v/>
      </c>
      <c r="G240" s="256"/>
      <c r="H240" s="166">
        <f t="shared" si="20"/>
        <v>0</v>
      </c>
      <c r="I240" s="10" t="s">
        <v>61</v>
      </c>
      <c r="J240" s="35">
        <v>0.02</v>
      </c>
      <c r="K240" s="50">
        <f t="shared" si="28"/>
        <v>0</v>
      </c>
    </row>
    <row r="241" spans="1:18" ht="15.5" x14ac:dyDescent="0.35">
      <c r="A241" s="108" t="s">
        <v>382</v>
      </c>
      <c r="B241" s="108"/>
      <c r="C241" s="108"/>
      <c r="D241" s="223"/>
      <c r="E241" s="250"/>
      <c r="F241" s="165" t="str">
        <f t="shared" si="27"/>
        <v/>
      </c>
      <c r="G241" s="186"/>
      <c r="H241" s="247"/>
      <c r="I241" s="108">
        <v>29.2</v>
      </c>
      <c r="J241" s="106" t="s">
        <v>18</v>
      </c>
      <c r="K241" s="269">
        <f>SUM(K242:K252)</f>
        <v>0</v>
      </c>
    </row>
    <row r="242" spans="1:18" hidden="1" x14ac:dyDescent="0.35">
      <c r="A242" s="103"/>
      <c r="B242" s="12" t="s">
        <v>31</v>
      </c>
      <c r="C242" s="10" t="s">
        <v>383</v>
      </c>
      <c r="D242" s="152"/>
      <c r="E242" s="170"/>
      <c r="F242" s="153" t="str">
        <f t="shared" si="27"/>
        <v/>
      </c>
      <c r="G242" s="256"/>
      <c r="H242" s="166">
        <f t="shared" ref="H242:H255" si="30">IF(ISNUMBER(E242),E242,0)+IF(ISNUMBER(F242),F242,0)-IF(ISNUMBER(G242),G242,0)</f>
        <v>0</v>
      </c>
      <c r="I242" s="10">
        <v>19.03</v>
      </c>
      <c r="J242" s="11">
        <v>5.5</v>
      </c>
      <c r="K242" s="12">
        <f t="shared" ref="K242" si="31">G242*J242</f>
        <v>0</v>
      </c>
    </row>
    <row r="243" spans="1:18" x14ac:dyDescent="0.35">
      <c r="A243" s="103"/>
      <c r="B243" s="12" t="s">
        <v>31</v>
      </c>
      <c r="C243" s="10" t="s">
        <v>39</v>
      </c>
      <c r="D243" s="152">
        <v>1</v>
      </c>
      <c r="E243" s="170"/>
      <c r="F243" s="153" t="str">
        <f t="shared" si="27"/>
        <v/>
      </c>
      <c r="G243" s="256"/>
      <c r="H243" s="166">
        <f t="shared" si="30"/>
        <v>0</v>
      </c>
      <c r="I243" s="10">
        <v>8.4600000000000009</v>
      </c>
      <c r="J243" s="11">
        <v>4.55</v>
      </c>
      <c r="K243" s="12">
        <f>H243*J243</f>
        <v>0</v>
      </c>
      <c r="R243" s="87"/>
    </row>
    <row r="244" spans="1:18" x14ac:dyDescent="0.35">
      <c r="A244" s="103"/>
      <c r="B244" s="12" t="s">
        <v>31</v>
      </c>
      <c r="C244" s="10" t="s">
        <v>422</v>
      </c>
      <c r="D244" s="152">
        <v>1</v>
      </c>
      <c r="E244" s="170"/>
      <c r="F244" s="153" t="str">
        <f t="shared" si="27"/>
        <v/>
      </c>
      <c r="G244" s="256"/>
      <c r="H244" s="166">
        <f t="shared" si="30"/>
        <v>0</v>
      </c>
      <c r="I244" s="10" t="s">
        <v>20</v>
      </c>
      <c r="J244" s="11">
        <v>3.7</v>
      </c>
      <c r="K244" s="12">
        <f t="shared" ref="K244:K255" si="32">H244*J244</f>
        <v>0</v>
      </c>
    </row>
    <row r="245" spans="1:18" x14ac:dyDescent="0.35">
      <c r="A245" s="103"/>
      <c r="B245" s="12" t="s">
        <v>31</v>
      </c>
      <c r="C245" s="10" t="s">
        <v>67</v>
      </c>
      <c r="D245" s="152">
        <v>1</v>
      </c>
      <c r="E245" s="170"/>
      <c r="F245" s="153" t="str">
        <f t="shared" si="27"/>
        <v/>
      </c>
      <c r="G245" s="256"/>
      <c r="H245" s="166">
        <f t="shared" si="30"/>
        <v>0</v>
      </c>
      <c r="I245" s="10" t="s">
        <v>20</v>
      </c>
      <c r="J245" s="11">
        <v>15.56</v>
      </c>
      <c r="K245" s="12">
        <f t="shared" si="32"/>
        <v>0</v>
      </c>
    </row>
    <row r="246" spans="1:18" hidden="1" x14ac:dyDescent="0.35">
      <c r="A246" s="103"/>
      <c r="B246" s="12" t="s">
        <v>31</v>
      </c>
      <c r="C246" s="10" t="s">
        <v>384</v>
      </c>
      <c r="D246" s="152"/>
      <c r="E246" s="170"/>
      <c r="F246" s="153" t="str">
        <f t="shared" si="27"/>
        <v/>
      </c>
      <c r="G246" s="256"/>
      <c r="H246" s="166">
        <f t="shared" si="30"/>
        <v>0</v>
      </c>
      <c r="I246" s="10" t="s">
        <v>20</v>
      </c>
      <c r="J246" s="11">
        <v>0.8</v>
      </c>
      <c r="K246" s="12">
        <f t="shared" si="32"/>
        <v>0</v>
      </c>
    </row>
    <row r="247" spans="1:18" hidden="1" x14ac:dyDescent="0.35">
      <c r="A247" s="103"/>
      <c r="B247" s="12" t="s">
        <v>31</v>
      </c>
      <c r="C247" s="10" t="s">
        <v>385</v>
      </c>
      <c r="D247" s="152"/>
      <c r="E247" s="170"/>
      <c r="F247" s="153" t="str">
        <f t="shared" si="27"/>
        <v/>
      </c>
      <c r="G247" s="256"/>
      <c r="H247" s="166">
        <f t="shared" si="30"/>
        <v>0</v>
      </c>
      <c r="I247" s="10" t="s">
        <v>20</v>
      </c>
      <c r="J247" s="11">
        <v>1.83</v>
      </c>
      <c r="K247" s="12">
        <f t="shared" si="32"/>
        <v>0</v>
      </c>
    </row>
    <row r="248" spans="1:18" x14ac:dyDescent="0.35">
      <c r="A248" s="103"/>
      <c r="B248" s="12" t="s">
        <v>31</v>
      </c>
      <c r="C248" s="10" t="s">
        <v>386</v>
      </c>
      <c r="D248" s="152">
        <v>1</v>
      </c>
      <c r="E248" s="170"/>
      <c r="F248" s="153" t="str">
        <f t="shared" si="27"/>
        <v/>
      </c>
      <c r="G248" s="256"/>
      <c r="H248" s="166">
        <f t="shared" si="30"/>
        <v>0</v>
      </c>
      <c r="I248" s="10" t="s">
        <v>20</v>
      </c>
      <c r="J248" s="11">
        <v>2.65</v>
      </c>
      <c r="K248" s="12">
        <f t="shared" si="32"/>
        <v>0</v>
      </c>
    </row>
    <row r="249" spans="1:18" x14ac:dyDescent="0.35">
      <c r="A249" s="103"/>
      <c r="B249" s="12" t="s">
        <v>31</v>
      </c>
      <c r="C249" s="10" t="s">
        <v>65</v>
      </c>
      <c r="D249" s="152">
        <v>1</v>
      </c>
      <c r="E249" s="170"/>
      <c r="F249" s="153" t="str">
        <f t="shared" si="27"/>
        <v/>
      </c>
      <c r="G249" s="256"/>
      <c r="H249" s="166">
        <f t="shared" si="30"/>
        <v>0</v>
      </c>
      <c r="I249" s="10" t="s">
        <v>20</v>
      </c>
      <c r="J249" s="11">
        <v>13.43</v>
      </c>
      <c r="K249" s="12">
        <f t="shared" si="32"/>
        <v>0</v>
      </c>
    </row>
    <row r="250" spans="1:18" hidden="1" x14ac:dyDescent="0.35">
      <c r="A250" s="103"/>
      <c r="B250" s="12" t="s">
        <v>31</v>
      </c>
      <c r="C250" s="10" t="s">
        <v>66</v>
      </c>
      <c r="D250" s="152"/>
      <c r="E250" s="170"/>
      <c r="F250" s="153" t="str">
        <f t="shared" si="27"/>
        <v/>
      </c>
      <c r="G250" s="256"/>
      <c r="H250" s="166">
        <f t="shared" si="30"/>
        <v>0</v>
      </c>
      <c r="I250" s="10" t="s">
        <v>20</v>
      </c>
      <c r="J250" s="11">
        <v>75.38</v>
      </c>
      <c r="K250" s="12">
        <f t="shared" si="32"/>
        <v>0</v>
      </c>
    </row>
    <row r="251" spans="1:18" x14ac:dyDescent="0.35">
      <c r="A251" s="103"/>
      <c r="B251" s="12" t="s">
        <v>31</v>
      </c>
      <c r="C251" s="10" t="s">
        <v>412</v>
      </c>
      <c r="D251" s="152">
        <v>1</v>
      </c>
      <c r="E251" s="170"/>
      <c r="F251" s="153" t="str">
        <f t="shared" si="27"/>
        <v/>
      </c>
      <c r="G251" s="256"/>
      <c r="H251" s="166">
        <f t="shared" si="30"/>
        <v>0</v>
      </c>
      <c r="I251" s="10" t="s">
        <v>20</v>
      </c>
      <c r="J251" s="11">
        <v>8.43</v>
      </c>
      <c r="K251" s="12">
        <f t="shared" si="32"/>
        <v>0</v>
      </c>
    </row>
    <row r="252" spans="1:18" x14ac:dyDescent="0.35">
      <c r="A252" s="103"/>
      <c r="B252" s="12" t="s">
        <v>31</v>
      </c>
      <c r="C252" s="10" t="s">
        <v>69</v>
      </c>
      <c r="D252" s="152">
        <v>1</v>
      </c>
      <c r="E252" s="170"/>
      <c r="F252" s="153" t="str">
        <f t="shared" si="27"/>
        <v/>
      </c>
      <c r="G252" s="256"/>
      <c r="H252" s="166">
        <f t="shared" si="30"/>
        <v>0</v>
      </c>
      <c r="I252" s="10" t="s">
        <v>63</v>
      </c>
      <c r="J252" s="11">
        <v>3.5</v>
      </c>
      <c r="K252" s="12">
        <f t="shared" si="32"/>
        <v>0</v>
      </c>
    </row>
    <row r="253" spans="1:18" ht="15.5" hidden="1" x14ac:dyDescent="0.35">
      <c r="A253" s="108" t="s">
        <v>57</v>
      </c>
      <c r="B253" s="108"/>
      <c r="C253" s="108"/>
      <c r="D253" s="111"/>
      <c r="E253" s="250">
        <f>'[7]Cocktail (2)'!E250</f>
        <v>0</v>
      </c>
      <c r="F253" s="165" t="str">
        <f t="shared" si="27"/>
        <v/>
      </c>
      <c r="G253" s="186"/>
      <c r="H253" s="247"/>
      <c r="I253" s="108"/>
      <c r="J253" s="106" t="s">
        <v>18</v>
      </c>
      <c r="K253" s="270">
        <f>K254+K255</f>
        <v>0</v>
      </c>
    </row>
    <row r="254" spans="1:18" hidden="1" x14ac:dyDescent="0.35">
      <c r="A254" s="103"/>
      <c r="B254" s="12" t="s">
        <v>56</v>
      </c>
      <c r="C254" s="10" t="s">
        <v>58</v>
      </c>
      <c r="D254" s="135"/>
      <c r="E254" s="170">
        <f>'[7]Cocktail (2)'!E251</f>
        <v>0</v>
      </c>
      <c r="F254" s="153" t="str">
        <f t="shared" si="27"/>
        <v/>
      </c>
      <c r="G254" s="256"/>
      <c r="H254" s="166">
        <f t="shared" si="30"/>
        <v>0</v>
      </c>
      <c r="I254" s="10" t="s">
        <v>20</v>
      </c>
      <c r="J254" s="11">
        <v>54.05</v>
      </c>
      <c r="K254" s="12">
        <f t="shared" si="32"/>
        <v>0</v>
      </c>
    </row>
    <row r="255" spans="1:18" hidden="1" x14ac:dyDescent="0.35">
      <c r="A255" s="103"/>
      <c r="B255" s="12" t="s">
        <v>56</v>
      </c>
      <c r="C255" s="10" t="s">
        <v>388</v>
      </c>
      <c r="D255" s="135"/>
      <c r="E255" s="170">
        <f>'[7]Cocktail (2)'!E252</f>
        <v>0</v>
      </c>
      <c r="F255" s="153" t="str">
        <f t="shared" si="27"/>
        <v/>
      </c>
      <c r="G255" s="256"/>
      <c r="H255" s="166">
        <f t="shared" si="30"/>
        <v>0</v>
      </c>
      <c r="I255" s="10" t="s">
        <v>20</v>
      </c>
      <c r="J255" s="11">
        <v>0</v>
      </c>
      <c r="K255" s="12">
        <f t="shared" si="32"/>
        <v>0</v>
      </c>
    </row>
    <row r="256" spans="1:18" hidden="1" x14ac:dyDescent="0.35">
      <c r="E256" s="170">
        <f>'[7]Cocktail (2)'!E253</f>
        <v>0</v>
      </c>
    </row>
  </sheetData>
  <mergeCells count="2">
    <mergeCell ref="B1:C1"/>
    <mergeCell ref="B2:C2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23BB7-A390-46D2-9B63-C15C51C5A97F}">
  <sheetPr codeName="Feuil40">
    <tabColor rgb="FFFF5050"/>
  </sheetPr>
  <dimension ref="A1:R255"/>
  <sheetViews>
    <sheetView topLeftCell="A15" zoomScale="112" zoomScaleNormal="112" workbookViewId="0">
      <selection activeCell="M244" sqref="M244"/>
    </sheetView>
  </sheetViews>
  <sheetFormatPr baseColWidth="10" defaultColWidth="10.7265625" defaultRowHeight="14.5" x14ac:dyDescent="0.35"/>
  <cols>
    <col min="1" max="1" width="2.81640625" customWidth="1"/>
    <col min="2" max="2" width="30.1796875" bestFit="1" customWidth="1"/>
    <col min="3" max="3" width="44.54296875" bestFit="1" customWidth="1"/>
    <col min="4" max="4" width="14.26953125" style="13" bestFit="1" customWidth="1"/>
    <col min="5" max="5" width="17.1796875" style="34" bestFit="1" customWidth="1"/>
    <col min="6" max="6" width="17" bestFit="1" customWidth="1"/>
    <col min="7" max="7" width="15.26953125" style="253" bestFit="1" customWidth="1"/>
    <col min="8" max="8" width="10.26953125" style="16" customWidth="1"/>
    <col min="9" max="9" width="6.81640625" bestFit="1" customWidth="1"/>
    <col min="10" max="10" width="10.26953125" customWidth="1"/>
    <col min="11" max="11" width="19.54296875" bestFit="1" customWidth="1"/>
  </cols>
  <sheetData>
    <row r="1" spans="2:6" ht="15" thickBot="1" x14ac:dyDescent="0.4">
      <c r="B1" s="321" t="s">
        <v>198</v>
      </c>
      <c r="C1" s="322"/>
      <c r="E1" s="154"/>
      <c r="F1" s="89"/>
    </row>
    <row r="2" spans="2:6" ht="15" thickBot="1" x14ac:dyDescent="0.4">
      <c r="B2" s="319"/>
      <c r="C2" s="320"/>
      <c r="E2" s="155"/>
      <c r="F2" s="90"/>
    </row>
    <row r="3" spans="2:6" x14ac:dyDescent="0.35">
      <c r="B3" s="75"/>
      <c r="C3" s="75"/>
      <c r="E3" s="156"/>
      <c r="F3" s="75"/>
    </row>
    <row r="4" spans="2:6" ht="15.5" x14ac:dyDescent="0.35">
      <c r="B4" s="70" t="s">
        <v>0</v>
      </c>
      <c r="C4" s="70" t="s">
        <v>1</v>
      </c>
      <c r="E4" s="157"/>
      <c r="F4" s="91"/>
    </row>
    <row r="5" spans="2:6" x14ac:dyDescent="0.35">
      <c r="B5" s="71" t="s">
        <v>2</v>
      </c>
      <c r="C5" s="72">
        <f>K23</f>
        <v>1564.3000000000002</v>
      </c>
      <c r="E5" s="156"/>
      <c r="F5" s="75"/>
    </row>
    <row r="6" spans="2:6" x14ac:dyDescent="0.35">
      <c r="B6" s="71" t="s">
        <v>7</v>
      </c>
      <c r="C6" s="72">
        <f>K41</f>
        <v>0</v>
      </c>
      <c r="E6" s="156"/>
      <c r="F6" s="75"/>
    </row>
    <row r="7" spans="2:6" x14ac:dyDescent="0.35">
      <c r="B7" s="71" t="s">
        <v>13</v>
      </c>
      <c r="C7" s="72">
        <f>K50</f>
        <v>191</v>
      </c>
      <c r="E7" s="156"/>
      <c r="F7" s="75"/>
    </row>
    <row r="8" spans="2:6" x14ac:dyDescent="0.35">
      <c r="B8" s="71" t="s">
        <v>3</v>
      </c>
      <c r="C8" s="72">
        <f>K78</f>
        <v>0</v>
      </c>
      <c r="E8" s="156"/>
      <c r="F8" s="75"/>
    </row>
    <row r="9" spans="2:6" x14ac:dyDescent="0.35">
      <c r="B9" s="71" t="s">
        <v>4</v>
      </c>
      <c r="C9" s="72">
        <f>K122</f>
        <v>675.26</v>
      </c>
      <c r="E9" s="156"/>
      <c r="F9" s="75"/>
    </row>
    <row r="10" spans="2:6" x14ac:dyDescent="0.35">
      <c r="B10" s="71" t="s">
        <v>199</v>
      </c>
      <c r="C10" s="72">
        <f>K176</f>
        <v>0</v>
      </c>
      <c r="E10" s="156"/>
      <c r="F10" s="75"/>
    </row>
    <row r="11" spans="2:6" x14ac:dyDescent="0.35">
      <c r="B11" s="71" t="s">
        <v>200</v>
      </c>
      <c r="C11" s="72">
        <f>K187</f>
        <v>176</v>
      </c>
      <c r="E11" s="156"/>
      <c r="F11" s="75"/>
    </row>
    <row r="12" spans="2:6" x14ac:dyDescent="0.35">
      <c r="B12" s="71" t="s">
        <v>201</v>
      </c>
      <c r="C12" s="72">
        <f>K193</f>
        <v>0</v>
      </c>
      <c r="E12" s="156"/>
      <c r="F12" s="75"/>
    </row>
    <row r="13" spans="2:6" x14ac:dyDescent="0.35">
      <c r="B13" s="71" t="s">
        <v>202</v>
      </c>
      <c r="C13" s="72">
        <f>K195</f>
        <v>0</v>
      </c>
      <c r="E13" s="156"/>
      <c r="F13" s="75"/>
    </row>
    <row r="14" spans="2:6" x14ac:dyDescent="0.35">
      <c r="B14" s="71" t="s">
        <v>203</v>
      </c>
      <c r="C14" s="72">
        <f>K208</f>
        <v>0</v>
      </c>
      <c r="E14" s="285"/>
      <c r="F14" s="75"/>
    </row>
    <row r="15" spans="2:6" x14ac:dyDescent="0.35">
      <c r="B15" s="71" t="s">
        <v>416</v>
      </c>
      <c r="C15" s="72">
        <f>K213</f>
        <v>0</v>
      </c>
      <c r="E15" s="156"/>
      <c r="F15" s="75"/>
    </row>
    <row r="16" spans="2:6" x14ac:dyDescent="0.35">
      <c r="B16" s="71" t="s">
        <v>204</v>
      </c>
      <c r="C16" s="72">
        <f>K218</f>
        <v>0</v>
      </c>
      <c r="E16" s="156"/>
      <c r="F16" s="75"/>
    </row>
    <row r="17" spans="1:17" x14ac:dyDescent="0.35">
      <c r="B17" s="71" t="s">
        <v>9</v>
      </c>
      <c r="C17" s="72">
        <f>K220</f>
        <v>0</v>
      </c>
      <c r="E17" s="156"/>
      <c r="F17" s="75"/>
    </row>
    <row r="18" spans="1:17" x14ac:dyDescent="0.35">
      <c r="B18" s="71" t="s">
        <v>205</v>
      </c>
      <c r="C18" s="72">
        <f>K241</f>
        <v>26.46</v>
      </c>
      <c r="E18" s="156"/>
      <c r="F18" s="75"/>
    </row>
    <row r="19" spans="1:17" x14ac:dyDescent="0.35">
      <c r="B19" s="71" t="s">
        <v>56</v>
      </c>
      <c r="C19" s="72">
        <f>K253</f>
        <v>0</v>
      </c>
      <c r="E19" s="156"/>
      <c r="F19" s="75"/>
    </row>
    <row r="20" spans="1:17" x14ac:dyDescent="0.35">
      <c r="B20" s="73" t="s">
        <v>14</v>
      </c>
      <c r="C20" s="74">
        <f>C5+C6+C7+C8+C9+C10+C11+C12+C13+C14+C15+C16+C17+C18+C19</f>
        <v>2633.0200000000004</v>
      </c>
      <c r="E20" s="248"/>
      <c r="F20" s="243"/>
    </row>
    <row r="21" spans="1:17" ht="18.5" x14ac:dyDescent="0.45">
      <c r="A21" s="76" t="s">
        <v>397</v>
      </c>
      <c r="B21" s="76"/>
      <c r="C21" s="76"/>
      <c r="D21" s="234"/>
      <c r="E21" s="160"/>
      <c r="F21" s="76"/>
      <c r="G21" s="254"/>
      <c r="H21" s="69"/>
      <c r="I21" s="76"/>
      <c r="J21" s="76"/>
      <c r="K21" s="76"/>
    </row>
    <row r="22" spans="1:17" x14ac:dyDescent="0.35">
      <c r="A22" s="129"/>
      <c r="B22" s="129" t="s">
        <v>15</v>
      </c>
      <c r="C22" s="129" t="s">
        <v>16</v>
      </c>
      <c r="D22" s="235" t="s">
        <v>398</v>
      </c>
      <c r="E22" s="185" t="s">
        <v>404</v>
      </c>
      <c r="F22" s="130" t="s">
        <v>399</v>
      </c>
      <c r="G22" s="255" t="s">
        <v>405</v>
      </c>
      <c r="H22" s="131" t="s">
        <v>408</v>
      </c>
      <c r="I22" s="129" t="s">
        <v>406</v>
      </c>
      <c r="J22" s="133" t="s">
        <v>45</v>
      </c>
      <c r="K22" s="129" t="s">
        <v>1</v>
      </c>
    </row>
    <row r="23" spans="1:17" ht="15.5" x14ac:dyDescent="0.35">
      <c r="A23" s="108" t="s">
        <v>208</v>
      </c>
      <c r="B23" s="108"/>
      <c r="C23" s="108"/>
      <c r="D23" s="111"/>
      <c r="E23" s="286" t="s">
        <v>421</v>
      </c>
      <c r="F23" s="108"/>
      <c r="G23" s="286" t="s">
        <v>421</v>
      </c>
      <c r="H23" s="109"/>
      <c r="I23" s="108"/>
      <c r="J23" s="110" t="s">
        <v>18</v>
      </c>
      <c r="K23" s="269">
        <f>SUM(K24:K40)</f>
        <v>1564.3000000000002</v>
      </c>
    </row>
    <row r="24" spans="1:17" x14ac:dyDescent="0.35">
      <c r="A24" s="103"/>
      <c r="B24" s="7" t="s">
        <v>2</v>
      </c>
      <c r="C24" s="14" t="s">
        <v>19</v>
      </c>
      <c r="D24" s="152"/>
      <c r="E24" s="170"/>
      <c r="F24" s="153" t="str">
        <f t="shared" ref="F24:F88" si="0">IF(E24="","",IF(D24-E24&gt;0,D24-E24,""))</f>
        <v/>
      </c>
      <c r="G24" s="256"/>
      <c r="H24" s="166">
        <f t="shared" ref="H24:H45" si="1">IF(ISNUMBER(E24),E24,0)+IF(ISNUMBER(F24),F24,0)-IF(ISNUMBER(G24),G24,0)</f>
        <v>0</v>
      </c>
      <c r="I24" s="10" t="s">
        <v>20</v>
      </c>
      <c r="J24" s="11">
        <v>55.95</v>
      </c>
      <c r="K24" s="12">
        <f t="shared" ref="K24:K27" si="2">G24*J24</f>
        <v>0</v>
      </c>
    </row>
    <row r="25" spans="1:17" hidden="1" x14ac:dyDescent="0.35">
      <c r="A25" s="103"/>
      <c r="B25" s="7" t="s">
        <v>2</v>
      </c>
      <c r="C25" s="14" t="s">
        <v>209</v>
      </c>
      <c r="D25" s="152"/>
      <c r="E25" s="170"/>
      <c r="F25" s="153" t="str">
        <f t="shared" si="0"/>
        <v/>
      </c>
      <c r="G25" s="256"/>
      <c r="H25" s="166">
        <f t="shared" si="1"/>
        <v>0</v>
      </c>
      <c r="I25" s="10" t="s">
        <v>20</v>
      </c>
      <c r="J25" s="11">
        <v>173.1</v>
      </c>
      <c r="K25" s="12">
        <f t="shared" si="2"/>
        <v>0</v>
      </c>
    </row>
    <row r="26" spans="1:17" x14ac:dyDescent="0.35">
      <c r="A26" s="103"/>
      <c r="B26" s="12" t="s">
        <v>2</v>
      </c>
      <c r="C26" s="10" t="s">
        <v>21</v>
      </c>
      <c r="D26" s="152">
        <v>10</v>
      </c>
      <c r="E26" s="170">
        <v>16</v>
      </c>
      <c r="F26" s="153" t="str">
        <f t="shared" si="0"/>
        <v/>
      </c>
      <c r="G26" s="256"/>
      <c r="H26" s="166">
        <f t="shared" si="1"/>
        <v>16</v>
      </c>
      <c r="I26" s="10" t="s">
        <v>20</v>
      </c>
      <c r="J26" s="11">
        <v>75.400000000000006</v>
      </c>
      <c r="K26" s="12">
        <f t="shared" si="2"/>
        <v>0</v>
      </c>
    </row>
    <row r="27" spans="1:17" hidden="1" x14ac:dyDescent="0.35">
      <c r="A27" s="103"/>
      <c r="B27" s="12" t="s">
        <v>2</v>
      </c>
      <c r="C27" s="10" t="s">
        <v>210</v>
      </c>
      <c r="D27" s="152"/>
      <c r="E27" s="170"/>
      <c r="F27" s="153" t="str">
        <f t="shared" si="0"/>
        <v/>
      </c>
      <c r="G27" s="257"/>
      <c r="H27" s="166">
        <f t="shared" si="1"/>
        <v>0</v>
      </c>
      <c r="I27" s="10" t="s">
        <v>20</v>
      </c>
      <c r="J27" s="11">
        <v>84.9</v>
      </c>
      <c r="K27" s="12">
        <f t="shared" si="2"/>
        <v>0</v>
      </c>
    </row>
    <row r="28" spans="1:17" hidden="1" x14ac:dyDescent="0.35">
      <c r="A28" s="103"/>
      <c r="B28" s="12" t="s">
        <v>2</v>
      </c>
      <c r="C28" s="10" t="s">
        <v>211</v>
      </c>
      <c r="D28" s="152"/>
      <c r="E28" s="170"/>
      <c r="F28" s="153" t="str">
        <f t="shared" si="0"/>
        <v/>
      </c>
      <c r="G28" s="256"/>
      <c r="H28" s="166">
        <f t="shared" si="1"/>
        <v>0</v>
      </c>
      <c r="I28" s="10" t="s">
        <v>20</v>
      </c>
      <c r="J28" s="11">
        <v>2.96</v>
      </c>
      <c r="K28" s="12">
        <f>H28*J28</f>
        <v>0</v>
      </c>
    </row>
    <row r="29" spans="1:17" hidden="1" x14ac:dyDescent="0.35">
      <c r="A29" s="103"/>
      <c r="B29" s="12" t="s">
        <v>2</v>
      </c>
      <c r="C29" s="10" t="s">
        <v>212</v>
      </c>
      <c r="D29" s="152"/>
      <c r="E29" s="170"/>
      <c r="F29" s="153" t="str">
        <f t="shared" si="0"/>
        <v/>
      </c>
      <c r="G29" s="256"/>
      <c r="H29" s="166">
        <f t="shared" si="1"/>
        <v>0</v>
      </c>
      <c r="I29" s="10" t="s">
        <v>20</v>
      </c>
      <c r="J29" s="11">
        <v>2.96</v>
      </c>
      <c r="K29" s="12">
        <f t="shared" ref="K29:K40" si="3">H29*J29</f>
        <v>0</v>
      </c>
    </row>
    <row r="30" spans="1:17" hidden="1" x14ac:dyDescent="0.35">
      <c r="A30" s="103"/>
      <c r="B30" s="12" t="s">
        <v>2</v>
      </c>
      <c r="C30" s="10" t="s">
        <v>213</v>
      </c>
      <c r="D30" s="152"/>
      <c r="E30" s="170"/>
      <c r="F30" s="153" t="str">
        <f t="shared" si="0"/>
        <v/>
      </c>
      <c r="G30" s="256"/>
      <c r="H30" s="166">
        <f t="shared" si="1"/>
        <v>0</v>
      </c>
      <c r="I30" s="10" t="s">
        <v>20</v>
      </c>
      <c r="J30" s="11">
        <v>2.96</v>
      </c>
      <c r="K30" s="12">
        <f t="shared" si="3"/>
        <v>0</v>
      </c>
      <c r="Q30" s="268"/>
    </row>
    <row r="31" spans="1:17" x14ac:dyDescent="0.35">
      <c r="A31" s="103"/>
      <c r="B31" s="7" t="s">
        <v>2</v>
      </c>
      <c r="C31" s="14" t="s">
        <v>22</v>
      </c>
      <c r="D31" s="152">
        <v>4</v>
      </c>
      <c r="E31" s="170">
        <v>13</v>
      </c>
      <c r="F31" s="153" t="str">
        <f t="shared" si="0"/>
        <v/>
      </c>
      <c r="G31" s="256"/>
      <c r="H31" s="166">
        <f t="shared" si="1"/>
        <v>13</v>
      </c>
      <c r="I31" s="10" t="s">
        <v>20</v>
      </c>
      <c r="J31" s="11">
        <v>107.2</v>
      </c>
      <c r="K31" s="12">
        <f t="shared" si="3"/>
        <v>1393.6000000000001</v>
      </c>
    </row>
    <row r="32" spans="1:17" x14ac:dyDescent="0.35">
      <c r="A32" s="103"/>
      <c r="B32" s="7" t="s">
        <v>2</v>
      </c>
      <c r="C32" s="14" t="s">
        <v>214</v>
      </c>
      <c r="D32" s="152">
        <v>2</v>
      </c>
      <c r="E32" s="170">
        <v>1</v>
      </c>
      <c r="F32" s="153">
        <f t="shared" si="0"/>
        <v>1</v>
      </c>
      <c r="G32" s="256">
        <v>1</v>
      </c>
      <c r="H32" s="166">
        <f t="shared" si="1"/>
        <v>1</v>
      </c>
      <c r="I32" s="10" t="s">
        <v>20</v>
      </c>
      <c r="J32" s="11">
        <v>170.7</v>
      </c>
      <c r="K32" s="12">
        <f t="shared" si="3"/>
        <v>170.7</v>
      </c>
      <c r="M32" s="87"/>
    </row>
    <row r="33" spans="1:14" hidden="1" x14ac:dyDescent="0.35">
      <c r="A33" s="103"/>
      <c r="B33" s="12" t="s">
        <v>2</v>
      </c>
      <c r="C33" s="10" t="s">
        <v>215</v>
      </c>
      <c r="D33" s="152"/>
      <c r="E33" s="170"/>
      <c r="F33" s="153" t="str">
        <f t="shared" si="0"/>
        <v/>
      </c>
      <c r="G33" s="256"/>
      <c r="H33" s="166">
        <f t="shared" si="1"/>
        <v>0</v>
      </c>
      <c r="I33" s="10" t="s">
        <v>216</v>
      </c>
      <c r="J33" s="11">
        <v>3.77</v>
      </c>
      <c r="K33" s="12">
        <f t="shared" si="3"/>
        <v>0</v>
      </c>
    </row>
    <row r="34" spans="1:14" hidden="1" x14ac:dyDescent="0.35">
      <c r="A34" s="103"/>
      <c r="B34" s="12" t="s">
        <v>2</v>
      </c>
      <c r="C34" s="10" t="s">
        <v>217</v>
      </c>
      <c r="D34" s="152"/>
      <c r="E34" s="170"/>
      <c r="F34" s="153" t="str">
        <f t="shared" si="0"/>
        <v/>
      </c>
      <c r="G34" s="256"/>
      <c r="H34" s="166">
        <f t="shared" si="1"/>
        <v>0</v>
      </c>
      <c r="I34" s="10" t="s">
        <v>20</v>
      </c>
      <c r="J34" s="11">
        <v>2.56</v>
      </c>
      <c r="K34" s="12">
        <f t="shared" si="3"/>
        <v>0</v>
      </c>
      <c r="N34" s="87"/>
    </row>
    <row r="35" spans="1:14" hidden="1" x14ac:dyDescent="0.35">
      <c r="A35" s="103"/>
      <c r="B35" s="12" t="s">
        <v>2</v>
      </c>
      <c r="C35" s="10" t="s">
        <v>218</v>
      </c>
      <c r="D35" s="152"/>
      <c r="E35" s="170"/>
      <c r="F35" s="153" t="str">
        <f t="shared" si="0"/>
        <v/>
      </c>
      <c r="G35" s="256"/>
      <c r="H35" s="166">
        <f t="shared" si="1"/>
        <v>0</v>
      </c>
      <c r="I35" s="10" t="s">
        <v>20</v>
      </c>
      <c r="J35" s="11">
        <v>3.08</v>
      </c>
      <c r="K35" s="12">
        <f t="shared" si="3"/>
        <v>0</v>
      </c>
    </row>
    <row r="36" spans="1:14" hidden="1" x14ac:dyDescent="0.35">
      <c r="A36" s="103"/>
      <c r="B36" s="12" t="s">
        <v>2</v>
      </c>
      <c r="C36" s="10" t="s">
        <v>219</v>
      </c>
      <c r="D36" s="152"/>
      <c r="E36" s="170"/>
      <c r="F36" s="153" t="str">
        <f t="shared" si="0"/>
        <v/>
      </c>
      <c r="G36" s="256"/>
      <c r="H36" s="166">
        <f t="shared" si="1"/>
        <v>0</v>
      </c>
      <c r="I36" s="10" t="s">
        <v>20</v>
      </c>
      <c r="J36" s="11">
        <v>2.56</v>
      </c>
      <c r="K36" s="12">
        <f t="shared" si="3"/>
        <v>0</v>
      </c>
    </row>
    <row r="37" spans="1:14" hidden="1" x14ac:dyDescent="0.35">
      <c r="A37" s="103"/>
      <c r="B37" s="12" t="s">
        <v>2</v>
      </c>
      <c r="C37" s="10" t="s">
        <v>220</v>
      </c>
      <c r="D37" s="152"/>
      <c r="E37" s="170"/>
      <c r="F37" s="153" t="str">
        <f t="shared" si="0"/>
        <v/>
      </c>
      <c r="G37" s="256"/>
      <c r="H37" s="166">
        <f t="shared" si="1"/>
        <v>0</v>
      </c>
      <c r="I37" s="10" t="s">
        <v>20</v>
      </c>
      <c r="J37" s="11">
        <v>1.41</v>
      </c>
      <c r="K37" s="12">
        <f t="shared" si="3"/>
        <v>0</v>
      </c>
    </row>
    <row r="38" spans="1:14" hidden="1" x14ac:dyDescent="0.35">
      <c r="A38" s="103"/>
      <c r="B38" s="12" t="s">
        <v>2</v>
      </c>
      <c r="C38" s="10" t="s">
        <v>221</v>
      </c>
      <c r="D38" s="152"/>
      <c r="E38" s="170"/>
      <c r="F38" s="153" t="str">
        <f t="shared" si="0"/>
        <v/>
      </c>
      <c r="G38" s="256"/>
      <c r="H38" s="166">
        <f t="shared" si="1"/>
        <v>0</v>
      </c>
      <c r="I38" s="10" t="s">
        <v>20</v>
      </c>
      <c r="J38" s="11">
        <v>1.73</v>
      </c>
      <c r="K38" s="12">
        <f t="shared" si="3"/>
        <v>0</v>
      </c>
    </row>
    <row r="39" spans="1:14" hidden="1" x14ac:dyDescent="0.35">
      <c r="A39" s="103"/>
      <c r="B39" s="12" t="s">
        <v>2</v>
      </c>
      <c r="C39" s="10" t="s">
        <v>222</v>
      </c>
      <c r="D39" s="152"/>
      <c r="E39" s="170"/>
      <c r="F39" s="153" t="str">
        <f t="shared" si="0"/>
        <v/>
      </c>
      <c r="G39" s="256"/>
      <c r="H39" s="166">
        <f t="shared" si="1"/>
        <v>0</v>
      </c>
      <c r="I39" s="10" t="s">
        <v>20</v>
      </c>
      <c r="J39" s="11">
        <v>1.46</v>
      </c>
      <c r="K39" s="12">
        <f t="shared" si="3"/>
        <v>0</v>
      </c>
    </row>
    <row r="40" spans="1:14" hidden="1" x14ac:dyDescent="0.35">
      <c r="A40" s="103"/>
      <c r="B40" s="12" t="s">
        <v>2</v>
      </c>
      <c r="C40" s="10" t="s">
        <v>223</v>
      </c>
      <c r="D40" s="222"/>
      <c r="E40" s="170"/>
      <c r="F40" s="153" t="str">
        <f t="shared" si="0"/>
        <v/>
      </c>
      <c r="G40" s="256"/>
      <c r="H40" s="166">
        <f t="shared" si="1"/>
        <v>0</v>
      </c>
      <c r="I40" s="10" t="s">
        <v>20</v>
      </c>
      <c r="J40" s="77">
        <v>3.45</v>
      </c>
      <c r="K40" s="12">
        <f t="shared" si="3"/>
        <v>0</v>
      </c>
    </row>
    <row r="41" spans="1:14" ht="15.5" x14ac:dyDescent="0.35">
      <c r="A41" s="108" t="s">
        <v>119</v>
      </c>
      <c r="B41" s="108"/>
      <c r="C41" s="108"/>
      <c r="D41" s="223"/>
      <c r="E41" s="287"/>
      <c r="F41" s="165"/>
      <c r="G41" s="286"/>
      <c r="H41" s="247"/>
      <c r="I41" s="108"/>
      <c r="J41" s="106" t="s">
        <v>18</v>
      </c>
      <c r="K41" s="269">
        <f>SUM(K42:K49)</f>
        <v>0</v>
      </c>
    </row>
    <row r="42" spans="1:14" x14ac:dyDescent="0.35">
      <c r="A42" s="103"/>
      <c r="B42" s="12" t="s">
        <v>7</v>
      </c>
      <c r="C42" s="10" t="s">
        <v>224</v>
      </c>
      <c r="D42" s="152"/>
      <c r="E42" s="170"/>
      <c r="F42" s="153" t="str">
        <f t="shared" si="0"/>
        <v/>
      </c>
      <c r="G42" s="256"/>
      <c r="H42" s="166">
        <f t="shared" si="1"/>
        <v>0</v>
      </c>
      <c r="I42" s="10" t="s">
        <v>20</v>
      </c>
      <c r="J42" s="11">
        <v>100</v>
      </c>
      <c r="K42" s="12">
        <f t="shared" ref="K42:K49" si="4">G42*J42</f>
        <v>0</v>
      </c>
    </row>
    <row r="43" spans="1:14" hidden="1" x14ac:dyDescent="0.35">
      <c r="A43" s="103"/>
      <c r="B43" s="12" t="s">
        <v>7</v>
      </c>
      <c r="C43" s="10" t="s">
        <v>225</v>
      </c>
      <c r="D43" s="152"/>
      <c r="E43" s="170"/>
      <c r="F43" s="153" t="str">
        <f t="shared" si="0"/>
        <v/>
      </c>
      <c r="G43" s="256"/>
      <c r="H43" s="166">
        <f t="shared" si="1"/>
        <v>0</v>
      </c>
      <c r="I43" s="10" t="s">
        <v>20</v>
      </c>
      <c r="J43" s="11">
        <v>12.2</v>
      </c>
      <c r="K43" s="12">
        <f t="shared" si="4"/>
        <v>0</v>
      </c>
    </row>
    <row r="44" spans="1:14" hidden="1" x14ac:dyDescent="0.35">
      <c r="A44" s="103"/>
      <c r="B44" s="12" t="s">
        <v>7</v>
      </c>
      <c r="C44" s="10" t="s">
        <v>226</v>
      </c>
      <c r="D44" s="152"/>
      <c r="E44" s="170"/>
      <c r="F44" s="153" t="str">
        <f t="shared" si="0"/>
        <v/>
      </c>
      <c r="G44" s="256"/>
      <c r="H44" s="166">
        <f t="shared" si="1"/>
        <v>0</v>
      </c>
      <c r="I44" s="10" t="s">
        <v>20</v>
      </c>
      <c r="J44" s="11">
        <v>11</v>
      </c>
      <c r="K44" s="12">
        <f t="shared" si="4"/>
        <v>0</v>
      </c>
    </row>
    <row r="45" spans="1:14" hidden="1" x14ac:dyDescent="0.35">
      <c r="A45" s="103"/>
      <c r="B45" s="12" t="s">
        <v>7</v>
      </c>
      <c r="C45" s="10" t="s">
        <v>227</v>
      </c>
      <c r="D45" s="152"/>
      <c r="E45" s="170"/>
      <c r="F45" s="153" t="str">
        <f t="shared" si="0"/>
        <v/>
      </c>
      <c r="G45" s="256"/>
      <c r="H45" s="166">
        <f t="shared" si="1"/>
        <v>0</v>
      </c>
      <c r="I45" s="10" t="s">
        <v>20</v>
      </c>
      <c r="J45" s="11">
        <v>5</v>
      </c>
      <c r="K45" s="12">
        <f t="shared" si="4"/>
        <v>0</v>
      </c>
    </row>
    <row r="46" spans="1:14" x14ac:dyDescent="0.35">
      <c r="A46" s="103"/>
      <c r="B46" s="12" t="s">
        <v>7</v>
      </c>
      <c r="C46" s="10" t="s">
        <v>46</v>
      </c>
      <c r="D46" s="152"/>
      <c r="E46" s="170"/>
      <c r="F46" s="153" t="str">
        <f t="shared" si="0"/>
        <v/>
      </c>
      <c r="G46" s="256"/>
      <c r="H46" s="166">
        <f>IF(ISNUMBER(E46),E46,0)+IF(ISNUMBER(F46),F46,0)-IF(ISNUMBER(G46),G46,0)</f>
        <v>0</v>
      </c>
      <c r="I46" s="10" t="s">
        <v>20</v>
      </c>
      <c r="J46" s="11">
        <v>5</v>
      </c>
      <c r="K46" s="12">
        <f>H46*J46</f>
        <v>0</v>
      </c>
    </row>
    <row r="47" spans="1:14" hidden="1" x14ac:dyDescent="0.35">
      <c r="A47" s="103"/>
      <c r="B47" s="12" t="s">
        <v>7</v>
      </c>
      <c r="C47" s="10" t="s">
        <v>228</v>
      </c>
      <c r="D47" s="152"/>
      <c r="E47" s="170"/>
      <c r="F47" s="153" t="str">
        <f t="shared" si="0"/>
        <v/>
      </c>
      <c r="G47" s="256"/>
      <c r="H47" s="166">
        <f t="shared" ref="H47:H110" si="5">IF(ISNUMBER(E47),E47,0)+IF(ISNUMBER(F47),F47,0)-IF(ISNUMBER(G47),G47,0)</f>
        <v>0</v>
      </c>
      <c r="I47" s="10" t="s">
        <v>20</v>
      </c>
      <c r="J47" s="11">
        <v>11</v>
      </c>
      <c r="K47" s="12">
        <f t="shared" ref="K47:K48" si="6">H47*J47</f>
        <v>0</v>
      </c>
    </row>
    <row r="48" spans="1:14" x14ac:dyDescent="0.35">
      <c r="A48" s="103"/>
      <c r="B48" s="12" t="s">
        <v>7</v>
      </c>
      <c r="C48" s="10" t="s">
        <v>229</v>
      </c>
      <c r="D48" s="152"/>
      <c r="E48" s="170"/>
      <c r="F48" s="153" t="str">
        <f t="shared" si="0"/>
        <v/>
      </c>
      <c r="G48" s="256"/>
      <c r="H48" s="166">
        <f t="shared" si="5"/>
        <v>0</v>
      </c>
      <c r="I48" s="10" t="s">
        <v>20</v>
      </c>
      <c r="J48" s="11">
        <v>50</v>
      </c>
      <c r="K48" s="12">
        <f t="shared" si="6"/>
        <v>0</v>
      </c>
    </row>
    <row r="49" spans="1:12" hidden="1" x14ac:dyDescent="0.35">
      <c r="A49" s="103"/>
      <c r="B49" s="12" t="s">
        <v>7</v>
      </c>
      <c r="C49" s="78" t="s">
        <v>206</v>
      </c>
      <c r="D49" s="224"/>
      <c r="E49" s="170"/>
      <c r="F49" s="153" t="str">
        <f t="shared" si="0"/>
        <v/>
      </c>
      <c r="G49" s="256"/>
      <c r="H49" s="166">
        <f t="shared" si="5"/>
        <v>0</v>
      </c>
      <c r="I49" s="10" t="s">
        <v>20</v>
      </c>
      <c r="J49" s="79">
        <v>5</v>
      </c>
      <c r="K49" s="12">
        <f t="shared" si="4"/>
        <v>0</v>
      </c>
    </row>
    <row r="50" spans="1:12" ht="15.5" x14ac:dyDescent="0.35">
      <c r="A50" s="103"/>
      <c r="B50" s="104" t="s">
        <v>230</v>
      </c>
      <c r="C50" s="105"/>
      <c r="D50" s="225"/>
      <c r="E50" s="250"/>
      <c r="F50" s="165" t="str">
        <f t="shared" si="0"/>
        <v/>
      </c>
      <c r="G50" s="258"/>
      <c r="H50" s="247"/>
      <c r="I50" s="105"/>
      <c r="J50" s="106" t="s">
        <v>18</v>
      </c>
      <c r="K50" s="269">
        <f>SUM(K52:K77)</f>
        <v>191</v>
      </c>
    </row>
    <row r="51" spans="1:12" ht="15.5" x14ac:dyDescent="0.35">
      <c r="A51" s="111"/>
      <c r="B51" s="126" t="s">
        <v>231</v>
      </c>
      <c r="C51" s="127"/>
      <c r="D51" s="226"/>
      <c r="E51" s="250"/>
      <c r="F51" s="165" t="str">
        <f t="shared" si="0"/>
        <v/>
      </c>
      <c r="G51" s="259"/>
      <c r="H51" s="247"/>
      <c r="I51" s="127"/>
      <c r="J51" s="127"/>
      <c r="K51" s="128"/>
    </row>
    <row r="52" spans="1:12" x14ac:dyDescent="0.35">
      <c r="A52" s="103"/>
      <c r="B52" s="12" t="s">
        <v>13</v>
      </c>
      <c r="C52" s="10" t="s">
        <v>78</v>
      </c>
      <c r="D52" s="152">
        <v>6</v>
      </c>
      <c r="E52" s="170">
        <v>6</v>
      </c>
      <c r="F52" s="153" t="str">
        <f t="shared" si="0"/>
        <v/>
      </c>
      <c r="G52" s="256"/>
      <c r="H52" s="166">
        <f t="shared" si="5"/>
        <v>6</v>
      </c>
      <c r="I52" s="10" t="s">
        <v>20</v>
      </c>
      <c r="J52" s="11">
        <v>13</v>
      </c>
      <c r="K52" s="12">
        <f>H52*J52</f>
        <v>78</v>
      </c>
    </row>
    <row r="53" spans="1:12" hidden="1" x14ac:dyDescent="0.35">
      <c r="A53" s="103"/>
      <c r="B53" s="12" t="s">
        <v>13</v>
      </c>
      <c r="C53" s="10" t="s">
        <v>232</v>
      </c>
      <c r="D53" s="152"/>
      <c r="E53" s="170"/>
      <c r="F53" s="153" t="str">
        <f t="shared" si="0"/>
        <v/>
      </c>
      <c r="G53" s="256"/>
      <c r="H53" s="166">
        <f t="shared" si="5"/>
        <v>0</v>
      </c>
      <c r="I53" s="10" t="s">
        <v>20</v>
      </c>
      <c r="J53" s="11">
        <v>13</v>
      </c>
      <c r="K53" s="12">
        <f t="shared" ref="K53:K77" si="7">H53*J53</f>
        <v>0</v>
      </c>
      <c r="L53" s="87"/>
    </row>
    <row r="54" spans="1:12" hidden="1" x14ac:dyDescent="0.35">
      <c r="A54" s="103"/>
      <c r="B54" s="12" t="s">
        <v>13</v>
      </c>
      <c r="C54" s="10" t="s">
        <v>233</v>
      </c>
      <c r="D54" s="152"/>
      <c r="E54" s="170"/>
      <c r="F54" s="153" t="str">
        <f t="shared" si="0"/>
        <v/>
      </c>
      <c r="G54" s="256"/>
      <c r="H54" s="166">
        <f t="shared" si="5"/>
        <v>0</v>
      </c>
      <c r="I54" s="10" t="s">
        <v>20</v>
      </c>
      <c r="J54" s="11">
        <v>8.9</v>
      </c>
      <c r="K54" s="12">
        <f t="shared" si="7"/>
        <v>0</v>
      </c>
    </row>
    <row r="55" spans="1:12" x14ac:dyDescent="0.35">
      <c r="A55" s="103"/>
      <c r="B55" s="12" t="s">
        <v>13</v>
      </c>
      <c r="C55" s="10" t="s">
        <v>32</v>
      </c>
      <c r="D55" s="152">
        <v>2</v>
      </c>
      <c r="E55" s="170">
        <v>2</v>
      </c>
      <c r="F55" s="153" t="str">
        <f t="shared" si="0"/>
        <v/>
      </c>
      <c r="G55" s="256"/>
      <c r="H55" s="166">
        <f t="shared" si="5"/>
        <v>2</v>
      </c>
      <c r="I55" s="10" t="s">
        <v>20</v>
      </c>
      <c r="J55" s="11">
        <v>8.35</v>
      </c>
      <c r="K55" s="12">
        <f t="shared" si="7"/>
        <v>16.7</v>
      </c>
    </row>
    <row r="56" spans="1:12" x14ac:dyDescent="0.35">
      <c r="A56" s="103"/>
      <c r="B56" s="12" t="s">
        <v>13</v>
      </c>
      <c r="C56" s="10" t="s">
        <v>33</v>
      </c>
      <c r="D56" s="152">
        <v>2</v>
      </c>
      <c r="E56" s="170">
        <v>3</v>
      </c>
      <c r="F56" s="153" t="str">
        <f t="shared" si="0"/>
        <v/>
      </c>
      <c r="G56" s="256"/>
      <c r="H56" s="166">
        <f t="shared" si="5"/>
        <v>3</v>
      </c>
      <c r="I56" s="10" t="s">
        <v>20</v>
      </c>
      <c r="J56" s="11">
        <v>8.9</v>
      </c>
      <c r="K56" s="12">
        <f t="shared" si="7"/>
        <v>26.700000000000003</v>
      </c>
    </row>
    <row r="57" spans="1:12" x14ac:dyDescent="0.35">
      <c r="A57" s="103"/>
      <c r="B57" s="12" t="s">
        <v>13</v>
      </c>
      <c r="C57" s="10" t="s">
        <v>59</v>
      </c>
      <c r="D57" s="152">
        <v>2</v>
      </c>
      <c r="E57" s="170">
        <v>8</v>
      </c>
      <c r="F57" s="153" t="str">
        <f t="shared" si="0"/>
        <v/>
      </c>
      <c r="G57" s="256"/>
      <c r="H57" s="166">
        <f t="shared" si="5"/>
        <v>8</v>
      </c>
      <c r="I57" s="10" t="s">
        <v>20</v>
      </c>
      <c r="J57" s="11">
        <v>8.6999999999999993</v>
      </c>
      <c r="K57" s="12">
        <f t="shared" si="7"/>
        <v>69.599999999999994</v>
      </c>
    </row>
    <row r="58" spans="1:12" hidden="1" x14ac:dyDescent="0.35">
      <c r="A58" s="103"/>
      <c r="B58" s="12" t="s">
        <v>13</v>
      </c>
      <c r="C58" s="10" t="s">
        <v>234</v>
      </c>
      <c r="D58" s="152"/>
      <c r="E58" s="170"/>
      <c r="F58" s="153" t="str">
        <f t="shared" si="0"/>
        <v/>
      </c>
      <c r="G58" s="256"/>
      <c r="H58" s="166">
        <f t="shared" si="5"/>
        <v>0</v>
      </c>
      <c r="I58" s="10" t="s">
        <v>20</v>
      </c>
      <c r="J58" s="11">
        <v>12.15</v>
      </c>
      <c r="K58" s="12">
        <f t="shared" si="7"/>
        <v>0</v>
      </c>
    </row>
    <row r="59" spans="1:12" hidden="1" x14ac:dyDescent="0.35">
      <c r="A59" s="103"/>
      <c r="B59" s="12" t="s">
        <v>13</v>
      </c>
      <c r="C59" s="10" t="s">
        <v>235</v>
      </c>
      <c r="D59" s="152"/>
      <c r="E59" s="170"/>
      <c r="F59" s="153" t="str">
        <f t="shared" si="0"/>
        <v/>
      </c>
      <c r="G59" s="256"/>
      <c r="H59" s="166">
        <f t="shared" si="5"/>
        <v>0</v>
      </c>
      <c r="I59" s="10" t="s">
        <v>20</v>
      </c>
      <c r="J59" s="11">
        <v>11.35</v>
      </c>
      <c r="K59" s="12">
        <f t="shared" si="7"/>
        <v>0</v>
      </c>
    </row>
    <row r="60" spans="1:12" hidden="1" x14ac:dyDescent="0.35">
      <c r="A60" s="103"/>
      <c r="B60" s="12" t="s">
        <v>13</v>
      </c>
      <c r="C60" s="10" t="s">
        <v>236</v>
      </c>
      <c r="D60" s="152"/>
      <c r="E60" s="170"/>
      <c r="F60" s="153" t="str">
        <f t="shared" si="0"/>
        <v/>
      </c>
      <c r="G60" s="256"/>
      <c r="H60" s="166">
        <f t="shared" si="5"/>
        <v>0</v>
      </c>
      <c r="I60" s="10" t="s">
        <v>20</v>
      </c>
      <c r="J60" s="11">
        <v>14.65</v>
      </c>
      <c r="K60" s="12">
        <f t="shared" si="7"/>
        <v>0</v>
      </c>
    </row>
    <row r="61" spans="1:12" hidden="1" x14ac:dyDescent="0.35">
      <c r="A61" s="103"/>
      <c r="B61" s="12" t="s">
        <v>13</v>
      </c>
      <c r="C61" s="10" t="s">
        <v>237</v>
      </c>
      <c r="D61" s="152"/>
      <c r="E61" s="170"/>
      <c r="F61" s="153" t="str">
        <f t="shared" si="0"/>
        <v/>
      </c>
      <c r="G61" s="256"/>
      <c r="H61" s="166">
        <f t="shared" si="5"/>
        <v>0</v>
      </c>
      <c r="I61" s="10" t="s">
        <v>20</v>
      </c>
      <c r="J61" s="11">
        <v>16.25</v>
      </c>
      <c r="K61" s="12">
        <f t="shared" si="7"/>
        <v>0</v>
      </c>
    </row>
    <row r="62" spans="1:12" hidden="1" x14ac:dyDescent="0.35">
      <c r="A62" s="103"/>
      <c r="B62" s="12" t="s">
        <v>13</v>
      </c>
      <c r="C62" s="10" t="s">
        <v>238</v>
      </c>
      <c r="D62" s="152"/>
      <c r="E62" s="170"/>
      <c r="F62" s="153" t="str">
        <f t="shared" si="0"/>
        <v/>
      </c>
      <c r="G62" s="256"/>
      <c r="H62" s="166">
        <f t="shared" si="5"/>
        <v>0</v>
      </c>
      <c r="I62" s="10" t="s">
        <v>20</v>
      </c>
      <c r="J62" s="11">
        <v>17.899999999999999</v>
      </c>
      <c r="K62" s="12">
        <f t="shared" si="7"/>
        <v>0</v>
      </c>
    </row>
    <row r="63" spans="1:12" hidden="1" x14ac:dyDescent="0.35">
      <c r="A63" s="103"/>
      <c r="B63" s="12" t="s">
        <v>13</v>
      </c>
      <c r="C63" s="10" t="s">
        <v>239</v>
      </c>
      <c r="D63" s="152"/>
      <c r="E63" s="170"/>
      <c r="F63" s="153" t="str">
        <f t="shared" si="0"/>
        <v/>
      </c>
      <c r="G63" s="256"/>
      <c r="H63" s="166">
        <f t="shared" si="5"/>
        <v>0</v>
      </c>
      <c r="I63" s="10" t="s">
        <v>20</v>
      </c>
      <c r="J63" s="11">
        <v>15.95</v>
      </c>
      <c r="K63" s="12">
        <f t="shared" si="7"/>
        <v>0</v>
      </c>
    </row>
    <row r="64" spans="1:12" hidden="1" x14ac:dyDescent="0.35">
      <c r="A64" s="103"/>
      <c r="B64" s="12" t="s">
        <v>13</v>
      </c>
      <c r="C64" s="10" t="s">
        <v>240</v>
      </c>
      <c r="D64" s="152"/>
      <c r="E64" s="170"/>
      <c r="F64" s="153" t="str">
        <f t="shared" si="0"/>
        <v/>
      </c>
      <c r="G64" s="256"/>
      <c r="H64" s="166">
        <f t="shared" si="5"/>
        <v>0</v>
      </c>
      <c r="I64" s="10" t="s">
        <v>20</v>
      </c>
      <c r="J64" s="11">
        <v>15.45</v>
      </c>
      <c r="K64" s="12">
        <f t="shared" si="7"/>
        <v>0</v>
      </c>
    </row>
    <row r="65" spans="1:15" ht="15.5" hidden="1" x14ac:dyDescent="0.35">
      <c r="A65" s="111"/>
      <c r="B65" s="126" t="s">
        <v>241</v>
      </c>
      <c r="C65" s="127"/>
      <c r="D65" s="226"/>
      <c r="E65" s="250"/>
      <c r="F65" s="165" t="str">
        <f t="shared" si="0"/>
        <v/>
      </c>
      <c r="G65" s="259"/>
      <c r="H65" s="247"/>
      <c r="I65" s="127"/>
      <c r="J65" s="127"/>
      <c r="K65" s="270"/>
    </row>
    <row r="66" spans="1:15" hidden="1" x14ac:dyDescent="0.35">
      <c r="A66" s="103"/>
      <c r="B66" s="12" t="s">
        <v>13</v>
      </c>
      <c r="C66" s="10" t="s">
        <v>242</v>
      </c>
      <c r="D66" s="152"/>
      <c r="E66" s="170"/>
      <c r="F66" s="153" t="str">
        <f t="shared" si="0"/>
        <v/>
      </c>
      <c r="G66" s="256"/>
      <c r="H66" s="166">
        <f t="shared" si="5"/>
        <v>0</v>
      </c>
      <c r="I66" s="10" t="s">
        <v>20</v>
      </c>
      <c r="J66" s="11">
        <v>31.05</v>
      </c>
      <c r="K66" s="12">
        <f t="shared" si="7"/>
        <v>0</v>
      </c>
    </row>
    <row r="67" spans="1:15" hidden="1" x14ac:dyDescent="0.35">
      <c r="A67" s="103"/>
      <c r="B67" s="12" t="s">
        <v>13</v>
      </c>
      <c r="C67" s="10" t="s">
        <v>243</v>
      </c>
      <c r="D67" s="152"/>
      <c r="E67" s="170"/>
      <c r="F67" s="153" t="str">
        <f t="shared" si="0"/>
        <v/>
      </c>
      <c r="G67" s="256"/>
      <c r="H67" s="166">
        <f t="shared" si="5"/>
        <v>0</v>
      </c>
      <c r="I67" s="10" t="s">
        <v>20</v>
      </c>
      <c r="J67" s="11">
        <v>60.79</v>
      </c>
      <c r="K67" s="12">
        <f t="shared" si="7"/>
        <v>0</v>
      </c>
    </row>
    <row r="68" spans="1:15" hidden="1" x14ac:dyDescent="0.35">
      <c r="A68" s="103"/>
      <c r="B68" s="12" t="s">
        <v>13</v>
      </c>
      <c r="C68" s="10" t="s">
        <v>244</v>
      </c>
      <c r="D68" s="152"/>
      <c r="E68" s="170"/>
      <c r="F68" s="153" t="str">
        <f t="shared" si="0"/>
        <v/>
      </c>
      <c r="G68" s="256"/>
      <c r="H68" s="166">
        <f t="shared" si="5"/>
        <v>0</v>
      </c>
      <c r="I68" s="10" t="s">
        <v>20</v>
      </c>
      <c r="J68" s="11">
        <v>56.55</v>
      </c>
      <c r="K68" s="12">
        <f t="shared" si="7"/>
        <v>0</v>
      </c>
    </row>
    <row r="69" spans="1:15" hidden="1" x14ac:dyDescent="0.35">
      <c r="A69" s="103"/>
      <c r="B69" s="12" t="s">
        <v>13</v>
      </c>
      <c r="C69" s="10" t="s">
        <v>245</v>
      </c>
      <c r="D69" s="152"/>
      <c r="E69" s="170"/>
      <c r="F69" s="153" t="str">
        <f t="shared" si="0"/>
        <v/>
      </c>
      <c r="G69" s="256"/>
      <c r="H69" s="166">
        <f t="shared" si="5"/>
        <v>0</v>
      </c>
      <c r="I69" s="10" t="s">
        <v>20</v>
      </c>
      <c r="J69" s="11">
        <v>107.44</v>
      </c>
      <c r="K69" s="12">
        <f t="shared" si="7"/>
        <v>0</v>
      </c>
    </row>
    <row r="70" spans="1:15" hidden="1" x14ac:dyDescent="0.35">
      <c r="A70" s="103"/>
      <c r="B70" s="12" t="s">
        <v>13</v>
      </c>
      <c r="C70" s="10" t="s">
        <v>246</v>
      </c>
      <c r="D70" s="152"/>
      <c r="E70" s="170"/>
      <c r="F70" s="153" t="str">
        <f t="shared" si="0"/>
        <v/>
      </c>
      <c r="G70" s="256"/>
      <c r="H70" s="166">
        <f t="shared" si="5"/>
        <v>0</v>
      </c>
      <c r="I70" s="10" t="s">
        <v>20</v>
      </c>
      <c r="J70" s="11">
        <v>47.4</v>
      </c>
      <c r="K70" s="12">
        <f t="shared" si="7"/>
        <v>0</v>
      </c>
    </row>
    <row r="71" spans="1:15" hidden="1" x14ac:dyDescent="0.35">
      <c r="A71" s="103"/>
      <c r="B71" s="12" t="s">
        <v>13</v>
      </c>
      <c r="C71" s="10" t="s">
        <v>247</v>
      </c>
      <c r="D71" s="152"/>
      <c r="E71" s="170"/>
      <c r="F71" s="153" t="str">
        <f t="shared" si="0"/>
        <v/>
      </c>
      <c r="G71" s="256"/>
      <c r="H71" s="166">
        <f t="shared" si="5"/>
        <v>0</v>
      </c>
      <c r="I71" s="10" t="s">
        <v>20</v>
      </c>
      <c r="J71" s="11">
        <v>87.63</v>
      </c>
      <c r="K71" s="12">
        <f t="shared" si="7"/>
        <v>0</v>
      </c>
    </row>
    <row r="72" spans="1:15" hidden="1" x14ac:dyDescent="0.35">
      <c r="A72" s="103"/>
      <c r="B72" s="12" t="s">
        <v>13</v>
      </c>
      <c r="C72" s="10" t="s">
        <v>248</v>
      </c>
      <c r="D72" s="152"/>
      <c r="E72" s="170"/>
      <c r="F72" s="153" t="str">
        <f t="shared" si="0"/>
        <v/>
      </c>
      <c r="G72" s="256"/>
      <c r="H72" s="166">
        <f t="shared" si="5"/>
        <v>0</v>
      </c>
      <c r="I72" s="10" t="s">
        <v>20</v>
      </c>
      <c r="J72" s="11">
        <v>52.31</v>
      </c>
      <c r="K72" s="12">
        <f t="shared" si="7"/>
        <v>0</v>
      </c>
    </row>
    <row r="73" spans="1:15" ht="15.5" hidden="1" x14ac:dyDescent="0.35">
      <c r="A73" s="111"/>
      <c r="B73" s="126" t="s">
        <v>249</v>
      </c>
      <c r="C73" s="127"/>
      <c r="D73" s="226"/>
      <c r="E73" s="170"/>
      <c r="F73" s="153" t="str">
        <f t="shared" si="0"/>
        <v/>
      </c>
      <c r="G73" s="259"/>
      <c r="H73" s="166">
        <f t="shared" si="5"/>
        <v>0</v>
      </c>
      <c r="I73" s="127"/>
      <c r="J73" s="127"/>
      <c r="K73" s="271"/>
    </row>
    <row r="74" spans="1:15" hidden="1" x14ac:dyDescent="0.35">
      <c r="A74" s="103"/>
      <c r="B74" s="12" t="s">
        <v>13</v>
      </c>
      <c r="C74" s="10" t="s">
        <v>250</v>
      </c>
      <c r="D74" s="152"/>
      <c r="E74" s="170"/>
      <c r="F74" s="153" t="str">
        <f t="shared" si="0"/>
        <v/>
      </c>
      <c r="G74" s="256"/>
      <c r="H74" s="166">
        <f t="shared" si="5"/>
        <v>0</v>
      </c>
      <c r="I74" s="10" t="s">
        <v>20</v>
      </c>
      <c r="J74" s="11">
        <v>10.8</v>
      </c>
      <c r="K74" s="12">
        <f t="shared" si="7"/>
        <v>0</v>
      </c>
    </row>
    <row r="75" spans="1:15" hidden="1" x14ac:dyDescent="0.35">
      <c r="A75" s="103"/>
      <c r="B75" s="12" t="s">
        <v>13</v>
      </c>
      <c r="C75" s="10" t="s">
        <v>251</v>
      </c>
      <c r="D75" s="152"/>
      <c r="E75" s="170"/>
      <c r="F75" s="153" t="str">
        <f t="shared" si="0"/>
        <v/>
      </c>
      <c r="G75" s="256"/>
      <c r="H75" s="166">
        <f t="shared" si="5"/>
        <v>0</v>
      </c>
      <c r="I75" s="10" t="s">
        <v>20</v>
      </c>
      <c r="J75" s="11">
        <v>11.2</v>
      </c>
      <c r="K75" s="12">
        <f t="shared" si="7"/>
        <v>0</v>
      </c>
    </row>
    <row r="76" spans="1:15" hidden="1" x14ac:dyDescent="0.35">
      <c r="A76" s="103"/>
      <c r="B76" s="12" t="s">
        <v>13</v>
      </c>
      <c r="C76" s="10" t="s">
        <v>252</v>
      </c>
      <c r="D76" s="152"/>
      <c r="E76" s="170"/>
      <c r="F76" s="153" t="str">
        <f t="shared" si="0"/>
        <v/>
      </c>
      <c r="G76" s="256"/>
      <c r="H76" s="166">
        <f t="shared" si="5"/>
        <v>0</v>
      </c>
      <c r="I76" s="10" t="s">
        <v>23</v>
      </c>
      <c r="J76" s="11">
        <v>4.5599999999999996</v>
      </c>
      <c r="K76" s="12">
        <f t="shared" si="7"/>
        <v>0</v>
      </c>
    </row>
    <row r="77" spans="1:15" x14ac:dyDescent="0.35">
      <c r="A77" s="103"/>
      <c r="B77" s="12" t="s">
        <v>13</v>
      </c>
      <c r="C77" s="10" t="s">
        <v>253</v>
      </c>
      <c r="D77" s="152"/>
      <c r="E77" s="170"/>
      <c r="F77" s="153" t="str">
        <f t="shared" si="0"/>
        <v/>
      </c>
      <c r="G77" s="256"/>
      <c r="H77" s="166">
        <f t="shared" si="5"/>
        <v>0</v>
      </c>
      <c r="I77" s="10" t="s">
        <v>23</v>
      </c>
      <c r="J77" s="11">
        <v>37.700000000000003</v>
      </c>
      <c r="K77" s="12">
        <f t="shared" si="7"/>
        <v>0</v>
      </c>
      <c r="O77" s="87"/>
    </row>
    <row r="78" spans="1:15" ht="15.5" x14ac:dyDescent="0.35">
      <c r="A78" s="108" t="s">
        <v>254</v>
      </c>
      <c r="B78" s="108"/>
      <c r="C78" s="108"/>
      <c r="D78" s="223"/>
      <c r="E78" s="250"/>
      <c r="F78" s="165" t="str">
        <f t="shared" si="0"/>
        <v/>
      </c>
      <c r="G78" s="186"/>
      <c r="H78" s="247"/>
      <c r="I78" s="108"/>
      <c r="J78" s="110" t="s">
        <v>18</v>
      </c>
      <c r="K78" s="269">
        <f>SUM(K80:K121)</f>
        <v>0</v>
      </c>
    </row>
    <row r="79" spans="1:15" ht="15.5" hidden="1" x14ac:dyDescent="0.35">
      <c r="A79" s="111"/>
      <c r="B79" s="126" t="s">
        <v>255</v>
      </c>
      <c r="C79" s="127"/>
      <c r="D79" s="226"/>
      <c r="E79" s="250"/>
      <c r="F79" s="153" t="str">
        <f t="shared" si="0"/>
        <v/>
      </c>
      <c r="G79" s="259"/>
      <c r="H79" s="247"/>
      <c r="I79" s="127"/>
      <c r="J79" s="127"/>
      <c r="K79" s="128"/>
    </row>
    <row r="80" spans="1:15" hidden="1" x14ac:dyDescent="0.35">
      <c r="A80" s="103"/>
      <c r="B80" s="12" t="s">
        <v>3</v>
      </c>
      <c r="C80" s="10" t="s">
        <v>256</v>
      </c>
      <c r="D80" s="152"/>
      <c r="E80" s="170"/>
      <c r="F80" s="153" t="str">
        <f t="shared" si="0"/>
        <v/>
      </c>
      <c r="G80" s="256"/>
      <c r="H80" s="166">
        <f t="shared" si="5"/>
        <v>0</v>
      </c>
      <c r="I80" s="10" t="s">
        <v>20</v>
      </c>
      <c r="J80" s="11">
        <v>32.950000000000003</v>
      </c>
      <c r="K80" s="12">
        <f t="shared" ref="K80:K86" si="8">G80*J80</f>
        <v>0</v>
      </c>
    </row>
    <row r="81" spans="1:11" hidden="1" x14ac:dyDescent="0.35">
      <c r="A81" s="103"/>
      <c r="B81" s="12" t="s">
        <v>3</v>
      </c>
      <c r="C81" s="10" t="s">
        <v>257</v>
      </c>
      <c r="D81" s="152"/>
      <c r="E81" s="170"/>
      <c r="F81" s="153" t="str">
        <f t="shared" si="0"/>
        <v/>
      </c>
      <c r="G81" s="256"/>
      <c r="H81" s="166">
        <f t="shared" si="5"/>
        <v>0</v>
      </c>
      <c r="I81" s="10" t="s">
        <v>20</v>
      </c>
      <c r="J81" s="11">
        <v>56.95</v>
      </c>
      <c r="K81" s="12">
        <f t="shared" si="8"/>
        <v>0</v>
      </c>
    </row>
    <row r="82" spans="1:11" hidden="1" x14ac:dyDescent="0.35">
      <c r="A82" s="103"/>
      <c r="B82" s="12" t="s">
        <v>3</v>
      </c>
      <c r="C82" s="10" t="s">
        <v>258</v>
      </c>
      <c r="D82" s="152"/>
      <c r="E82" s="170"/>
      <c r="F82" s="153" t="str">
        <f t="shared" si="0"/>
        <v/>
      </c>
      <c r="G82" s="256"/>
      <c r="H82" s="166">
        <f t="shared" si="5"/>
        <v>0</v>
      </c>
      <c r="I82" s="10" t="s">
        <v>20</v>
      </c>
      <c r="J82" s="11">
        <v>15.95</v>
      </c>
      <c r="K82" s="12">
        <f t="shared" si="8"/>
        <v>0</v>
      </c>
    </row>
    <row r="83" spans="1:11" hidden="1" x14ac:dyDescent="0.35">
      <c r="A83" s="103"/>
      <c r="B83" s="12" t="s">
        <v>3</v>
      </c>
      <c r="C83" s="10" t="s">
        <v>259</v>
      </c>
      <c r="D83" s="152"/>
      <c r="E83" s="170"/>
      <c r="F83" s="153" t="str">
        <f t="shared" si="0"/>
        <v/>
      </c>
      <c r="G83" s="256"/>
      <c r="H83" s="166">
        <f t="shared" si="5"/>
        <v>0</v>
      </c>
      <c r="I83" s="10" t="s">
        <v>20</v>
      </c>
      <c r="J83" s="11">
        <v>19.95</v>
      </c>
      <c r="K83" s="12">
        <f t="shared" si="8"/>
        <v>0</v>
      </c>
    </row>
    <row r="84" spans="1:11" hidden="1" x14ac:dyDescent="0.35">
      <c r="A84" s="103"/>
      <c r="B84" s="12" t="s">
        <v>3</v>
      </c>
      <c r="C84" s="10" t="s">
        <v>260</v>
      </c>
      <c r="D84" s="152"/>
      <c r="E84" s="170"/>
      <c r="F84" s="153" t="str">
        <f t="shared" si="0"/>
        <v/>
      </c>
      <c r="G84" s="256"/>
      <c r="H84" s="166">
        <f t="shared" si="5"/>
        <v>0</v>
      </c>
      <c r="I84" s="10" t="s">
        <v>20</v>
      </c>
      <c r="J84" s="11">
        <v>46.95</v>
      </c>
      <c r="K84" s="12">
        <f t="shared" si="8"/>
        <v>0</v>
      </c>
    </row>
    <row r="85" spans="1:11" hidden="1" x14ac:dyDescent="0.35">
      <c r="A85" s="103"/>
      <c r="B85" s="12" t="s">
        <v>3</v>
      </c>
      <c r="C85" s="10" t="s">
        <v>261</v>
      </c>
      <c r="D85" s="152"/>
      <c r="E85" s="170"/>
      <c r="F85" s="153" t="str">
        <f t="shared" si="0"/>
        <v/>
      </c>
      <c r="G85" s="256"/>
      <c r="H85" s="166">
        <f t="shared" si="5"/>
        <v>0</v>
      </c>
      <c r="I85" s="10" t="s">
        <v>20</v>
      </c>
      <c r="J85" s="11">
        <v>34.950000000000003</v>
      </c>
      <c r="K85" s="12">
        <f t="shared" si="8"/>
        <v>0</v>
      </c>
    </row>
    <row r="86" spans="1:11" hidden="1" x14ac:dyDescent="0.35">
      <c r="A86" s="103"/>
      <c r="B86" s="12" t="s">
        <v>3</v>
      </c>
      <c r="C86" s="10" t="s">
        <v>262</v>
      </c>
      <c r="D86" s="152"/>
      <c r="E86" s="170"/>
      <c r="F86" s="153" t="str">
        <f t="shared" si="0"/>
        <v/>
      </c>
      <c r="G86" s="256"/>
      <c r="H86" s="166">
        <f t="shared" si="5"/>
        <v>0</v>
      </c>
      <c r="I86" s="10" t="s">
        <v>20</v>
      </c>
      <c r="J86" s="11">
        <v>24.95</v>
      </c>
      <c r="K86" s="12">
        <f t="shared" si="8"/>
        <v>0</v>
      </c>
    </row>
    <row r="87" spans="1:11" ht="15.5" x14ac:dyDescent="0.35">
      <c r="A87" s="111"/>
      <c r="B87" s="126" t="s">
        <v>263</v>
      </c>
      <c r="C87" s="127"/>
      <c r="D87" s="226"/>
      <c r="E87" s="250"/>
      <c r="F87" s="165" t="str">
        <f t="shared" si="0"/>
        <v/>
      </c>
      <c r="G87" s="259"/>
      <c r="H87" s="247"/>
      <c r="I87" s="127"/>
      <c r="J87" s="127"/>
      <c r="K87" s="272"/>
    </row>
    <row r="88" spans="1:11" x14ac:dyDescent="0.35">
      <c r="A88" s="103"/>
      <c r="B88" s="12" t="s">
        <v>3</v>
      </c>
      <c r="C88" s="10" t="s">
        <v>264</v>
      </c>
      <c r="D88" s="152"/>
      <c r="E88" s="170"/>
      <c r="F88" s="153" t="str">
        <f t="shared" si="0"/>
        <v/>
      </c>
      <c r="G88" s="256"/>
      <c r="H88" s="166">
        <f t="shared" si="5"/>
        <v>0</v>
      </c>
      <c r="I88" s="10" t="s">
        <v>20</v>
      </c>
      <c r="J88" s="11">
        <v>19.5</v>
      </c>
      <c r="K88" s="12">
        <f t="shared" ref="K88:K94" si="9">G88*J88</f>
        <v>0</v>
      </c>
    </row>
    <row r="89" spans="1:11" hidden="1" x14ac:dyDescent="0.35">
      <c r="A89" s="103"/>
      <c r="B89" s="12" t="s">
        <v>3</v>
      </c>
      <c r="C89" s="10" t="s">
        <v>265</v>
      </c>
      <c r="D89" s="152"/>
      <c r="E89" s="170"/>
      <c r="F89" s="153" t="str">
        <f t="shared" ref="F89:F152" si="10">IF(E89="","",IF(D89-E89&gt;0,D89-E89,""))</f>
        <v/>
      </c>
      <c r="G89" s="256"/>
      <c r="H89" s="166">
        <f t="shared" si="5"/>
        <v>0</v>
      </c>
      <c r="I89" s="10" t="s">
        <v>20</v>
      </c>
      <c r="J89" s="11">
        <v>16.95</v>
      </c>
      <c r="K89" s="12">
        <f t="shared" si="9"/>
        <v>0</v>
      </c>
    </row>
    <row r="90" spans="1:11" x14ac:dyDescent="0.35">
      <c r="A90" s="103"/>
      <c r="B90" s="12" t="s">
        <v>3</v>
      </c>
      <c r="C90" s="10" t="s">
        <v>266</v>
      </c>
      <c r="D90" s="152"/>
      <c r="E90" s="170"/>
      <c r="F90" s="153" t="str">
        <f t="shared" si="10"/>
        <v/>
      </c>
      <c r="G90" s="256"/>
      <c r="H90" s="166">
        <f t="shared" si="5"/>
        <v>0</v>
      </c>
      <c r="I90" s="10" t="s">
        <v>20</v>
      </c>
      <c r="J90" s="11">
        <v>17.95</v>
      </c>
      <c r="K90" s="12">
        <f t="shared" si="9"/>
        <v>0</v>
      </c>
    </row>
    <row r="91" spans="1:11" x14ac:dyDescent="0.35">
      <c r="A91" s="103"/>
      <c r="B91" s="12" t="s">
        <v>3</v>
      </c>
      <c r="C91" s="10" t="s">
        <v>267</v>
      </c>
      <c r="D91" s="152">
        <v>2</v>
      </c>
      <c r="E91" s="170">
        <v>1</v>
      </c>
      <c r="F91" s="153">
        <f t="shared" si="10"/>
        <v>1</v>
      </c>
      <c r="G91" s="256"/>
      <c r="H91" s="166">
        <f t="shared" si="5"/>
        <v>2</v>
      </c>
      <c r="I91" s="10" t="s">
        <v>20</v>
      </c>
      <c r="J91" s="11">
        <v>15.95</v>
      </c>
      <c r="K91" s="12">
        <f t="shared" si="9"/>
        <v>0</v>
      </c>
    </row>
    <row r="92" spans="1:11" hidden="1" x14ac:dyDescent="0.35">
      <c r="A92" s="103"/>
      <c r="B92" s="12" t="s">
        <v>3</v>
      </c>
      <c r="C92" s="10" t="s">
        <v>268</v>
      </c>
      <c r="D92" s="152"/>
      <c r="E92" s="170"/>
      <c r="F92" s="153" t="str">
        <f t="shared" si="10"/>
        <v/>
      </c>
      <c r="G92" s="256"/>
      <c r="H92" s="166">
        <f t="shared" si="5"/>
        <v>0</v>
      </c>
      <c r="I92" s="10" t="s">
        <v>20</v>
      </c>
      <c r="J92" s="11">
        <v>20.95</v>
      </c>
      <c r="K92" s="12">
        <f t="shared" si="9"/>
        <v>0</v>
      </c>
    </row>
    <row r="93" spans="1:11" hidden="1" x14ac:dyDescent="0.35">
      <c r="A93" s="103"/>
      <c r="B93" s="12" t="s">
        <v>3</v>
      </c>
      <c r="C93" s="10" t="s">
        <v>269</v>
      </c>
      <c r="D93" s="152"/>
      <c r="E93" s="170"/>
      <c r="F93" s="153" t="str">
        <f t="shared" si="10"/>
        <v/>
      </c>
      <c r="G93" s="256"/>
      <c r="H93" s="166">
        <f t="shared" si="5"/>
        <v>0</v>
      </c>
      <c r="I93" s="10" t="s">
        <v>20</v>
      </c>
      <c r="J93" s="11">
        <v>26.95</v>
      </c>
      <c r="K93" s="12">
        <f t="shared" si="9"/>
        <v>0</v>
      </c>
    </row>
    <row r="94" spans="1:11" hidden="1" x14ac:dyDescent="0.35">
      <c r="A94" s="103"/>
      <c r="B94" s="12" t="s">
        <v>3</v>
      </c>
      <c r="C94" s="10" t="s">
        <v>270</v>
      </c>
      <c r="D94" s="152"/>
      <c r="E94" s="170"/>
      <c r="F94" s="153" t="str">
        <f t="shared" si="10"/>
        <v/>
      </c>
      <c r="G94" s="256"/>
      <c r="H94" s="166">
        <f t="shared" si="5"/>
        <v>0</v>
      </c>
      <c r="I94" s="10" t="s">
        <v>20</v>
      </c>
      <c r="J94" s="11">
        <v>26.95</v>
      </c>
      <c r="K94" s="12">
        <f t="shared" si="9"/>
        <v>0</v>
      </c>
    </row>
    <row r="95" spans="1:11" ht="15.5" x14ac:dyDescent="0.35">
      <c r="A95" s="111"/>
      <c r="B95" s="126" t="s">
        <v>271</v>
      </c>
      <c r="C95" s="127"/>
      <c r="D95" s="226"/>
      <c r="E95" s="250"/>
      <c r="F95" s="165" t="str">
        <f t="shared" si="10"/>
        <v/>
      </c>
      <c r="G95" s="259"/>
      <c r="H95" s="247"/>
      <c r="I95" s="127"/>
      <c r="J95" s="127"/>
      <c r="K95" s="272"/>
    </row>
    <row r="96" spans="1:11" hidden="1" x14ac:dyDescent="0.35">
      <c r="A96" s="103"/>
      <c r="B96" s="12" t="s">
        <v>3</v>
      </c>
      <c r="C96" s="10" t="s">
        <v>272</v>
      </c>
      <c r="D96" s="152"/>
      <c r="E96" s="170"/>
      <c r="F96" s="153" t="str">
        <f t="shared" si="10"/>
        <v/>
      </c>
      <c r="G96" s="256"/>
      <c r="H96" s="166">
        <f t="shared" si="5"/>
        <v>0</v>
      </c>
      <c r="I96" s="10" t="s">
        <v>20</v>
      </c>
      <c r="J96" s="11">
        <v>20.95</v>
      </c>
      <c r="K96" s="12">
        <f>G96*J96</f>
        <v>0</v>
      </c>
    </row>
    <row r="97" spans="1:11" x14ac:dyDescent="0.35">
      <c r="A97" s="103"/>
      <c r="B97" s="12" t="s">
        <v>3</v>
      </c>
      <c r="C97" s="10" t="s">
        <v>273</v>
      </c>
      <c r="D97" s="152"/>
      <c r="E97" s="170"/>
      <c r="F97" s="153" t="str">
        <f t="shared" si="10"/>
        <v/>
      </c>
      <c r="G97" s="256"/>
      <c r="H97" s="166">
        <f t="shared" si="5"/>
        <v>0</v>
      </c>
      <c r="I97" s="10" t="s">
        <v>20</v>
      </c>
      <c r="J97" s="11">
        <v>23.95</v>
      </c>
      <c r="K97" s="12">
        <f>G97*J97</f>
        <v>0</v>
      </c>
    </row>
    <row r="98" spans="1:11" hidden="1" x14ac:dyDescent="0.35">
      <c r="A98" s="103"/>
      <c r="B98" s="12" t="s">
        <v>3</v>
      </c>
      <c r="C98" s="10" t="s">
        <v>274</v>
      </c>
      <c r="D98" s="152"/>
      <c r="E98" s="170"/>
      <c r="F98" s="153" t="str">
        <f t="shared" si="10"/>
        <v/>
      </c>
      <c r="G98" s="256"/>
      <c r="H98" s="166">
        <f t="shared" si="5"/>
        <v>0</v>
      </c>
      <c r="I98" s="10" t="s">
        <v>20</v>
      </c>
      <c r="J98" s="11">
        <v>22.5</v>
      </c>
      <c r="K98" s="12">
        <f>G98*J98</f>
        <v>0</v>
      </c>
    </row>
    <row r="99" spans="1:11" hidden="1" x14ac:dyDescent="0.35">
      <c r="A99" s="103"/>
      <c r="B99" s="12" t="s">
        <v>3</v>
      </c>
      <c r="C99" s="10" t="s">
        <v>275</v>
      </c>
      <c r="D99" s="152"/>
      <c r="E99" s="170"/>
      <c r="F99" s="153" t="str">
        <f t="shared" si="10"/>
        <v/>
      </c>
      <c r="G99" s="256"/>
      <c r="H99" s="166">
        <f t="shared" si="5"/>
        <v>0</v>
      </c>
      <c r="I99" s="10" t="s">
        <v>20</v>
      </c>
      <c r="J99" s="11">
        <v>29.95</v>
      </c>
      <c r="K99" s="12">
        <f>G99*J99</f>
        <v>0</v>
      </c>
    </row>
    <row r="100" spans="1:11" ht="15.5" x14ac:dyDescent="0.35">
      <c r="A100" s="111"/>
      <c r="B100" s="126" t="s">
        <v>276</v>
      </c>
      <c r="C100" s="127"/>
      <c r="D100" s="226"/>
      <c r="E100" s="250"/>
      <c r="F100" s="165" t="str">
        <f t="shared" si="10"/>
        <v/>
      </c>
      <c r="G100" s="259"/>
      <c r="H100" s="247"/>
      <c r="I100" s="127"/>
      <c r="J100" s="127"/>
      <c r="K100" s="272"/>
    </row>
    <row r="101" spans="1:11" x14ac:dyDescent="0.35">
      <c r="A101" s="103"/>
      <c r="B101" s="12" t="s">
        <v>3</v>
      </c>
      <c r="C101" s="10" t="s">
        <v>277</v>
      </c>
      <c r="D101" s="152"/>
      <c r="E101" s="170"/>
      <c r="F101" s="153" t="str">
        <f t="shared" si="10"/>
        <v/>
      </c>
      <c r="G101" s="256"/>
      <c r="H101" s="166">
        <f t="shared" si="5"/>
        <v>0</v>
      </c>
      <c r="I101" s="10" t="s">
        <v>20</v>
      </c>
      <c r="J101" s="11">
        <v>17.95</v>
      </c>
      <c r="K101" s="12">
        <f>G101*J101</f>
        <v>0</v>
      </c>
    </row>
    <row r="102" spans="1:11" hidden="1" x14ac:dyDescent="0.35">
      <c r="A102" s="103"/>
      <c r="B102" s="12" t="s">
        <v>3</v>
      </c>
      <c r="C102" s="10" t="s">
        <v>278</v>
      </c>
      <c r="D102" s="152"/>
      <c r="E102" s="170"/>
      <c r="F102" s="153" t="str">
        <f t="shared" si="10"/>
        <v/>
      </c>
      <c r="G102" s="256"/>
      <c r="H102" s="166">
        <f t="shared" si="5"/>
        <v>0</v>
      </c>
      <c r="I102" s="10" t="s">
        <v>20</v>
      </c>
      <c r="J102" s="11">
        <v>20.95</v>
      </c>
      <c r="K102" s="12">
        <f>G102*J102</f>
        <v>0</v>
      </c>
    </row>
    <row r="103" spans="1:11" hidden="1" x14ac:dyDescent="0.35">
      <c r="A103" s="103"/>
      <c r="B103" s="12" t="s">
        <v>3</v>
      </c>
      <c r="C103" s="10" t="s">
        <v>279</v>
      </c>
      <c r="D103" s="152"/>
      <c r="E103" s="170"/>
      <c r="F103" s="153" t="str">
        <f t="shared" si="10"/>
        <v/>
      </c>
      <c r="G103" s="256"/>
      <c r="H103" s="166">
        <f t="shared" si="5"/>
        <v>0</v>
      </c>
      <c r="I103" s="10" t="s">
        <v>20</v>
      </c>
      <c r="J103" s="11">
        <v>19.95</v>
      </c>
      <c r="K103" s="12">
        <f>G103*J103</f>
        <v>0</v>
      </c>
    </row>
    <row r="104" spans="1:11" hidden="1" x14ac:dyDescent="0.35">
      <c r="A104" s="103"/>
      <c r="B104" s="40" t="s">
        <v>3</v>
      </c>
      <c r="C104" s="41" t="s">
        <v>280</v>
      </c>
      <c r="D104" s="227"/>
      <c r="E104" s="170"/>
      <c r="F104" s="153" t="str">
        <f t="shared" si="10"/>
        <v/>
      </c>
      <c r="G104" s="256"/>
      <c r="H104" s="166">
        <f t="shared" si="5"/>
        <v>0</v>
      </c>
      <c r="I104" s="41" t="s">
        <v>20</v>
      </c>
      <c r="J104" s="42">
        <v>59.95</v>
      </c>
      <c r="K104" s="40">
        <f>G104*J104</f>
        <v>0</v>
      </c>
    </row>
    <row r="105" spans="1:11" ht="15.5" hidden="1" x14ac:dyDescent="0.35">
      <c r="A105" s="111"/>
      <c r="B105" s="126" t="s">
        <v>281</v>
      </c>
      <c r="C105" s="127"/>
      <c r="D105" s="226"/>
      <c r="E105" s="170"/>
      <c r="F105" s="153" t="str">
        <f t="shared" si="10"/>
        <v/>
      </c>
      <c r="G105" s="259"/>
      <c r="H105" s="166">
        <f t="shared" si="5"/>
        <v>0</v>
      </c>
      <c r="I105" s="127"/>
      <c r="J105" s="127"/>
      <c r="K105" s="272"/>
    </row>
    <row r="106" spans="1:11" hidden="1" x14ac:dyDescent="0.35">
      <c r="A106" s="103"/>
      <c r="B106" s="12" t="s">
        <v>3</v>
      </c>
      <c r="C106" s="10" t="s">
        <v>282</v>
      </c>
      <c r="D106" s="152"/>
      <c r="E106" s="170"/>
      <c r="F106" s="153" t="str">
        <f t="shared" si="10"/>
        <v/>
      </c>
      <c r="G106" s="256"/>
      <c r="H106" s="166">
        <f t="shared" si="5"/>
        <v>0</v>
      </c>
      <c r="I106" s="10" t="s">
        <v>20</v>
      </c>
      <c r="J106" s="11">
        <v>54.95</v>
      </c>
      <c r="K106" s="12">
        <f>G106*J106</f>
        <v>0</v>
      </c>
    </row>
    <row r="107" spans="1:11" hidden="1" x14ac:dyDescent="0.35">
      <c r="A107" s="103"/>
      <c r="B107" s="12" t="s">
        <v>3</v>
      </c>
      <c r="C107" s="10" t="s">
        <v>283</v>
      </c>
      <c r="D107" s="152"/>
      <c r="E107" s="170"/>
      <c r="F107" s="153" t="str">
        <f t="shared" si="10"/>
        <v/>
      </c>
      <c r="G107" s="256"/>
      <c r="H107" s="166">
        <f t="shared" si="5"/>
        <v>0</v>
      </c>
      <c r="I107" s="10" t="s">
        <v>20</v>
      </c>
      <c r="J107" s="11">
        <v>49.95</v>
      </c>
      <c r="K107" s="12">
        <f>G107*J107</f>
        <v>0</v>
      </c>
    </row>
    <row r="108" spans="1:11" ht="15.5" hidden="1" x14ac:dyDescent="0.35">
      <c r="A108" s="111"/>
      <c r="B108" s="126" t="s">
        <v>284</v>
      </c>
      <c r="C108" s="127"/>
      <c r="D108" s="226"/>
      <c r="E108" s="250"/>
      <c r="F108" s="165" t="str">
        <f t="shared" si="10"/>
        <v/>
      </c>
      <c r="G108" s="259"/>
      <c r="H108" s="247"/>
      <c r="I108" s="127"/>
      <c r="J108" s="127"/>
      <c r="K108" s="272"/>
    </row>
    <row r="109" spans="1:11" hidden="1" x14ac:dyDescent="0.35">
      <c r="A109" s="103"/>
      <c r="B109" s="12" t="s">
        <v>3</v>
      </c>
      <c r="C109" s="10" t="s">
        <v>285</v>
      </c>
      <c r="D109" s="152"/>
      <c r="E109" s="170"/>
      <c r="F109" s="153" t="str">
        <f t="shared" si="10"/>
        <v/>
      </c>
      <c r="G109" s="256"/>
      <c r="H109" s="166">
        <f t="shared" si="5"/>
        <v>0</v>
      </c>
      <c r="I109" s="10" t="s">
        <v>20</v>
      </c>
      <c r="J109" s="11">
        <v>41.5</v>
      </c>
      <c r="K109" s="12">
        <f t="shared" ref="K109:K114" si="11">G109*J109</f>
        <v>0</v>
      </c>
    </row>
    <row r="110" spans="1:11" hidden="1" x14ac:dyDescent="0.35">
      <c r="A110" s="103"/>
      <c r="B110" s="12" t="s">
        <v>3</v>
      </c>
      <c r="C110" s="10" t="s">
        <v>286</v>
      </c>
      <c r="D110" s="152"/>
      <c r="E110" s="170"/>
      <c r="F110" s="153" t="str">
        <f t="shared" si="10"/>
        <v/>
      </c>
      <c r="G110" s="256"/>
      <c r="H110" s="166">
        <f t="shared" si="5"/>
        <v>0</v>
      </c>
      <c r="I110" s="10" t="s">
        <v>20</v>
      </c>
      <c r="J110" s="11">
        <v>36.200000000000003</v>
      </c>
      <c r="K110" s="12">
        <f t="shared" si="11"/>
        <v>0</v>
      </c>
    </row>
    <row r="111" spans="1:11" hidden="1" x14ac:dyDescent="0.35">
      <c r="A111" s="103"/>
      <c r="B111" s="12" t="s">
        <v>3</v>
      </c>
      <c r="C111" s="10" t="s">
        <v>287</v>
      </c>
      <c r="D111" s="152"/>
      <c r="E111" s="170"/>
      <c r="F111" s="153" t="str">
        <f t="shared" si="10"/>
        <v/>
      </c>
      <c r="G111" s="256"/>
      <c r="H111" s="166">
        <f t="shared" ref="H111:H174" si="12">IF(ISNUMBER(E111),E111,0)+IF(ISNUMBER(F111),F111,0)-IF(ISNUMBER(G111),G111,0)</f>
        <v>0</v>
      </c>
      <c r="I111" s="10" t="s">
        <v>20</v>
      </c>
      <c r="J111" s="11">
        <v>25.95</v>
      </c>
      <c r="K111" s="12">
        <f t="shared" si="11"/>
        <v>0</v>
      </c>
    </row>
    <row r="112" spans="1:11" hidden="1" x14ac:dyDescent="0.35">
      <c r="A112" s="103"/>
      <c r="B112" s="12" t="s">
        <v>3</v>
      </c>
      <c r="C112" s="10" t="s">
        <v>288</v>
      </c>
      <c r="D112" s="152"/>
      <c r="E112" s="170"/>
      <c r="F112" s="153" t="str">
        <f t="shared" si="10"/>
        <v/>
      </c>
      <c r="G112" s="256"/>
      <c r="H112" s="166">
        <f t="shared" si="12"/>
        <v>0</v>
      </c>
      <c r="I112" s="10" t="s">
        <v>20</v>
      </c>
      <c r="J112" s="11">
        <v>32.799999999999997</v>
      </c>
      <c r="K112" s="12">
        <f t="shared" si="11"/>
        <v>0</v>
      </c>
    </row>
    <row r="113" spans="1:11" hidden="1" x14ac:dyDescent="0.35">
      <c r="A113" s="103"/>
      <c r="B113" s="12" t="s">
        <v>3</v>
      </c>
      <c r="C113" s="10" t="s">
        <v>289</v>
      </c>
      <c r="D113" s="152"/>
      <c r="E113" s="170"/>
      <c r="F113" s="153" t="str">
        <f t="shared" si="10"/>
        <v/>
      </c>
      <c r="G113" s="256"/>
      <c r="H113" s="166">
        <f t="shared" si="12"/>
        <v>0</v>
      </c>
      <c r="I113" s="10" t="s">
        <v>20</v>
      </c>
      <c r="J113" s="11">
        <v>29.2</v>
      </c>
      <c r="K113" s="12">
        <f t="shared" si="11"/>
        <v>0</v>
      </c>
    </row>
    <row r="114" spans="1:11" hidden="1" x14ac:dyDescent="0.35">
      <c r="A114" s="103"/>
      <c r="B114" s="12" t="s">
        <v>3</v>
      </c>
      <c r="C114" s="10" t="s">
        <v>290</v>
      </c>
      <c r="D114" s="152"/>
      <c r="E114" s="170"/>
      <c r="F114" s="153" t="str">
        <f t="shared" si="10"/>
        <v/>
      </c>
      <c r="G114" s="256"/>
      <c r="H114" s="166">
        <f t="shared" si="12"/>
        <v>0</v>
      </c>
      <c r="I114" s="10" t="s">
        <v>20</v>
      </c>
      <c r="J114" s="11">
        <v>22.95</v>
      </c>
      <c r="K114" s="12">
        <f t="shared" si="11"/>
        <v>0</v>
      </c>
    </row>
    <row r="115" spans="1:11" ht="15.5" x14ac:dyDescent="0.35">
      <c r="A115" s="111"/>
      <c r="B115" s="126" t="s">
        <v>291</v>
      </c>
      <c r="C115" s="127"/>
      <c r="D115" s="226"/>
      <c r="E115" s="250"/>
      <c r="F115" s="165" t="str">
        <f t="shared" si="10"/>
        <v/>
      </c>
      <c r="G115" s="259"/>
      <c r="H115" s="247"/>
      <c r="I115" s="127"/>
      <c r="J115" s="127"/>
      <c r="K115" s="272"/>
    </row>
    <row r="116" spans="1:11" x14ac:dyDescent="0.35">
      <c r="A116" s="103"/>
      <c r="B116" s="12" t="s">
        <v>3</v>
      </c>
      <c r="C116" s="10" t="s">
        <v>292</v>
      </c>
      <c r="D116" s="152">
        <v>2</v>
      </c>
      <c r="E116" s="170">
        <v>5</v>
      </c>
      <c r="F116" s="153" t="str">
        <f t="shared" si="10"/>
        <v/>
      </c>
      <c r="G116" s="256"/>
      <c r="H116" s="166">
        <f t="shared" si="12"/>
        <v>5</v>
      </c>
      <c r="I116" s="10" t="s">
        <v>20</v>
      </c>
      <c r="J116" s="11">
        <v>17.95</v>
      </c>
      <c r="K116" s="12">
        <f t="shared" ref="K116:K121" si="13">G116*J116</f>
        <v>0</v>
      </c>
    </row>
    <row r="117" spans="1:11" hidden="1" x14ac:dyDescent="0.35">
      <c r="A117" s="103"/>
      <c r="B117" s="12" t="s">
        <v>3</v>
      </c>
      <c r="C117" s="10" t="s">
        <v>293</v>
      </c>
      <c r="D117" s="152"/>
      <c r="E117" s="170"/>
      <c r="F117" s="153" t="str">
        <f t="shared" si="10"/>
        <v/>
      </c>
      <c r="G117" s="256"/>
      <c r="H117" s="166">
        <f t="shared" si="12"/>
        <v>0</v>
      </c>
      <c r="I117" s="10" t="s">
        <v>20</v>
      </c>
      <c r="J117" s="11">
        <v>12.95</v>
      </c>
      <c r="K117" s="12">
        <f t="shared" si="13"/>
        <v>0</v>
      </c>
    </row>
    <row r="118" spans="1:11" hidden="1" x14ac:dyDescent="0.35">
      <c r="A118" s="103"/>
      <c r="B118" s="12" t="s">
        <v>3</v>
      </c>
      <c r="C118" s="10" t="s">
        <v>294</v>
      </c>
      <c r="D118" s="152"/>
      <c r="E118" s="170"/>
      <c r="F118" s="153" t="str">
        <f t="shared" si="10"/>
        <v/>
      </c>
      <c r="G118" s="256"/>
      <c r="H118" s="166">
        <f t="shared" si="12"/>
        <v>0</v>
      </c>
      <c r="I118" s="10" t="s">
        <v>20</v>
      </c>
      <c r="J118" s="11">
        <v>21.95</v>
      </c>
      <c r="K118" s="12">
        <f t="shared" si="13"/>
        <v>0</v>
      </c>
    </row>
    <row r="119" spans="1:11" hidden="1" x14ac:dyDescent="0.35">
      <c r="A119" s="103"/>
      <c r="B119" s="12" t="s">
        <v>3</v>
      </c>
      <c r="C119" s="10" t="s">
        <v>295</v>
      </c>
      <c r="D119" s="152"/>
      <c r="E119" s="170"/>
      <c r="F119" s="153" t="str">
        <f t="shared" si="10"/>
        <v/>
      </c>
      <c r="G119" s="256"/>
      <c r="H119" s="166">
        <f t="shared" si="12"/>
        <v>0</v>
      </c>
      <c r="I119" s="10" t="s">
        <v>20</v>
      </c>
      <c r="J119" s="11"/>
      <c r="K119" s="12">
        <f t="shared" si="13"/>
        <v>0</v>
      </c>
    </row>
    <row r="120" spans="1:11" hidden="1" x14ac:dyDescent="0.35">
      <c r="A120" s="103"/>
      <c r="B120" s="12" t="s">
        <v>3</v>
      </c>
      <c r="C120" s="10" t="s">
        <v>296</v>
      </c>
      <c r="D120" s="152"/>
      <c r="E120" s="170"/>
      <c r="F120" s="153" t="str">
        <f t="shared" si="10"/>
        <v/>
      </c>
      <c r="G120" s="256"/>
      <c r="H120" s="166">
        <f t="shared" si="12"/>
        <v>0</v>
      </c>
      <c r="I120" s="10" t="s">
        <v>20</v>
      </c>
      <c r="J120" s="11"/>
      <c r="K120" s="12">
        <f t="shared" si="13"/>
        <v>0</v>
      </c>
    </row>
    <row r="121" spans="1:11" ht="16.5" hidden="1" customHeight="1" x14ac:dyDescent="0.35">
      <c r="A121" s="103"/>
      <c r="B121" s="12" t="s">
        <v>3</v>
      </c>
      <c r="C121" s="10" t="s">
        <v>297</v>
      </c>
      <c r="D121" s="152"/>
      <c r="E121" s="170"/>
      <c r="F121" s="153" t="str">
        <f t="shared" si="10"/>
        <v/>
      </c>
      <c r="G121" s="256"/>
      <c r="H121" s="166">
        <f t="shared" si="12"/>
        <v>0</v>
      </c>
      <c r="I121" s="10" t="s">
        <v>20</v>
      </c>
      <c r="J121" s="11">
        <v>22.95</v>
      </c>
      <c r="K121" s="12">
        <f t="shared" si="13"/>
        <v>0</v>
      </c>
    </row>
    <row r="122" spans="1:11" ht="15.5" hidden="1" x14ac:dyDescent="0.35">
      <c r="A122" s="112" t="s">
        <v>298</v>
      </c>
      <c r="B122" s="116"/>
      <c r="C122" s="116"/>
      <c r="D122" s="228"/>
      <c r="E122" s="250"/>
      <c r="F122" s="165" t="str">
        <f t="shared" si="10"/>
        <v/>
      </c>
      <c r="G122" s="260"/>
      <c r="H122" s="247"/>
      <c r="I122" s="117"/>
      <c r="J122" s="106" t="s">
        <v>18</v>
      </c>
      <c r="K122" s="269">
        <f>SUM(K123:K175)</f>
        <v>675.26</v>
      </c>
    </row>
    <row r="123" spans="1:11" hidden="1" x14ac:dyDescent="0.35">
      <c r="A123" s="103"/>
      <c r="B123" s="20" t="s">
        <v>4</v>
      </c>
      <c r="C123" s="18" t="s">
        <v>62</v>
      </c>
      <c r="D123" s="229"/>
      <c r="E123" s="250"/>
      <c r="F123" s="153" t="str">
        <f t="shared" si="10"/>
        <v/>
      </c>
      <c r="G123" s="256"/>
      <c r="H123" s="166">
        <f t="shared" si="12"/>
        <v>0</v>
      </c>
      <c r="I123" s="18" t="s">
        <v>20</v>
      </c>
      <c r="J123" s="19">
        <v>7.35</v>
      </c>
      <c r="K123" s="20">
        <f>G123*J123</f>
        <v>0</v>
      </c>
    </row>
    <row r="124" spans="1:11" hidden="1" x14ac:dyDescent="0.35">
      <c r="A124" s="103"/>
      <c r="B124" s="20" t="s">
        <v>4</v>
      </c>
      <c r="C124" s="18" t="s">
        <v>60</v>
      </c>
      <c r="D124" s="229"/>
      <c r="E124" s="250"/>
      <c r="F124" s="153" t="str">
        <f t="shared" si="10"/>
        <v/>
      </c>
      <c r="G124" s="256"/>
      <c r="H124" s="166">
        <f t="shared" si="12"/>
        <v>0</v>
      </c>
      <c r="I124" s="18" t="s">
        <v>20</v>
      </c>
      <c r="J124" s="19">
        <v>10.65</v>
      </c>
      <c r="K124" s="20">
        <f>G124*J124</f>
        <v>0</v>
      </c>
    </row>
    <row r="125" spans="1:11" hidden="1" x14ac:dyDescent="0.35">
      <c r="A125" s="113" t="s">
        <v>40</v>
      </c>
      <c r="B125" s="124"/>
      <c r="C125" s="124"/>
      <c r="D125" s="230"/>
      <c r="E125" s="250"/>
      <c r="F125" s="153" t="str">
        <f t="shared" si="10"/>
        <v/>
      </c>
      <c r="G125" s="261"/>
      <c r="H125" s="166">
        <f t="shared" si="12"/>
        <v>0</v>
      </c>
      <c r="I125" s="124"/>
      <c r="J125" s="124"/>
      <c r="K125" s="273"/>
    </row>
    <row r="126" spans="1:11" hidden="1" x14ac:dyDescent="0.35">
      <c r="A126" s="103"/>
      <c r="B126" s="20" t="s">
        <v>4</v>
      </c>
      <c r="C126" s="18" t="s">
        <v>299</v>
      </c>
      <c r="D126" s="229"/>
      <c r="E126" s="250"/>
      <c r="F126" s="153" t="str">
        <f t="shared" si="10"/>
        <v/>
      </c>
      <c r="G126" s="256"/>
      <c r="H126" s="166">
        <f t="shared" si="12"/>
        <v>0</v>
      </c>
      <c r="I126" s="18" t="s">
        <v>20</v>
      </c>
      <c r="J126" s="19">
        <v>1.31</v>
      </c>
      <c r="K126" s="12">
        <f t="shared" ref="K126:K137" si="14">G126*J126</f>
        <v>0</v>
      </c>
    </row>
    <row r="127" spans="1:11" hidden="1" x14ac:dyDescent="0.35">
      <c r="A127" s="103"/>
      <c r="B127" s="12" t="s">
        <v>4</v>
      </c>
      <c r="C127" s="10" t="s">
        <v>300</v>
      </c>
      <c r="D127" s="152"/>
      <c r="E127" s="250"/>
      <c r="F127" s="153" t="str">
        <f t="shared" si="10"/>
        <v/>
      </c>
      <c r="G127" s="256"/>
      <c r="H127" s="166">
        <f t="shared" si="12"/>
        <v>0</v>
      </c>
      <c r="I127" s="10" t="s">
        <v>20</v>
      </c>
      <c r="J127" s="11">
        <v>1.31</v>
      </c>
      <c r="K127" s="12">
        <f t="shared" si="14"/>
        <v>0</v>
      </c>
    </row>
    <row r="128" spans="1:11" hidden="1" x14ac:dyDescent="0.35">
      <c r="A128" s="103"/>
      <c r="B128" s="20" t="s">
        <v>4</v>
      </c>
      <c r="C128" s="18" t="s">
        <v>301</v>
      </c>
      <c r="D128" s="229"/>
      <c r="E128" s="250"/>
      <c r="F128" s="153" t="str">
        <f t="shared" si="10"/>
        <v/>
      </c>
      <c r="G128" s="256"/>
      <c r="H128" s="166">
        <f t="shared" si="12"/>
        <v>0</v>
      </c>
      <c r="I128" s="18" t="s">
        <v>20</v>
      </c>
      <c r="J128" s="19">
        <v>1.4039999999999999</v>
      </c>
      <c r="K128" s="12">
        <f t="shared" si="14"/>
        <v>0</v>
      </c>
    </row>
    <row r="129" spans="1:11" hidden="1" x14ac:dyDescent="0.35">
      <c r="A129" s="103"/>
      <c r="B129" s="12" t="s">
        <v>4</v>
      </c>
      <c r="C129" s="10" t="s">
        <v>302</v>
      </c>
      <c r="D129" s="152"/>
      <c r="E129" s="250"/>
      <c r="F129" s="153" t="str">
        <f t="shared" si="10"/>
        <v/>
      </c>
      <c r="G129" s="256"/>
      <c r="H129" s="166">
        <f t="shared" si="12"/>
        <v>0</v>
      </c>
      <c r="I129" s="10" t="s">
        <v>20</v>
      </c>
      <c r="J129" s="11">
        <v>1.4039999999999999</v>
      </c>
      <c r="K129" s="12">
        <f t="shared" si="14"/>
        <v>0</v>
      </c>
    </row>
    <row r="130" spans="1:11" hidden="1" x14ac:dyDescent="0.35">
      <c r="A130" s="103"/>
      <c r="B130" s="12" t="s">
        <v>4</v>
      </c>
      <c r="C130" s="10" t="s">
        <v>303</v>
      </c>
      <c r="D130" s="152"/>
      <c r="E130" s="250"/>
      <c r="F130" s="153" t="str">
        <f t="shared" si="10"/>
        <v/>
      </c>
      <c r="G130" s="256"/>
      <c r="H130" s="166">
        <f t="shared" si="12"/>
        <v>0</v>
      </c>
      <c r="I130" s="10" t="s">
        <v>20</v>
      </c>
      <c r="J130" s="11">
        <v>1.53</v>
      </c>
      <c r="K130" s="12">
        <f t="shared" si="14"/>
        <v>0</v>
      </c>
    </row>
    <row r="131" spans="1:11" hidden="1" x14ac:dyDescent="0.35">
      <c r="A131" s="103"/>
      <c r="B131" s="12" t="s">
        <v>4</v>
      </c>
      <c r="C131" s="10" t="s">
        <v>304</v>
      </c>
      <c r="D131" s="152"/>
      <c r="E131" s="250"/>
      <c r="F131" s="153" t="str">
        <f t="shared" si="10"/>
        <v/>
      </c>
      <c r="G131" s="256"/>
      <c r="H131" s="166">
        <f t="shared" si="12"/>
        <v>0</v>
      </c>
      <c r="I131" s="10" t="s">
        <v>20</v>
      </c>
      <c r="J131" s="11">
        <v>1.65</v>
      </c>
      <c r="K131" s="12">
        <f t="shared" si="14"/>
        <v>0</v>
      </c>
    </row>
    <row r="132" spans="1:11" hidden="1" x14ac:dyDescent="0.35">
      <c r="A132" s="103"/>
      <c r="B132" s="12" t="s">
        <v>4</v>
      </c>
      <c r="C132" s="10" t="s">
        <v>83</v>
      </c>
      <c r="D132" s="152"/>
      <c r="E132" s="250"/>
      <c r="F132" s="153" t="str">
        <f t="shared" si="10"/>
        <v/>
      </c>
      <c r="G132" s="256"/>
      <c r="H132" s="166">
        <f t="shared" si="12"/>
        <v>0</v>
      </c>
      <c r="I132" s="10" t="s">
        <v>20</v>
      </c>
      <c r="J132" s="11">
        <v>1.04</v>
      </c>
      <c r="K132" s="12">
        <f t="shared" si="14"/>
        <v>0</v>
      </c>
    </row>
    <row r="133" spans="1:11" hidden="1" x14ac:dyDescent="0.35">
      <c r="A133" s="103"/>
      <c r="B133" s="12" t="s">
        <v>4</v>
      </c>
      <c r="C133" s="10" t="s">
        <v>305</v>
      </c>
      <c r="D133" s="152"/>
      <c r="E133" s="250"/>
      <c r="F133" s="153" t="str">
        <f t="shared" si="10"/>
        <v/>
      </c>
      <c r="G133" s="256"/>
      <c r="H133" s="166">
        <f t="shared" si="12"/>
        <v>0</v>
      </c>
      <c r="I133" s="10" t="s">
        <v>20</v>
      </c>
      <c r="J133" s="11">
        <v>1.04</v>
      </c>
      <c r="K133" s="12">
        <f t="shared" si="14"/>
        <v>0</v>
      </c>
    </row>
    <row r="134" spans="1:11" hidden="1" x14ac:dyDescent="0.35">
      <c r="A134" s="103"/>
      <c r="B134" s="12" t="s">
        <v>4</v>
      </c>
      <c r="C134" s="10" t="s">
        <v>306</v>
      </c>
      <c r="D134" s="152"/>
      <c r="E134" s="250"/>
      <c r="F134" s="153" t="str">
        <f t="shared" si="10"/>
        <v/>
      </c>
      <c r="G134" s="256"/>
      <c r="H134" s="166">
        <f t="shared" si="12"/>
        <v>0</v>
      </c>
      <c r="I134" s="10" t="s">
        <v>20</v>
      </c>
      <c r="J134" s="11">
        <v>1.06</v>
      </c>
      <c r="K134" s="12">
        <f t="shared" si="14"/>
        <v>0</v>
      </c>
    </row>
    <row r="135" spans="1:11" hidden="1" x14ac:dyDescent="0.35">
      <c r="A135" s="103"/>
      <c r="B135" s="12" t="s">
        <v>4</v>
      </c>
      <c r="C135" s="10" t="s">
        <v>307</v>
      </c>
      <c r="D135" s="152"/>
      <c r="E135" s="250"/>
      <c r="F135" s="153" t="str">
        <f t="shared" si="10"/>
        <v/>
      </c>
      <c r="G135" s="256"/>
      <c r="H135" s="166">
        <f t="shared" si="12"/>
        <v>0</v>
      </c>
      <c r="I135" s="10" t="s">
        <v>20</v>
      </c>
      <c r="J135" s="11">
        <v>1.06</v>
      </c>
      <c r="K135" s="12">
        <f t="shared" si="14"/>
        <v>0</v>
      </c>
    </row>
    <row r="136" spans="1:11" hidden="1" x14ac:dyDescent="0.35">
      <c r="A136" s="103"/>
      <c r="B136" s="12" t="s">
        <v>4</v>
      </c>
      <c r="C136" s="10" t="s">
        <v>308</v>
      </c>
      <c r="D136" s="152"/>
      <c r="E136" s="250"/>
      <c r="F136" s="153" t="str">
        <f t="shared" si="10"/>
        <v/>
      </c>
      <c r="G136" s="256"/>
      <c r="H136" s="166">
        <f t="shared" si="12"/>
        <v>0</v>
      </c>
      <c r="I136" s="10" t="s">
        <v>20</v>
      </c>
      <c r="J136" s="11">
        <v>1.2869999999999999</v>
      </c>
      <c r="K136" s="12">
        <f t="shared" si="14"/>
        <v>0</v>
      </c>
    </row>
    <row r="137" spans="1:11" hidden="1" x14ac:dyDescent="0.35">
      <c r="A137" s="103"/>
      <c r="B137" s="12" t="s">
        <v>4</v>
      </c>
      <c r="C137" s="10" t="s">
        <v>309</v>
      </c>
      <c r="D137" s="152"/>
      <c r="E137" s="250"/>
      <c r="F137" s="153" t="str">
        <f t="shared" si="10"/>
        <v/>
      </c>
      <c r="G137" s="256"/>
      <c r="H137" s="166">
        <f t="shared" si="12"/>
        <v>0</v>
      </c>
      <c r="I137" s="10" t="s">
        <v>20</v>
      </c>
      <c r="J137" s="11">
        <v>1.59</v>
      </c>
      <c r="K137" s="12">
        <f t="shared" si="14"/>
        <v>0</v>
      </c>
    </row>
    <row r="138" spans="1:11" hidden="1" x14ac:dyDescent="0.35">
      <c r="A138" s="113" t="s">
        <v>310</v>
      </c>
      <c r="B138" s="124"/>
      <c r="C138" s="124"/>
      <c r="D138" s="230"/>
      <c r="E138" s="250"/>
      <c r="F138" s="153" t="str">
        <f t="shared" si="10"/>
        <v/>
      </c>
      <c r="G138" s="261"/>
      <c r="H138" s="166">
        <f t="shared" si="12"/>
        <v>0</v>
      </c>
      <c r="I138" s="124"/>
      <c r="J138" s="124"/>
      <c r="K138" s="273"/>
    </row>
    <row r="139" spans="1:11" hidden="1" x14ac:dyDescent="0.35">
      <c r="A139" s="103"/>
      <c r="B139" s="12" t="s">
        <v>4</v>
      </c>
      <c r="C139" s="10" t="s">
        <v>311</v>
      </c>
      <c r="D139" s="152"/>
      <c r="E139" s="250"/>
      <c r="F139" s="153" t="str">
        <f t="shared" si="10"/>
        <v/>
      </c>
      <c r="G139" s="256"/>
      <c r="H139" s="166">
        <f t="shared" si="12"/>
        <v>0</v>
      </c>
      <c r="I139" s="10" t="s">
        <v>20</v>
      </c>
      <c r="J139" s="11">
        <v>1.1000000000000001</v>
      </c>
      <c r="K139" s="12">
        <f t="shared" ref="K139:K149" si="15">G139*J139</f>
        <v>0</v>
      </c>
    </row>
    <row r="140" spans="1:11" hidden="1" x14ac:dyDescent="0.35">
      <c r="A140" s="103"/>
      <c r="B140" s="12" t="s">
        <v>4</v>
      </c>
      <c r="C140" s="10" t="s">
        <v>312</v>
      </c>
      <c r="D140" s="152"/>
      <c r="E140" s="250"/>
      <c r="F140" s="153" t="str">
        <f t="shared" si="10"/>
        <v/>
      </c>
      <c r="G140" s="256"/>
      <c r="H140" s="166">
        <f t="shared" si="12"/>
        <v>0</v>
      </c>
      <c r="I140" s="10" t="s">
        <v>20</v>
      </c>
      <c r="J140" s="11">
        <v>1.1000000000000001</v>
      </c>
      <c r="K140" s="12">
        <f t="shared" si="15"/>
        <v>0</v>
      </c>
    </row>
    <row r="141" spans="1:11" hidden="1" x14ac:dyDescent="0.35">
      <c r="A141" s="103"/>
      <c r="B141" s="12" t="s">
        <v>4</v>
      </c>
      <c r="C141" s="10" t="s">
        <v>313</v>
      </c>
      <c r="D141" s="152"/>
      <c r="E141" s="250"/>
      <c r="F141" s="153" t="str">
        <f t="shared" si="10"/>
        <v/>
      </c>
      <c r="G141" s="256"/>
      <c r="H141" s="166">
        <f t="shared" si="12"/>
        <v>0</v>
      </c>
      <c r="I141" s="10" t="s">
        <v>20</v>
      </c>
      <c r="J141" s="11">
        <v>1.3</v>
      </c>
      <c r="K141" s="12">
        <f t="shared" si="15"/>
        <v>0</v>
      </c>
    </row>
    <row r="142" spans="1:11" hidden="1" x14ac:dyDescent="0.35">
      <c r="A142" s="103"/>
      <c r="B142" s="12" t="s">
        <v>4</v>
      </c>
      <c r="C142" s="10" t="s">
        <v>314</v>
      </c>
      <c r="D142" s="152"/>
      <c r="E142" s="250"/>
      <c r="F142" s="153" t="str">
        <f t="shared" si="10"/>
        <v/>
      </c>
      <c r="G142" s="256"/>
      <c r="H142" s="166">
        <f t="shared" si="12"/>
        <v>0</v>
      </c>
      <c r="I142" s="10" t="s">
        <v>20</v>
      </c>
      <c r="J142" s="11">
        <v>1.36</v>
      </c>
      <c r="K142" s="12">
        <f t="shared" si="15"/>
        <v>0</v>
      </c>
    </row>
    <row r="143" spans="1:11" hidden="1" x14ac:dyDescent="0.35">
      <c r="A143" s="103"/>
      <c r="B143" s="12" t="s">
        <v>4</v>
      </c>
      <c r="C143" s="10" t="s">
        <v>315</v>
      </c>
      <c r="D143" s="152"/>
      <c r="E143" s="250"/>
      <c r="F143" s="153" t="str">
        <f t="shared" si="10"/>
        <v/>
      </c>
      <c r="G143" s="256"/>
      <c r="H143" s="166">
        <f t="shared" si="12"/>
        <v>0</v>
      </c>
      <c r="I143" s="10" t="s">
        <v>20</v>
      </c>
      <c r="J143" s="11">
        <v>1.3</v>
      </c>
      <c r="K143" s="12">
        <f t="shared" si="15"/>
        <v>0</v>
      </c>
    </row>
    <row r="144" spans="1:11" hidden="1" x14ac:dyDescent="0.35">
      <c r="A144" s="103"/>
      <c r="B144" s="12" t="s">
        <v>4</v>
      </c>
      <c r="C144" s="10" t="s">
        <v>316</v>
      </c>
      <c r="D144" s="152"/>
      <c r="E144" s="250"/>
      <c r="F144" s="153" t="str">
        <f t="shared" si="10"/>
        <v/>
      </c>
      <c r="G144" s="256"/>
      <c r="H144" s="166">
        <f t="shared" si="12"/>
        <v>0</v>
      </c>
      <c r="I144" s="10" t="s">
        <v>20</v>
      </c>
      <c r="J144" s="11">
        <v>1.35</v>
      </c>
      <c r="K144" s="12">
        <f t="shared" si="15"/>
        <v>0</v>
      </c>
    </row>
    <row r="145" spans="1:11" hidden="1" x14ac:dyDescent="0.35">
      <c r="A145" s="103"/>
      <c r="B145" s="12" t="s">
        <v>4</v>
      </c>
      <c r="C145" s="10" t="s">
        <v>317</v>
      </c>
      <c r="D145" s="152"/>
      <c r="E145" s="250"/>
      <c r="F145" s="153" t="str">
        <f t="shared" si="10"/>
        <v/>
      </c>
      <c r="G145" s="256"/>
      <c r="H145" s="166">
        <f t="shared" si="12"/>
        <v>0</v>
      </c>
      <c r="I145" s="10" t="s">
        <v>20</v>
      </c>
      <c r="J145" s="11">
        <v>1.28</v>
      </c>
      <c r="K145" s="12">
        <f t="shared" si="15"/>
        <v>0</v>
      </c>
    </row>
    <row r="146" spans="1:11" hidden="1" x14ac:dyDescent="0.35">
      <c r="A146" s="103"/>
      <c r="B146" s="12" t="s">
        <v>4</v>
      </c>
      <c r="C146" s="10" t="s">
        <v>318</v>
      </c>
      <c r="D146" s="152"/>
      <c r="E146" s="250"/>
      <c r="F146" s="153" t="str">
        <f t="shared" si="10"/>
        <v/>
      </c>
      <c r="G146" s="256"/>
      <c r="H146" s="166">
        <f t="shared" si="12"/>
        <v>0</v>
      </c>
      <c r="I146" s="10" t="s">
        <v>20</v>
      </c>
      <c r="J146" s="11">
        <v>1.1000000000000001</v>
      </c>
      <c r="K146" s="12">
        <f t="shared" si="15"/>
        <v>0</v>
      </c>
    </row>
    <row r="147" spans="1:11" hidden="1" x14ac:dyDescent="0.35">
      <c r="A147" s="103"/>
      <c r="B147" s="12" t="s">
        <v>4</v>
      </c>
      <c r="C147" s="10" t="s">
        <v>319</v>
      </c>
      <c r="D147" s="152"/>
      <c r="E147" s="250"/>
      <c r="F147" s="153" t="str">
        <f t="shared" si="10"/>
        <v/>
      </c>
      <c r="G147" s="256"/>
      <c r="H147" s="166">
        <f t="shared" si="12"/>
        <v>0</v>
      </c>
      <c r="I147" s="10" t="s">
        <v>20</v>
      </c>
      <c r="J147" s="11">
        <v>1.1000000000000001</v>
      </c>
      <c r="K147" s="12">
        <f t="shared" si="15"/>
        <v>0</v>
      </c>
    </row>
    <row r="148" spans="1:11" hidden="1" x14ac:dyDescent="0.35">
      <c r="A148" s="103"/>
      <c r="B148" s="12" t="s">
        <v>4</v>
      </c>
      <c r="C148" s="10" t="s">
        <v>320</v>
      </c>
      <c r="D148" s="152"/>
      <c r="E148" s="250"/>
      <c r="F148" s="153" t="str">
        <f t="shared" si="10"/>
        <v/>
      </c>
      <c r="G148" s="256"/>
      <c r="H148" s="166">
        <f t="shared" si="12"/>
        <v>0</v>
      </c>
      <c r="I148" s="10" t="s">
        <v>20</v>
      </c>
      <c r="J148" s="11">
        <v>1.1000000000000001</v>
      </c>
      <c r="K148" s="12">
        <f t="shared" si="15"/>
        <v>0</v>
      </c>
    </row>
    <row r="149" spans="1:11" hidden="1" x14ac:dyDescent="0.35">
      <c r="A149" s="103"/>
      <c r="B149" s="12" t="s">
        <v>4</v>
      </c>
      <c r="C149" s="10" t="s">
        <v>321</v>
      </c>
      <c r="D149" s="152"/>
      <c r="E149" s="250"/>
      <c r="F149" s="153" t="str">
        <f t="shared" si="10"/>
        <v/>
      </c>
      <c r="G149" s="256"/>
      <c r="H149" s="166">
        <f t="shared" si="12"/>
        <v>0</v>
      </c>
      <c r="I149" s="10" t="s">
        <v>20</v>
      </c>
      <c r="J149" s="11">
        <v>1.1000000000000001</v>
      </c>
      <c r="K149" s="12">
        <f t="shared" si="15"/>
        <v>0</v>
      </c>
    </row>
    <row r="150" spans="1:11" x14ac:dyDescent="0.35">
      <c r="A150" s="113" t="s">
        <v>41</v>
      </c>
      <c r="B150" s="124"/>
      <c r="C150" s="124"/>
      <c r="D150" s="230"/>
      <c r="E150" s="250"/>
      <c r="F150" s="165" t="str">
        <f t="shared" si="10"/>
        <v/>
      </c>
      <c r="G150" s="261"/>
      <c r="H150" s="247"/>
      <c r="I150" s="124"/>
      <c r="J150" s="124"/>
      <c r="K150" s="273"/>
    </row>
    <row r="151" spans="1:11" x14ac:dyDescent="0.35">
      <c r="A151" s="103"/>
      <c r="B151" s="12" t="s">
        <v>4</v>
      </c>
      <c r="C151" s="10" t="s">
        <v>24</v>
      </c>
      <c r="D151" s="152">
        <v>18</v>
      </c>
      <c r="E151" s="170">
        <v>16</v>
      </c>
      <c r="F151" s="153">
        <f t="shared" si="10"/>
        <v>2</v>
      </c>
      <c r="G151" s="256"/>
      <c r="H151" s="166">
        <f t="shared" si="12"/>
        <v>18</v>
      </c>
      <c r="I151" s="10" t="s">
        <v>20</v>
      </c>
      <c r="J151" s="11">
        <v>3.04</v>
      </c>
      <c r="K151" s="12">
        <f>H151*J151</f>
        <v>54.72</v>
      </c>
    </row>
    <row r="152" spans="1:11" x14ac:dyDescent="0.35">
      <c r="A152" s="103"/>
      <c r="B152" s="12" t="s">
        <v>4</v>
      </c>
      <c r="C152" s="10" t="s">
        <v>80</v>
      </c>
      <c r="D152" s="152">
        <v>30</v>
      </c>
      <c r="E152" s="170">
        <v>19</v>
      </c>
      <c r="F152" s="153">
        <f t="shared" si="10"/>
        <v>11</v>
      </c>
      <c r="G152" s="256"/>
      <c r="H152" s="166">
        <f t="shared" si="12"/>
        <v>30</v>
      </c>
      <c r="I152" s="10" t="s">
        <v>20</v>
      </c>
      <c r="J152" s="11">
        <v>2.31</v>
      </c>
      <c r="K152" s="12">
        <f t="shared" ref="K152:K168" si="16">H152*J152</f>
        <v>69.3</v>
      </c>
    </row>
    <row r="153" spans="1:11" x14ac:dyDescent="0.35">
      <c r="A153" s="103"/>
      <c r="B153" s="12" t="s">
        <v>4</v>
      </c>
      <c r="C153" s="10" t="s">
        <v>84</v>
      </c>
      <c r="D153" s="152">
        <v>18</v>
      </c>
      <c r="E153" s="170">
        <v>32</v>
      </c>
      <c r="F153" s="153" t="str">
        <f t="shared" ref="F153:F219" si="17">IF(E153="","",IF(D153-E153&gt;0,D153-E153,""))</f>
        <v/>
      </c>
      <c r="G153" s="256"/>
      <c r="H153" s="166">
        <f t="shared" si="12"/>
        <v>32</v>
      </c>
      <c r="I153" s="10" t="s">
        <v>20</v>
      </c>
      <c r="J153" s="11">
        <v>2.31</v>
      </c>
      <c r="K153" s="12">
        <f t="shared" si="16"/>
        <v>73.92</v>
      </c>
    </row>
    <row r="154" spans="1:11" hidden="1" x14ac:dyDescent="0.35">
      <c r="A154" s="103"/>
      <c r="B154" s="12" t="s">
        <v>4</v>
      </c>
      <c r="C154" s="10" t="s">
        <v>394</v>
      </c>
      <c r="D154" s="152"/>
      <c r="E154" s="170"/>
      <c r="F154" s="153" t="str">
        <f t="shared" si="17"/>
        <v/>
      </c>
      <c r="G154" s="256"/>
      <c r="H154" s="166">
        <f t="shared" si="12"/>
        <v>0</v>
      </c>
      <c r="I154" s="10" t="s">
        <v>20</v>
      </c>
      <c r="J154" s="11">
        <v>2.54</v>
      </c>
      <c r="K154" s="12">
        <f t="shared" si="16"/>
        <v>0</v>
      </c>
    </row>
    <row r="155" spans="1:11" hidden="1" x14ac:dyDescent="0.35">
      <c r="A155" s="103"/>
      <c r="B155" s="12" t="s">
        <v>4</v>
      </c>
      <c r="C155" s="10" t="s">
        <v>394</v>
      </c>
      <c r="D155" s="152"/>
      <c r="E155" s="170"/>
      <c r="F155" s="153" t="str">
        <f t="shared" si="17"/>
        <v/>
      </c>
      <c r="G155" s="256"/>
      <c r="H155" s="166">
        <f t="shared" si="12"/>
        <v>0</v>
      </c>
      <c r="I155" s="10" t="s">
        <v>20</v>
      </c>
      <c r="J155" s="11">
        <v>2.54</v>
      </c>
      <c r="K155" s="12">
        <f t="shared" si="16"/>
        <v>0</v>
      </c>
    </row>
    <row r="156" spans="1:11" x14ac:dyDescent="0.35">
      <c r="A156" s="103"/>
      <c r="B156" s="12" t="s">
        <v>4</v>
      </c>
      <c r="C156" s="10" t="s">
        <v>25</v>
      </c>
      <c r="D156" s="152">
        <v>18</v>
      </c>
      <c r="E156" s="170">
        <v>22</v>
      </c>
      <c r="F156" s="153" t="str">
        <f t="shared" si="17"/>
        <v/>
      </c>
      <c r="G156" s="256"/>
      <c r="H156" s="166">
        <f t="shared" si="12"/>
        <v>22</v>
      </c>
      <c r="I156" s="10" t="s">
        <v>20</v>
      </c>
      <c r="J156" s="11">
        <v>1.79</v>
      </c>
      <c r="K156" s="12">
        <f t="shared" si="16"/>
        <v>39.380000000000003</v>
      </c>
    </row>
    <row r="157" spans="1:11" hidden="1" x14ac:dyDescent="0.35">
      <c r="A157" s="103"/>
      <c r="B157" s="12" t="s">
        <v>4</v>
      </c>
      <c r="C157" s="10" t="s">
        <v>322</v>
      </c>
      <c r="D157" s="152"/>
      <c r="E157" s="170"/>
      <c r="F157" s="153" t="str">
        <f t="shared" si="17"/>
        <v/>
      </c>
      <c r="G157" s="256"/>
      <c r="H157" s="166">
        <f t="shared" si="12"/>
        <v>0</v>
      </c>
      <c r="I157" s="10" t="s">
        <v>20</v>
      </c>
      <c r="J157" s="11">
        <v>2.46</v>
      </c>
      <c r="K157" s="12">
        <f t="shared" si="16"/>
        <v>0</v>
      </c>
    </row>
    <row r="158" spans="1:11" x14ac:dyDescent="0.35">
      <c r="A158" s="103"/>
      <c r="B158" s="12" t="s">
        <v>4</v>
      </c>
      <c r="C158" s="10" t="s">
        <v>393</v>
      </c>
      <c r="D158" s="152">
        <v>30</v>
      </c>
      <c r="E158" s="170">
        <v>24</v>
      </c>
      <c r="F158" s="153">
        <f t="shared" si="17"/>
        <v>6</v>
      </c>
      <c r="G158" s="256"/>
      <c r="H158" s="166">
        <f t="shared" si="12"/>
        <v>30</v>
      </c>
      <c r="I158" s="10" t="s">
        <v>20</v>
      </c>
      <c r="J158" s="11">
        <v>2.46</v>
      </c>
      <c r="K158" s="12">
        <f t="shared" si="16"/>
        <v>73.8</v>
      </c>
    </row>
    <row r="159" spans="1:11" hidden="1" x14ac:dyDescent="0.35">
      <c r="A159" s="103"/>
      <c r="B159" s="12" t="s">
        <v>4</v>
      </c>
      <c r="C159" s="10" t="s">
        <v>43</v>
      </c>
      <c r="D159" s="152"/>
      <c r="E159" s="170"/>
      <c r="F159" s="153" t="str">
        <f t="shared" si="17"/>
        <v/>
      </c>
      <c r="G159" s="256"/>
      <c r="H159" s="166">
        <f t="shared" si="12"/>
        <v>0</v>
      </c>
      <c r="I159" s="10" t="s">
        <v>20</v>
      </c>
      <c r="J159" s="11">
        <v>2.5499999999999998</v>
      </c>
      <c r="K159" s="12">
        <f t="shared" si="16"/>
        <v>0</v>
      </c>
    </row>
    <row r="160" spans="1:11" x14ac:dyDescent="0.35">
      <c r="A160" s="103"/>
      <c r="B160" s="12" t="s">
        <v>4</v>
      </c>
      <c r="C160" s="10" t="s">
        <v>81</v>
      </c>
      <c r="D160" s="152">
        <v>30</v>
      </c>
      <c r="E160" s="170">
        <v>23</v>
      </c>
      <c r="F160" s="153">
        <f t="shared" si="17"/>
        <v>7</v>
      </c>
      <c r="G160" s="256"/>
      <c r="H160" s="166">
        <f t="shared" si="12"/>
        <v>30</v>
      </c>
      <c r="I160" s="10" t="s">
        <v>20</v>
      </c>
      <c r="J160" s="11">
        <v>1.51</v>
      </c>
      <c r="K160" s="12">
        <f t="shared" si="16"/>
        <v>45.3</v>
      </c>
    </row>
    <row r="161" spans="1:11" x14ac:dyDescent="0.35">
      <c r="A161" s="103"/>
      <c r="B161" s="12" t="s">
        <v>4</v>
      </c>
      <c r="C161" s="10" t="s">
        <v>82</v>
      </c>
      <c r="D161" s="152">
        <v>30</v>
      </c>
      <c r="E161" s="170">
        <v>18</v>
      </c>
      <c r="F161" s="153">
        <f t="shared" si="17"/>
        <v>12</v>
      </c>
      <c r="G161" s="256"/>
      <c r="H161" s="166">
        <f t="shared" si="12"/>
        <v>30</v>
      </c>
      <c r="I161" s="10" t="s">
        <v>20</v>
      </c>
      <c r="J161" s="11">
        <v>1.51</v>
      </c>
      <c r="K161" s="12">
        <f t="shared" si="16"/>
        <v>45.3</v>
      </c>
    </row>
    <row r="162" spans="1:11" hidden="1" x14ac:dyDescent="0.35">
      <c r="A162" s="103"/>
      <c r="B162" s="12" t="s">
        <v>4</v>
      </c>
      <c r="C162" s="10" t="s">
        <v>323</v>
      </c>
      <c r="D162" s="152"/>
      <c r="E162" s="170"/>
      <c r="F162" s="153" t="str">
        <f t="shared" si="17"/>
        <v/>
      </c>
      <c r="G162" s="256"/>
      <c r="H162" s="166">
        <f t="shared" si="12"/>
        <v>0</v>
      </c>
      <c r="I162" s="10" t="s">
        <v>20</v>
      </c>
      <c r="J162" s="11">
        <v>1.54</v>
      </c>
      <c r="K162" s="12">
        <f t="shared" si="16"/>
        <v>0</v>
      </c>
    </row>
    <row r="163" spans="1:11" hidden="1" x14ac:dyDescent="0.35">
      <c r="A163" s="103"/>
      <c r="B163" s="12" t="s">
        <v>4</v>
      </c>
      <c r="C163" s="10" t="s">
        <v>324</v>
      </c>
      <c r="D163" s="152"/>
      <c r="E163" s="170"/>
      <c r="F163" s="153" t="str">
        <f t="shared" si="17"/>
        <v/>
      </c>
      <c r="G163" s="256"/>
      <c r="H163" s="166">
        <f t="shared" si="12"/>
        <v>0</v>
      </c>
      <c r="I163" s="10" t="s">
        <v>20</v>
      </c>
      <c r="J163" s="11">
        <v>1.6</v>
      </c>
      <c r="K163" s="12">
        <f t="shared" si="16"/>
        <v>0</v>
      </c>
    </row>
    <row r="164" spans="1:11" hidden="1" x14ac:dyDescent="0.35">
      <c r="A164" s="103"/>
      <c r="B164" s="12" t="s">
        <v>4</v>
      </c>
      <c r="C164" s="78" t="s">
        <v>325</v>
      </c>
      <c r="D164" s="224"/>
      <c r="E164" s="170"/>
      <c r="F164" s="153" t="str">
        <f t="shared" si="17"/>
        <v/>
      </c>
      <c r="G164" s="256"/>
      <c r="H164" s="166">
        <f t="shared" si="12"/>
        <v>0</v>
      </c>
      <c r="I164" s="10" t="s">
        <v>20</v>
      </c>
      <c r="J164" s="79">
        <v>49.95</v>
      </c>
      <c r="K164" s="12">
        <f t="shared" si="16"/>
        <v>0</v>
      </c>
    </row>
    <row r="165" spans="1:11" x14ac:dyDescent="0.35">
      <c r="A165" s="113" t="s">
        <v>44</v>
      </c>
      <c r="B165" s="124"/>
      <c r="C165" s="124"/>
      <c r="D165" s="230"/>
      <c r="E165" s="250"/>
      <c r="F165" s="165" t="str">
        <f t="shared" si="17"/>
        <v/>
      </c>
      <c r="G165" s="261"/>
      <c r="H165" s="247"/>
      <c r="I165" s="124"/>
      <c r="J165" s="124"/>
      <c r="K165" s="270"/>
    </row>
    <row r="166" spans="1:11" x14ac:dyDescent="0.35">
      <c r="A166" s="103"/>
      <c r="B166" s="12" t="s">
        <v>4</v>
      </c>
      <c r="C166" s="10" t="s">
        <v>48</v>
      </c>
      <c r="D166" s="152">
        <v>96</v>
      </c>
      <c r="E166" s="170">
        <v>77</v>
      </c>
      <c r="F166" s="153">
        <f t="shared" si="17"/>
        <v>19</v>
      </c>
      <c r="G166" s="256">
        <v>19</v>
      </c>
      <c r="H166" s="166">
        <f t="shared" si="12"/>
        <v>77</v>
      </c>
      <c r="I166" s="10" t="s">
        <v>20</v>
      </c>
      <c r="J166" s="11">
        <v>1.94</v>
      </c>
      <c r="K166" s="12">
        <f t="shared" si="16"/>
        <v>149.38</v>
      </c>
    </row>
    <row r="167" spans="1:11" x14ac:dyDescent="0.35">
      <c r="A167" s="103"/>
      <c r="B167" s="12" t="s">
        <v>4</v>
      </c>
      <c r="C167" s="10" t="s">
        <v>49</v>
      </c>
      <c r="D167" s="152">
        <v>24</v>
      </c>
      <c r="E167" s="170">
        <v>16</v>
      </c>
      <c r="F167" s="153">
        <f t="shared" si="17"/>
        <v>8</v>
      </c>
      <c r="G167" s="256">
        <v>8</v>
      </c>
      <c r="H167" s="166">
        <f t="shared" si="12"/>
        <v>16</v>
      </c>
      <c r="I167" s="10" t="s">
        <v>20</v>
      </c>
      <c r="J167" s="11">
        <v>1.94</v>
      </c>
      <c r="K167" s="12">
        <f t="shared" si="16"/>
        <v>31.04</v>
      </c>
    </row>
    <row r="168" spans="1:11" x14ac:dyDescent="0.35">
      <c r="A168" s="103"/>
      <c r="B168" s="12" t="s">
        <v>4</v>
      </c>
      <c r="C168" s="10" t="s">
        <v>50</v>
      </c>
      <c r="D168" s="152">
        <v>48</v>
      </c>
      <c r="E168" s="170">
        <v>21</v>
      </c>
      <c r="F168" s="153">
        <f t="shared" si="17"/>
        <v>27</v>
      </c>
      <c r="G168" s="256"/>
      <c r="H168" s="166">
        <f t="shared" si="12"/>
        <v>48</v>
      </c>
      <c r="I168" s="10" t="s">
        <v>20</v>
      </c>
      <c r="J168" s="11">
        <v>1.94</v>
      </c>
      <c r="K168" s="12">
        <f t="shared" si="16"/>
        <v>93.12</v>
      </c>
    </row>
    <row r="169" spans="1:11" hidden="1" x14ac:dyDescent="0.35">
      <c r="A169" s="103"/>
      <c r="B169" s="12" t="s">
        <v>4</v>
      </c>
      <c r="C169" s="10" t="s">
        <v>415</v>
      </c>
      <c r="D169" s="152"/>
      <c r="E169" s="170"/>
      <c r="F169" s="153" t="str">
        <f t="shared" si="17"/>
        <v/>
      </c>
      <c r="G169" s="256"/>
      <c r="H169" s="166">
        <f t="shared" si="12"/>
        <v>0</v>
      </c>
      <c r="I169" s="10" t="s">
        <v>20</v>
      </c>
      <c r="J169" s="11">
        <v>1.98</v>
      </c>
      <c r="K169" s="12">
        <f t="shared" ref="K169:K175" si="18">G169*J169</f>
        <v>0</v>
      </c>
    </row>
    <row r="170" spans="1:11" hidden="1" x14ac:dyDescent="0.35">
      <c r="A170" s="103"/>
      <c r="B170" s="12" t="s">
        <v>4</v>
      </c>
      <c r="C170" s="10" t="s">
        <v>414</v>
      </c>
      <c r="D170" s="152"/>
      <c r="E170" s="170"/>
      <c r="F170" s="153" t="str">
        <f t="shared" si="17"/>
        <v/>
      </c>
      <c r="G170" s="256"/>
      <c r="H170" s="166">
        <f t="shared" si="12"/>
        <v>0</v>
      </c>
      <c r="I170" s="10" t="s">
        <v>20</v>
      </c>
      <c r="J170" s="11">
        <v>1.98</v>
      </c>
      <c r="K170" s="12">
        <f t="shared" si="18"/>
        <v>0</v>
      </c>
    </row>
    <row r="171" spans="1:11" hidden="1" x14ac:dyDescent="0.35">
      <c r="A171" s="103"/>
      <c r="B171" s="12" t="s">
        <v>4</v>
      </c>
      <c r="C171" s="10" t="s">
        <v>415</v>
      </c>
      <c r="D171" s="152"/>
      <c r="E171" s="170"/>
      <c r="F171" s="153" t="str">
        <f t="shared" si="17"/>
        <v/>
      </c>
      <c r="G171" s="256"/>
      <c r="H171" s="166">
        <f t="shared" si="12"/>
        <v>0</v>
      </c>
      <c r="I171" s="10" t="s">
        <v>20</v>
      </c>
      <c r="J171" s="11">
        <v>1.98</v>
      </c>
      <c r="K171" s="12">
        <f t="shared" si="18"/>
        <v>0</v>
      </c>
    </row>
    <row r="172" spans="1:11" hidden="1" x14ac:dyDescent="0.35">
      <c r="A172" s="103"/>
      <c r="B172" s="12" t="s">
        <v>4</v>
      </c>
      <c r="C172" s="10" t="s">
        <v>432</v>
      </c>
      <c r="D172" s="152"/>
      <c r="E172" s="170"/>
      <c r="F172" s="153" t="str">
        <f t="shared" si="17"/>
        <v/>
      </c>
      <c r="G172" s="256"/>
      <c r="H172" s="166">
        <f t="shared" si="12"/>
        <v>0</v>
      </c>
      <c r="I172" s="10" t="s">
        <v>20</v>
      </c>
      <c r="J172" s="11">
        <v>1.98</v>
      </c>
      <c r="K172" s="12">
        <f t="shared" si="18"/>
        <v>0</v>
      </c>
    </row>
    <row r="173" spans="1:11" hidden="1" x14ac:dyDescent="0.35">
      <c r="A173" s="103"/>
      <c r="B173" s="40" t="s">
        <v>4</v>
      </c>
      <c r="C173" s="41" t="s">
        <v>330</v>
      </c>
      <c r="D173" s="227"/>
      <c r="E173" s="170"/>
      <c r="F173" s="153" t="str">
        <f t="shared" si="17"/>
        <v/>
      </c>
      <c r="G173" s="256"/>
      <c r="H173" s="166">
        <f t="shared" si="12"/>
        <v>0</v>
      </c>
      <c r="I173" s="10" t="s">
        <v>20</v>
      </c>
      <c r="J173" s="11">
        <v>1.98</v>
      </c>
      <c r="K173" s="12">
        <f t="shared" si="18"/>
        <v>0</v>
      </c>
    </row>
    <row r="174" spans="1:11" hidden="1" x14ac:dyDescent="0.35">
      <c r="A174" s="103"/>
      <c r="B174" s="40" t="s">
        <v>4</v>
      </c>
      <c r="C174" s="41" t="s">
        <v>331</v>
      </c>
      <c r="D174" s="227"/>
      <c r="E174" s="170"/>
      <c r="F174" s="153" t="str">
        <f t="shared" si="17"/>
        <v/>
      </c>
      <c r="G174" s="256"/>
      <c r="H174" s="166">
        <f t="shared" si="12"/>
        <v>0</v>
      </c>
      <c r="I174" s="10" t="s">
        <v>20</v>
      </c>
      <c r="J174" s="11">
        <v>1.98</v>
      </c>
      <c r="K174" s="12">
        <f t="shared" si="18"/>
        <v>0</v>
      </c>
    </row>
    <row r="175" spans="1:11" hidden="1" x14ac:dyDescent="0.35">
      <c r="A175" s="103"/>
      <c r="B175" s="40" t="s">
        <v>4</v>
      </c>
      <c r="C175" s="41" t="s">
        <v>413</v>
      </c>
      <c r="D175" s="227"/>
      <c r="E175" s="170"/>
      <c r="F175" s="153" t="str">
        <f t="shared" si="17"/>
        <v/>
      </c>
      <c r="G175" s="256"/>
      <c r="H175" s="166">
        <f t="shared" ref="H175:H240" si="19">IF(ISNUMBER(E175),E175,0)+IF(ISNUMBER(F175),F175,0)-IF(ISNUMBER(G175),G175,0)</f>
        <v>0</v>
      </c>
      <c r="I175" s="41" t="s">
        <v>20</v>
      </c>
      <c r="J175" s="42">
        <v>1.98</v>
      </c>
      <c r="K175" s="12">
        <f t="shared" si="18"/>
        <v>0</v>
      </c>
    </row>
    <row r="176" spans="1:11" ht="15.5" hidden="1" x14ac:dyDescent="0.35">
      <c r="A176" s="114" t="s">
        <v>333</v>
      </c>
      <c r="B176" s="120"/>
      <c r="C176" s="120"/>
      <c r="D176" s="228"/>
      <c r="E176" s="170"/>
      <c r="F176" s="153" t="str">
        <f t="shared" si="17"/>
        <v/>
      </c>
      <c r="G176" s="292"/>
      <c r="H176" s="166">
        <f t="shared" si="19"/>
        <v>0</v>
      </c>
      <c r="I176" s="121"/>
      <c r="J176" s="122" t="s">
        <v>18</v>
      </c>
      <c r="K176" s="274">
        <f>SUM(K177:K186)</f>
        <v>0</v>
      </c>
    </row>
    <row r="177" spans="1:11" hidden="1" x14ac:dyDescent="0.35">
      <c r="A177" s="103"/>
      <c r="B177" s="12" t="s">
        <v>26</v>
      </c>
      <c r="C177" s="10" t="s">
        <v>334</v>
      </c>
      <c r="D177" s="152"/>
      <c r="E177" s="170"/>
      <c r="F177" s="153" t="str">
        <f t="shared" si="17"/>
        <v/>
      </c>
      <c r="G177" s="256"/>
      <c r="H177" s="166">
        <f t="shared" si="19"/>
        <v>0</v>
      </c>
      <c r="I177" s="10" t="s">
        <v>335</v>
      </c>
      <c r="J177" s="11">
        <v>20</v>
      </c>
      <c r="K177" s="12">
        <f t="shared" ref="K177:K186" si="20">G177*J177</f>
        <v>0</v>
      </c>
    </row>
    <row r="178" spans="1:11" hidden="1" x14ac:dyDescent="0.35">
      <c r="A178" s="103"/>
      <c r="B178" s="20" t="s">
        <v>26</v>
      </c>
      <c r="C178" s="18" t="s">
        <v>53</v>
      </c>
      <c r="D178" s="229"/>
      <c r="E178" s="170"/>
      <c r="F178" s="153" t="str">
        <f t="shared" si="17"/>
        <v/>
      </c>
      <c r="G178" s="256"/>
      <c r="H178" s="166">
        <f t="shared" si="19"/>
        <v>0</v>
      </c>
      <c r="I178" s="18" t="s">
        <v>20</v>
      </c>
      <c r="J178" s="19">
        <v>0.43</v>
      </c>
      <c r="K178" s="20">
        <f t="shared" si="20"/>
        <v>0</v>
      </c>
    </row>
    <row r="179" spans="1:11" hidden="1" x14ac:dyDescent="0.35">
      <c r="A179" s="103"/>
      <c r="B179" s="20" t="s">
        <v>26</v>
      </c>
      <c r="C179" s="18" t="s">
        <v>336</v>
      </c>
      <c r="D179" s="229"/>
      <c r="E179" s="170"/>
      <c r="F179" s="153" t="str">
        <f t="shared" si="17"/>
        <v/>
      </c>
      <c r="G179" s="256"/>
      <c r="H179" s="166">
        <f t="shared" si="19"/>
        <v>0</v>
      </c>
      <c r="I179" s="18" t="s">
        <v>20</v>
      </c>
      <c r="J179" s="19">
        <v>0.43</v>
      </c>
      <c r="K179" s="20">
        <f t="shared" si="20"/>
        <v>0</v>
      </c>
    </row>
    <row r="180" spans="1:11" hidden="1" x14ac:dyDescent="0.35">
      <c r="A180" s="103"/>
      <c r="B180" s="12" t="s">
        <v>26</v>
      </c>
      <c r="C180" s="10" t="s">
        <v>337</v>
      </c>
      <c r="D180" s="152"/>
      <c r="E180" s="170"/>
      <c r="F180" s="153" t="str">
        <f t="shared" si="17"/>
        <v/>
      </c>
      <c r="G180" s="256"/>
      <c r="H180" s="166">
        <f t="shared" si="19"/>
        <v>0</v>
      </c>
      <c r="I180" s="10" t="s">
        <v>20</v>
      </c>
      <c r="J180" s="11">
        <v>0.43</v>
      </c>
      <c r="K180" s="12">
        <f t="shared" si="20"/>
        <v>0</v>
      </c>
    </row>
    <row r="181" spans="1:11" hidden="1" x14ac:dyDescent="0.35">
      <c r="A181" s="103"/>
      <c r="B181" s="12" t="s">
        <v>26</v>
      </c>
      <c r="C181" s="10" t="s">
        <v>51</v>
      </c>
      <c r="D181" s="152"/>
      <c r="E181" s="170"/>
      <c r="F181" s="153" t="str">
        <f t="shared" si="17"/>
        <v/>
      </c>
      <c r="G181" s="256"/>
      <c r="H181" s="166">
        <f t="shared" si="19"/>
        <v>0</v>
      </c>
      <c r="I181" s="10" t="s">
        <v>61</v>
      </c>
      <c r="J181" s="11">
        <v>14</v>
      </c>
      <c r="K181" s="12">
        <f t="shared" si="20"/>
        <v>0</v>
      </c>
    </row>
    <row r="182" spans="1:11" hidden="1" x14ac:dyDescent="0.35">
      <c r="A182" s="103"/>
      <c r="B182" s="12" t="s">
        <v>26</v>
      </c>
      <c r="C182" s="10" t="s">
        <v>338</v>
      </c>
      <c r="D182" s="152"/>
      <c r="E182" s="170"/>
      <c r="F182" s="153" t="str">
        <f t="shared" si="17"/>
        <v/>
      </c>
      <c r="G182" s="256"/>
      <c r="H182" s="166">
        <f t="shared" si="19"/>
        <v>0</v>
      </c>
      <c r="I182" s="10" t="s">
        <v>61</v>
      </c>
      <c r="J182" s="11">
        <v>14.78</v>
      </c>
      <c r="K182" s="12">
        <f t="shared" si="20"/>
        <v>0</v>
      </c>
    </row>
    <row r="183" spans="1:11" hidden="1" x14ac:dyDescent="0.35">
      <c r="A183" s="103"/>
      <c r="B183" s="12" t="s">
        <v>26</v>
      </c>
      <c r="C183" s="10" t="s">
        <v>339</v>
      </c>
      <c r="D183" s="152"/>
      <c r="E183" s="170"/>
      <c r="F183" s="153" t="str">
        <f t="shared" si="17"/>
        <v/>
      </c>
      <c r="G183" s="256"/>
      <c r="H183" s="166">
        <f t="shared" si="19"/>
        <v>0</v>
      </c>
      <c r="I183" s="10" t="s">
        <v>61</v>
      </c>
      <c r="J183" s="11">
        <v>14.78</v>
      </c>
      <c r="K183" s="12">
        <f t="shared" si="20"/>
        <v>0</v>
      </c>
    </row>
    <row r="184" spans="1:11" hidden="1" x14ac:dyDescent="0.35">
      <c r="A184" s="103"/>
      <c r="B184" s="12" t="s">
        <v>26</v>
      </c>
      <c r="C184" s="10" t="s">
        <v>340</v>
      </c>
      <c r="D184" s="152"/>
      <c r="E184" s="170"/>
      <c r="F184" s="153" t="str">
        <f t="shared" si="17"/>
        <v/>
      </c>
      <c r="G184" s="256"/>
      <c r="H184" s="166">
        <f t="shared" si="19"/>
        <v>0</v>
      </c>
      <c r="I184" s="10" t="s">
        <v>61</v>
      </c>
      <c r="J184" s="11">
        <v>14.78</v>
      </c>
      <c r="K184" s="12">
        <f t="shared" si="20"/>
        <v>0</v>
      </c>
    </row>
    <row r="185" spans="1:11" hidden="1" x14ac:dyDescent="0.35">
      <c r="A185" s="103"/>
      <c r="B185" s="12" t="s">
        <v>26</v>
      </c>
      <c r="C185" s="10" t="s">
        <v>341</v>
      </c>
      <c r="D185" s="152"/>
      <c r="E185" s="170"/>
      <c r="F185" s="153" t="str">
        <f t="shared" si="17"/>
        <v/>
      </c>
      <c r="G185" s="256"/>
      <c r="H185" s="166">
        <f t="shared" si="19"/>
        <v>0</v>
      </c>
      <c r="I185" s="10" t="s">
        <v>61</v>
      </c>
      <c r="J185" s="11">
        <v>14.78</v>
      </c>
      <c r="K185" s="12">
        <f t="shared" si="20"/>
        <v>0</v>
      </c>
    </row>
    <row r="186" spans="1:11" hidden="1" x14ac:dyDescent="0.35">
      <c r="A186" s="103"/>
      <c r="B186" s="12" t="s">
        <v>26</v>
      </c>
      <c r="C186" s="10" t="s">
        <v>342</v>
      </c>
      <c r="D186" s="152"/>
      <c r="E186" s="170"/>
      <c r="F186" s="153" t="str">
        <f t="shared" si="17"/>
        <v/>
      </c>
      <c r="G186" s="256"/>
      <c r="H186" s="166">
        <f t="shared" si="19"/>
        <v>0</v>
      </c>
      <c r="I186" s="10" t="s">
        <v>61</v>
      </c>
      <c r="J186" s="11">
        <v>14.78</v>
      </c>
      <c r="K186" s="10">
        <f t="shared" si="20"/>
        <v>0</v>
      </c>
    </row>
    <row r="187" spans="1:11" ht="15.5" x14ac:dyDescent="0.35">
      <c r="A187" s="108" t="s">
        <v>343</v>
      </c>
      <c r="B187" s="108"/>
      <c r="C187" s="108"/>
      <c r="D187" s="223"/>
      <c r="E187" s="250"/>
      <c r="F187" s="165" t="str">
        <f t="shared" si="17"/>
        <v/>
      </c>
      <c r="G187" s="186"/>
      <c r="H187" s="247"/>
      <c r="I187" s="108"/>
      <c r="J187" s="106" t="s">
        <v>18</v>
      </c>
      <c r="K187" s="269">
        <f>SUM(K188:K192)</f>
        <v>176</v>
      </c>
    </row>
    <row r="188" spans="1:11" hidden="1" x14ac:dyDescent="0.35">
      <c r="A188" s="103"/>
      <c r="B188" s="7" t="s">
        <v>6</v>
      </c>
      <c r="C188" s="14" t="s">
        <v>344</v>
      </c>
      <c r="D188" s="152"/>
      <c r="E188" s="170"/>
      <c r="F188" s="153" t="str">
        <f t="shared" si="17"/>
        <v/>
      </c>
      <c r="G188" s="256"/>
      <c r="H188" s="166">
        <f t="shared" si="19"/>
        <v>0</v>
      </c>
      <c r="I188" s="14" t="s">
        <v>20</v>
      </c>
      <c r="J188" s="35">
        <v>0.79</v>
      </c>
      <c r="K188" s="7">
        <f>G188*J188</f>
        <v>0</v>
      </c>
    </row>
    <row r="189" spans="1:11" x14ac:dyDescent="0.35">
      <c r="A189" s="103"/>
      <c r="B189" s="7" t="s">
        <v>6</v>
      </c>
      <c r="C189" s="14" t="s">
        <v>345</v>
      </c>
      <c r="D189" s="152">
        <v>30</v>
      </c>
      <c r="E189" s="170">
        <v>30</v>
      </c>
      <c r="F189" s="153" t="str">
        <f t="shared" si="17"/>
        <v/>
      </c>
      <c r="G189" s="256"/>
      <c r="H189" s="166">
        <f t="shared" si="19"/>
        <v>30</v>
      </c>
      <c r="I189" s="14" t="s">
        <v>20</v>
      </c>
      <c r="J189" s="35">
        <v>2.76</v>
      </c>
      <c r="K189" s="7">
        <f>H189*J189</f>
        <v>82.8</v>
      </c>
    </row>
    <row r="190" spans="1:11" x14ac:dyDescent="0.35">
      <c r="A190" s="103"/>
      <c r="B190" s="7" t="s">
        <v>6</v>
      </c>
      <c r="C190" s="14" t="s">
        <v>346</v>
      </c>
      <c r="D190" s="152"/>
      <c r="E190" s="170">
        <v>5</v>
      </c>
      <c r="F190" s="153" t="str">
        <f t="shared" si="17"/>
        <v/>
      </c>
      <c r="G190" s="256"/>
      <c r="H190" s="166">
        <f t="shared" si="19"/>
        <v>5</v>
      </c>
      <c r="I190" s="14" t="s">
        <v>20</v>
      </c>
      <c r="J190" s="35">
        <v>1</v>
      </c>
      <c r="K190" s="7">
        <f t="shared" ref="K190:K192" si="21">H190*J190</f>
        <v>5</v>
      </c>
    </row>
    <row r="191" spans="1:11" x14ac:dyDescent="0.35">
      <c r="A191" s="103"/>
      <c r="B191" s="7" t="s">
        <v>6</v>
      </c>
      <c r="C191" s="14" t="s">
        <v>34</v>
      </c>
      <c r="D191" s="152">
        <v>40</v>
      </c>
      <c r="E191" s="170">
        <v>30</v>
      </c>
      <c r="F191" s="153">
        <f t="shared" si="17"/>
        <v>10</v>
      </c>
      <c r="G191" s="256"/>
      <c r="H191" s="166">
        <f t="shared" si="19"/>
        <v>40</v>
      </c>
      <c r="I191" s="14" t="s">
        <v>20</v>
      </c>
      <c r="J191" s="35">
        <v>1.8</v>
      </c>
      <c r="K191" s="7">
        <f t="shared" si="21"/>
        <v>72</v>
      </c>
    </row>
    <row r="192" spans="1:11" x14ac:dyDescent="0.35">
      <c r="A192" s="103"/>
      <c r="B192" s="7" t="s">
        <v>6</v>
      </c>
      <c r="C192" s="14" t="s">
        <v>35</v>
      </c>
      <c r="D192" s="152">
        <v>40</v>
      </c>
      <c r="E192" s="170">
        <v>20</v>
      </c>
      <c r="F192" s="153">
        <f t="shared" si="17"/>
        <v>20</v>
      </c>
      <c r="G192" s="256">
        <v>31</v>
      </c>
      <c r="H192" s="166">
        <f t="shared" si="19"/>
        <v>9</v>
      </c>
      <c r="I192" s="14" t="s">
        <v>20</v>
      </c>
      <c r="J192" s="35">
        <v>1.8</v>
      </c>
      <c r="K192" s="7">
        <f t="shared" si="21"/>
        <v>16.2</v>
      </c>
    </row>
    <row r="193" spans="1:11" ht="15.5" hidden="1" x14ac:dyDescent="0.35">
      <c r="A193" s="112" t="s">
        <v>347</v>
      </c>
      <c r="B193" s="116"/>
      <c r="C193" s="116"/>
      <c r="D193" s="228"/>
      <c r="E193" s="250"/>
      <c r="F193" s="165" t="str">
        <f t="shared" si="17"/>
        <v/>
      </c>
      <c r="G193" s="260"/>
      <c r="H193" s="247"/>
      <c r="I193" s="117"/>
      <c r="J193" s="118" t="s">
        <v>18</v>
      </c>
      <c r="K193" s="275">
        <f>SUM(K194:K194)</f>
        <v>0</v>
      </c>
    </row>
    <row r="194" spans="1:11" hidden="1" x14ac:dyDescent="0.35">
      <c r="A194" s="103"/>
      <c r="B194" s="12" t="s">
        <v>5</v>
      </c>
      <c r="C194" s="10" t="s">
        <v>55</v>
      </c>
      <c r="D194" s="152"/>
      <c r="E194" s="170"/>
      <c r="F194" s="153" t="str">
        <f t="shared" si="17"/>
        <v/>
      </c>
      <c r="G194" s="256"/>
      <c r="H194" s="166">
        <f t="shared" si="19"/>
        <v>0</v>
      </c>
      <c r="I194" s="10" t="s">
        <v>20</v>
      </c>
      <c r="J194" s="11">
        <v>1.01</v>
      </c>
      <c r="K194" s="12">
        <f>H194*J194</f>
        <v>0</v>
      </c>
    </row>
    <row r="195" spans="1:11" ht="15.5" hidden="1" x14ac:dyDescent="0.35">
      <c r="A195" s="112" t="s">
        <v>348</v>
      </c>
      <c r="B195" s="116"/>
      <c r="C195" s="116"/>
      <c r="D195" s="228"/>
      <c r="E195" s="250"/>
      <c r="F195" s="165" t="str">
        <f t="shared" si="17"/>
        <v/>
      </c>
      <c r="G195" s="260"/>
      <c r="H195" s="247"/>
      <c r="I195" s="117"/>
      <c r="J195" s="118" t="s">
        <v>18</v>
      </c>
      <c r="K195" s="275">
        <f>SUM(K196:K207)</f>
        <v>0</v>
      </c>
    </row>
    <row r="196" spans="1:11" hidden="1" x14ac:dyDescent="0.35">
      <c r="A196" s="103"/>
      <c r="B196" s="20" t="s">
        <v>8</v>
      </c>
      <c r="C196" s="18" t="s">
        <v>349</v>
      </c>
      <c r="D196" s="229"/>
      <c r="E196" s="170"/>
      <c r="F196" s="153" t="str">
        <f t="shared" si="17"/>
        <v/>
      </c>
      <c r="G196" s="256"/>
      <c r="H196" s="166">
        <f t="shared" si="19"/>
        <v>0</v>
      </c>
      <c r="I196" s="18" t="s">
        <v>27</v>
      </c>
      <c r="J196" s="20">
        <v>28.62</v>
      </c>
      <c r="K196" s="12">
        <f t="shared" ref="K196:K207" si="22">G196*J196</f>
        <v>0</v>
      </c>
    </row>
    <row r="197" spans="1:11" hidden="1" x14ac:dyDescent="0.35">
      <c r="A197" s="103"/>
      <c r="B197" s="12" t="s">
        <v>8</v>
      </c>
      <c r="C197" s="10" t="s">
        <v>350</v>
      </c>
      <c r="D197" s="152"/>
      <c r="E197" s="170"/>
      <c r="F197" s="153" t="str">
        <f t="shared" si="17"/>
        <v/>
      </c>
      <c r="G197" s="256"/>
      <c r="H197" s="166">
        <f t="shared" si="19"/>
        <v>0</v>
      </c>
      <c r="I197" s="10" t="s">
        <v>335</v>
      </c>
      <c r="J197" s="12">
        <v>30</v>
      </c>
      <c r="K197" s="12">
        <f t="shared" si="22"/>
        <v>0</v>
      </c>
    </row>
    <row r="198" spans="1:11" hidden="1" x14ac:dyDescent="0.35">
      <c r="A198" s="103"/>
      <c r="B198" s="12" t="s">
        <v>8</v>
      </c>
      <c r="C198" s="10" t="s">
        <v>351</v>
      </c>
      <c r="D198" s="152"/>
      <c r="E198" s="170"/>
      <c r="F198" s="153" t="str">
        <f t="shared" si="17"/>
        <v/>
      </c>
      <c r="G198" s="256"/>
      <c r="H198" s="166">
        <f t="shared" si="19"/>
        <v>0</v>
      </c>
      <c r="I198" s="10" t="s">
        <v>335</v>
      </c>
      <c r="J198" s="11">
        <v>1.1499999999999999</v>
      </c>
      <c r="K198" s="12">
        <f t="shared" si="22"/>
        <v>0</v>
      </c>
    </row>
    <row r="199" spans="1:11" hidden="1" x14ac:dyDescent="0.35">
      <c r="A199" s="103"/>
      <c r="B199" s="12" t="s">
        <v>8</v>
      </c>
      <c r="C199" s="10" t="s">
        <v>352</v>
      </c>
      <c r="D199" s="152"/>
      <c r="E199" s="170"/>
      <c r="F199" s="153" t="str">
        <f t="shared" si="17"/>
        <v/>
      </c>
      <c r="G199" s="256"/>
      <c r="H199" s="166">
        <f t="shared" si="19"/>
        <v>0</v>
      </c>
      <c r="I199" s="10">
        <v>23.83</v>
      </c>
      <c r="J199" s="11">
        <v>30.95</v>
      </c>
      <c r="K199" s="12">
        <f>H199*J199</f>
        <v>0</v>
      </c>
    </row>
    <row r="200" spans="1:11" hidden="1" x14ac:dyDescent="0.35">
      <c r="A200" s="103"/>
      <c r="B200" s="12" t="s">
        <v>8</v>
      </c>
      <c r="C200" s="10" t="s">
        <v>353</v>
      </c>
      <c r="D200" s="152"/>
      <c r="E200" s="170"/>
      <c r="F200" s="153" t="str">
        <f t="shared" si="17"/>
        <v/>
      </c>
      <c r="G200" s="256"/>
      <c r="H200" s="166">
        <f t="shared" si="19"/>
        <v>0</v>
      </c>
      <c r="I200" s="10" t="s">
        <v>27</v>
      </c>
      <c r="J200" s="11">
        <v>28.89</v>
      </c>
      <c r="K200" s="12">
        <f t="shared" ref="K200" si="23">H200*J200</f>
        <v>0</v>
      </c>
    </row>
    <row r="201" spans="1:11" hidden="1" x14ac:dyDescent="0.35">
      <c r="A201" s="103"/>
      <c r="B201" s="12" t="s">
        <v>8</v>
      </c>
      <c r="C201" s="10" t="s">
        <v>354</v>
      </c>
      <c r="D201" s="152"/>
      <c r="E201" s="170"/>
      <c r="F201" s="153" t="str">
        <f>IF(E201="","",IF(D201-E201&gt;0,D201-E201,""))</f>
        <v/>
      </c>
      <c r="G201" s="256"/>
      <c r="H201" s="166">
        <f>IF(ISNUMBER(E201),E201,0)+IF(ISNUMBER(F201),F201,0)-IF(ISNUMBER(G201),G201,0)</f>
        <v>0</v>
      </c>
      <c r="I201" s="10" t="s">
        <v>27</v>
      </c>
      <c r="J201" s="11">
        <v>19.37</v>
      </c>
      <c r="K201" s="12">
        <f>H201*J201</f>
        <v>0</v>
      </c>
    </row>
    <row r="202" spans="1:11" x14ac:dyDescent="0.35">
      <c r="A202" s="103"/>
      <c r="B202" s="12" t="s">
        <v>8</v>
      </c>
      <c r="C202" s="10" t="s">
        <v>429</v>
      </c>
      <c r="D202" s="152"/>
      <c r="E202" s="170"/>
      <c r="F202" s="153"/>
      <c r="G202" s="256"/>
      <c r="H202" s="166">
        <f t="shared" ref="H202:H204" si="24">IF(ISNUMBER(E202),E202,0)+IF(ISNUMBER(F202),F202,0)-IF(ISNUMBER(G202),G202,0)</f>
        <v>0</v>
      </c>
      <c r="I202" s="10">
        <v>14.07</v>
      </c>
      <c r="J202" s="11"/>
      <c r="K202" s="12"/>
    </row>
    <row r="203" spans="1:11" x14ac:dyDescent="0.35">
      <c r="A203" s="103"/>
      <c r="B203" s="12" t="s">
        <v>8</v>
      </c>
      <c r="C203" s="10" t="s">
        <v>430</v>
      </c>
      <c r="D203" s="152"/>
      <c r="E203" s="170"/>
      <c r="F203" s="153"/>
      <c r="G203" s="256"/>
      <c r="H203" s="166">
        <f t="shared" si="24"/>
        <v>0</v>
      </c>
      <c r="I203" s="10">
        <v>16.07</v>
      </c>
      <c r="J203" s="11"/>
      <c r="K203" s="12"/>
    </row>
    <row r="204" spans="1:11" x14ac:dyDescent="0.35">
      <c r="A204" s="103"/>
      <c r="B204" s="12" t="s">
        <v>8</v>
      </c>
      <c r="C204" s="10" t="s">
        <v>431</v>
      </c>
      <c r="D204" s="152"/>
      <c r="G204" s="256"/>
      <c r="H204" s="166">
        <f t="shared" si="24"/>
        <v>0</v>
      </c>
      <c r="I204" s="289">
        <v>14.62</v>
      </c>
      <c r="J204" s="11"/>
    </row>
    <row r="205" spans="1:11" hidden="1" x14ac:dyDescent="0.35">
      <c r="A205" s="103"/>
      <c r="B205" s="12" t="s">
        <v>8</v>
      </c>
      <c r="C205" s="10" t="s">
        <v>355</v>
      </c>
      <c r="D205" s="152"/>
      <c r="E205" s="170"/>
      <c r="F205" s="153" t="str">
        <f t="shared" si="17"/>
        <v/>
      </c>
      <c r="G205" s="256"/>
      <c r="H205" s="166">
        <f t="shared" si="19"/>
        <v>0</v>
      </c>
      <c r="I205" s="10" t="s">
        <v>61</v>
      </c>
      <c r="J205" s="11">
        <v>17.11</v>
      </c>
      <c r="K205" s="12">
        <f t="shared" si="22"/>
        <v>0</v>
      </c>
    </row>
    <row r="206" spans="1:11" hidden="1" x14ac:dyDescent="0.35">
      <c r="A206" s="103"/>
      <c r="B206" s="12" t="s">
        <v>8</v>
      </c>
      <c r="C206" s="10" t="s">
        <v>356</v>
      </c>
      <c r="D206" s="152"/>
      <c r="E206" s="170"/>
      <c r="F206" s="153" t="str">
        <f t="shared" si="17"/>
        <v/>
      </c>
      <c r="G206" s="256"/>
      <c r="H206" s="166">
        <f t="shared" si="19"/>
        <v>0</v>
      </c>
      <c r="I206" s="10" t="s">
        <v>61</v>
      </c>
      <c r="J206" s="11">
        <v>22.13</v>
      </c>
      <c r="K206" s="12">
        <f t="shared" si="22"/>
        <v>0</v>
      </c>
    </row>
    <row r="207" spans="1:11" hidden="1" x14ac:dyDescent="0.35">
      <c r="A207" s="103"/>
      <c r="B207" s="40" t="s">
        <v>8</v>
      </c>
      <c r="C207" s="41" t="s">
        <v>357</v>
      </c>
      <c r="D207" s="227"/>
      <c r="E207" s="170"/>
      <c r="F207" s="153" t="str">
        <f t="shared" si="17"/>
        <v/>
      </c>
      <c r="G207" s="256"/>
      <c r="H207" s="166">
        <f t="shared" si="19"/>
        <v>0</v>
      </c>
      <c r="I207" s="41" t="s">
        <v>61</v>
      </c>
      <c r="J207" s="42">
        <v>18.8</v>
      </c>
      <c r="K207" s="40">
        <f t="shared" si="22"/>
        <v>0</v>
      </c>
    </row>
    <row r="208" spans="1:11" ht="15.5" hidden="1" x14ac:dyDescent="0.35">
      <c r="A208" s="112" t="s">
        <v>358</v>
      </c>
      <c r="B208" s="116"/>
      <c r="C208" s="116"/>
      <c r="D208" s="228"/>
      <c r="E208" s="170"/>
      <c r="F208" s="165" t="str">
        <f t="shared" si="17"/>
        <v/>
      </c>
      <c r="G208" s="260"/>
      <c r="H208" s="247"/>
      <c r="I208" s="117"/>
      <c r="J208" s="118" t="s">
        <v>18</v>
      </c>
      <c r="K208" s="275">
        <f>SUM(K209)</f>
        <v>0</v>
      </c>
    </row>
    <row r="209" spans="1:11" hidden="1" x14ac:dyDescent="0.35">
      <c r="A209" s="103"/>
      <c r="B209" s="13" t="s">
        <v>11</v>
      </c>
      <c r="C209" s="18" t="s">
        <v>359</v>
      </c>
      <c r="D209" s="229"/>
      <c r="E209" s="170"/>
      <c r="F209" s="153" t="str">
        <f t="shared" si="17"/>
        <v/>
      </c>
      <c r="G209" s="256"/>
      <c r="H209" s="166">
        <f t="shared" si="19"/>
        <v>0</v>
      </c>
      <c r="I209" s="10" t="s">
        <v>52</v>
      </c>
      <c r="J209" s="11">
        <v>11.63</v>
      </c>
      <c r="K209" s="12">
        <f>G209*J209</f>
        <v>0</v>
      </c>
    </row>
    <row r="210" spans="1:11" ht="15.5" hidden="1" x14ac:dyDescent="0.35">
      <c r="A210" s="108" t="s">
        <v>360</v>
      </c>
      <c r="B210" s="108"/>
      <c r="C210" s="108"/>
      <c r="D210" s="223"/>
      <c r="E210" s="250"/>
      <c r="F210" s="165" t="str">
        <f t="shared" si="17"/>
        <v/>
      </c>
      <c r="G210" s="186"/>
      <c r="H210" s="247"/>
      <c r="I210" s="108"/>
      <c r="J210" s="106" t="s">
        <v>18</v>
      </c>
      <c r="K210" s="269">
        <f>SUM(K211:K212)</f>
        <v>0</v>
      </c>
    </row>
    <row r="211" spans="1:11" hidden="1" x14ac:dyDescent="0.35">
      <c r="A211" s="103"/>
      <c r="B211" s="12" t="s">
        <v>12</v>
      </c>
      <c r="C211" s="10" t="s">
        <v>70</v>
      </c>
      <c r="D211" s="152"/>
      <c r="E211" s="170"/>
      <c r="F211" s="153" t="str">
        <f t="shared" si="17"/>
        <v/>
      </c>
      <c r="G211" s="256"/>
      <c r="H211" s="166">
        <f t="shared" si="19"/>
        <v>0</v>
      </c>
      <c r="I211" s="10" t="s">
        <v>27</v>
      </c>
      <c r="J211" s="11">
        <v>20.7</v>
      </c>
      <c r="K211" s="12">
        <f>H211*J211</f>
        <v>0</v>
      </c>
    </row>
    <row r="212" spans="1:11" hidden="1" x14ac:dyDescent="0.35">
      <c r="A212" s="103"/>
      <c r="B212" s="12" t="s">
        <v>12</v>
      </c>
      <c r="C212" s="10" t="s">
        <v>71</v>
      </c>
      <c r="D212" s="152"/>
      <c r="E212" s="170"/>
      <c r="F212" s="153" t="str">
        <f t="shared" si="17"/>
        <v/>
      </c>
      <c r="G212" s="256"/>
      <c r="H212" s="166">
        <f t="shared" si="19"/>
        <v>0</v>
      </c>
      <c r="I212" s="10" t="s">
        <v>27</v>
      </c>
      <c r="J212" s="11">
        <v>13.7</v>
      </c>
      <c r="K212" s="12">
        <f>H212*J212</f>
        <v>0</v>
      </c>
    </row>
    <row r="213" spans="1:11" ht="15.5" hidden="1" x14ac:dyDescent="0.35">
      <c r="A213" s="108" t="s">
        <v>361</v>
      </c>
      <c r="B213" s="108"/>
      <c r="C213" s="108"/>
      <c r="D213" s="223"/>
      <c r="E213" s="250"/>
      <c r="F213" s="165" t="str">
        <f t="shared" si="17"/>
        <v/>
      </c>
      <c r="G213" s="186"/>
      <c r="H213" s="247"/>
      <c r="I213" s="108"/>
      <c r="J213" s="106" t="s">
        <v>18</v>
      </c>
      <c r="K213" s="269">
        <f>SUM(K214:K217)</f>
        <v>0</v>
      </c>
    </row>
    <row r="214" spans="1:11" hidden="1" x14ac:dyDescent="0.35">
      <c r="A214" s="103"/>
      <c r="B214" s="12" t="s">
        <v>10</v>
      </c>
      <c r="C214" s="10" t="s">
        <v>362</v>
      </c>
      <c r="D214" s="152"/>
      <c r="E214" s="170"/>
      <c r="F214" s="153" t="str">
        <f t="shared" si="17"/>
        <v/>
      </c>
      <c r="G214" s="256"/>
      <c r="H214" s="166">
        <f t="shared" si="19"/>
        <v>0</v>
      </c>
      <c r="I214" s="10" t="s">
        <v>20</v>
      </c>
      <c r="J214" s="11">
        <v>11.08</v>
      </c>
      <c r="K214" s="12">
        <f>H214*J214</f>
        <v>0</v>
      </c>
    </row>
    <row r="215" spans="1:11" hidden="1" x14ac:dyDescent="0.35">
      <c r="A215" s="103"/>
      <c r="B215" s="12" t="s">
        <v>10</v>
      </c>
      <c r="C215" s="10" t="s">
        <v>363</v>
      </c>
      <c r="D215" s="152"/>
      <c r="E215" s="170"/>
      <c r="F215" s="153" t="str">
        <f t="shared" si="17"/>
        <v/>
      </c>
      <c r="G215" s="256"/>
      <c r="H215" s="166">
        <f t="shared" si="19"/>
        <v>0</v>
      </c>
      <c r="I215" s="10" t="s">
        <v>27</v>
      </c>
      <c r="J215" s="11">
        <v>16.21</v>
      </c>
      <c r="K215" s="12">
        <f t="shared" ref="K215:K217" si="25">H215*J215</f>
        <v>0</v>
      </c>
    </row>
    <row r="216" spans="1:11" hidden="1" x14ac:dyDescent="0.35">
      <c r="A216" s="103"/>
      <c r="B216" s="12" t="s">
        <v>10</v>
      </c>
      <c r="C216" s="10" t="s">
        <v>364</v>
      </c>
      <c r="D216" s="152"/>
      <c r="E216" s="170"/>
      <c r="F216" s="153" t="str">
        <f t="shared" si="17"/>
        <v/>
      </c>
      <c r="G216" s="256"/>
      <c r="H216" s="166">
        <f t="shared" si="19"/>
        <v>0</v>
      </c>
      <c r="I216" s="10" t="s">
        <v>27</v>
      </c>
      <c r="J216" s="11">
        <v>19.350000000000001</v>
      </c>
      <c r="K216" s="12">
        <f t="shared" si="25"/>
        <v>0</v>
      </c>
    </row>
    <row r="217" spans="1:11" hidden="1" x14ac:dyDescent="0.35">
      <c r="A217" s="103"/>
      <c r="B217" s="12" t="s">
        <v>10</v>
      </c>
      <c r="C217" s="10" t="s">
        <v>365</v>
      </c>
      <c r="D217" s="152"/>
      <c r="E217" s="170"/>
      <c r="F217" s="153" t="str">
        <f t="shared" si="17"/>
        <v/>
      </c>
      <c r="G217" s="256"/>
      <c r="H217" s="166">
        <f t="shared" si="19"/>
        <v>0</v>
      </c>
      <c r="I217" s="10" t="s">
        <v>27</v>
      </c>
      <c r="J217" s="11">
        <v>19.809999999999999</v>
      </c>
      <c r="K217" s="12">
        <f t="shared" si="25"/>
        <v>0</v>
      </c>
    </row>
    <row r="218" spans="1:11" ht="15.5" hidden="1" x14ac:dyDescent="0.35">
      <c r="A218" s="108" t="s">
        <v>366</v>
      </c>
      <c r="B218" s="108"/>
      <c r="C218" s="108"/>
      <c r="D218" s="223"/>
      <c r="E218" s="170"/>
      <c r="F218" s="165" t="str">
        <f t="shared" si="17"/>
        <v/>
      </c>
      <c r="G218" s="186"/>
      <c r="H218" s="247"/>
      <c r="I218" s="108"/>
      <c r="J218" s="106" t="s">
        <v>18</v>
      </c>
      <c r="K218" s="269">
        <f>SUM(K219:K219)</f>
        <v>0</v>
      </c>
    </row>
    <row r="219" spans="1:11" hidden="1" x14ac:dyDescent="0.35">
      <c r="A219" s="103"/>
      <c r="B219" s="12" t="s">
        <v>28</v>
      </c>
      <c r="C219" s="10" t="s">
        <v>29</v>
      </c>
      <c r="D219" s="152"/>
      <c r="E219" s="170"/>
      <c r="F219" s="153" t="str">
        <f t="shared" si="17"/>
        <v/>
      </c>
      <c r="G219" s="256"/>
      <c r="H219" s="166">
        <f t="shared" si="19"/>
        <v>0</v>
      </c>
      <c r="I219" s="10" t="s">
        <v>54</v>
      </c>
      <c r="J219" s="11">
        <v>104</v>
      </c>
      <c r="K219" s="12">
        <f>+J219*G219</f>
        <v>0</v>
      </c>
    </row>
    <row r="220" spans="1:11" ht="15.5" x14ac:dyDescent="0.35">
      <c r="A220" s="108" t="s">
        <v>367</v>
      </c>
      <c r="B220" s="108"/>
      <c r="C220" s="108"/>
      <c r="D220" s="223"/>
      <c r="E220" s="250"/>
      <c r="F220" s="165" t="str">
        <f t="shared" ref="F220:F255" si="26">IF(E220="","",IF(D220-E220&gt;0,D220-E220,""))</f>
        <v/>
      </c>
      <c r="G220" s="186"/>
      <c r="H220" s="247"/>
      <c r="I220" s="108"/>
      <c r="J220" s="106" t="s">
        <v>18</v>
      </c>
      <c r="K220" s="269">
        <f>SUM(K224:K239)</f>
        <v>0</v>
      </c>
    </row>
    <row r="221" spans="1:11" x14ac:dyDescent="0.35">
      <c r="A221" s="103"/>
      <c r="B221" s="12" t="s">
        <v>9</v>
      </c>
      <c r="C221" s="10" t="s">
        <v>423</v>
      </c>
      <c r="D221" s="152"/>
      <c r="E221" s="170"/>
      <c r="F221" s="153" t="str">
        <f t="shared" si="26"/>
        <v/>
      </c>
      <c r="G221" s="256"/>
      <c r="H221" s="166">
        <f t="shared" si="19"/>
        <v>0</v>
      </c>
      <c r="I221" s="10" t="s">
        <v>20</v>
      </c>
      <c r="J221" s="11">
        <v>78</v>
      </c>
      <c r="K221" s="50">
        <f t="shared" ref="K221:K240" si="27">G221*J221</f>
        <v>0</v>
      </c>
    </row>
    <row r="222" spans="1:11" x14ac:dyDescent="0.35">
      <c r="A222" s="103"/>
      <c r="B222" s="12" t="s">
        <v>9</v>
      </c>
      <c r="C222" s="10" t="s">
        <v>424</v>
      </c>
      <c r="D222" s="152"/>
      <c r="E222" s="170"/>
      <c r="F222" s="153" t="str">
        <f t="shared" si="26"/>
        <v/>
      </c>
      <c r="G222" s="256"/>
      <c r="H222" s="166">
        <f t="shared" si="19"/>
        <v>0</v>
      </c>
      <c r="I222" s="10" t="s">
        <v>61</v>
      </c>
      <c r="J222" s="51">
        <v>107.12</v>
      </c>
      <c r="K222" s="50">
        <f t="shared" si="27"/>
        <v>0</v>
      </c>
    </row>
    <row r="223" spans="1:11" x14ac:dyDescent="0.35">
      <c r="A223" s="103"/>
      <c r="B223" s="12" t="s">
        <v>9</v>
      </c>
      <c r="C223" s="10" t="s">
        <v>369</v>
      </c>
      <c r="D223" s="152"/>
      <c r="E223" s="170"/>
      <c r="F223" s="153" t="str">
        <f t="shared" si="26"/>
        <v/>
      </c>
      <c r="G223" s="256"/>
      <c r="H223" s="166">
        <f t="shared" si="19"/>
        <v>0</v>
      </c>
      <c r="I223" s="10" t="s">
        <v>20</v>
      </c>
      <c r="J223" s="11">
        <v>0.04</v>
      </c>
      <c r="K223" s="50">
        <f t="shared" si="27"/>
        <v>0</v>
      </c>
    </row>
    <row r="224" spans="1:11" x14ac:dyDescent="0.35">
      <c r="A224" s="103"/>
      <c r="B224" s="12" t="s">
        <v>9</v>
      </c>
      <c r="C224" s="10" t="s">
        <v>370</v>
      </c>
      <c r="D224" s="152"/>
      <c r="E224" s="170"/>
      <c r="F224" s="153" t="str">
        <f t="shared" si="26"/>
        <v/>
      </c>
      <c r="G224" s="256"/>
      <c r="H224" s="166">
        <f t="shared" si="19"/>
        <v>0</v>
      </c>
      <c r="I224" s="10" t="s">
        <v>20</v>
      </c>
      <c r="J224" s="11">
        <v>7.0999999999999994E-2</v>
      </c>
      <c r="K224" s="233">
        <f>H224*J224</f>
        <v>0</v>
      </c>
    </row>
    <row r="225" spans="1:11" x14ac:dyDescent="0.35">
      <c r="A225" s="103"/>
      <c r="B225" s="12" t="s">
        <v>9</v>
      </c>
      <c r="C225" s="10" t="s">
        <v>411</v>
      </c>
      <c r="D225" s="152"/>
      <c r="E225" s="170"/>
      <c r="F225" s="153" t="str">
        <f t="shared" si="26"/>
        <v/>
      </c>
      <c r="G225" s="256"/>
      <c r="H225" s="166">
        <f t="shared" si="19"/>
        <v>0</v>
      </c>
      <c r="I225" s="10" t="s">
        <v>20</v>
      </c>
      <c r="J225" s="11">
        <v>1.97</v>
      </c>
      <c r="K225" s="233">
        <f>H225*J225</f>
        <v>0</v>
      </c>
    </row>
    <row r="226" spans="1:11" x14ac:dyDescent="0.35">
      <c r="A226" s="103"/>
      <c r="B226" s="12" t="s">
        <v>9</v>
      </c>
      <c r="C226" s="10" t="s">
        <v>371</v>
      </c>
      <c r="D226" s="152"/>
      <c r="E226" s="170"/>
      <c r="F226" s="153" t="str">
        <f t="shared" si="26"/>
        <v/>
      </c>
      <c r="G226" s="256"/>
      <c r="H226" s="166">
        <f t="shared" si="19"/>
        <v>0</v>
      </c>
      <c r="I226" s="10" t="s">
        <v>61</v>
      </c>
      <c r="J226" s="11">
        <v>163.80000000000001</v>
      </c>
      <c r="K226" s="233">
        <f t="shared" ref="K226:K239" si="28">H226*J226</f>
        <v>0</v>
      </c>
    </row>
    <row r="227" spans="1:11" x14ac:dyDescent="0.35">
      <c r="A227" s="103"/>
      <c r="B227" s="12" t="s">
        <v>9</v>
      </c>
      <c r="C227" s="10" t="s">
        <v>410</v>
      </c>
      <c r="D227" s="152"/>
      <c r="E227" s="170"/>
      <c r="F227" s="153" t="str">
        <f t="shared" si="26"/>
        <v/>
      </c>
      <c r="G227" s="256"/>
      <c r="H227" s="166">
        <f t="shared" si="19"/>
        <v>0</v>
      </c>
      <c r="I227" s="10" t="s">
        <v>61</v>
      </c>
      <c r="J227" s="11">
        <v>49.33</v>
      </c>
      <c r="K227" s="233">
        <f t="shared" si="28"/>
        <v>0</v>
      </c>
    </row>
    <row r="228" spans="1:11" x14ac:dyDescent="0.35">
      <c r="A228" s="103"/>
      <c r="B228" s="12" t="s">
        <v>9</v>
      </c>
      <c r="C228" s="10" t="s">
        <v>373</v>
      </c>
      <c r="D228" s="152"/>
      <c r="E228" s="170"/>
      <c r="F228" s="153" t="str">
        <f t="shared" si="26"/>
        <v/>
      </c>
      <c r="G228" s="256"/>
      <c r="H228" s="166">
        <f t="shared" si="19"/>
        <v>0</v>
      </c>
      <c r="I228" s="10" t="s">
        <v>61</v>
      </c>
      <c r="J228" s="11">
        <v>105.6</v>
      </c>
      <c r="K228" s="233">
        <f t="shared" si="28"/>
        <v>0</v>
      </c>
    </row>
    <row r="229" spans="1:11" x14ac:dyDescent="0.35">
      <c r="A229" s="103"/>
      <c r="B229" s="12" t="s">
        <v>9</v>
      </c>
      <c r="C229" s="10" t="s">
        <v>374</v>
      </c>
      <c r="D229" s="152"/>
      <c r="E229" s="170"/>
      <c r="F229" s="153" t="str">
        <f t="shared" si="26"/>
        <v/>
      </c>
      <c r="G229" s="256"/>
      <c r="H229" s="166">
        <f t="shared" si="19"/>
        <v>0</v>
      </c>
      <c r="I229" s="10" t="s">
        <v>61</v>
      </c>
      <c r="J229" s="11">
        <v>114.75</v>
      </c>
      <c r="K229" s="233">
        <f t="shared" si="28"/>
        <v>0</v>
      </c>
    </row>
    <row r="230" spans="1:11" x14ac:dyDescent="0.35">
      <c r="A230" s="103"/>
      <c r="B230" s="12" t="s">
        <v>9</v>
      </c>
      <c r="C230" s="10" t="s">
        <v>375</v>
      </c>
      <c r="D230" s="152"/>
      <c r="E230" s="170"/>
      <c r="F230" s="153" t="str">
        <f t="shared" si="26"/>
        <v/>
      </c>
      <c r="G230" s="256"/>
      <c r="H230" s="166">
        <f t="shared" si="19"/>
        <v>0</v>
      </c>
      <c r="I230" s="10" t="s">
        <v>61</v>
      </c>
      <c r="J230" s="11">
        <v>105.55</v>
      </c>
      <c r="K230" s="233">
        <f t="shared" si="28"/>
        <v>0</v>
      </c>
    </row>
    <row r="231" spans="1:11" x14ac:dyDescent="0.35">
      <c r="A231" s="103"/>
      <c r="B231" s="12" t="s">
        <v>9</v>
      </c>
      <c r="C231" s="10" t="s">
        <v>376</v>
      </c>
      <c r="D231" s="152">
        <v>1</v>
      </c>
      <c r="E231" s="170">
        <v>0</v>
      </c>
      <c r="F231" s="153">
        <f t="shared" si="26"/>
        <v>1</v>
      </c>
      <c r="G231" s="256">
        <v>1</v>
      </c>
      <c r="H231" s="166">
        <f t="shared" si="19"/>
        <v>0</v>
      </c>
      <c r="I231" s="10" t="s">
        <v>61</v>
      </c>
      <c r="J231" s="11">
        <v>33.25</v>
      </c>
      <c r="K231" s="233">
        <f t="shared" si="28"/>
        <v>0</v>
      </c>
    </row>
    <row r="232" spans="1:11" x14ac:dyDescent="0.35">
      <c r="A232" s="103"/>
      <c r="B232" s="12" t="s">
        <v>9</v>
      </c>
      <c r="C232" s="10" t="s">
        <v>377</v>
      </c>
      <c r="D232" s="152"/>
      <c r="E232" s="170"/>
      <c r="F232" s="153" t="str">
        <f t="shared" si="26"/>
        <v/>
      </c>
      <c r="G232" s="256"/>
      <c r="H232" s="166">
        <f t="shared" si="19"/>
        <v>0</v>
      </c>
      <c r="I232" s="10" t="s">
        <v>20</v>
      </c>
      <c r="J232" s="11">
        <v>0.28999999999999998</v>
      </c>
      <c r="K232" s="233">
        <f t="shared" si="28"/>
        <v>0</v>
      </c>
    </row>
    <row r="233" spans="1:11" x14ac:dyDescent="0.35">
      <c r="A233" s="103"/>
      <c r="B233" s="12" t="s">
        <v>9</v>
      </c>
      <c r="C233" s="10" t="s">
        <v>378</v>
      </c>
      <c r="D233" s="152"/>
      <c r="E233" s="170"/>
      <c r="F233" s="153" t="str">
        <f t="shared" si="26"/>
        <v/>
      </c>
      <c r="G233" s="256"/>
      <c r="H233" s="166">
        <f t="shared" si="19"/>
        <v>0</v>
      </c>
      <c r="I233" s="10" t="s">
        <v>61</v>
      </c>
      <c r="J233" s="35">
        <v>37.85</v>
      </c>
      <c r="K233" s="233">
        <f t="shared" si="28"/>
        <v>0</v>
      </c>
    </row>
    <row r="234" spans="1:11" x14ac:dyDescent="0.35">
      <c r="A234" s="103"/>
      <c r="B234" s="12" t="s">
        <v>9</v>
      </c>
      <c r="C234" s="10" t="s">
        <v>425</v>
      </c>
      <c r="D234" s="152">
        <v>1</v>
      </c>
      <c r="E234" s="170">
        <v>0</v>
      </c>
      <c r="F234" s="153">
        <f t="shared" si="26"/>
        <v>1</v>
      </c>
      <c r="G234" s="256">
        <v>1</v>
      </c>
      <c r="H234" s="166">
        <f t="shared" si="19"/>
        <v>0</v>
      </c>
      <c r="I234" s="10" t="s">
        <v>61</v>
      </c>
      <c r="J234" s="35">
        <v>111.47</v>
      </c>
      <c r="K234" s="233">
        <f t="shared" si="28"/>
        <v>0</v>
      </c>
    </row>
    <row r="235" spans="1:11" x14ac:dyDescent="0.35">
      <c r="A235" s="103"/>
      <c r="B235" s="12" t="s">
        <v>9</v>
      </c>
      <c r="C235" s="10" t="s">
        <v>379</v>
      </c>
      <c r="D235" s="152"/>
      <c r="E235" s="170"/>
      <c r="F235" s="153" t="str">
        <f t="shared" si="26"/>
        <v/>
      </c>
      <c r="G235" s="256"/>
      <c r="H235" s="166">
        <f t="shared" si="19"/>
        <v>0</v>
      </c>
      <c r="I235" s="10" t="s">
        <v>61</v>
      </c>
      <c r="J235" s="35">
        <v>174.97</v>
      </c>
      <c r="K235" s="233">
        <f t="shared" si="28"/>
        <v>0</v>
      </c>
    </row>
    <row r="236" spans="1:11" x14ac:dyDescent="0.35">
      <c r="A236" s="103"/>
      <c r="B236" s="12" t="s">
        <v>9</v>
      </c>
      <c r="C236" s="10" t="s">
        <v>380</v>
      </c>
      <c r="D236" s="152"/>
      <c r="E236" s="170"/>
      <c r="F236" s="153" t="str">
        <f t="shared" si="26"/>
        <v/>
      </c>
      <c r="G236" s="256"/>
      <c r="H236" s="166">
        <f t="shared" si="19"/>
        <v>0</v>
      </c>
      <c r="I236" s="10" t="s">
        <v>61</v>
      </c>
      <c r="J236" s="35">
        <v>44.93</v>
      </c>
      <c r="K236" s="233">
        <f t="shared" si="28"/>
        <v>0</v>
      </c>
    </row>
    <row r="237" spans="1:11" x14ac:dyDescent="0.35">
      <c r="A237" s="103"/>
      <c r="B237" s="12" t="s">
        <v>9</v>
      </c>
      <c r="C237" s="10" t="s">
        <v>426</v>
      </c>
      <c r="D237" s="152">
        <v>1</v>
      </c>
      <c r="E237" s="170">
        <v>0</v>
      </c>
      <c r="F237" s="153">
        <f t="shared" si="26"/>
        <v>1</v>
      </c>
      <c r="G237" s="256">
        <v>1</v>
      </c>
      <c r="H237" s="166">
        <f t="shared" si="19"/>
        <v>0</v>
      </c>
      <c r="I237" s="10" t="s">
        <v>61</v>
      </c>
      <c r="J237" s="35"/>
      <c r="K237" s="233">
        <f t="shared" si="28"/>
        <v>0</v>
      </c>
    </row>
    <row r="238" spans="1:11" x14ac:dyDescent="0.35">
      <c r="A238" s="103"/>
      <c r="B238" s="12" t="s">
        <v>9</v>
      </c>
      <c r="C238" s="10" t="s">
        <v>427</v>
      </c>
      <c r="D238" s="152"/>
      <c r="E238" s="170"/>
      <c r="F238" s="153" t="str">
        <f t="shared" si="26"/>
        <v/>
      </c>
      <c r="G238" s="256"/>
      <c r="H238" s="166">
        <f t="shared" si="19"/>
        <v>0</v>
      </c>
      <c r="I238" s="10" t="s">
        <v>61</v>
      </c>
      <c r="J238" s="35"/>
      <c r="K238" s="233">
        <f>H238*J238</f>
        <v>0</v>
      </c>
    </row>
    <row r="239" spans="1:11" x14ac:dyDescent="0.35">
      <c r="A239" s="103"/>
      <c r="B239" s="12" t="s">
        <v>9</v>
      </c>
      <c r="C239" s="10" t="s">
        <v>428</v>
      </c>
      <c r="D239" s="152"/>
      <c r="E239" s="170"/>
      <c r="F239" s="153" t="str">
        <f t="shared" si="26"/>
        <v/>
      </c>
      <c r="G239" s="256"/>
      <c r="H239" s="166">
        <f t="shared" si="19"/>
        <v>0</v>
      </c>
      <c r="I239" s="10" t="s">
        <v>61</v>
      </c>
      <c r="J239" s="35"/>
      <c r="K239" s="233">
        <f t="shared" si="28"/>
        <v>0</v>
      </c>
    </row>
    <row r="240" spans="1:11" x14ac:dyDescent="0.35">
      <c r="A240" s="103"/>
      <c r="B240" s="12" t="s">
        <v>9</v>
      </c>
      <c r="C240" s="10" t="s">
        <v>381</v>
      </c>
      <c r="D240" s="152"/>
      <c r="E240" s="170"/>
      <c r="F240" s="153" t="str">
        <f t="shared" si="26"/>
        <v/>
      </c>
      <c r="G240" s="256"/>
      <c r="H240" s="166">
        <f t="shared" si="19"/>
        <v>0</v>
      </c>
      <c r="I240" s="10" t="s">
        <v>61</v>
      </c>
      <c r="J240" s="35">
        <v>0.02</v>
      </c>
      <c r="K240" s="50">
        <f t="shared" si="27"/>
        <v>0</v>
      </c>
    </row>
    <row r="241" spans="1:18" ht="15.5" x14ac:dyDescent="0.35">
      <c r="A241" s="108" t="s">
        <v>382</v>
      </c>
      <c r="B241" s="108"/>
      <c r="C241" s="108"/>
      <c r="D241" s="223"/>
      <c r="E241" s="250"/>
      <c r="F241" s="165" t="str">
        <f t="shared" si="26"/>
        <v/>
      </c>
      <c r="G241" s="186"/>
      <c r="H241" s="247"/>
      <c r="I241" s="108">
        <v>29.2</v>
      </c>
      <c r="J241" s="106" t="s">
        <v>18</v>
      </c>
      <c r="K241" s="269">
        <f>SUM(K242:K252)</f>
        <v>26.46</v>
      </c>
    </row>
    <row r="242" spans="1:18" hidden="1" x14ac:dyDescent="0.35">
      <c r="A242" s="103"/>
      <c r="B242" s="12" t="s">
        <v>31</v>
      </c>
      <c r="C242" s="10" t="s">
        <v>383</v>
      </c>
      <c r="D242" s="152"/>
      <c r="E242" s="170"/>
      <c r="F242" s="153" t="str">
        <f t="shared" si="26"/>
        <v/>
      </c>
      <c r="G242" s="256"/>
      <c r="H242" s="166">
        <f t="shared" ref="H242:H255" si="29">IF(ISNUMBER(E242),E242,0)+IF(ISNUMBER(F242),F242,0)-IF(ISNUMBER(G242),G242,0)</f>
        <v>0</v>
      </c>
      <c r="I242" s="10">
        <v>19.03</v>
      </c>
      <c r="J242" s="11">
        <v>5.5</v>
      </c>
      <c r="K242" s="12">
        <f t="shared" ref="K242" si="30">G242*J242</f>
        <v>0</v>
      </c>
    </row>
    <row r="243" spans="1:18" x14ac:dyDescent="0.35">
      <c r="A243" s="103"/>
      <c r="B243" s="12" t="s">
        <v>31</v>
      </c>
      <c r="C243" s="10" t="s">
        <v>39</v>
      </c>
      <c r="D243" s="152">
        <v>1</v>
      </c>
      <c r="E243" s="170">
        <v>1</v>
      </c>
      <c r="F243" s="153" t="str">
        <f t="shared" si="26"/>
        <v/>
      </c>
      <c r="G243" s="256"/>
      <c r="H243" s="166">
        <f t="shared" si="29"/>
        <v>1</v>
      </c>
      <c r="I243" s="10">
        <v>8.4600000000000009</v>
      </c>
      <c r="J243" s="11">
        <v>4.55</v>
      </c>
      <c r="K243" s="12">
        <f>H243*J243</f>
        <v>4.55</v>
      </c>
      <c r="R243" s="87"/>
    </row>
    <row r="244" spans="1:18" x14ac:dyDescent="0.35">
      <c r="A244" s="103"/>
      <c r="B244" s="12" t="s">
        <v>31</v>
      </c>
      <c r="C244" s="10" t="s">
        <v>422</v>
      </c>
      <c r="D244" s="152">
        <v>1</v>
      </c>
      <c r="E244" s="170">
        <v>1</v>
      </c>
      <c r="F244" s="153" t="str">
        <f t="shared" si="26"/>
        <v/>
      </c>
      <c r="G244" s="256"/>
      <c r="H244" s="166">
        <f t="shared" si="29"/>
        <v>1</v>
      </c>
      <c r="I244" s="10" t="s">
        <v>20</v>
      </c>
      <c r="J244" s="11">
        <v>3.7</v>
      </c>
      <c r="K244" s="12">
        <f t="shared" ref="K244:K255" si="31">H244*J244</f>
        <v>3.7</v>
      </c>
    </row>
    <row r="245" spans="1:18" x14ac:dyDescent="0.35">
      <c r="A245" s="103"/>
      <c r="B245" s="12" t="s">
        <v>31</v>
      </c>
      <c r="C245" s="10" t="s">
        <v>67</v>
      </c>
      <c r="D245" s="152">
        <v>1</v>
      </c>
      <c r="E245" s="170">
        <v>1</v>
      </c>
      <c r="F245" s="153" t="str">
        <f t="shared" si="26"/>
        <v/>
      </c>
      <c r="G245" s="256"/>
      <c r="H245" s="166">
        <f t="shared" si="29"/>
        <v>1</v>
      </c>
      <c r="I245" s="10" t="s">
        <v>20</v>
      </c>
      <c r="J245" s="11">
        <v>15.56</v>
      </c>
      <c r="K245" s="12">
        <f t="shared" si="31"/>
        <v>15.56</v>
      </c>
    </row>
    <row r="246" spans="1:18" hidden="1" x14ac:dyDescent="0.35">
      <c r="A246" s="103"/>
      <c r="B246" s="12" t="s">
        <v>31</v>
      </c>
      <c r="C246" s="10" t="s">
        <v>384</v>
      </c>
      <c r="D246" s="152"/>
      <c r="E246" s="170"/>
      <c r="F246" s="153" t="str">
        <f t="shared" si="26"/>
        <v/>
      </c>
      <c r="G246" s="256"/>
      <c r="H246" s="166">
        <f t="shared" si="29"/>
        <v>0</v>
      </c>
      <c r="I246" s="10" t="s">
        <v>20</v>
      </c>
      <c r="J246" s="11">
        <v>0.8</v>
      </c>
      <c r="K246" s="12">
        <f t="shared" si="31"/>
        <v>0</v>
      </c>
    </row>
    <row r="247" spans="1:18" hidden="1" x14ac:dyDescent="0.35">
      <c r="A247" s="103"/>
      <c r="B247" s="12" t="s">
        <v>31</v>
      </c>
      <c r="C247" s="10" t="s">
        <v>385</v>
      </c>
      <c r="D247" s="152"/>
      <c r="E247" s="170"/>
      <c r="F247" s="153" t="str">
        <f t="shared" si="26"/>
        <v/>
      </c>
      <c r="G247" s="256"/>
      <c r="H247" s="166">
        <f t="shared" si="29"/>
        <v>0</v>
      </c>
      <c r="I247" s="10" t="s">
        <v>20</v>
      </c>
      <c r="J247" s="11">
        <v>1.83</v>
      </c>
      <c r="K247" s="12">
        <f t="shared" si="31"/>
        <v>0</v>
      </c>
    </row>
    <row r="248" spans="1:18" x14ac:dyDescent="0.35">
      <c r="A248" s="103"/>
      <c r="B248" s="12" t="s">
        <v>31</v>
      </c>
      <c r="C248" s="10" t="s">
        <v>386</v>
      </c>
      <c r="D248" s="152">
        <v>1</v>
      </c>
      <c r="E248" s="170">
        <v>1</v>
      </c>
      <c r="F248" s="153" t="str">
        <f t="shared" si="26"/>
        <v/>
      </c>
      <c r="G248" s="256"/>
      <c r="H248" s="166">
        <f t="shared" si="29"/>
        <v>1</v>
      </c>
      <c r="I248" s="10" t="s">
        <v>20</v>
      </c>
      <c r="J248" s="11">
        <v>2.65</v>
      </c>
      <c r="K248" s="12">
        <f t="shared" si="31"/>
        <v>2.65</v>
      </c>
    </row>
    <row r="249" spans="1:18" x14ac:dyDescent="0.35">
      <c r="A249" s="103"/>
      <c r="B249" s="12" t="s">
        <v>31</v>
      </c>
      <c r="C249" s="10" t="s">
        <v>65</v>
      </c>
      <c r="D249" s="152">
        <v>1</v>
      </c>
      <c r="E249" s="170"/>
      <c r="F249" s="153" t="str">
        <f t="shared" si="26"/>
        <v/>
      </c>
      <c r="G249" s="256"/>
      <c r="H249" s="166">
        <f t="shared" si="29"/>
        <v>0</v>
      </c>
      <c r="I249" s="10" t="s">
        <v>20</v>
      </c>
      <c r="J249" s="11">
        <v>13.43</v>
      </c>
      <c r="K249" s="12">
        <f t="shared" si="31"/>
        <v>0</v>
      </c>
    </row>
    <row r="250" spans="1:18" hidden="1" x14ac:dyDescent="0.35">
      <c r="A250" s="103"/>
      <c r="B250" s="12" t="s">
        <v>31</v>
      </c>
      <c r="C250" s="10" t="s">
        <v>66</v>
      </c>
      <c r="D250" s="152"/>
      <c r="E250" s="170"/>
      <c r="F250" s="153" t="str">
        <f t="shared" si="26"/>
        <v/>
      </c>
      <c r="G250" s="256"/>
      <c r="H250" s="166">
        <f t="shared" si="29"/>
        <v>0</v>
      </c>
      <c r="I250" s="10" t="s">
        <v>20</v>
      </c>
      <c r="J250" s="11">
        <v>75.38</v>
      </c>
      <c r="K250" s="12">
        <f t="shared" si="31"/>
        <v>0</v>
      </c>
    </row>
    <row r="251" spans="1:18" x14ac:dyDescent="0.35">
      <c r="A251" s="103"/>
      <c r="B251" s="12" t="s">
        <v>31</v>
      </c>
      <c r="C251" s="10" t="s">
        <v>412</v>
      </c>
      <c r="D251" s="152">
        <v>1</v>
      </c>
      <c r="E251" s="170"/>
      <c r="F251" s="153" t="str">
        <f t="shared" si="26"/>
        <v/>
      </c>
      <c r="G251" s="256"/>
      <c r="H251" s="166">
        <f t="shared" si="29"/>
        <v>0</v>
      </c>
      <c r="I251" s="10" t="s">
        <v>20</v>
      </c>
      <c r="J251" s="11">
        <v>8.43</v>
      </c>
      <c r="K251" s="12">
        <f t="shared" si="31"/>
        <v>0</v>
      </c>
    </row>
    <row r="252" spans="1:18" x14ac:dyDescent="0.35">
      <c r="A252" s="103"/>
      <c r="B252" s="12" t="s">
        <v>31</v>
      </c>
      <c r="C252" s="10" t="s">
        <v>69</v>
      </c>
      <c r="D252" s="152">
        <v>1</v>
      </c>
      <c r="E252" s="170"/>
      <c r="F252" s="153" t="str">
        <f t="shared" si="26"/>
        <v/>
      </c>
      <c r="G252" s="256"/>
      <c r="H252" s="166">
        <f t="shared" si="29"/>
        <v>0</v>
      </c>
      <c r="I252" s="10" t="s">
        <v>63</v>
      </c>
      <c r="J252" s="11">
        <v>3.5</v>
      </c>
      <c r="K252" s="12">
        <f t="shared" si="31"/>
        <v>0</v>
      </c>
    </row>
    <row r="253" spans="1:18" ht="15.5" hidden="1" x14ac:dyDescent="0.35">
      <c r="A253" s="108" t="s">
        <v>57</v>
      </c>
      <c r="B253" s="108"/>
      <c r="C253" s="108"/>
      <c r="D253" s="111"/>
      <c r="E253" s="162"/>
      <c r="F253" s="165" t="str">
        <f t="shared" si="26"/>
        <v/>
      </c>
      <c r="G253" s="186"/>
      <c r="H253" s="247"/>
      <c r="I253" s="108"/>
      <c r="J253" s="106" t="s">
        <v>18</v>
      </c>
      <c r="K253" s="270">
        <f>K254+K255</f>
        <v>0</v>
      </c>
    </row>
    <row r="254" spans="1:18" hidden="1" x14ac:dyDescent="0.35">
      <c r="A254" s="103"/>
      <c r="B254" s="12" t="s">
        <v>56</v>
      </c>
      <c r="C254" s="10" t="s">
        <v>58</v>
      </c>
      <c r="D254" s="135"/>
      <c r="E254" s="187"/>
      <c r="F254" s="153" t="str">
        <f t="shared" si="26"/>
        <v/>
      </c>
      <c r="G254" s="256"/>
      <c r="H254" s="166">
        <f t="shared" si="29"/>
        <v>0</v>
      </c>
      <c r="I254" s="10" t="s">
        <v>20</v>
      </c>
      <c r="J254" s="11">
        <v>54.05</v>
      </c>
      <c r="K254" s="12">
        <f t="shared" si="31"/>
        <v>0</v>
      </c>
    </row>
    <row r="255" spans="1:18" hidden="1" x14ac:dyDescent="0.35">
      <c r="A255" s="103"/>
      <c r="B255" s="12" t="s">
        <v>56</v>
      </c>
      <c r="C255" s="10" t="s">
        <v>388</v>
      </c>
      <c r="D255" s="135"/>
      <c r="E255" s="187"/>
      <c r="F255" s="153" t="str">
        <f t="shared" si="26"/>
        <v/>
      </c>
      <c r="G255" s="256"/>
      <c r="H255" s="166">
        <f t="shared" si="29"/>
        <v>0</v>
      </c>
      <c r="I255" s="10" t="s">
        <v>20</v>
      </c>
      <c r="J255" s="11">
        <v>0</v>
      </c>
      <c r="K255" s="12">
        <f t="shared" si="31"/>
        <v>0</v>
      </c>
    </row>
  </sheetData>
  <mergeCells count="2">
    <mergeCell ref="B1:C1"/>
    <mergeCell ref="B2:C2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4E246-6366-431A-826D-BF9C65136267}">
  <sheetPr codeName="Feuil41">
    <tabColor rgb="FFFF5050"/>
  </sheetPr>
  <dimension ref="A1:R255"/>
  <sheetViews>
    <sheetView topLeftCell="B189" zoomScale="112" zoomScaleNormal="112" workbookViewId="0">
      <selection activeCell="M244" sqref="M244"/>
    </sheetView>
  </sheetViews>
  <sheetFormatPr baseColWidth="10" defaultColWidth="10.7265625" defaultRowHeight="14.5" x14ac:dyDescent="0.35"/>
  <cols>
    <col min="1" max="1" width="2.81640625" customWidth="1"/>
    <col min="2" max="2" width="30.1796875" bestFit="1" customWidth="1"/>
    <col min="3" max="3" width="44.54296875" bestFit="1" customWidth="1"/>
    <col min="4" max="4" width="14.26953125" style="13" bestFit="1" customWidth="1"/>
    <col min="5" max="5" width="17.1796875" style="34" bestFit="1" customWidth="1"/>
    <col min="6" max="6" width="17" bestFit="1" customWidth="1"/>
    <col min="7" max="7" width="15.26953125" style="253" bestFit="1" customWidth="1"/>
    <col min="8" max="8" width="10.26953125" style="16" customWidth="1"/>
    <col min="9" max="9" width="6.81640625" bestFit="1" customWidth="1"/>
    <col min="10" max="10" width="10.26953125" customWidth="1"/>
    <col min="11" max="11" width="19.54296875" bestFit="1" customWidth="1"/>
  </cols>
  <sheetData>
    <row r="1" spans="2:6" ht="15" thickBot="1" x14ac:dyDescent="0.4">
      <c r="B1" s="321" t="s">
        <v>198</v>
      </c>
      <c r="C1" s="322"/>
      <c r="E1" s="154"/>
      <c r="F1" s="89"/>
    </row>
    <row r="2" spans="2:6" ht="15" thickBot="1" x14ac:dyDescent="0.4">
      <c r="B2" s="319"/>
      <c r="C2" s="320"/>
      <c r="E2" s="155"/>
      <c r="F2" s="90"/>
    </row>
    <row r="3" spans="2:6" x14ac:dyDescent="0.35">
      <c r="B3" s="75"/>
      <c r="C3" s="75"/>
      <c r="E3" s="156"/>
      <c r="F3" s="75"/>
    </row>
    <row r="4" spans="2:6" ht="15.5" x14ac:dyDescent="0.35">
      <c r="B4" s="70" t="s">
        <v>0</v>
      </c>
      <c r="C4" s="70" t="s">
        <v>1</v>
      </c>
      <c r="E4" s="157"/>
      <c r="F4" s="91"/>
    </row>
    <row r="5" spans="2:6" x14ac:dyDescent="0.35">
      <c r="B5" s="71" t="s">
        <v>2</v>
      </c>
      <c r="C5" s="72">
        <f>K23</f>
        <v>809.95</v>
      </c>
      <c r="E5" s="156"/>
      <c r="F5" s="75"/>
    </row>
    <row r="6" spans="2:6" x14ac:dyDescent="0.35">
      <c r="B6" s="71" t="s">
        <v>7</v>
      </c>
      <c r="C6" s="72">
        <f>K41</f>
        <v>0</v>
      </c>
      <c r="E6" s="156"/>
      <c r="F6" s="75"/>
    </row>
    <row r="7" spans="2:6" x14ac:dyDescent="0.35">
      <c r="B7" s="71" t="s">
        <v>13</v>
      </c>
      <c r="C7" s="72">
        <f>K50</f>
        <v>320.5</v>
      </c>
      <c r="E7" s="156"/>
      <c r="F7" s="75"/>
    </row>
    <row r="8" spans="2:6" x14ac:dyDescent="0.35">
      <c r="B8" s="71" t="s">
        <v>3</v>
      </c>
      <c r="C8" s="72">
        <f>K78</f>
        <v>0</v>
      </c>
      <c r="E8" s="156"/>
      <c r="F8" s="75"/>
    </row>
    <row r="9" spans="2:6" x14ac:dyDescent="0.35">
      <c r="B9" s="71" t="s">
        <v>4</v>
      </c>
      <c r="C9" s="72">
        <f>K122</f>
        <v>422.21000000000004</v>
      </c>
      <c r="E9" s="156"/>
      <c r="F9" s="75"/>
    </row>
    <row r="10" spans="2:6" x14ac:dyDescent="0.35">
      <c r="B10" s="71" t="s">
        <v>199</v>
      </c>
      <c r="C10" s="72">
        <f>K176</f>
        <v>0</v>
      </c>
      <c r="E10" s="156"/>
      <c r="F10" s="75"/>
    </row>
    <row r="11" spans="2:6" x14ac:dyDescent="0.35">
      <c r="B11" s="71" t="s">
        <v>200</v>
      </c>
      <c r="C11" s="72">
        <f>K187</f>
        <v>237.83999999999997</v>
      </c>
      <c r="E11" s="156"/>
      <c r="F11" s="75"/>
    </row>
    <row r="12" spans="2:6" x14ac:dyDescent="0.35">
      <c r="B12" s="71" t="s">
        <v>201</v>
      </c>
      <c r="C12" s="72">
        <f>K193</f>
        <v>0</v>
      </c>
      <c r="E12" s="156"/>
      <c r="F12" s="75"/>
    </row>
    <row r="13" spans="2:6" x14ac:dyDescent="0.35">
      <c r="B13" s="71" t="s">
        <v>202</v>
      </c>
      <c r="C13" s="72">
        <f>K195</f>
        <v>0</v>
      </c>
      <c r="E13" s="156"/>
      <c r="F13" s="75"/>
    </row>
    <row r="14" spans="2:6" x14ac:dyDescent="0.35">
      <c r="B14" s="71" t="s">
        <v>203</v>
      </c>
      <c r="C14" s="72">
        <f>K208</f>
        <v>0</v>
      </c>
      <c r="E14" s="285"/>
      <c r="F14" s="75"/>
    </row>
    <row r="15" spans="2:6" x14ac:dyDescent="0.35">
      <c r="B15" s="71" t="s">
        <v>416</v>
      </c>
      <c r="C15" s="72">
        <f>K213</f>
        <v>0</v>
      </c>
      <c r="E15" s="156"/>
      <c r="F15" s="75"/>
    </row>
    <row r="16" spans="2:6" x14ac:dyDescent="0.35">
      <c r="B16" s="71" t="s">
        <v>204</v>
      </c>
      <c r="C16" s="72">
        <f>K218</f>
        <v>0</v>
      </c>
      <c r="E16" s="156"/>
      <c r="F16" s="75"/>
    </row>
    <row r="17" spans="1:17" x14ac:dyDescent="0.35">
      <c r="B17" s="71" t="s">
        <v>9</v>
      </c>
      <c r="C17" s="72">
        <f>K220</f>
        <v>111.47</v>
      </c>
      <c r="E17" s="156"/>
      <c r="F17" s="75"/>
    </row>
    <row r="18" spans="1:17" x14ac:dyDescent="0.35">
      <c r="B18" s="71" t="s">
        <v>205</v>
      </c>
      <c r="C18" s="72">
        <f>K241</f>
        <v>46.89</v>
      </c>
      <c r="E18" s="156"/>
      <c r="F18" s="75"/>
    </row>
    <row r="19" spans="1:17" x14ac:dyDescent="0.35">
      <c r="B19" s="71" t="s">
        <v>56</v>
      </c>
      <c r="C19" s="72">
        <f>K253</f>
        <v>0</v>
      </c>
      <c r="E19" s="156"/>
      <c r="F19" s="75"/>
    </row>
    <row r="20" spans="1:17" x14ac:dyDescent="0.35">
      <c r="B20" s="73" t="s">
        <v>14</v>
      </c>
      <c r="C20" s="74">
        <f>C5+C6+C7+C8+C9+C10+C11+C12+C13+C14+C15+C16+C17+C18+C19</f>
        <v>1948.8600000000001</v>
      </c>
      <c r="E20" s="248"/>
      <c r="F20" s="243"/>
    </row>
    <row r="21" spans="1:17" ht="18.5" x14ac:dyDescent="0.45">
      <c r="A21" s="76" t="s">
        <v>397</v>
      </c>
      <c r="B21" s="76"/>
      <c r="C21" s="76"/>
      <c r="D21" s="234"/>
      <c r="E21" s="160"/>
      <c r="F21" s="76"/>
      <c r="G21" s="254"/>
      <c r="H21" s="69"/>
      <c r="I21" s="76"/>
      <c r="J21" s="76"/>
      <c r="K21" s="76"/>
    </row>
    <row r="22" spans="1:17" x14ac:dyDescent="0.35">
      <c r="A22" s="129"/>
      <c r="B22" s="129" t="s">
        <v>15</v>
      </c>
      <c r="C22" s="129" t="s">
        <v>16</v>
      </c>
      <c r="D22" s="235" t="s">
        <v>398</v>
      </c>
      <c r="E22" s="185" t="s">
        <v>404</v>
      </c>
      <c r="F22" s="130" t="s">
        <v>399</v>
      </c>
      <c r="G22" s="255"/>
      <c r="H22" s="131" t="s">
        <v>408</v>
      </c>
      <c r="I22" s="129" t="s">
        <v>406</v>
      </c>
      <c r="J22" s="133" t="s">
        <v>45</v>
      </c>
      <c r="K22" s="129" t="s">
        <v>1</v>
      </c>
    </row>
    <row r="23" spans="1:17" ht="15.5" x14ac:dyDescent="0.35">
      <c r="A23" s="108" t="s">
        <v>208</v>
      </c>
      <c r="B23" s="108"/>
      <c r="C23" s="108"/>
      <c r="D23" s="111"/>
      <c r="E23" s="286" t="s">
        <v>421</v>
      </c>
      <c r="F23" s="108"/>
      <c r="G23" s="286"/>
      <c r="H23" s="109"/>
      <c r="I23" s="108"/>
      <c r="J23" s="110" t="s">
        <v>18</v>
      </c>
      <c r="K23" s="269">
        <f>SUM(K24:K40)</f>
        <v>809.95</v>
      </c>
    </row>
    <row r="24" spans="1:17" x14ac:dyDescent="0.35">
      <c r="A24" s="103"/>
      <c r="B24" s="7" t="s">
        <v>2</v>
      </c>
      <c r="C24" s="14" t="s">
        <v>19</v>
      </c>
      <c r="D24" s="152"/>
      <c r="E24" s="170">
        <v>1</v>
      </c>
      <c r="F24" s="153" t="str">
        <f t="shared" ref="F24:F88" si="0">IF(E24="","",IF(D24-E24&gt;0,D24-E24,""))</f>
        <v/>
      </c>
      <c r="G24" s="256"/>
      <c r="H24" s="166">
        <f t="shared" ref="H24:H45" si="1">IF(ISNUMBER(E24),E24,0)+IF(ISNUMBER(F24),F24,0)-IF(ISNUMBER(G24),G24,0)</f>
        <v>1</v>
      </c>
      <c r="I24" s="10" t="s">
        <v>20</v>
      </c>
      <c r="J24" s="11">
        <v>55.95</v>
      </c>
      <c r="K24" s="12">
        <f>H24*J24</f>
        <v>55.95</v>
      </c>
    </row>
    <row r="25" spans="1:17" hidden="1" x14ac:dyDescent="0.35">
      <c r="A25" s="103"/>
      <c r="B25" s="7" t="s">
        <v>2</v>
      </c>
      <c r="C25" s="14" t="s">
        <v>209</v>
      </c>
      <c r="D25" s="152"/>
      <c r="E25" s="170"/>
      <c r="F25" s="153" t="str">
        <f t="shared" si="0"/>
        <v/>
      </c>
      <c r="G25" s="256"/>
      <c r="H25" s="166">
        <f t="shared" si="1"/>
        <v>0</v>
      </c>
      <c r="I25" s="10" t="s">
        <v>20</v>
      </c>
      <c r="J25" s="11">
        <v>173.1</v>
      </c>
      <c r="K25" s="12">
        <f>H25*J25</f>
        <v>0</v>
      </c>
    </row>
    <row r="26" spans="1:17" x14ac:dyDescent="0.35">
      <c r="A26" s="103"/>
      <c r="B26" s="12" t="s">
        <v>2</v>
      </c>
      <c r="C26" s="10" t="s">
        <v>21</v>
      </c>
      <c r="D26" s="152">
        <v>10</v>
      </c>
      <c r="E26" s="170">
        <v>9</v>
      </c>
      <c r="F26" s="153">
        <f t="shared" si="0"/>
        <v>1</v>
      </c>
      <c r="G26" s="256"/>
      <c r="H26" s="166">
        <f t="shared" si="1"/>
        <v>10</v>
      </c>
      <c r="I26" s="10" t="s">
        <v>20</v>
      </c>
      <c r="J26" s="11">
        <v>75.400000000000006</v>
      </c>
      <c r="K26" s="12">
        <f>H26*J26</f>
        <v>754</v>
      </c>
    </row>
    <row r="27" spans="1:17" hidden="1" x14ac:dyDescent="0.35">
      <c r="A27" s="103"/>
      <c r="B27" s="12" t="s">
        <v>2</v>
      </c>
      <c r="C27" s="10" t="s">
        <v>210</v>
      </c>
      <c r="D27" s="152"/>
      <c r="E27" s="170"/>
      <c r="F27" s="153" t="str">
        <f t="shared" si="0"/>
        <v/>
      </c>
      <c r="G27" s="257"/>
      <c r="H27" s="166">
        <f t="shared" si="1"/>
        <v>0</v>
      </c>
      <c r="I27" s="10" t="s">
        <v>20</v>
      </c>
      <c r="J27" s="11">
        <v>84.9</v>
      </c>
      <c r="K27" s="12">
        <f t="shared" ref="K27" si="2">G27*J27</f>
        <v>0</v>
      </c>
    </row>
    <row r="28" spans="1:17" hidden="1" x14ac:dyDescent="0.35">
      <c r="A28" s="103"/>
      <c r="B28" s="12" t="s">
        <v>2</v>
      </c>
      <c r="C28" s="10" t="s">
        <v>211</v>
      </c>
      <c r="D28" s="152"/>
      <c r="E28" s="170"/>
      <c r="F28" s="153" t="str">
        <f t="shared" si="0"/>
        <v/>
      </c>
      <c r="G28" s="256"/>
      <c r="H28" s="166">
        <f t="shared" si="1"/>
        <v>0</v>
      </c>
      <c r="I28" s="10" t="s">
        <v>20</v>
      </c>
      <c r="J28" s="11">
        <v>2.96</v>
      </c>
      <c r="K28" s="12">
        <f>H28*J28</f>
        <v>0</v>
      </c>
    </row>
    <row r="29" spans="1:17" hidden="1" x14ac:dyDescent="0.35">
      <c r="A29" s="103"/>
      <c r="B29" s="12" t="s">
        <v>2</v>
      </c>
      <c r="C29" s="10" t="s">
        <v>212</v>
      </c>
      <c r="D29" s="152"/>
      <c r="E29" s="170"/>
      <c r="F29" s="153" t="str">
        <f t="shared" si="0"/>
        <v/>
      </c>
      <c r="G29" s="256"/>
      <c r="H29" s="166">
        <f t="shared" si="1"/>
        <v>0</v>
      </c>
      <c r="I29" s="10" t="s">
        <v>20</v>
      </c>
      <c r="J29" s="11">
        <v>2.96</v>
      </c>
      <c r="K29" s="12">
        <f t="shared" ref="K29:K40" si="3">H29*J29</f>
        <v>0</v>
      </c>
    </row>
    <row r="30" spans="1:17" hidden="1" x14ac:dyDescent="0.35">
      <c r="A30" s="103"/>
      <c r="B30" s="12" t="s">
        <v>2</v>
      </c>
      <c r="C30" s="10" t="s">
        <v>213</v>
      </c>
      <c r="D30" s="152"/>
      <c r="E30" s="170"/>
      <c r="F30" s="153" t="str">
        <f t="shared" si="0"/>
        <v/>
      </c>
      <c r="G30" s="256"/>
      <c r="H30" s="166">
        <f t="shared" si="1"/>
        <v>0</v>
      </c>
      <c r="I30" s="10" t="s">
        <v>20</v>
      </c>
      <c r="J30" s="11">
        <v>2.96</v>
      </c>
      <c r="K30" s="12">
        <f t="shared" si="3"/>
        <v>0</v>
      </c>
      <c r="Q30" s="268"/>
    </row>
    <row r="31" spans="1:17" hidden="1" x14ac:dyDescent="0.35">
      <c r="A31" s="103"/>
      <c r="B31" s="7" t="s">
        <v>2</v>
      </c>
      <c r="C31" s="14" t="s">
        <v>22</v>
      </c>
      <c r="D31" s="152"/>
      <c r="E31" s="170"/>
      <c r="F31" s="153" t="str">
        <f t="shared" si="0"/>
        <v/>
      </c>
      <c r="G31" s="256"/>
      <c r="H31" s="166">
        <f t="shared" si="1"/>
        <v>0</v>
      </c>
      <c r="I31" s="10" t="s">
        <v>20</v>
      </c>
      <c r="J31" s="11">
        <v>107.2</v>
      </c>
      <c r="K31" s="12">
        <f t="shared" si="3"/>
        <v>0</v>
      </c>
    </row>
    <row r="32" spans="1:17" hidden="1" x14ac:dyDescent="0.35">
      <c r="A32" s="103"/>
      <c r="B32" s="7" t="s">
        <v>2</v>
      </c>
      <c r="C32" s="14" t="s">
        <v>214</v>
      </c>
      <c r="D32" s="152"/>
      <c r="E32" s="170"/>
      <c r="F32" s="153" t="str">
        <f t="shared" si="0"/>
        <v/>
      </c>
      <c r="G32" s="256"/>
      <c r="H32" s="166">
        <f t="shared" si="1"/>
        <v>0</v>
      </c>
      <c r="I32" s="10" t="s">
        <v>20</v>
      </c>
      <c r="J32" s="11">
        <v>170.7</v>
      </c>
      <c r="K32" s="12">
        <f t="shared" si="3"/>
        <v>0</v>
      </c>
      <c r="M32" s="87"/>
    </row>
    <row r="33" spans="1:14" hidden="1" x14ac:dyDescent="0.35">
      <c r="A33" s="103"/>
      <c r="B33" s="12" t="s">
        <v>2</v>
      </c>
      <c r="C33" s="10" t="s">
        <v>215</v>
      </c>
      <c r="D33" s="152"/>
      <c r="E33" s="170"/>
      <c r="F33" s="153" t="str">
        <f t="shared" si="0"/>
        <v/>
      </c>
      <c r="G33" s="256"/>
      <c r="H33" s="166">
        <f t="shared" si="1"/>
        <v>0</v>
      </c>
      <c r="I33" s="10" t="s">
        <v>216</v>
      </c>
      <c r="J33" s="11">
        <v>3.77</v>
      </c>
      <c r="K33" s="12">
        <f t="shared" si="3"/>
        <v>0</v>
      </c>
    </row>
    <row r="34" spans="1:14" hidden="1" x14ac:dyDescent="0.35">
      <c r="A34" s="103"/>
      <c r="B34" s="12" t="s">
        <v>2</v>
      </c>
      <c r="C34" s="10" t="s">
        <v>217</v>
      </c>
      <c r="D34" s="152"/>
      <c r="E34" s="170"/>
      <c r="F34" s="153" t="str">
        <f t="shared" si="0"/>
        <v/>
      </c>
      <c r="G34" s="256"/>
      <c r="H34" s="166">
        <f t="shared" si="1"/>
        <v>0</v>
      </c>
      <c r="I34" s="10" t="s">
        <v>20</v>
      </c>
      <c r="J34" s="11">
        <v>2.56</v>
      </c>
      <c r="K34" s="12">
        <f t="shared" si="3"/>
        <v>0</v>
      </c>
      <c r="N34" s="87"/>
    </row>
    <row r="35" spans="1:14" hidden="1" x14ac:dyDescent="0.35">
      <c r="A35" s="103"/>
      <c r="B35" s="12" t="s">
        <v>2</v>
      </c>
      <c r="C35" s="10" t="s">
        <v>218</v>
      </c>
      <c r="D35" s="152"/>
      <c r="E35" s="170"/>
      <c r="F35" s="153" t="str">
        <f t="shared" si="0"/>
        <v/>
      </c>
      <c r="G35" s="256"/>
      <c r="H35" s="166">
        <f t="shared" si="1"/>
        <v>0</v>
      </c>
      <c r="I35" s="10" t="s">
        <v>20</v>
      </c>
      <c r="J35" s="11">
        <v>3.08</v>
      </c>
      <c r="K35" s="12">
        <f t="shared" si="3"/>
        <v>0</v>
      </c>
    </row>
    <row r="36" spans="1:14" hidden="1" x14ac:dyDescent="0.35">
      <c r="A36" s="103"/>
      <c r="B36" s="12" t="s">
        <v>2</v>
      </c>
      <c r="C36" s="10" t="s">
        <v>219</v>
      </c>
      <c r="D36" s="152"/>
      <c r="E36" s="170"/>
      <c r="F36" s="153" t="str">
        <f t="shared" si="0"/>
        <v/>
      </c>
      <c r="G36" s="256"/>
      <c r="H36" s="166">
        <f t="shared" si="1"/>
        <v>0</v>
      </c>
      <c r="I36" s="10" t="s">
        <v>20</v>
      </c>
      <c r="J36" s="11">
        <v>2.56</v>
      </c>
      <c r="K36" s="12">
        <f t="shared" si="3"/>
        <v>0</v>
      </c>
    </row>
    <row r="37" spans="1:14" hidden="1" x14ac:dyDescent="0.35">
      <c r="A37" s="103"/>
      <c r="B37" s="12" t="s">
        <v>2</v>
      </c>
      <c r="C37" s="10" t="s">
        <v>220</v>
      </c>
      <c r="D37" s="152"/>
      <c r="E37" s="170"/>
      <c r="F37" s="153" t="str">
        <f t="shared" si="0"/>
        <v/>
      </c>
      <c r="G37" s="256"/>
      <c r="H37" s="166">
        <f t="shared" si="1"/>
        <v>0</v>
      </c>
      <c r="I37" s="10" t="s">
        <v>20</v>
      </c>
      <c r="J37" s="11">
        <v>1.41</v>
      </c>
      <c r="K37" s="12">
        <f t="shared" si="3"/>
        <v>0</v>
      </c>
    </row>
    <row r="38" spans="1:14" hidden="1" x14ac:dyDescent="0.35">
      <c r="A38" s="103"/>
      <c r="B38" s="12" t="s">
        <v>2</v>
      </c>
      <c r="C38" s="10" t="s">
        <v>221</v>
      </c>
      <c r="D38" s="152"/>
      <c r="E38" s="170"/>
      <c r="F38" s="153" t="str">
        <f t="shared" si="0"/>
        <v/>
      </c>
      <c r="G38" s="256"/>
      <c r="H38" s="166">
        <f t="shared" si="1"/>
        <v>0</v>
      </c>
      <c r="I38" s="10" t="s">
        <v>20</v>
      </c>
      <c r="J38" s="11">
        <v>1.73</v>
      </c>
      <c r="K38" s="12">
        <f t="shared" si="3"/>
        <v>0</v>
      </c>
    </row>
    <row r="39" spans="1:14" hidden="1" x14ac:dyDescent="0.35">
      <c r="A39" s="103"/>
      <c r="B39" s="12" t="s">
        <v>2</v>
      </c>
      <c r="C39" s="10" t="s">
        <v>222</v>
      </c>
      <c r="D39" s="152"/>
      <c r="E39" s="170"/>
      <c r="F39" s="153" t="str">
        <f t="shared" si="0"/>
        <v/>
      </c>
      <c r="G39" s="256"/>
      <c r="H39" s="166">
        <f t="shared" si="1"/>
        <v>0</v>
      </c>
      <c r="I39" s="10" t="s">
        <v>20</v>
      </c>
      <c r="J39" s="11">
        <v>1.46</v>
      </c>
      <c r="K39" s="12">
        <f t="shared" si="3"/>
        <v>0</v>
      </c>
    </row>
    <row r="40" spans="1:14" hidden="1" x14ac:dyDescent="0.35">
      <c r="A40" s="103"/>
      <c r="B40" s="12" t="s">
        <v>2</v>
      </c>
      <c r="C40" s="10" t="s">
        <v>223</v>
      </c>
      <c r="D40" s="222"/>
      <c r="E40" s="170"/>
      <c r="F40" s="153" t="str">
        <f t="shared" si="0"/>
        <v/>
      </c>
      <c r="G40" s="256"/>
      <c r="H40" s="166">
        <f t="shared" si="1"/>
        <v>0</v>
      </c>
      <c r="I40" s="10" t="s">
        <v>20</v>
      </c>
      <c r="J40" s="77">
        <v>3.45</v>
      </c>
      <c r="K40" s="12">
        <f t="shared" si="3"/>
        <v>0</v>
      </c>
    </row>
    <row r="41" spans="1:14" ht="15.5" x14ac:dyDescent="0.35">
      <c r="A41" s="108" t="s">
        <v>119</v>
      </c>
      <c r="B41" s="108"/>
      <c r="C41" s="108"/>
      <c r="D41" s="223"/>
      <c r="E41" s="287"/>
      <c r="F41" s="165"/>
      <c r="G41" s="286"/>
      <c r="H41" s="247"/>
      <c r="I41" s="108"/>
      <c r="J41" s="106" t="s">
        <v>18</v>
      </c>
      <c r="K41" s="269">
        <f>SUM(K42:K49)</f>
        <v>0</v>
      </c>
    </row>
    <row r="42" spans="1:14" x14ac:dyDescent="0.35">
      <c r="A42" s="103"/>
      <c r="B42" s="12" t="s">
        <v>7</v>
      </c>
      <c r="C42" s="10" t="s">
        <v>224</v>
      </c>
      <c r="D42" s="152"/>
      <c r="E42" s="170"/>
      <c r="F42" s="153" t="str">
        <f t="shared" si="0"/>
        <v/>
      </c>
      <c r="G42" s="256"/>
      <c r="H42" s="166">
        <f t="shared" si="1"/>
        <v>0</v>
      </c>
      <c r="I42" s="10" t="s">
        <v>20</v>
      </c>
      <c r="J42" s="11">
        <v>100</v>
      </c>
      <c r="K42" s="12">
        <f t="shared" ref="K42:K49" si="4">G42*J42</f>
        <v>0</v>
      </c>
    </row>
    <row r="43" spans="1:14" hidden="1" x14ac:dyDescent="0.35">
      <c r="A43" s="103"/>
      <c r="B43" s="12" t="s">
        <v>7</v>
      </c>
      <c r="C43" s="10" t="s">
        <v>225</v>
      </c>
      <c r="D43" s="152"/>
      <c r="E43" s="170">
        <f>'[8]Visiteur (2)'!E43</f>
        <v>0</v>
      </c>
      <c r="F43" s="153" t="str">
        <f t="shared" si="0"/>
        <v/>
      </c>
      <c r="G43" s="256"/>
      <c r="H43" s="166">
        <f t="shared" si="1"/>
        <v>0</v>
      </c>
      <c r="I43" s="10" t="s">
        <v>20</v>
      </c>
      <c r="J43" s="11">
        <v>12.2</v>
      </c>
      <c r="K43" s="12">
        <f t="shared" si="4"/>
        <v>0</v>
      </c>
    </row>
    <row r="44" spans="1:14" hidden="1" x14ac:dyDescent="0.35">
      <c r="A44" s="103"/>
      <c r="B44" s="12" t="s">
        <v>7</v>
      </c>
      <c r="C44" s="10" t="s">
        <v>226</v>
      </c>
      <c r="D44" s="152"/>
      <c r="E44" s="170">
        <f>'[8]Visiteur (2)'!E44</f>
        <v>0</v>
      </c>
      <c r="F44" s="153" t="str">
        <f t="shared" si="0"/>
        <v/>
      </c>
      <c r="G44" s="256"/>
      <c r="H44" s="166">
        <f t="shared" si="1"/>
        <v>0</v>
      </c>
      <c r="I44" s="10" t="s">
        <v>20</v>
      </c>
      <c r="J44" s="11">
        <v>11</v>
      </c>
      <c r="K44" s="12">
        <f t="shared" si="4"/>
        <v>0</v>
      </c>
    </row>
    <row r="45" spans="1:14" hidden="1" x14ac:dyDescent="0.35">
      <c r="A45" s="103"/>
      <c r="B45" s="12" t="s">
        <v>7</v>
      </c>
      <c r="C45" s="10" t="s">
        <v>227</v>
      </c>
      <c r="D45" s="152"/>
      <c r="E45" s="170">
        <f>'[8]Visiteur (2)'!E45</f>
        <v>0</v>
      </c>
      <c r="F45" s="153" t="str">
        <f t="shared" si="0"/>
        <v/>
      </c>
      <c r="G45" s="256"/>
      <c r="H45" s="166">
        <f t="shared" si="1"/>
        <v>0</v>
      </c>
      <c r="I45" s="10" t="s">
        <v>20</v>
      </c>
      <c r="J45" s="11">
        <v>5</v>
      </c>
      <c r="K45" s="12">
        <f t="shared" si="4"/>
        <v>0</v>
      </c>
    </row>
    <row r="46" spans="1:14" x14ac:dyDescent="0.35">
      <c r="A46" s="103"/>
      <c r="B46" s="12" t="s">
        <v>7</v>
      </c>
      <c r="C46" s="10" t="s">
        <v>46</v>
      </c>
      <c r="D46" s="152"/>
      <c r="E46" s="170"/>
      <c r="F46" s="153" t="str">
        <f t="shared" si="0"/>
        <v/>
      </c>
      <c r="G46" s="256"/>
      <c r="H46" s="166">
        <f>IF(ISNUMBER(E46),E46,0)+IF(ISNUMBER(F46),F46,0)-IF(ISNUMBER(G46),G46,0)</f>
        <v>0</v>
      </c>
      <c r="I46" s="10" t="s">
        <v>20</v>
      </c>
      <c r="J46" s="11">
        <v>5</v>
      </c>
      <c r="K46" s="12">
        <f>H46*J46</f>
        <v>0</v>
      </c>
    </row>
    <row r="47" spans="1:14" hidden="1" x14ac:dyDescent="0.35">
      <c r="A47" s="103"/>
      <c r="B47" s="12" t="s">
        <v>7</v>
      </c>
      <c r="C47" s="10" t="s">
        <v>228</v>
      </c>
      <c r="D47" s="152"/>
      <c r="E47" s="170"/>
      <c r="F47" s="153" t="str">
        <f t="shared" si="0"/>
        <v/>
      </c>
      <c r="G47" s="256"/>
      <c r="H47" s="166">
        <f t="shared" ref="H47:H110" si="5">IF(ISNUMBER(E47),E47,0)+IF(ISNUMBER(F47),F47,0)-IF(ISNUMBER(G47),G47,0)</f>
        <v>0</v>
      </c>
      <c r="I47" s="10" t="s">
        <v>20</v>
      </c>
      <c r="J47" s="11">
        <v>11</v>
      </c>
      <c r="K47" s="12">
        <f t="shared" ref="K47:K48" si="6">H47*J47</f>
        <v>0</v>
      </c>
    </row>
    <row r="48" spans="1:14" x14ac:dyDescent="0.35">
      <c r="A48" s="103"/>
      <c r="B48" s="12" t="s">
        <v>7</v>
      </c>
      <c r="C48" s="10" t="s">
        <v>229</v>
      </c>
      <c r="D48" s="152"/>
      <c r="E48" s="170"/>
      <c r="F48" s="153" t="str">
        <f t="shared" si="0"/>
        <v/>
      </c>
      <c r="G48" s="256"/>
      <c r="H48" s="166">
        <f t="shared" si="5"/>
        <v>0</v>
      </c>
      <c r="I48" s="10" t="s">
        <v>20</v>
      </c>
      <c r="J48" s="11">
        <v>50</v>
      </c>
      <c r="K48" s="12">
        <f t="shared" si="6"/>
        <v>0</v>
      </c>
    </row>
    <row r="49" spans="1:12" hidden="1" x14ac:dyDescent="0.35">
      <c r="A49" s="103"/>
      <c r="B49" s="12" t="s">
        <v>7</v>
      </c>
      <c r="C49" s="78" t="s">
        <v>206</v>
      </c>
      <c r="D49" s="224"/>
      <c r="E49" s="170"/>
      <c r="F49" s="153" t="str">
        <f t="shared" si="0"/>
        <v/>
      </c>
      <c r="G49" s="256"/>
      <c r="H49" s="166">
        <f t="shared" si="5"/>
        <v>0</v>
      </c>
      <c r="I49" s="10" t="s">
        <v>20</v>
      </c>
      <c r="J49" s="79">
        <v>5</v>
      </c>
      <c r="K49" s="12">
        <f t="shared" si="4"/>
        <v>0</v>
      </c>
    </row>
    <row r="50" spans="1:12" ht="15.5" x14ac:dyDescent="0.35">
      <c r="A50" s="103"/>
      <c r="B50" s="104" t="s">
        <v>230</v>
      </c>
      <c r="C50" s="105"/>
      <c r="D50" s="225"/>
      <c r="E50" s="250"/>
      <c r="F50" s="165" t="str">
        <f t="shared" si="0"/>
        <v/>
      </c>
      <c r="G50" s="258"/>
      <c r="H50" s="247"/>
      <c r="I50" s="105"/>
      <c r="J50" s="106" t="s">
        <v>18</v>
      </c>
      <c r="K50" s="269">
        <f>SUM(K52:K77)</f>
        <v>320.5</v>
      </c>
    </row>
    <row r="51" spans="1:12" ht="15.5" x14ac:dyDescent="0.35">
      <c r="A51" s="111"/>
      <c r="B51" s="126" t="s">
        <v>231</v>
      </c>
      <c r="C51" s="127"/>
      <c r="D51" s="226"/>
      <c r="E51" s="250"/>
      <c r="F51" s="165" t="str">
        <f t="shared" si="0"/>
        <v/>
      </c>
      <c r="G51" s="259"/>
      <c r="H51" s="247"/>
      <c r="I51" s="127"/>
      <c r="J51" s="127"/>
      <c r="K51" s="128"/>
    </row>
    <row r="52" spans="1:12" x14ac:dyDescent="0.35">
      <c r="A52" s="103"/>
      <c r="B52" s="12" t="s">
        <v>13</v>
      </c>
      <c r="C52" s="10" t="s">
        <v>78</v>
      </c>
      <c r="D52" s="152">
        <v>2</v>
      </c>
      <c r="E52" s="170">
        <v>6</v>
      </c>
      <c r="F52" s="153" t="str">
        <f t="shared" si="0"/>
        <v/>
      </c>
      <c r="G52" s="256"/>
      <c r="H52" s="166">
        <f t="shared" si="5"/>
        <v>6</v>
      </c>
      <c r="I52" s="10" t="s">
        <v>20</v>
      </c>
      <c r="J52" s="11">
        <v>13</v>
      </c>
      <c r="K52" s="12">
        <f>H52*J52</f>
        <v>78</v>
      </c>
    </row>
    <row r="53" spans="1:12" hidden="1" x14ac:dyDescent="0.35">
      <c r="A53" s="103"/>
      <c r="B53" s="12" t="s">
        <v>13</v>
      </c>
      <c r="C53" s="10" t="s">
        <v>232</v>
      </c>
      <c r="D53" s="152"/>
      <c r="E53" s="170"/>
      <c r="F53" s="153" t="str">
        <f t="shared" si="0"/>
        <v/>
      </c>
      <c r="G53" s="256"/>
      <c r="H53" s="166">
        <f t="shared" si="5"/>
        <v>0</v>
      </c>
      <c r="I53" s="10" t="s">
        <v>20</v>
      </c>
      <c r="J53" s="11">
        <v>13</v>
      </c>
      <c r="K53" s="12">
        <f t="shared" ref="K53:K77" si="7">H53*J53</f>
        <v>0</v>
      </c>
      <c r="L53" s="87"/>
    </row>
    <row r="54" spans="1:12" hidden="1" x14ac:dyDescent="0.35">
      <c r="A54" s="103"/>
      <c r="B54" s="12" t="s">
        <v>13</v>
      </c>
      <c r="C54" s="10" t="s">
        <v>233</v>
      </c>
      <c r="D54" s="152"/>
      <c r="E54" s="170"/>
      <c r="F54" s="153" t="str">
        <f t="shared" si="0"/>
        <v/>
      </c>
      <c r="G54" s="256"/>
      <c r="H54" s="166">
        <f t="shared" si="5"/>
        <v>0</v>
      </c>
      <c r="I54" s="10" t="s">
        <v>20</v>
      </c>
      <c r="J54" s="11">
        <v>8.9</v>
      </c>
      <c r="K54" s="12">
        <f t="shared" si="7"/>
        <v>0</v>
      </c>
    </row>
    <row r="55" spans="1:12" x14ac:dyDescent="0.35">
      <c r="A55" s="103"/>
      <c r="B55" s="12" t="s">
        <v>13</v>
      </c>
      <c r="C55" s="10" t="s">
        <v>32</v>
      </c>
      <c r="D55" s="152">
        <v>2</v>
      </c>
      <c r="E55" s="170">
        <v>10</v>
      </c>
      <c r="F55" s="153" t="str">
        <f t="shared" si="0"/>
        <v/>
      </c>
      <c r="G55" s="256"/>
      <c r="H55" s="166">
        <f t="shared" si="5"/>
        <v>10</v>
      </c>
      <c r="I55" s="10" t="s">
        <v>20</v>
      </c>
      <c r="J55" s="11">
        <v>8.35</v>
      </c>
      <c r="K55" s="12">
        <f t="shared" si="7"/>
        <v>83.5</v>
      </c>
    </row>
    <row r="56" spans="1:12" x14ac:dyDescent="0.35">
      <c r="A56" s="103"/>
      <c r="B56" s="12" t="s">
        <v>13</v>
      </c>
      <c r="C56" s="10" t="s">
        <v>33</v>
      </c>
      <c r="D56" s="152">
        <v>2</v>
      </c>
      <c r="E56" s="170">
        <v>12</v>
      </c>
      <c r="F56" s="153" t="str">
        <f t="shared" si="0"/>
        <v/>
      </c>
      <c r="G56" s="256"/>
      <c r="H56" s="166">
        <f t="shared" si="5"/>
        <v>12</v>
      </c>
      <c r="I56" s="10" t="s">
        <v>20</v>
      </c>
      <c r="J56" s="11">
        <v>8.9</v>
      </c>
      <c r="K56" s="12">
        <f t="shared" si="7"/>
        <v>106.80000000000001</v>
      </c>
    </row>
    <row r="57" spans="1:12" x14ac:dyDescent="0.35">
      <c r="A57" s="103"/>
      <c r="B57" s="12" t="s">
        <v>13</v>
      </c>
      <c r="C57" s="10" t="s">
        <v>59</v>
      </c>
      <c r="D57" s="152">
        <v>2</v>
      </c>
      <c r="E57" s="170">
        <v>6</v>
      </c>
      <c r="F57" s="153" t="str">
        <f t="shared" si="0"/>
        <v/>
      </c>
      <c r="G57" s="256"/>
      <c r="H57" s="166">
        <f t="shared" si="5"/>
        <v>6</v>
      </c>
      <c r="I57" s="10" t="s">
        <v>20</v>
      </c>
      <c r="J57" s="11">
        <v>8.6999999999999993</v>
      </c>
      <c r="K57" s="12">
        <f t="shared" si="7"/>
        <v>52.199999999999996</v>
      </c>
    </row>
    <row r="58" spans="1:12" hidden="1" x14ac:dyDescent="0.35">
      <c r="A58" s="103"/>
      <c r="B58" s="12" t="s">
        <v>13</v>
      </c>
      <c r="C58" s="10" t="s">
        <v>234</v>
      </c>
      <c r="D58" s="152"/>
      <c r="E58" s="170"/>
      <c r="F58" s="153" t="str">
        <f t="shared" si="0"/>
        <v/>
      </c>
      <c r="G58" s="256"/>
      <c r="H58" s="166">
        <f t="shared" si="5"/>
        <v>0</v>
      </c>
      <c r="I58" s="10" t="s">
        <v>20</v>
      </c>
      <c r="J58" s="11">
        <v>12.15</v>
      </c>
      <c r="K58" s="12">
        <f t="shared" si="7"/>
        <v>0</v>
      </c>
    </row>
    <row r="59" spans="1:12" hidden="1" x14ac:dyDescent="0.35">
      <c r="A59" s="103"/>
      <c r="B59" s="12" t="s">
        <v>13</v>
      </c>
      <c r="C59" s="10" t="s">
        <v>235</v>
      </c>
      <c r="D59" s="152"/>
      <c r="E59" s="170"/>
      <c r="F59" s="153" t="str">
        <f t="shared" si="0"/>
        <v/>
      </c>
      <c r="G59" s="256"/>
      <c r="H59" s="166">
        <f t="shared" si="5"/>
        <v>0</v>
      </c>
      <c r="I59" s="10" t="s">
        <v>20</v>
      </c>
      <c r="J59" s="11">
        <v>11.35</v>
      </c>
      <c r="K59" s="12">
        <f t="shared" si="7"/>
        <v>0</v>
      </c>
    </row>
    <row r="60" spans="1:12" hidden="1" x14ac:dyDescent="0.35">
      <c r="A60" s="103"/>
      <c r="B60" s="12" t="s">
        <v>13</v>
      </c>
      <c r="C60" s="10" t="s">
        <v>236</v>
      </c>
      <c r="D60" s="152"/>
      <c r="E60" s="170"/>
      <c r="F60" s="153" t="str">
        <f t="shared" si="0"/>
        <v/>
      </c>
      <c r="G60" s="256"/>
      <c r="H60" s="166">
        <f t="shared" si="5"/>
        <v>0</v>
      </c>
      <c r="I60" s="10" t="s">
        <v>20</v>
      </c>
      <c r="J60" s="11">
        <v>14.65</v>
      </c>
      <c r="K60" s="12">
        <f t="shared" si="7"/>
        <v>0</v>
      </c>
    </row>
    <row r="61" spans="1:12" hidden="1" x14ac:dyDescent="0.35">
      <c r="A61" s="103"/>
      <c r="B61" s="12" t="s">
        <v>13</v>
      </c>
      <c r="C61" s="10" t="s">
        <v>237</v>
      </c>
      <c r="D61" s="152"/>
      <c r="E61" s="170"/>
      <c r="F61" s="153" t="str">
        <f t="shared" si="0"/>
        <v/>
      </c>
      <c r="G61" s="256"/>
      <c r="H61" s="166">
        <f t="shared" si="5"/>
        <v>0</v>
      </c>
      <c r="I61" s="10" t="s">
        <v>20</v>
      </c>
      <c r="J61" s="11">
        <v>16.25</v>
      </c>
      <c r="K61" s="12">
        <f t="shared" si="7"/>
        <v>0</v>
      </c>
    </row>
    <row r="62" spans="1:12" hidden="1" x14ac:dyDescent="0.35">
      <c r="A62" s="103"/>
      <c r="B62" s="12" t="s">
        <v>13</v>
      </c>
      <c r="C62" s="10" t="s">
        <v>238</v>
      </c>
      <c r="D62" s="152"/>
      <c r="E62" s="170"/>
      <c r="F62" s="153" t="str">
        <f t="shared" si="0"/>
        <v/>
      </c>
      <c r="G62" s="256"/>
      <c r="H62" s="166">
        <f t="shared" si="5"/>
        <v>0</v>
      </c>
      <c r="I62" s="10" t="s">
        <v>20</v>
      </c>
      <c r="J62" s="11">
        <v>17.899999999999999</v>
      </c>
      <c r="K62" s="12">
        <f t="shared" si="7"/>
        <v>0</v>
      </c>
    </row>
    <row r="63" spans="1:12" hidden="1" x14ac:dyDescent="0.35">
      <c r="A63" s="103"/>
      <c r="B63" s="12" t="s">
        <v>13</v>
      </c>
      <c r="C63" s="10" t="s">
        <v>239</v>
      </c>
      <c r="D63" s="152"/>
      <c r="E63" s="170"/>
      <c r="F63" s="153" t="str">
        <f t="shared" si="0"/>
        <v/>
      </c>
      <c r="G63" s="256"/>
      <c r="H63" s="166">
        <f t="shared" si="5"/>
        <v>0</v>
      </c>
      <c r="I63" s="10" t="s">
        <v>20</v>
      </c>
      <c r="J63" s="11">
        <v>15.95</v>
      </c>
      <c r="K63" s="12">
        <f t="shared" si="7"/>
        <v>0</v>
      </c>
    </row>
    <row r="64" spans="1:12" hidden="1" x14ac:dyDescent="0.35">
      <c r="A64" s="103"/>
      <c r="B64" s="12" t="s">
        <v>13</v>
      </c>
      <c r="C64" s="10" t="s">
        <v>240</v>
      </c>
      <c r="D64" s="152"/>
      <c r="E64" s="170"/>
      <c r="F64" s="153" t="str">
        <f t="shared" si="0"/>
        <v/>
      </c>
      <c r="G64" s="256"/>
      <c r="H64" s="166">
        <f t="shared" si="5"/>
        <v>0</v>
      </c>
      <c r="I64" s="10" t="s">
        <v>20</v>
      </c>
      <c r="J64" s="11">
        <v>15.45</v>
      </c>
      <c r="K64" s="12">
        <f t="shared" si="7"/>
        <v>0</v>
      </c>
    </row>
    <row r="65" spans="1:15" ht="15.5" hidden="1" x14ac:dyDescent="0.35">
      <c r="A65" s="111"/>
      <c r="B65" s="126" t="s">
        <v>241</v>
      </c>
      <c r="C65" s="127"/>
      <c r="D65" s="226"/>
      <c r="E65" s="250"/>
      <c r="F65" s="165" t="str">
        <f t="shared" si="0"/>
        <v/>
      </c>
      <c r="G65" s="259"/>
      <c r="H65" s="247"/>
      <c r="I65" s="127"/>
      <c r="J65" s="127"/>
      <c r="K65" s="270"/>
    </row>
    <row r="66" spans="1:15" hidden="1" x14ac:dyDescent="0.35">
      <c r="A66" s="103"/>
      <c r="B66" s="12" t="s">
        <v>13</v>
      </c>
      <c r="C66" s="10" t="s">
        <v>242</v>
      </c>
      <c r="D66" s="152"/>
      <c r="E66" s="170"/>
      <c r="F66" s="153" t="str">
        <f t="shared" si="0"/>
        <v/>
      </c>
      <c r="G66" s="256"/>
      <c r="H66" s="166">
        <f t="shared" si="5"/>
        <v>0</v>
      </c>
      <c r="I66" s="10" t="s">
        <v>20</v>
      </c>
      <c r="J66" s="11">
        <v>31.05</v>
      </c>
      <c r="K66" s="12">
        <f t="shared" si="7"/>
        <v>0</v>
      </c>
    </row>
    <row r="67" spans="1:15" hidden="1" x14ac:dyDescent="0.35">
      <c r="A67" s="103"/>
      <c r="B67" s="12" t="s">
        <v>13</v>
      </c>
      <c r="C67" s="10" t="s">
        <v>243</v>
      </c>
      <c r="D67" s="152"/>
      <c r="E67" s="170"/>
      <c r="F67" s="153" t="str">
        <f t="shared" si="0"/>
        <v/>
      </c>
      <c r="G67" s="256"/>
      <c r="H67" s="166">
        <f t="shared" si="5"/>
        <v>0</v>
      </c>
      <c r="I67" s="10" t="s">
        <v>20</v>
      </c>
      <c r="J67" s="11">
        <v>60.79</v>
      </c>
      <c r="K67" s="12">
        <f t="shared" si="7"/>
        <v>0</v>
      </c>
    </row>
    <row r="68" spans="1:15" hidden="1" x14ac:dyDescent="0.35">
      <c r="A68" s="103"/>
      <c r="B68" s="12" t="s">
        <v>13</v>
      </c>
      <c r="C68" s="10" t="s">
        <v>244</v>
      </c>
      <c r="D68" s="152"/>
      <c r="E68" s="170"/>
      <c r="F68" s="153" t="str">
        <f t="shared" si="0"/>
        <v/>
      </c>
      <c r="G68" s="256"/>
      <c r="H68" s="166">
        <f t="shared" si="5"/>
        <v>0</v>
      </c>
      <c r="I68" s="10" t="s">
        <v>20</v>
      </c>
      <c r="J68" s="11">
        <v>56.55</v>
      </c>
      <c r="K68" s="12">
        <f t="shared" si="7"/>
        <v>0</v>
      </c>
    </row>
    <row r="69" spans="1:15" hidden="1" x14ac:dyDescent="0.35">
      <c r="A69" s="103"/>
      <c r="B69" s="12" t="s">
        <v>13</v>
      </c>
      <c r="C69" s="10" t="s">
        <v>245</v>
      </c>
      <c r="D69" s="152"/>
      <c r="E69" s="170"/>
      <c r="F69" s="153" t="str">
        <f t="shared" si="0"/>
        <v/>
      </c>
      <c r="G69" s="256"/>
      <c r="H69" s="166">
        <f t="shared" si="5"/>
        <v>0</v>
      </c>
      <c r="I69" s="10" t="s">
        <v>20</v>
      </c>
      <c r="J69" s="11">
        <v>107.44</v>
      </c>
      <c r="K69" s="12">
        <f t="shared" si="7"/>
        <v>0</v>
      </c>
    </row>
    <row r="70" spans="1:15" hidden="1" x14ac:dyDescent="0.35">
      <c r="A70" s="103"/>
      <c r="B70" s="12" t="s">
        <v>13</v>
      </c>
      <c r="C70" s="10" t="s">
        <v>246</v>
      </c>
      <c r="D70" s="152"/>
      <c r="E70" s="170"/>
      <c r="F70" s="153" t="str">
        <f t="shared" si="0"/>
        <v/>
      </c>
      <c r="G70" s="256"/>
      <c r="H70" s="166">
        <f t="shared" si="5"/>
        <v>0</v>
      </c>
      <c r="I70" s="10" t="s">
        <v>20</v>
      </c>
      <c r="J70" s="11">
        <v>47.4</v>
      </c>
      <c r="K70" s="12">
        <f t="shared" si="7"/>
        <v>0</v>
      </c>
    </row>
    <row r="71" spans="1:15" hidden="1" x14ac:dyDescent="0.35">
      <c r="A71" s="103"/>
      <c r="B71" s="12" t="s">
        <v>13</v>
      </c>
      <c r="C71" s="10" t="s">
        <v>247</v>
      </c>
      <c r="D71" s="152"/>
      <c r="E71" s="170"/>
      <c r="F71" s="153" t="str">
        <f t="shared" si="0"/>
        <v/>
      </c>
      <c r="G71" s="256"/>
      <c r="H71" s="166">
        <f t="shared" si="5"/>
        <v>0</v>
      </c>
      <c r="I71" s="10" t="s">
        <v>20</v>
      </c>
      <c r="J71" s="11">
        <v>87.63</v>
      </c>
      <c r="K71" s="12">
        <f t="shared" si="7"/>
        <v>0</v>
      </c>
    </row>
    <row r="72" spans="1:15" hidden="1" x14ac:dyDescent="0.35">
      <c r="A72" s="103"/>
      <c r="B72" s="12" t="s">
        <v>13</v>
      </c>
      <c r="C72" s="10" t="s">
        <v>248</v>
      </c>
      <c r="D72" s="152"/>
      <c r="E72" s="170"/>
      <c r="F72" s="153" t="str">
        <f t="shared" si="0"/>
        <v/>
      </c>
      <c r="G72" s="256"/>
      <c r="H72" s="166">
        <f t="shared" si="5"/>
        <v>0</v>
      </c>
      <c r="I72" s="10" t="s">
        <v>20</v>
      </c>
      <c r="J72" s="11">
        <v>52.31</v>
      </c>
      <c r="K72" s="12">
        <f t="shared" si="7"/>
        <v>0</v>
      </c>
    </row>
    <row r="73" spans="1:15" ht="15.5" hidden="1" x14ac:dyDescent="0.35">
      <c r="A73" s="111"/>
      <c r="B73" s="126" t="s">
        <v>249</v>
      </c>
      <c r="C73" s="127"/>
      <c r="D73" s="226"/>
      <c r="E73" s="170"/>
      <c r="F73" s="153" t="str">
        <f t="shared" si="0"/>
        <v/>
      </c>
      <c r="G73" s="259"/>
      <c r="H73" s="166">
        <f t="shared" si="5"/>
        <v>0</v>
      </c>
      <c r="I73" s="127"/>
      <c r="J73" s="127"/>
      <c r="K73" s="271"/>
    </row>
    <row r="74" spans="1:15" hidden="1" x14ac:dyDescent="0.35">
      <c r="A74" s="103"/>
      <c r="B74" s="12" t="s">
        <v>13</v>
      </c>
      <c r="C74" s="10" t="s">
        <v>250</v>
      </c>
      <c r="D74" s="152"/>
      <c r="E74" s="170"/>
      <c r="F74" s="153" t="str">
        <f t="shared" si="0"/>
        <v/>
      </c>
      <c r="G74" s="256"/>
      <c r="H74" s="166">
        <f t="shared" si="5"/>
        <v>0</v>
      </c>
      <c r="I74" s="10" t="s">
        <v>20</v>
      </c>
      <c r="J74" s="11">
        <v>10.8</v>
      </c>
      <c r="K74" s="12">
        <f t="shared" si="7"/>
        <v>0</v>
      </c>
    </row>
    <row r="75" spans="1:15" hidden="1" x14ac:dyDescent="0.35">
      <c r="A75" s="103"/>
      <c r="B75" s="12" t="s">
        <v>13</v>
      </c>
      <c r="C75" s="10" t="s">
        <v>251</v>
      </c>
      <c r="D75" s="152"/>
      <c r="E75" s="170"/>
      <c r="F75" s="153" t="str">
        <f t="shared" si="0"/>
        <v/>
      </c>
      <c r="G75" s="256"/>
      <c r="H75" s="166">
        <f t="shared" si="5"/>
        <v>0</v>
      </c>
      <c r="I75" s="10" t="s">
        <v>20</v>
      </c>
      <c r="J75" s="11">
        <v>11.2</v>
      </c>
      <c r="K75" s="12">
        <f t="shared" si="7"/>
        <v>0</v>
      </c>
    </row>
    <row r="76" spans="1:15" x14ac:dyDescent="0.35">
      <c r="A76" s="103"/>
      <c r="B76" s="12" t="s">
        <v>13</v>
      </c>
      <c r="C76" s="10" t="s">
        <v>252</v>
      </c>
      <c r="D76" s="152"/>
      <c r="E76" s="170"/>
      <c r="F76" s="153" t="str">
        <f t="shared" si="0"/>
        <v/>
      </c>
      <c r="G76" s="256"/>
      <c r="H76" s="166">
        <f t="shared" si="5"/>
        <v>0</v>
      </c>
      <c r="I76" s="10" t="s">
        <v>23</v>
      </c>
      <c r="J76" s="11">
        <v>4.5599999999999996</v>
      </c>
      <c r="K76" s="12">
        <f t="shared" si="7"/>
        <v>0</v>
      </c>
    </row>
    <row r="77" spans="1:15" x14ac:dyDescent="0.35">
      <c r="A77" s="103"/>
      <c r="B77" s="12" t="s">
        <v>13</v>
      </c>
      <c r="C77" s="10" t="s">
        <v>253</v>
      </c>
      <c r="D77" s="152"/>
      <c r="E77" s="170"/>
      <c r="F77" s="153" t="str">
        <f t="shared" si="0"/>
        <v/>
      </c>
      <c r="G77" s="256"/>
      <c r="H77" s="166">
        <f t="shared" si="5"/>
        <v>0</v>
      </c>
      <c r="I77" s="10" t="s">
        <v>23</v>
      </c>
      <c r="J77" s="11">
        <v>37.700000000000003</v>
      </c>
      <c r="K77" s="12">
        <f t="shared" si="7"/>
        <v>0</v>
      </c>
      <c r="O77" s="87"/>
    </row>
    <row r="78" spans="1:15" ht="15.5" hidden="1" x14ac:dyDescent="0.35">
      <c r="A78" s="108" t="s">
        <v>254</v>
      </c>
      <c r="B78" s="108"/>
      <c r="C78" s="108"/>
      <c r="D78" s="223"/>
      <c r="E78" s="250"/>
      <c r="F78" s="165" t="str">
        <f t="shared" si="0"/>
        <v/>
      </c>
      <c r="G78" s="186"/>
      <c r="H78" s="247"/>
      <c r="I78" s="108"/>
      <c r="J78" s="110" t="s">
        <v>18</v>
      </c>
      <c r="K78" s="269">
        <f>SUM(K80:K121)</f>
        <v>0</v>
      </c>
    </row>
    <row r="79" spans="1:15" ht="15.5" hidden="1" x14ac:dyDescent="0.35">
      <c r="A79" s="111"/>
      <c r="B79" s="126" t="s">
        <v>255</v>
      </c>
      <c r="C79" s="127"/>
      <c r="D79" s="226"/>
      <c r="E79" s="250"/>
      <c r="F79" s="153" t="str">
        <f t="shared" si="0"/>
        <v/>
      </c>
      <c r="G79" s="259"/>
      <c r="H79" s="247"/>
      <c r="I79" s="127"/>
      <c r="J79" s="127"/>
      <c r="K79" s="128"/>
    </row>
    <row r="80" spans="1:15" hidden="1" x14ac:dyDescent="0.35">
      <c r="A80" s="103"/>
      <c r="B80" s="12" t="s">
        <v>3</v>
      </c>
      <c r="C80" s="10" t="s">
        <v>256</v>
      </c>
      <c r="D80" s="152"/>
      <c r="E80" s="170"/>
      <c r="F80" s="153" t="str">
        <f t="shared" si="0"/>
        <v/>
      </c>
      <c r="G80" s="256"/>
      <c r="H80" s="166">
        <f t="shared" si="5"/>
        <v>0</v>
      </c>
      <c r="I80" s="10" t="s">
        <v>20</v>
      </c>
      <c r="J80" s="11">
        <v>32.950000000000003</v>
      </c>
      <c r="K80" s="12">
        <f t="shared" ref="K80:K86" si="8">G80*J80</f>
        <v>0</v>
      </c>
    </row>
    <row r="81" spans="1:11" hidden="1" x14ac:dyDescent="0.35">
      <c r="A81" s="103"/>
      <c r="B81" s="12" t="s">
        <v>3</v>
      </c>
      <c r="C81" s="10" t="s">
        <v>257</v>
      </c>
      <c r="D81" s="152"/>
      <c r="E81" s="170"/>
      <c r="F81" s="153" t="str">
        <f t="shared" si="0"/>
        <v/>
      </c>
      <c r="G81" s="256"/>
      <c r="H81" s="166">
        <f t="shared" si="5"/>
        <v>0</v>
      </c>
      <c r="I81" s="10" t="s">
        <v>20</v>
      </c>
      <c r="J81" s="11">
        <v>56.95</v>
      </c>
      <c r="K81" s="12">
        <f t="shared" si="8"/>
        <v>0</v>
      </c>
    </row>
    <row r="82" spans="1:11" hidden="1" x14ac:dyDescent="0.35">
      <c r="A82" s="103"/>
      <c r="B82" s="12" t="s">
        <v>3</v>
      </c>
      <c r="C82" s="10" t="s">
        <v>258</v>
      </c>
      <c r="D82" s="152"/>
      <c r="E82" s="170"/>
      <c r="F82" s="153" t="str">
        <f t="shared" si="0"/>
        <v/>
      </c>
      <c r="G82" s="256"/>
      <c r="H82" s="166">
        <f t="shared" si="5"/>
        <v>0</v>
      </c>
      <c r="I82" s="10" t="s">
        <v>20</v>
      </c>
      <c r="J82" s="11">
        <v>15.95</v>
      </c>
      <c r="K82" s="12">
        <f t="shared" si="8"/>
        <v>0</v>
      </c>
    </row>
    <row r="83" spans="1:11" hidden="1" x14ac:dyDescent="0.35">
      <c r="A83" s="103"/>
      <c r="B83" s="12" t="s">
        <v>3</v>
      </c>
      <c r="C83" s="10" t="s">
        <v>259</v>
      </c>
      <c r="D83" s="152"/>
      <c r="E83" s="170"/>
      <c r="F83" s="153" t="str">
        <f t="shared" si="0"/>
        <v/>
      </c>
      <c r="G83" s="256"/>
      <c r="H83" s="166">
        <f t="shared" si="5"/>
        <v>0</v>
      </c>
      <c r="I83" s="10" t="s">
        <v>20</v>
      </c>
      <c r="J83" s="11">
        <v>19.95</v>
      </c>
      <c r="K83" s="12">
        <f t="shared" si="8"/>
        <v>0</v>
      </c>
    </row>
    <row r="84" spans="1:11" hidden="1" x14ac:dyDescent="0.35">
      <c r="A84" s="103"/>
      <c r="B84" s="12" t="s">
        <v>3</v>
      </c>
      <c r="C84" s="10" t="s">
        <v>260</v>
      </c>
      <c r="D84" s="152"/>
      <c r="E84" s="170"/>
      <c r="F84" s="153" t="str">
        <f t="shared" si="0"/>
        <v/>
      </c>
      <c r="G84" s="256"/>
      <c r="H84" s="166">
        <f t="shared" si="5"/>
        <v>0</v>
      </c>
      <c r="I84" s="10" t="s">
        <v>20</v>
      </c>
      <c r="J84" s="11">
        <v>46.95</v>
      </c>
      <c r="K84" s="12">
        <f t="shared" si="8"/>
        <v>0</v>
      </c>
    </row>
    <row r="85" spans="1:11" hidden="1" x14ac:dyDescent="0.35">
      <c r="A85" s="103"/>
      <c r="B85" s="12" t="s">
        <v>3</v>
      </c>
      <c r="C85" s="10" t="s">
        <v>261</v>
      </c>
      <c r="D85" s="152"/>
      <c r="E85" s="170"/>
      <c r="F85" s="153" t="str">
        <f t="shared" si="0"/>
        <v/>
      </c>
      <c r="G85" s="256"/>
      <c r="H85" s="166">
        <f t="shared" si="5"/>
        <v>0</v>
      </c>
      <c r="I85" s="10" t="s">
        <v>20</v>
      </c>
      <c r="J85" s="11">
        <v>34.950000000000003</v>
      </c>
      <c r="K85" s="12">
        <f t="shared" si="8"/>
        <v>0</v>
      </c>
    </row>
    <row r="86" spans="1:11" hidden="1" x14ac:dyDescent="0.35">
      <c r="A86" s="103"/>
      <c r="B86" s="12" t="s">
        <v>3</v>
      </c>
      <c r="C86" s="10" t="s">
        <v>262</v>
      </c>
      <c r="D86" s="152"/>
      <c r="E86" s="170"/>
      <c r="F86" s="153" t="str">
        <f t="shared" si="0"/>
        <v/>
      </c>
      <c r="G86" s="256"/>
      <c r="H86" s="166">
        <f t="shared" si="5"/>
        <v>0</v>
      </c>
      <c r="I86" s="10" t="s">
        <v>20</v>
      </c>
      <c r="J86" s="11">
        <v>24.95</v>
      </c>
      <c r="K86" s="12">
        <f t="shared" si="8"/>
        <v>0</v>
      </c>
    </row>
    <row r="87" spans="1:11" ht="15.5" hidden="1" x14ac:dyDescent="0.35">
      <c r="A87" s="111"/>
      <c r="B87" s="126" t="s">
        <v>263</v>
      </c>
      <c r="C87" s="127"/>
      <c r="D87" s="226"/>
      <c r="E87" s="250"/>
      <c r="F87" s="165" t="str">
        <f t="shared" si="0"/>
        <v/>
      </c>
      <c r="G87" s="259"/>
      <c r="H87" s="247"/>
      <c r="I87" s="127"/>
      <c r="J87" s="127"/>
      <c r="K87" s="272"/>
    </row>
    <row r="88" spans="1:11" hidden="1" x14ac:dyDescent="0.35">
      <c r="A88" s="103"/>
      <c r="B88" s="12" t="s">
        <v>3</v>
      </c>
      <c r="C88" s="10" t="s">
        <v>264</v>
      </c>
      <c r="D88" s="152"/>
      <c r="E88" s="170"/>
      <c r="F88" s="153" t="str">
        <f t="shared" si="0"/>
        <v/>
      </c>
      <c r="G88" s="256"/>
      <c r="H88" s="166">
        <f t="shared" si="5"/>
        <v>0</v>
      </c>
      <c r="I88" s="10" t="s">
        <v>20</v>
      </c>
      <c r="J88" s="11">
        <v>19.5</v>
      </c>
      <c r="K88" s="12">
        <f t="shared" ref="K88:K94" si="9">G88*J88</f>
        <v>0</v>
      </c>
    </row>
    <row r="89" spans="1:11" hidden="1" x14ac:dyDescent="0.35">
      <c r="A89" s="103"/>
      <c r="B89" s="12" t="s">
        <v>3</v>
      </c>
      <c r="C89" s="10" t="s">
        <v>265</v>
      </c>
      <c r="D89" s="152"/>
      <c r="E89" s="170"/>
      <c r="F89" s="153" t="str">
        <f t="shared" ref="F89:F152" si="10">IF(E89="","",IF(D89-E89&gt;0,D89-E89,""))</f>
        <v/>
      </c>
      <c r="G89" s="256"/>
      <c r="H89" s="166">
        <f t="shared" si="5"/>
        <v>0</v>
      </c>
      <c r="I89" s="10" t="s">
        <v>20</v>
      </c>
      <c r="J89" s="11">
        <v>16.95</v>
      </c>
      <c r="K89" s="12">
        <f t="shared" si="9"/>
        <v>0</v>
      </c>
    </row>
    <row r="90" spans="1:11" hidden="1" x14ac:dyDescent="0.35">
      <c r="A90" s="103"/>
      <c r="B90" s="12" t="s">
        <v>3</v>
      </c>
      <c r="C90" s="10" t="s">
        <v>266</v>
      </c>
      <c r="D90" s="152"/>
      <c r="E90" s="170"/>
      <c r="F90" s="153" t="str">
        <f t="shared" si="10"/>
        <v/>
      </c>
      <c r="G90" s="256"/>
      <c r="H90" s="166">
        <f t="shared" si="5"/>
        <v>0</v>
      </c>
      <c r="I90" s="10" t="s">
        <v>20</v>
      </c>
      <c r="J90" s="11">
        <v>17.95</v>
      </c>
      <c r="K90" s="12">
        <f t="shared" si="9"/>
        <v>0</v>
      </c>
    </row>
    <row r="91" spans="1:11" hidden="1" x14ac:dyDescent="0.35">
      <c r="A91" s="103"/>
      <c r="B91" s="12" t="s">
        <v>3</v>
      </c>
      <c r="C91" s="10" t="s">
        <v>267</v>
      </c>
      <c r="D91" s="152"/>
      <c r="E91" s="170"/>
      <c r="F91" s="153" t="str">
        <f t="shared" si="10"/>
        <v/>
      </c>
      <c r="G91" s="256"/>
      <c r="H91" s="166">
        <f t="shared" si="5"/>
        <v>0</v>
      </c>
      <c r="I91" s="10" t="s">
        <v>20</v>
      </c>
      <c r="J91" s="11">
        <v>15.95</v>
      </c>
      <c r="K91" s="12">
        <f t="shared" si="9"/>
        <v>0</v>
      </c>
    </row>
    <row r="92" spans="1:11" hidden="1" x14ac:dyDescent="0.35">
      <c r="A92" s="103"/>
      <c r="B92" s="12" t="s">
        <v>3</v>
      </c>
      <c r="C92" s="10" t="s">
        <v>268</v>
      </c>
      <c r="D92" s="152"/>
      <c r="E92" s="170"/>
      <c r="F92" s="153" t="str">
        <f t="shared" si="10"/>
        <v/>
      </c>
      <c r="G92" s="256"/>
      <c r="H92" s="166">
        <f t="shared" si="5"/>
        <v>0</v>
      </c>
      <c r="I92" s="10" t="s">
        <v>20</v>
      </c>
      <c r="J92" s="11">
        <v>20.95</v>
      </c>
      <c r="K92" s="12">
        <f t="shared" si="9"/>
        <v>0</v>
      </c>
    </row>
    <row r="93" spans="1:11" hidden="1" x14ac:dyDescent="0.35">
      <c r="A93" s="103"/>
      <c r="B93" s="12" t="s">
        <v>3</v>
      </c>
      <c r="C93" s="10" t="s">
        <v>269</v>
      </c>
      <c r="D93" s="152"/>
      <c r="E93" s="170"/>
      <c r="F93" s="153" t="str">
        <f t="shared" si="10"/>
        <v/>
      </c>
      <c r="G93" s="256"/>
      <c r="H93" s="166">
        <f t="shared" si="5"/>
        <v>0</v>
      </c>
      <c r="I93" s="10" t="s">
        <v>20</v>
      </c>
      <c r="J93" s="11">
        <v>26.95</v>
      </c>
      <c r="K93" s="12">
        <f t="shared" si="9"/>
        <v>0</v>
      </c>
    </row>
    <row r="94" spans="1:11" hidden="1" x14ac:dyDescent="0.35">
      <c r="A94" s="103"/>
      <c r="B94" s="12" t="s">
        <v>3</v>
      </c>
      <c r="C94" s="10" t="s">
        <v>270</v>
      </c>
      <c r="D94" s="152"/>
      <c r="E94" s="170"/>
      <c r="F94" s="153" t="str">
        <f t="shared" si="10"/>
        <v/>
      </c>
      <c r="G94" s="256"/>
      <c r="H94" s="166">
        <f t="shared" si="5"/>
        <v>0</v>
      </c>
      <c r="I94" s="10" t="s">
        <v>20</v>
      </c>
      <c r="J94" s="11">
        <v>26.95</v>
      </c>
      <c r="K94" s="12">
        <f t="shared" si="9"/>
        <v>0</v>
      </c>
    </row>
    <row r="95" spans="1:11" ht="15.5" hidden="1" x14ac:dyDescent="0.35">
      <c r="A95" s="111"/>
      <c r="B95" s="126" t="s">
        <v>271</v>
      </c>
      <c r="C95" s="127"/>
      <c r="D95" s="226"/>
      <c r="E95" s="250"/>
      <c r="F95" s="165" t="str">
        <f t="shared" si="10"/>
        <v/>
      </c>
      <c r="G95" s="259"/>
      <c r="H95" s="247"/>
      <c r="I95" s="127"/>
      <c r="J95" s="127"/>
      <c r="K95" s="272"/>
    </row>
    <row r="96" spans="1:11" hidden="1" x14ac:dyDescent="0.35">
      <c r="A96" s="103"/>
      <c r="B96" s="12" t="s">
        <v>3</v>
      </c>
      <c r="C96" s="10" t="s">
        <v>272</v>
      </c>
      <c r="D96" s="152"/>
      <c r="E96" s="170"/>
      <c r="F96" s="153" t="str">
        <f t="shared" si="10"/>
        <v/>
      </c>
      <c r="G96" s="256"/>
      <c r="H96" s="166">
        <f t="shared" si="5"/>
        <v>0</v>
      </c>
      <c r="I96" s="10" t="s">
        <v>20</v>
      </c>
      <c r="J96" s="11">
        <v>20.95</v>
      </c>
      <c r="K96" s="12">
        <f>G96*J96</f>
        <v>0</v>
      </c>
    </row>
    <row r="97" spans="1:11" hidden="1" x14ac:dyDescent="0.35">
      <c r="A97" s="103"/>
      <c r="B97" s="12" t="s">
        <v>3</v>
      </c>
      <c r="C97" s="10" t="s">
        <v>273</v>
      </c>
      <c r="D97" s="152"/>
      <c r="E97" s="170"/>
      <c r="F97" s="153" t="str">
        <f t="shared" si="10"/>
        <v/>
      </c>
      <c r="G97" s="256"/>
      <c r="H97" s="166">
        <f t="shared" si="5"/>
        <v>0</v>
      </c>
      <c r="I97" s="10" t="s">
        <v>20</v>
      </c>
      <c r="J97" s="11">
        <v>23.95</v>
      </c>
      <c r="K97" s="12">
        <f>G97*J97</f>
        <v>0</v>
      </c>
    </row>
    <row r="98" spans="1:11" hidden="1" x14ac:dyDescent="0.35">
      <c r="A98" s="103"/>
      <c r="B98" s="12" t="s">
        <v>3</v>
      </c>
      <c r="C98" s="10" t="s">
        <v>274</v>
      </c>
      <c r="D98" s="152"/>
      <c r="E98" s="170"/>
      <c r="F98" s="153" t="str">
        <f t="shared" si="10"/>
        <v/>
      </c>
      <c r="G98" s="256"/>
      <c r="H98" s="166">
        <f t="shared" si="5"/>
        <v>0</v>
      </c>
      <c r="I98" s="10" t="s">
        <v>20</v>
      </c>
      <c r="J98" s="11">
        <v>22.5</v>
      </c>
      <c r="K98" s="12">
        <f>G98*J98</f>
        <v>0</v>
      </c>
    </row>
    <row r="99" spans="1:11" hidden="1" x14ac:dyDescent="0.35">
      <c r="A99" s="103"/>
      <c r="B99" s="12" t="s">
        <v>3</v>
      </c>
      <c r="C99" s="10" t="s">
        <v>275</v>
      </c>
      <c r="D99" s="152"/>
      <c r="E99" s="170"/>
      <c r="F99" s="153" t="str">
        <f t="shared" si="10"/>
        <v/>
      </c>
      <c r="G99" s="256"/>
      <c r="H99" s="166">
        <f t="shared" si="5"/>
        <v>0</v>
      </c>
      <c r="I99" s="10" t="s">
        <v>20</v>
      </c>
      <c r="J99" s="11">
        <v>29.95</v>
      </c>
      <c r="K99" s="12">
        <f>G99*J99</f>
        <v>0</v>
      </c>
    </row>
    <row r="100" spans="1:11" ht="15.5" hidden="1" x14ac:dyDescent="0.35">
      <c r="A100" s="111"/>
      <c r="B100" s="126" t="s">
        <v>276</v>
      </c>
      <c r="C100" s="127"/>
      <c r="D100" s="226"/>
      <c r="E100" s="250"/>
      <c r="F100" s="165" t="str">
        <f t="shared" si="10"/>
        <v/>
      </c>
      <c r="G100" s="259"/>
      <c r="H100" s="247"/>
      <c r="I100" s="127"/>
      <c r="J100" s="127"/>
      <c r="K100" s="272"/>
    </row>
    <row r="101" spans="1:11" hidden="1" x14ac:dyDescent="0.35">
      <c r="A101" s="103"/>
      <c r="B101" s="12" t="s">
        <v>3</v>
      </c>
      <c r="C101" s="10" t="s">
        <v>277</v>
      </c>
      <c r="D101" s="152"/>
      <c r="E101" s="170"/>
      <c r="F101" s="153" t="str">
        <f t="shared" si="10"/>
        <v/>
      </c>
      <c r="G101" s="256"/>
      <c r="H101" s="166">
        <f t="shared" si="5"/>
        <v>0</v>
      </c>
      <c r="I101" s="10" t="s">
        <v>20</v>
      </c>
      <c r="J101" s="11">
        <v>17.95</v>
      </c>
      <c r="K101" s="12">
        <f>G101*J101</f>
        <v>0</v>
      </c>
    </row>
    <row r="102" spans="1:11" hidden="1" x14ac:dyDescent="0.35">
      <c r="A102" s="103"/>
      <c r="B102" s="12" t="s">
        <v>3</v>
      </c>
      <c r="C102" s="10" t="s">
        <v>278</v>
      </c>
      <c r="D102" s="152"/>
      <c r="E102" s="170"/>
      <c r="F102" s="153" t="str">
        <f t="shared" si="10"/>
        <v/>
      </c>
      <c r="G102" s="256"/>
      <c r="H102" s="166">
        <f t="shared" si="5"/>
        <v>0</v>
      </c>
      <c r="I102" s="10" t="s">
        <v>20</v>
      </c>
      <c r="J102" s="11">
        <v>20.95</v>
      </c>
      <c r="K102" s="12">
        <f>G102*J102</f>
        <v>0</v>
      </c>
    </row>
    <row r="103" spans="1:11" hidden="1" x14ac:dyDescent="0.35">
      <c r="A103" s="103"/>
      <c r="B103" s="12" t="s">
        <v>3</v>
      </c>
      <c r="C103" s="10" t="s">
        <v>279</v>
      </c>
      <c r="D103" s="152"/>
      <c r="E103" s="170"/>
      <c r="F103" s="153" t="str">
        <f t="shared" si="10"/>
        <v/>
      </c>
      <c r="G103" s="256"/>
      <c r="H103" s="166">
        <f t="shared" si="5"/>
        <v>0</v>
      </c>
      <c r="I103" s="10" t="s">
        <v>20</v>
      </c>
      <c r="J103" s="11">
        <v>19.95</v>
      </c>
      <c r="K103" s="12">
        <f>G103*J103</f>
        <v>0</v>
      </c>
    </row>
    <row r="104" spans="1:11" hidden="1" x14ac:dyDescent="0.35">
      <c r="A104" s="103"/>
      <c r="B104" s="40" t="s">
        <v>3</v>
      </c>
      <c r="C104" s="41" t="s">
        <v>280</v>
      </c>
      <c r="D104" s="227"/>
      <c r="E104" s="170"/>
      <c r="F104" s="153" t="str">
        <f t="shared" si="10"/>
        <v/>
      </c>
      <c r="G104" s="256"/>
      <c r="H104" s="166">
        <f t="shared" si="5"/>
        <v>0</v>
      </c>
      <c r="I104" s="41" t="s">
        <v>20</v>
      </c>
      <c r="J104" s="42">
        <v>59.95</v>
      </c>
      <c r="K104" s="40">
        <f>G104*J104</f>
        <v>0</v>
      </c>
    </row>
    <row r="105" spans="1:11" ht="15.5" hidden="1" x14ac:dyDescent="0.35">
      <c r="A105" s="111"/>
      <c r="B105" s="126" t="s">
        <v>281</v>
      </c>
      <c r="C105" s="127"/>
      <c r="D105" s="226"/>
      <c r="E105" s="170"/>
      <c r="F105" s="153" t="str">
        <f t="shared" si="10"/>
        <v/>
      </c>
      <c r="G105" s="259"/>
      <c r="H105" s="166">
        <f t="shared" si="5"/>
        <v>0</v>
      </c>
      <c r="I105" s="127"/>
      <c r="J105" s="127"/>
      <c r="K105" s="272"/>
    </row>
    <row r="106" spans="1:11" hidden="1" x14ac:dyDescent="0.35">
      <c r="A106" s="103"/>
      <c r="B106" s="12" t="s">
        <v>3</v>
      </c>
      <c r="C106" s="10" t="s">
        <v>282</v>
      </c>
      <c r="D106" s="152"/>
      <c r="E106" s="170"/>
      <c r="F106" s="153" t="str">
        <f t="shared" si="10"/>
        <v/>
      </c>
      <c r="G106" s="256"/>
      <c r="H106" s="166">
        <f t="shared" si="5"/>
        <v>0</v>
      </c>
      <c r="I106" s="10" t="s">
        <v>20</v>
      </c>
      <c r="J106" s="11">
        <v>54.95</v>
      </c>
      <c r="K106" s="12">
        <f>G106*J106</f>
        <v>0</v>
      </c>
    </row>
    <row r="107" spans="1:11" hidden="1" x14ac:dyDescent="0.35">
      <c r="A107" s="103"/>
      <c r="B107" s="12" t="s">
        <v>3</v>
      </c>
      <c r="C107" s="10" t="s">
        <v>283</v>
      </c>
      <c r="D107" s="152"/>
      <c r="E107" s="170"/>
      <c r="F107" s="153" t="str">
        <f t="shared" si="10"/>
        <v/>
      </c>
      <c r="G107" s="256"/>
      <c r="H107" s="166">
        <f t="shared" si="5"/>
        <v>0</v>
      </c>
      <c r="I107" s="10" t="s">
        <v>20</v>
      </c>
      <c r="J107" s="11">
        <v>49.95</v>
      </c>
      <c r="K107" s="12">
        <f>G107*J107</f>
        <v>0</v>
      </c>
    </row>
    <row r="108" spans="1:11" ht="15.5" hidden="1" x14ac:dyDescent="0.35">
      <c r="A108" s="111"/>
      <c r="B108" s="126" t="s">
        <v>284</v>
      </c>
      <c r="C108" s="127"/>
      <c r="D108" s="226"/>
      <c r="E108" s="250"/>
      <c r="F108" s="165" t="str">
        <f t="shared" si="10"/>
        <v/>
      </c>
      <c r="G108" s="259"/>
      <c r="H108" s="247"/>
      <c r="I108" s="127"/>
      <c r="J108" s="127"/>
      <c r="K108" s="272"/>
    </row>
    <row r="109" spans="1:11" hidden="1" x14ac:dyDescent="0.35">
      <c r="A109" s="103"/>
      <c r="B109" s="12" t="s">
        <v>3</v>
      </c>
      <c r="C109" s="10" t="s">
        <v>285</v>
      </c>
      <c r="D109" s="152"/>
      <c r="E109" s="170"/>
      <c r="F109" s="153" t="str">
        <f t="shared" si="10"/>
        <v/>
      </c>
      <c r="G109" s="256"/>
      <c r="H109" s="166">
        <f t="shared" si="5"/>
        <v>0</v>
      </c>
      <c r="I109" s="10" t="s">
        <v>20</v>
      </c>
      <c r="J109" s="11">
        <v>41.5</v>
      </c>
      <c r="K109" s="12">
        <f t="shared" ref="K109:K114" si="11">G109*J109</f>
        <v>0</v>
      </c>
    </row>
    <row r="110" spans="1:11" hidden="1" x14ac:dyDescent="0.35">
      <c r="A110" s="103"/>
      <c r="B110" s="12" t="s">
        <v>3</v>
      </c>
      <c r="C110" s="10" t="s">
        <v>286</v>
      </c>
      <c r="D110" s="152"/>
      <c r="E110" s="170"/>
      <c r="F110" s="153" t="str">
        <f t="shared" si="10"/>
        <v/>
      </c>
      <c r="G110" s="256"/>
      <c r="H110" s="166">
        <f t="shared" si="5"/>
        <v>0</v>
      </c>
      <c r="I110" s="10" t="s">
        <v>20</v>
      </c>
      <c r="J110" s="11">
        <v>36.200000000000003</v>
      </c>
      <c r="K110" s="12">
        <f t="shared" si="11"/>
        <v>0</v>
      </c>
    </row>
    <row r="111" spans="1:11" hidden="1" x14ac:dyDescent="0.35">
      <c r="A111" s="103"/>
      <c r="B111" s="12" t="s">
        <v>3</v>
      </c>
      <c r="C111" s="10" t="s">
        <v>287</v>
      </c>
      <c r="D111" s="152"/>
      <c r="E111" s="170"/>
      <c r="F111" s="153" t="str">
        <f t="shared" si="10"/>
        <v/>
      </c>
      <c r="G111" s="256"/>
      <c r="H111" s="166">
        <f t="shared" ref="H111:H174" si="12">IF(ISNUMBER(E111),E111,0)+IF(ISNUMBER(F111),F111,0)-IF(ISNUMBER(G111),G111,0)</f>
        <v>0</v>
      </c>
      <c r="I111" s="10" t="s">
        <v>20</v>
      </c>
      <c r="J111" s="11">
        <v>25.95</v>
      </c>
      <c r="K111" s="12">
        <f t="shared" si="11"/>
        <v>0</v>
      </c>
    </row>
    <row r="112" spans="1:11" hidden="1" x14ac:dyDescent="0.35">
      <c r="A112" s="103"/>
      <c r="B112" s="12" t="s">
        <v>3</v>
      </c>
      <c r="C112" s="10" t="s">
        <v>288</v>
      </c>
      <c r="D112" s="152"/>
      <c r="E112" s="170"/>
      <c r="F112" s="153" t="str">
        <f t="shared" si="10"/>
        <v/>
      </c>
      <c r="G112" s="256"/>
      <c r="H112" s="166">
        <f t="shared" si="12"/>
        <v>0</v>
      </c>
      <c r="I112" s="10" t="s">
        <v>20</v>
      </c>
      <c r="J112" s="11">
        <v>32.799999999999997</v>
      </c>
      <c r="K112" s="12">
        <f t="shared" si="11"/>
        <v>0</v>
      </c>
    </row>
    <row r="113" spans="1:11" hidden="1" x14ac:dyDescent="0.35">
      <c r="A113" s="103"/>
      <c r="B113" s="12" t="s">
        <v>3</v>
      </c>
      <c r="C113" s="10" t="s">
        <v>289</v>
      </c>
      <c r="D113" s="152"/>
      <c r="E113" s="170"/>
      <c r="F113" s="153" t="str">
        <f t="shared" si="10"/>
        <v/>
      </c>
      <c r="G113" s="256"/>
      <c r="H113" s="166">
        <f t="shared" si="12"/>
        <v>0</v>
      </c>
      <c r="I113" s="10" t="s">
        <v>20</v>
      </c>
      <c r="J113" s="11">
        <v>29.2</v>
      </c>
      <c r="K113" s="12">
        <f t="shared" si="11"/>
        <v>0</v>
      </c>
    </row>
    <row r="114" spans="1:11" hidden="1" x14ac:dyDescent="0.35">
      <c r="A114" s="103"/>
      <c r="B114" s="12" t="s">
        <v>3</v>
      </c>
      <c r="C114" s="10" t="s">
        <v>290</v>
      </c>
      <c r="D114" s="152"/>
      <c r="E114" s="170"/>
      <c r="F114" s="153" t="str">
        <f t="shared" si="10"/>
        <v/>
      </c>
      <c r="G114" s="256"/>
      <c r="H114" s="166">
        <f t="shared" si="12"/>
        <v>0</v>
      </c>
      <c r="I114" s="10" t="s">
        <v>20</v>
      </c>
      <c r="J114" s="11">
        <v>22.95</v>
      </c>
      <c r="K114" s="12">
        <f t="shared" si="11"/>
        <v>0</v>
      </c>
    </row>
    <row r="115" spans="1:11" ht="15.5" hidden="1" x14ac:dyDescent="0.35">
      <c r="A115" s="111"/>
      <c r="B115" s="126" t="s">
        <v>291</v>
      </c>
      <c r="C115" s="127"/>
      <c r="D115" s="226"/>
      <c r="E115" s="250"/>
      <c r="F115" s="165" t="str">
        <f t="shared" si="10"/>
        <v/>
      </c>
      <c r="G115" s="259"/>
      <c r="H115" s="247"/>
      <c r="I115" s="127"/>
      <c r="J115" s="127"/>
      <c r="K115" s="272"/>
    </row>
    <row r="116" spans="1:11" hidden="1" x14ac:dyDescent="0.35">
      <c r="A116" s="103"/>
      <c r="B116" s="12" t="s">
        <v>3</v>
      </c>
      <c r="C116" s="10" t="s">
        <v>292</v>
      </c>
      <c r="D116" s="152"/>
      <c r="E116" s="170"/>
      <c r="F116" s="153" t="str">
        <f t="shared" si="10"/>
        <v/>
      </c>
      <c r="G116" s="256"/>
      <c r="H116" s="166">
        <f t="shared" si="12"/>
        <v>0</v>
      </c>
      <c r="I116" s="10" t="s">
        <v>20</v>
      </c>
      <c r="J116" s="11">
        <v>17.95</v>
      </c>
      <c r="K116" s="12">
        <f t="shared" ref="K116:K121" si="13">G116*J116</f>
        <v>0</v>
      </c>
    </row>
    <row r="117" spans="1:11" hidden="1" x14ac:dyDescent="0.35">
      <c r="A117" s="103"/>
      <c r="B117" s="12" t="s">
        <v>3</v>
      </c>
      <c r="C117" s="10" t="s">
        <v>293</v>
      </c>
      <c r="D117" s="152"/>
      <c r="E117" s="170"/>
      <c r="F117" s="153" t="str">
        <f t="shared" si="10"/>
        <v/>
      </c>
      <c r="G117" s="256"/>
      <c r="H117" s="166">
        <f t="shared" si="12"/>
        <v>0</v>
      </c>
      <c r="I117" s="10" t="s">
        <v>20</v>
      </c>
      <c r="J117" s="11">
        <v>12.95</v>
      </c>
      <c r="K117" s="12">
        <f t="shared" si="13"/>
        <v>0</v>
      </c>
    </row>
    <row r="118" spans="1:11" hidden="1" x14ac:dyDescent="0.35">
      <c r="A118" s="103"/>
      <c r="B118" s="12" t="s">
        <v>3</v>
      </c>
      <c r="C118" s="10" t="s">
        <v>294</v>
      </c>
      <c r="D118" s="152"/>
      <c r="E118" s="170"/>
      <c r="F118" s="153" t="str">
        <f t="shared" si="10"/>
        <v/>
      </c>
      <c r="G118" s="256"/>
      <c r="H118" s="166">
        <f t="shared" si="12"/>
        <v>0</v>
      </c>
      <c r="I118" s="10" t="s">
        <v>20</v>
      </c>
      <c r="J118" s="11">
        <v>21.95</v>
      </c>
      <c r="K118" s="12">
        <f t="shared" si="13"/>
        <v>0</v>
      </c>
    </row>
    <row r="119" spans="1:11" hidden="1" x14ac:dyDescent="0.35">
      <c r="A119" s="103"/>
      <c r="B119" s="12" t="s">
        <v>3</v>
      </c>
      <c r="C119" s="10" t="s">
        <v>295</v>
      </c>
      <c r="D119" s="152"/>
      <c r="E119" s="170"/>
      <c r="F119" s="153" t="str">
        <f t="shared" si="10"/>
        <v/>
      </c>
      <c r="G119" s="256"/>
      <c r="H119" s="166">
        <f t="shared" si="12"/>
        <v>0</v>
      </c>
      <c r="I119" s="10" t="s">
        <v>20</v>
      </c>
      <c r="J119" s="11"/>
      <c r="K119" s="12">
        <f t="shared" si="13"/>
        <v>0</v>
      </c>
    </row>
    <row r="120" spans="1:11" hidden="1" x14ac:dyDescent="0.35">
      <c r="A120" s="103"/>
      <c r="B120" s="12" t="s">
        <v>3</v>
      </c>
      <c r="C120" s="10" t="s">
        <v>296</v>
      </c>
      <c r="D120" s="152"/>
      <c r="E120" s="170"/>
      <c r="F120" s="153" t="str">
        <f t="shared" si="10"/>
        <v/>
      </c>
      <c r="G120" s="256"/>
      <c r="H120" s="166">
        <f t="shared" si="12"/>
        <v>0</v>
      </c>
      <c r="I120" s="10" t="s">
        <v>20</v>
      </c>
      <c r="J120" s="11"/>
      <c r="K120" s="12">
        <f t="shared" si="13"/>
        <v>0</v>
      </c>
    </row>
    <row r="121" spans="1:11" hidden="1" x14ac:dyDescent="0.35">
      <c r="A121" s="103"/>
      <c r="B121" s="12" t="s">
        <v>3</v>
      </c>
      <c r="C121" s="10" t="s">
        <v>297</v>
      </c>
      <c r="D121" s="152"/>
      <c r="E121" s="170"/>
      <c r="F121" s="153" t="str">
        <f t="shared" si="10"/>
        <v/>
      </c>
      <c r="G121" s="256"/>
      <c r="H121" s="166">
        <f t="shared" si="12"/>
        <v>0</v>
      </c>
      <c r="I121" s="10" t="s">
        <v>20</v>
      </c>
      <c r="J121" s="11">
        <v>22.95</v>
      </c>
      <c r="K121" s="12">
        <f t="shared" si="13"/>
        <v>0</v>
      </c>
    </row>
    <row r="122" spans="1:11" ht="15.5" hidden="1" x14ac:dyDescent="0.35">
      <c r="A122" s="112" t="s">
        <v>298</v>
      </c>
      <c r="B122" s="116"/>
      <c r="C122" s="116"/>
      <c r="D122" s="228"/>
      <c r="E122" s="250"/>
      <c r="F122" s="165" t="str">
        <f t="shared" si="10"/>
        <v/>
      </c>
      <c r="G122" s="260"/>
      <c r="H122" s="247"/>
      <c r="I122" s="117"/>
      <c r="J122" s="106" t="s">
        <v>18</v>
      </c>
      <c r="K122" s="269">
        <f>SUM(K123:K175)</f>
        <v>422.21000000000004</v>
      </c>
    </row>
    <row r="123" spans="1:11" hidden="1" x14ac:dyDescent="0.35">
      <c r="A123" s="103"/>
      <c r="B123" s="20" t="s">
        <v>4</v>
      </c>
      <c r="C123" s="18" t="s">
        <v>62</v>
      </c>
      <c r="D123" s="229"/>
      <c r="E123" s="250"/>
      <c r="F123" s="153" t="str">
        <f t="shared" si="10"/>
        <v/>
      </c>
      <c r="G123" s="256"/>
      <c r="H123" s="166">
        <f t="shared" si="12"/>
        <v>0</v>
      </c>
      <c r="I123" s="18" t="s">
        <v>20</v>
      </c>
      <c r="J123" s="19">
        <v>7.35</v>
      </c>
      <c r="K123" s="20">
        <f>G123*J123</f>
        <v>0</v>
      </c>
    </row>
    <row r="124" spans="1:11" hidden="1" x14ac:dyDescent="0.35">
      <c r="A124" s="103"/>
      <c r="B124" s="20" t="s">
        <v>4</v>
      </c>
      <c r="C124" s="18" t="s">
        <v>60</v>
      </c>
      <c r="D124" s="229"/>
      <c r="E124" s="250"/>
      <c r="F124" s="153" t="str">
        <f t="shared" si="10"/>
        <v/>
      </c>
      <c r="G124" s="256"/>
      <c r="H124" s="166">
        <f t="shared" si="12"/>
        <v>0</v>
      </c>
      <c r="I124" s="18" t="s">
        <v>20</v>
      </c>
      <c r="J124" s="19">
        <v>10.65</v>
      </c>
      <c r="K124" s="20">
        <f>G124*J124</f>
        <v>0</v>
      </c>
    </row>
    <row r="125" spans="1:11" hidden="1" x14ac:dyDescent="0.35">
      <c r="A125" s="113" t="s">
        <v>40</v>
      </c>
      <c r="B125" s="124"/>
      <c r="C125" s="124"/>
      <c r="D125" s="230"/>
      <c r="E125" s="250"/>
      <c r="F125" s="153" t="str">
        <f t="shared" si="10"/>
        <v/>
      </c>
      <c r="G125" s="261"/>
      <c r="H125" s="166">
        <f t="shared" si="12"/>
        <v>0</v>
      </c>
      <c r="I125" s="124"/>
      <c r="J125" s="124"/>
      <c r="K125" s="273"/>
    </row>
    <row r="126" spans="1:11" hidden="1" x14ac:dyDescent="0.35">
      <c r="A126" s="103"/>
      <c r="B126" s="20" t="s">
        <v>4</v>
      </c>
      <c r="C126" s="18" t="s">
        <v>299</v>
      </c>
      <c r="D126" s="229"/>
      <c r="E126" s="250"/>
      <c r="F126" s="153" t="str">
        <f t="shared" si="10"/>
        <v/>
      </c>
      <c r="G126" s="256"/>
      <c r="H126" s="166">
        <f t="shared" si="12"/>
        <v>0</v>
      </c>
      <c r="I126" s="18" t="s">
        <v>20</v>
      </c>
      <c r="J126" s="19">
        <v>1.31</v>
      </c>
      <c r="K126" s="12">
        <f t="shared" ref="K126:K137" si="14">G126*J126</f>
        <v>0</v>
      </c>
    </row>
    <row r="127" spans="1:11" hidden="1" x14ac:dyDescent="0.35">
      <c r="A127" s="103"/>
      <c r="B127" s="12" t="s">
        <v>4</v>
      </c>
      <c r="C127" s="10" t="s">
        <v>300</v>
      </c>
      <c r="D127" s="152"/>
      <c r="E127" s="250"/>
      <c r="F127" s="153" t="str">
        <f t="shared" si="10"/>
        <v/>
      </c>
      <c r="G127" s="256"/>
      <c r="H127" s="166">
        <f t="shared" si="12"/>
        <v>0</v>
      </c>
      <c r="I127" s="10" t="s">
        <v>20</v>
      </c>
      <c r="J127" s="11">
        <v>1.31</v>
      </c>
      <c r="K127" s="12">
        <f t="shared" si="14"/>
        <v>0</v>
      </c>
    </row>
    <row r="128" spans="1:11" hidden="1" x14ac:dyDescent="0.35">
      <c r="A128" s="103"/>
      <c r="B128" s="20" t="s">
        <v>4</v>
      </c>
      <c r="C128" s="18" t="s">
        <v>301</v>
      </c>
      <c r="D128" s="229"/>
      <c r="E128" s="250"/>
      <c r="F128" s="153" t="str">
        <f t="shared" si="10"/>
        <v/>
      </c>
      <c r="G128" s="256"/>
      <c r="H128" s="166">
        <f t="shared" si="12"/>
        <v>0</v>
      </c>
      <c r="I128" s="18" t="s">
        <v>20</v>
      </c>
      <c r="J128" s="19">
        <v>1.4039999999999999</v>
      </c>
      <c r="K128" s="12">
        <f t="shared" si="14"/>
        <v>0</v>
      </c>
    </row>
    <row r="129" spans="1:11" hidden="1" x14ac:dyDescent="0.35">
      <c r="A129" s="103"/>
      <c r="B129" s="12" t="s">
        <v>4</v>
      </c>
      <c r="C129" s="10" t="s">
        <v>302</v>
      </c>
      <c r="D129" s="152"/>
      <c r="E129" s="250"/>
      <c r="F129" s="153" t="str">
        <f t="shared" si="10"/>
        <v/>
      </c>
      <c r="G129" s="256"/>
      <c r="H129" s="166">
        <f t="shared" si="12"/>
        <v>0</v>
      </c>
      <c r="I129" s="10" t="s">
        <v>20</v>
      </c>
      <c r="J129" s="11">
        <v>1.4039999999999999</v>
      </c>
      <c r="K129" s="12">
        <f t="shared" si="14"/>
        <v>0</v>
      </c>
    </row>
    <row r="130" spans="1:11" hidden="1" x14ac:dyDescent="0.35">
      <c r="A130" s="103"/>
      <c r="B130" s="12" t="s">
        <v>4</v>
      </c>
      <c r="C130" s="10" t="s">
        <v>303</v>
      </c>
      <c r="D130" s="152"/>
      <c r="E130" s="250"/>
      <c r="F130" s="153" t="str">
        <f t="shared" si="10"/>
        <v/>
      </c>
      <c r="G130" s="256"/>
      <c r="H130" s="166">
        <f t="shared" si="12"/>
        <v>0</v>
      </c>
      <c r="I130" s="10" t="s">
        <v>20</v>
      </c>
      <c r="J130" s="11">
        <v>1.53</v>
      </c>
      <c r="K130" s="12">
        <f t="shared" si="14"/>
        <v>0</v>
      </c>
    </row>
    <row r="131" spans="1:11" hidden="1" x14ac:dyDescent="0.35">
      <c r="A131" s="103"/>
      <c r="B131" s="12" t="s">
        <v>4</v>
      </c>
      <c r="C131" s="10" t="s">
        <v>304</v>
      </c>
      <c r="D131" s="152"/>
      <c r="E131" s="250"/>
      <c r="F131" s="153" t="str">
        <f t="shared" si="10"/>
        <v/>
      </c>
      <c r="G131" s="256"/>
      <c r="H131" s="166">
        <f t="shared" si="12"/>
        <v>0</v>
      </c>
      <c r="I131" s="10" t="s">
        <v>20</v>
      </c>
      <c r="J131" s="11">
        <v>1.65</v>
      </c>
      <c r="K131" s="12">
        <f t="shared" si="14"/>
        <v>0</v>
      </c>
    </row>
    <row r="132" spans="1:11" hidden="1" x14ac:dyDescent="0.35">
      <c r="A132" s="103"/>
      <c r="B132" s="12" t="s">
        <v>4</v>
      </c>
      <c r="C132" s="10" t="s">
        <v>83</v>
      </c>
      <c r="D132" s="152"/>
      <c r="E132" s="250"/>
      <c r="F132" s="153" t="str">
        <f t="shared" si="10"/>
        <v/>
      </c>
      <c r="G132" s="256"/>
      <c r="H132" s="166">
        <f t="shared" si="12"/>
        <v>0</v>
      </c>
      <c r="I132" s="10" t="s">
        <v>20</v>
      </c>
      <c r="J132" s="11">
        <v>1.04</v>
      </c>
      <c r="K132" s="12">
        <f t="shared" si="14"/>
        <v>0</v>
      </c>
    </row>
    <row r="133" spans="1:11" hidden="1" x14ac:dyDescent="0.35">
      <c r="A133" s="103"/>
      <c r="B133" s="12" t="s">
        <v>4</v>
      </c>
      <c r="C133" s="10" t="s">
        <v>305</v>
      </c>
      <c r="D133" s="152"/>
      <c r="E133" s="250"/>
      <c r="F133" s="153" t="str">
        <f t="shared" si="10"/>
        <v/>
      </c>
      <c r="G133" s="256"/>
      <c r="H133" s="166">
        <f t="shared" si="12"/>
        <v>0</v>
      </c>
      <c r="I133" s="10" t="s">
        <v>20</v>
      </c>
      <c r="J133" s="11">
        <v>1.04</v>
      </c>
      <c r="K133" s="12">
        <f t="shared" si="14"/>
        <v>0</v>
      </c>
    </row>
    <row r="134" spans="1:11" hidden="1" x14ac:dyDescent="0.35">
      <c r="A134" s="103"/>
      <c r="B134" s="12" t="s">
        <v>4</v>
      </c>
      <c r="C134" s="10" t="s">
        <v>306</v>
      </c>
      <c r="D134" s="152"/>
      <c r="E134" s="250"/>
      <c r="F134" s="153" t="str">
        <f t="shared" si="10"/>
        <v/>
      </c>
      <c r="G134" s="256"/>
      <c r="H134" s="166">
        <f t="shared" si="12"/>
        <v>0</v>
      </c>
      <c r="I134" s="10" t="s">
        <v>20</v>
      </c>
      <c r="J134" s="11">
        <v>1.06</v>
      </c>
      <c r="K134" s="12">
        <f t="shared" si="14"/>
        <v>0</v>
      </c>
    </row>
    <row r="135" spans="1:11" hidden="1" x14ac:dyDescent="0.35">
      <c r="A135" s="103"/>
      <c r="B135" s="12" t="s">
        <v>4</v>
      </c>
      <c r="C135" s="10" t="s">
        <v>307</v>
      </c>
      <c r="D135" s="152"/>
      <c r="E135" s="250"/>
      <c r="F135" s="153" t="str">
        <f t="shared" si="10"/>
        <v/>
      </c>
      <c r="G135" s="256"/>
      <c r="H135" s="166">
        <f t="shared" si="12"/>
        <v>0</v>
      </c>
      <c r="I135" s="10" t="s">
        <v>20</v>
      </c>
      <c r="J135" s="11">
        <v>1.06</v>
      </c>
      <c r="K135" s="12">
        <f t="shared" si="14"/>
        <v>0</v>
      </c>
    </row>
    <row r="136" spans="1:11" hidden="1" x14ac:dyDescent="0.35">
      <c r="A136" s="103"/>
      <c r="B136" s="12" t="s">
        <v>4</v>
      </c>
      <c r="C136" s="10" t="s">
        <v>308</v>
      </c>
      <c r="D136" s="152"/>
      <c r="E136" s="250"/>
      <c r="F136" s="153" t="str">
        <f t="shared" si="10"/>
        <v/>
      </c>
      <c r="G136" s="256"/>
      <c r="H136" s="166">
        <f t="shared" si="12"/>
        <v>0</v>
      </c>
      <c r="I136" s="10" t="s">
        <v>20</v>
      </c>
      <c r="J136" s="11">
        <v>1.2869999999999999</v>
      </c>
      <c r="K136" s="12">
        <f t="shared" si="14"/>
        <v>0</v>
      </c>
    </row>
    <row r="137" spans="1:11" hidden="1" x14ac:dyDescent="0.35">
      <c r="A137" s="103"/>
      <c r="B137" s="12" t="s">
        <v>4</v>
      </c>
      <c r="C137" s="10" t="s">
        <v>309</v>
      </c>
      <c r="D137" s="152"/>
      <c r="E137" s="250"/>
      <c r="F137" s="153" t="str">
        <f t="shared" si="10"/>
        <v/>
      </c>
      <c r="G137" s="256"/>
      <c r="H137" s="166">
        <f t="shared" si="12"/>
        <v>0</v>
      </c>
      <c r="I137" s="10" t="s">
        <v>20</v>
      </c>
      <c r="J137" s="11">
        <v>1.59</v>
      </c>
      <c r="K137" s="12">
        <f t="shared" si="14"/>
        <v>0</v>
      </c>
    </row>
    <row r="138" spans="1:11" hidden="1" x14ac:dyDescent="0.35">
      <c r="A138" s="113" t="s">
        <v>310</v>
      </c>
      <c r="B138" s="124"/>
      <c r="C138" s="124"/>
      <c r="D138" s="230"/>
      <c r="E138" s="250"/>
      <c r="F138" s="153" t="str">
        <f t="shared" si="10"/>
        <v/>
      </c>
      <c r="G138" s="261"/>
      <c r="H138" s="166">
        <f t="shared" si="12"/>
        <v>0</v>
      </c>
      <c r="I138" s="124"/>
      <c r="J138" s="124"/>
      <c r="K138" s="273"/>
    </row>
    <row r="139" spans="1:11" hidden="1" x14ac:dyDescent="0.35">
      <c r="A139" s="103"/>
      <c r="B139" s="12" t="s">
        <v>4</v>
      </c>
      <c r="C139" s="10" t="s">
        <v>311</v>
      </c>
      <c r="D139" s="152"/>
      <c r="E139" s="250"/>
      <c r="F139" s="153" t="str">
        <f t="shared" si="10"/>
        <v/>
      </c>
      <c r="G139" s="256"/>
      <c r="H139" s="166">
        <f t="shared" si="12"/>
        <v>0</v>
      </c>
      <c r="I139" s="10" t="s">
        <v>20</v>
      </c>
      <c r="J139" s="11">
        <v>1.1000000000000001</v>
      </c>
      <c r="K139" s="12">
        <f t="shared" ref="K139:K149" si="15">G139*J139</f>
        <v>0</v>
      </c>
    </row>
    <row r="140" spans="1:11" hidden="1" x14ac:dyDescent="0.35">
      <c r="A140" s="103"/>
      <c r="B140" s="12" t="s">
        <v>4</v>
      </c>
      <c r="C140" s="10" t="s">
        <v>312</v>
      </c>
      <c r="D140" s="152"/>
      <c r="E140" s="250"/>
      <c r="F140" s="153" t="str">
        <f t="shared" si="10"/>
        <v/>
      </c>
      <c r="G140" s="256"/>
      <c r="H140" s="166">
        <f t="shared" si="12"/>
        <v>0</v>
      </c>
      <c r="I140" s="10" t="s">
        <v>20</v>
      </c>
      <c r="J140" s="11">
        <v>1.1000000000000001</v>
      </c>
      <c r="K140" s="12">
        <f t="shared" si="15"/>
        <v>0</v>
      </c>
    </row>
    <row r="141" spans="1:11" hidden="1" x14ac:dyDescent="0.35">
      <c r="A141" s="103"/>
      <c r="B141" s="12" t="s">
        <v>4</v>
      </c>
      <c r="C141" s="10" t="s">
        <v>313</v>
      </c>
      <c r="D141" s="152"/>
      <c r="E141" s="250"/>
      <c r="F141" s="153" t="str">
        <f t="shared" si="10"/>
        <v/>
      </c>
      <c r="G141" s="256"/>
      <c r="H141" s="166">
        <f t="shared" si="12"/>
        <v>0</v>
      </c>
      <c r="I141" s="10" t="s">
        <v>20</v>
      </c>
      <c r="J141" s="11">
        <v>1.3</v>
      </c>
      <c r="K141" s="12">
        <f t="shared" si="15"/>
        <v>0</v>
      </c>
    </row>
    <row r="142" spans="1:11" hidden="1" x14ac:dyDescent="0.35">
      <c r="A142" s="103"/>
      <c r="B142" s="12" t="s">
        <v>4</v>
      </c>
      <c r="C142" s="10" t="s">
        <v>314</v>
      </c>
      <c r="D142" s="152"/>
      <c r="E142" s="250"/>
      <c r="F142" s="153" t="str">
        <f t="shared" si="10"/>
        <v/>
      </c>
      <c r="G142" s="256"/>
      <c r="H142" s="166">
        <f t="shared" si="12"/>
        <v>0</v>
      </c>
      <c r="I142" s="10" t="s">
        <v>20</v>
      </c>
      <c r="J142" s="11">
        <v>1.36</v>
      </c>
      <c r="K142" s="12">
        <f t="shared" si="15"/>
        <v>0</v>
      </c>
    </row>
    <row r="143" spans="1:11" hidden="1" x14ac:dyDescent="0.35">
      <c r="A143" s="103"/>
      <c r="B143" s="12" t="s">
        <v>4</v>
      </c>
      <c r="C143" s="10" t="s">
        <v>315</v>
      </c>
      <c r="D143" s="152"/>
      <c r="E143" s="250"/>
      <c r="F143" s="153" t="str">
        <f t="shared" si="10"/>
        <v/>
      </c>
      <c r="G143" s="256"/>
      <c r="H143" s="166">
        <f t="shared" si="12"/>
        <v>0</v>
      </c>
      <c r="I143" s="10" t="s">
        <v>20</v>
      </c>
      <c r="J143" s="11">
        <v>1.3</v>
      </c>
      <c r="K143" s="12">
        <f t="shared" si="15"/>
        <v>0</v>
      </c>
    </row>
    <row r="144" spans="1:11" hidden="1" x14ac:dyDescent="0.35">
      <c r="A144" s="103"/>
      <c r="B144" s="12" t="s">
        <v>4</v>
      </c>
      <c r="C144" s="10" t="s">
        <v>316</v>
      </c>
      <c r="D144" s="152"/>
      <c r="E144" s="250"/>
      <c r="F144" s="153" t="str">
        <f t="shared" si="10"/>
        <v/>
      </c>
      <c r="G144" s="256"/>
      <c r="H144" s="166">
        <f t="shared" si="12"/>
        <v>0</v>
      </c>
      <c r="I144" s="10" t="s">
        <v>20</v>
      </c>
      <c r="J144" s="11">
        <v>1.35</v>
      </c>
      <c r="K144" s="12">
        <f t="shared" si="15"/>
        <v>0</v>
      </c>
    </row>
    <row r="145" spans="1:11" hidden="1" x14ac:dyDescent="0.35">
      <c r="A145" s="103"/>
      <c r="B145" s="12" t="s">
        <v>4</v>
      </c>
      <c r="C145" s="10" t="s">
        <v>317</v>
      </c>
      <c r="D145" s="152"/>
      <c r="E145" s="250"/>
      <c r="F145" s="153" t="str">
        <f t="shared" si="10"/>
        <v/>
      </c>
      <c r="G145" s="256"/>
      <c r="H145" s="166">
        <f t="shared" si="12"/>
        <v>0</v>
      </c>
      <c r="I145" s="10" t="s">
        <v>20</v>
      </c>
      <c r="J145" s="11">
        <v>1.28</v>
      </c>
      <c r="K145" s="12">
        <f t="shared" si="15"/>
        <v>0</v>
      </c>
    </row>
    <row r="146" spans="1:11" hidden="1" x14ac:dyDescent="0.35">
      <c r="A146" s="103"/>
      <c r="B146" s="12" t="s">
        <v>4</v>
      </c>
      <c r="C146" s="10" t="s">
        <v>318</v>
      </c>
      <c r="D146" s="152"/>
      <c r="E146" s="250"/>
      <c r="F146" s="153" t="str">
        <f t="shared" si="10"/>
        <v/>
      </c>
      <c r="G146" s="256"/>
      <c r="H146" s="166">
        <f t="shared" si="12"/>
        <v>0</v>
      </c>
      <c r="I146" s="10" t="s">
        <v>20</v>
      </c>
      <c r="J146" s="11">
        <v>1.1000000000000001</v>
      </c>
      <c r="K146" s="12">
        <f t="shared" si="15"/>
        <v>0</v>
      </c>
    </row>
    <row r="147" spans="1:11" hidden="1" x14ac:dyDescent="0.35">
      <c r="A147" s="103"/>
      <c r="B147" s="12" t="s">
        <v>4</v>
      </c>
      <c r="C147" s="10" t="s">
        <v>319</v>
      </c>
      <c r="D147" s="152"/>
      <c r="E147" s="250"/>
      <c r="F147" s="153" t="str">
        <f t="shared" si="10"/>
        <v/>
      </c>
      <c r="G147" s="256"/>
      <c r="H147" s="166">
        <f t="shared" si="12"/>
        <v>0</v>
      </c>
      <c r="I147" s="10" t="s">
        <v>20</v>
      </c>
      <c r="J147" s="11">
        <v>1.1000000000000001</v>
      </c>
      <c r="K147" s="12">
        <f t="shared" si="15"/>
        <v>0</v>
      </c>
    </row>
    <row r="148" spans="1:11" hidden="1" x14ac:dyDescent="0.35">
      <c r="A148" s="103"/>
      <c r="B148" s="12" t="s">
        <v>4</v>
      </c>
      <c r="C148" s="10" t="s">
        <v>320</v>
      </c>
      <c r="D148" s="152"/>
      <c r="E148" s="250"/>
      <c r="F148" s="153" t="str">
        <f t="shared" si="10"/>
        <v/>
      </c>
      <c r="G148" s="256"/>
      <c r="H148" s="166">
        <f t="shared" si="12"/>
        <v>0</v>
      </c>
      <c r="I148" s="10" t="s">
        <v>20</v>
      </c>
      <c r="J148" s="11">
        <v>1.1000000000000001</v>
      </c>
      <c r="K148" s="12">
        <f t="shared" si="15"/>
        <v>0</v>
      </c>
    </row>
    <row r="149" spans="1:11" hidden="1" x14ac:dyDescent="0.35">
      <c r="A149" s="103"/>
      <c r="B149" s="12" t="s">
        <v>4</v>
      </c>
      <c r="C149" s="10" t="s">
        <v>321</v>
      </c>
      <c r="D149" s="152"/>
      <c r="E149" s="250"/>
      <c r="F149" s="153" t="str">
        <f t="shared" si="10"/>
        <v/>
      </c>
      <c r="G149" s="256"/>
      <c r="H149" s="166">
        <f t="shared" si="12"/>
        <v>0</v>
      </c>
      <c r="I149" s="10" t="s">
        <v>20</v>
      </c>
      <c r="J149" s="11">
        <v>1.1000000000000001</v>
      </c>
      <c r="K149" s="12">
        <f t="shared" si="15"/>
        <v>0</v>
      </c>
    </row>
    <row r="150" spans="1:11" x14ac:dyDescent="0.35">
      <c r="A150" s="113" t="s">
        <v>41</v>
      </c>
      <c r="B150" s="124"/>
      <c r="C150" s="124"/>
      <c r="D150" s="230"/>
      <c r="E150" s="250"/>
      <c r="F150" s="165" t="str">
        <f t="shared" si="10"/>
        <v/>
      </c>
      <c r="G150" s="261"/>
      <c r="H150" s="247"/>
      <c r="I150" s="124"/>
      <c r="J150" s="124"/>
      <c r="K150" s="273"/>
    </row>
    <row r="151" spans="1:11" x14ac:dyDescent="0.35">
      <c r="A151" s="103"/>
      <c r="B151" s="12" t="s">
        <v>4</v>
      </c>
      <c r="C151" s="10" t="s">
        <v>24</v>
      </c>
      <c r="D151" s="152">
        <v>18</v>
      </c>
      <c r="E151" s="170">
        <v>28</v>
      </c>
      <c r="F151" s="153" t="str">
        <f t="shared" si="10"/>
        <v/>
      </c>
      <c r="G151" s="256"/>
      <c r="H151" s="166">
        <f t="shared" si="12"/>
        <v>28</v>
      </c>
      <c r="I151" s="10" t="s">
        <v>20</v>
      </c>
      <c r="J151" s="11">
        <v>3.04</v>
      </c>
      <c r="K151" s="12">
        <f>H151*J151</f>
        <v>85.12</v>
      </c>
    </row>
    <row r="152" spans="1:11" x14ac:dyDescent="0.35">
      <c r="A152" s="103"/>
      <c r="B152" s="12" t="s">
        <v>4</v>
      </c>
      <c r="C152" s="10" t="s">
        <v>80</v>
      </c>
      <c r="D152" s="152">
        <v>30</v>
      </c>
      <c r="E152" s="170">
        <v>31</v>
      </c>
      <c r="F152" s="153" t="str">
        <f t="shared" si="10"/>
        <v/>
      </c>
      <c r="G152" s="256"/>
      <c r="H152" s="166">
        <f t="shared" si="12"/>
        <v>31</v>
      </c>
      <c r="I152" s="10" t="s">
        <v>20</v>
      </c>
      <c r="J152" s="11">
        <v>2.31</v>
      </c>
      <c r="K152" s="12">
        <f t="shared" ref="K152:K168" si="16">H152*J152</f>
        <v>71.61</v>
      </c>
    </row>
    <row r="153" spans="1:11" x14ac:dyDescent="0.35">
      <c r="A153" s="103"/>
      <c r="B153" s="12" t="s">
        <v>4</v>
      </c>
      <c r="C153" s="10" t="s">
        <v>84</v>
      </c>
      <c r="D153" s="152">
        <v>18</v>
      </c>
      <c r="E153" s="170">
        <v>27</v>
      </c>
      <c r="F153" s="153" t="str">
        <f t="shared" ref="F153:F219" si="17">IF(E153="","",IF(D153-E153&gt;0,D153-E153,""))</f>
        <v/>
      </c>
      <c r="G153" s="256"/>
      <c r="H153" s="166">
        <f t="shared" si="12"/>
        <v>27</v>
      </c>
      <c r="I153" s="10" t="s">
        <v>20</v>
      </c>
      <c r="J153" s="11">
        <v>2.31</v>
      </c>
      <c r="K153" s="12">
        <f t="shared" si="16"/>
        <v>62.370000000000005</v>
      </c>
    </row>
    <row r="154" spans="1:11" hidden="1" x14ac:dyDescent="0.35">
      <c r="A154" s="103"/>
      <c r="B154" s="12" t="s">
        <v>4</v>
      </c>
      <c r="C154" s="10" t="s">
        <v>394</v>
      </c>
      <c r="D154" s="152"/>
      <c r="E154" s="170"/>
      <c r="F154" s="153" t="str">
        <f t="shared" si="17"/>
        <v/>
      </c>
      <c r="G154" s="256"/>
      <c r="H154" s="166">
        <f t="shared" si="12"/>
        <v>0</v>
      </c>
      <c r="I154" s="10" t="s">
        <v>20</v>
      </c>
      <c r="J154" s="11">
        <v>2.54</v>
      </c>
      <c r="K154" s="12">
        <f t="shared" si="16"/>
        <v>0</v>
      </c>
    </row>
    <row r="155" spans="1:11" hidden="1" x14ac:dyDescent="0.35">
      <c r="A155" s="103"/>
      <c r="B155" s="12" t="s">
        <v>4</v>
      </c>
      <c r="C155" s="10" t="s">
        <v>394</v>
      </c>
      <c r="D155" s="152"/>
      <c r="E155" s="170"/>
      <c r="F155" s="153" t="str">
        <f t="shared" si="17"/>
        <v/>
      </c>
      <c r="G155" s="256"/>
      <c r="H155" s="166">
        <f t="shared" si="12"/>
        <v>0</v>
      </c>
      <c r="I155" s="10" t="s">
        <v>20</v>
      </c>
      <c r="J155" s="11">
        <v>2.54</v>
      </c>
      <c r="K155" s="12">
        <f t="shared" si="16"/>
        <v>0</v>
      </c>
    </row>
    <row r="156" spans="1:11" x14ac:dyDescent="0.35">
      <c r="A156" s="103"/>
      <c r="B156" s="12" t="s">
        <v>4</v>
      </c>
      <c r="C156" s="10" t="s">
        <v>25</v>
      </c>
      <c r="D156" s="152">
        <v>18</v>
      </c>
      <c r="E156" s="170">
        <v>23</v>
      </c>
      <c r="F156" s="153" t="str">
        <f t="shared" si="17"/>
        <v/>
      </c>
      <c r="G156" s="256"/>
      <c r="H156" s="166">
        <f t="shared" si="12"/>
        <v>23</v>
      </c>
      <c r="I156" s="10" t="s">
        <v>20</v>
      </c>
      <c r="J156" s="11">
        <v>1.79</v>
      </c>
      <c r="K156" s="12">
        <f t="shared" si="16"/>
        <v>41.17</v>
      </c>
    </row>
    <row r="157" spans="1:11" hidden="1" x14ac:dyDescent="0.35">
      <c r="A157" s="103"/>
      <c r="B157" s="12" t="s">
        <v>4</v>
      </c>
      <c r="C157" s="10" t="s">
        <v>322</v>
      </c>
      <c r="D157" s="152"/>
      <c r="E157" s="170"/>
      <c r="F157" s="153" t="str">
        <f t="shared" si="17"/>
        <v/>
      </c>
      <c r="G157" s="256"/>
      <c r="H157" s="166">
        <f t="shared" si="12"/>
        <v>0</v>
      </c>
      <c r="I157" s="10" t="s">
        <v>20</v>
      </c>
      <c r="J157" s="11">
        <v>2.46</v>
      </c>
      <c r="K157" s="12">
        <f t="shared" si="16"/>
        <v>0</v>
      </c>
    </row>
    <row r="158" spans="1:11" x14ac:dyDescent="0.35">
      <c r="A158" s="103"/>
      <c r="B158" s="12" t="s">
        <v>4</v>
      </c>
      <c r="C158" s="10" t="s">
        <v>393</v>
      </c>
      <c r="D158" s="152">
        <v>30</v>
      </c>
      <c r="E158" s="170">
        <v>29</v>
      </c>
      <c r="F158" s="153">
        <f t="shared" si="17"/>
        <v>1</v>
      </c>
      <c r="G158" s="256">
        <v>1</v>
      </c>
      <c r="H158" s="166">
        <f t="shared" si="12"/>
        <v>29</v>
      </c>
      <c r="I158" s="10" t="s">
        <v>20</v>
      </c>
      <c r="J158" s="11">
        <v>2.46</v>
      </c>
      <c r="K158" s="12">
        <f t="shared" si="16"/>
        <v>71.34</v>
      </c>
    </row>
    <row r="159" spans="1:11" hidden="1" x14ac:dyDescent="0.35">
      <c r="A159" s="103"/>
      <c r="B159" s="12" t="s">
        <v>4</v>
      </c>
      <c r="C159" s="10" t="s">
        <v>43</v>
      </c>
      <c r="D159" s="152"/>
      <c r="E159" s="170"/>
      <c r="F159" s="153" t="str">
        <f t="shared" si="17"/>
        <v/>
      </c>
      <c r="G159" s="256"/>
      <c r="H159" s="166">
        <f t="shared" si="12"/>
        <v>0</v>
      </c>
      <c r="I159" s="10" t="s">
        <v>20</v>
      </c>
      <c r="J159" s="11">
        <v>2.5499999999999998</v>
      </c>
      <c r="K159" s="12">
        <f t="shared" si="16"/>
        <v>0</v>
      </c>
    </row>
    <row r="160" spans="1:11" x14ac:dyDescent="0.35">
      <c r="A160" s="103"/>
      <c r="B160" s="12" t="s">
        <v>4</v>
      </c>
      <c r="C160" s="10" t="s">
        <v>81</v>
      </c>
      <c r="D160" s="152">
        <v>30</v>
      </c>
      <c r="E160" s="170">
        <v>30</v>
      </c>
      <c r="F160" s="153" t="str">
        <f t="shared" si="17"/>
        <v/>
      </c>
      <c r="G160" s="256"/>
      <c r="H160" s="166">
        <f t="shared" si="12"/>
        <v>30</v>
      </c>
      <c r="I160" s="10" t="s">
        <v>20</v>
      </c>
      <c r="J160" s="11">
        <v>1.51</v>
      </c>
      <c r="K160" s="12">
        <f t="shared" si="16"/>
        <v>45.3</v>
      </c>
    </row>
    <row r="161" spans="1:11" x14ac:dyDescent="0.35">
      <c r="A161" s="103"/>
      <c r="B161" s="12" t="s">
        <v>4</v>
      </c>
      <c r="C161" s="10" t="s">
        <v>82</v>
      </c>
      <c r="D161" s="152">
        <v>30</v>
      </c>
      <c r="E161" s="170">
        <v>27</v>
      </c>
      <c r="F161" s="153">
        <f t="shared" si="17"/>
        <v>3</v>
      </c>
      <c r="G161" s="256"/>
      <c r="H161" s="166">
        <f t="shared" si="12"/>
        <v>30</v>
      </c>
      <c r="I161" s="10" t="s">
        <v>20</v>
      </c>
      <c r="J161" s="11">
        <v>1.51</v>
      </c>
      <c r="K161" s="12">
        <f t="shared" si="16"/>
        <v>45.3</v>
      </c>
    </row>
    <row r="162" spans="1:11" hidden="1" x14ac:dyDescent="0.35">
      <c r="A162" s="103"/>
      <c r="B162" s="12" t="s">
        <v>4</v>
      </c>
      <c r="C162" s="10" t="s">
        <v>323</v>
      </c>
      <c r="D162" s="152"/>
      <c r="E162" s="170"/>
      <c r="F162" s="153" t="str">
        <f t="shared" si="17"/>
        <v/>
      </c>
      <c r="G162" s="256"/>
      <c r="H162" s="166">
        <f t="shared" si="12"/>
        <v>0</v>
      </c>
      <c r="I162" s="10" t="s">
        <v>20</v>
      </c>
      <c r="J162" s="11">
        <v>1.54</v>
      </c>
      <c r="K162" s="12">
        <f t="shared" si="16"/>
        <v>0</v>
      </c>
    </row>
    <row r="163" spans="1:11" hidden="1" x14ac:dyDescent="0.35">
      <c r="A163" s="103"/>
      <c r="B163" s="12" t="s">
        <v>4</v>
      </c>
      <c r="C163" s="10" t="s">
        <v>324</v>
      </c>
      <c r="D163" s="152"/>
      <c r="E163" s="170"/>
      <c r="F163" s="153" t="str">
        <f t="shared" si="17"/>
        <v/>
      </c>
      <c r="G163" s="256"/>
      <c r="H163" s="166">
        <f t="shared" si="12"/>
        <v>0</v>
      </c>
      <c r="I163" s="10" t="s">
        <v>20</v>
      </c>
      <c r="J163" s="11">
        <v>1.6</v>
      </c>
      <c r="K163" s="12">
        <f t="shared" si="16"/>
        <v>0</v>
      </c>
    </row>
    <row r="164" spans="1:11" hidden="1" x14ac:dyDescent="0.35">
      <c r="A164" s="103"/>
      <c r="B164" s="12" t="s">
        <v>4</v>
      </c>
      <c r="C164" s="78" t="s">
        <v>325</v>
      </c>
      <c r="D164" s="224"/>
      <c r="E164" s="170"/>
      <c r="F164" s="153" t="str">
        <f t="shared" si="17"/>
        <v/>
      </c>
      <c r="G164" s="256"/>
      <c r="H164" s="166">
        <f t="shared" si="12"/>
        <v>0</v>
      </c>
      <c r="I164" s="10" t="s">
        <v>20</v>
      </c>
      <c r="J164" s="79">
        <v>49.95</v>
      </c>
      <c r="K164" s="12">
        <f t="shared" si="16"/>
        <v>0</v>
      </c>
    </row>
    <row r="165" spans="1:11" hidden="1" x14ac:dyDescent="0.35">
      <c r="A165" s="113" t="s">
        <v>44</v>
      </c>
      <c r="B165" s="124"/>
      <c r="C165" s="124"/>
      <c r="D165" s="230"/>
      <c r="E165" s="250"/>
      <c r="F165" s="165" t="str">
        <f t="shared" si="17"/>
        <v/>
      </c>
      <c r="G165" s="261"/>
      <c r="H165" s="247"/>
      <c r="I165" s="124"/>
      <c r="J165" s="124"/>
      <c r="K165" s="270"/>
    </row>
    <row r="166" spans="1:11" hidden="1" x14ac:dyDescent="0.35">
      <c r="A166" s="103"/>
      <c r="B166" s="12" t="s">
        <v>4</v>
      </c>
      <c r="C166" s="10" t="s">
        <v>48</v>
      </c>
      <c r="D166" s="152"/>
      <c r="E166" s="170"/>
      <c r="F166" s="153" t="str">
        <f t="shared" si="17"/>
        <v/>
      </c>
      <c r="G166" s="256"/>
      <c r="H166" s="166">
        <f t="shared" si="12"/>
        <v>0</v>
      </c>
      <c r="I166" s="10" t="s">
        <v>20</v>
      </c>
      <c r="J166" s="11">
        <v>1.94</v>
      </c>
      <c r="K166" s="12">
        <f t="shared" si="16"/>
        <v>0</v>
      </c>
    </row>
    <row r="167" spans="1:11" hidden="1" x14ac:dyDescent="0.35">
      <c r="A167" s="103"/>
      <c r="B167" s="12" t="s">
        <v>4</v>
      </c>
      <c r="C167" s="10" t="s">
        <v>49</v>
      </c>
      <c r="D167" s="152"/>
      <c r="E167" s="170"/>
      <c r="F167" s="153" t="str">
        <f t="shared" si="17"/>
        <v/>
      </c>
      <c r="G167" s="256"/>
      <c r="H167" s="166">
        <f t="shared" si="12"/>
        <v>0</v>
      </c>
      <c r="I167" s="10" t="s">
        <v>20</v>
      </c>
      <c r="J167" s="11">
        <v>1.94</v>
      </c>
      <c r="K167" s="12">
        <f t="shared" si="16"/>
        <v>0</v>
      </c>
    </row>
    <row r="168" spans="1:11" hidden="1" x14ac:dyDescent="0.35">
      <c r="A168" s="103"/>
      <c r="B168" s="12" t="s">
        <v>4</v>
      </c>
      <c r="C168" s="10" t="s">
        <v>50</v>
      </c>
      <c r="D168" s="152"/>
      <c r="E168" s="170"/>
      <c r="F168" s="153" t="str">
        <f t="shared" si="17"/>
        <v/>
      </c>
      <c r="G168" s="256"/>
      <c r="H168" s="166">
        <f t="shared" si="12"/>
        <v>0</v>
      </c>
      <c r="I168" s="10" t="s">
        <v>20</v>
      </c>
      <c r="J168" s="11">
        <v>1.94</v>
      </c>
      <c r="K168" s="12">
        <f t="shared" si="16"/>
        <v>0</v>
      </c>
    </row>
    <row r="169" spans="1:11" hidden="1" x14ac:dyDescent="0.35">
      <c r="A169" s="103"/>
      <c r="B169" s="12" t="s">
        <v>4</v>
      </c>
      <c r="C169" s="10" t="s">
        <v>415</v>
      </c>
      <c r="D169" s="152"/>
      <c r="E169" s="170"/>
      <c r="F169" s="153" t="str">
        <f t="shared" si="17"/>
        <v/>
      </c>
      <c r="G169" s="256"/>
      <c r="H169" s="166">
        <f t="shared" si="12"/>
        <v>0</v>
      </c>
      <c r="I169" s="10" t="s">
        <v>20</v>
      </c>
      <c r="J169" s="11">
        <v>1.98</v>
      </c>
      <c r="K169" s="12">
        <f t="shared" ref="K169:K175" si="18">G169*J169</f>
        <v>0</v>
      </c>
    </row>
    <row r="170" spans="1:11" hidden="1" x14ac:dyDescent="0.35">
      <c r="A170" s="103"/>
      <c r="B170" s="12" t="s">
        <v>4</v>
      </c>
      <c r="C170" s="10" t="s">
        <v>414</v>
      </c>
      <c r="D170" s="152"/>
      <c r="E170" s="170"/>
      <c r="F170" s="153" t="str">
        <f t="shared" si="17"/>
        <v/>
      </c>
      <c r="G170" s="256"/>
      <c r="H170" s="166">
        <f t="shared" si="12"/>
        <v>0</v>
      </c>
      <c r="I170" s="10" t="s">
        <v>20</v>
      </c>
      <c r="J170" s="11">
        <v>1.98</v>
      </c>
      <c r="K170" s="12">
        <f t="shared" si="18"/>
        <v>0</v>
      </c>
    </row>
    <row r="171" spans="1:11" hidden="1" x14ac:dyDescent="0.35">
      <c r="A171" s="103"/>
      <c r="B171" s="12" t="s">
        <v>4</v>
      </c>
      <c r="C171" s="10" t="s">
        <v>415</v>
      </c>
      <c r="D171" s="152"/>
      <c r="E171" s="170"/>
      <c r="F171" s="153" t="str">
        <f t="shared" si="17"/>
        <v/>
      </c>
      <c r="G171" s="256"/>
      <c r="H171" s="166">
        <f t="shared" si="12"/>
        <v>0</v>
      </c>
      <c r="I171" s="10" t="s">
        <v>20</v>
      </c>
      <c r="J171" s="11">
        <v>1.98</v>
      </c>
      <c r="K171" s="12">
        <f t="shared" si="18"/>
        <v>0</v>
      </c>
    </row>
    <row r="172" spans="1:11" hidden="1" x14ac:dyDescent="0.35">
      <c r="A172" s="103"/>
      <c r="B172" s="12" t="s">
        <v>4</v>
      </c>
      <c r="C172" s="10" t="s">
        <v>432</v>
      </c>
      <c r="D172" s="152"/>
      <c r="E172" s="170"/>
      <c r="F172" s="153" t="str">
        <f t="shared" si="17"/>
        <v/>
      </c>
      <c r="G172" s="256"/>
      <c r="H172" s="166">
        <f t="shared" si="12"/>
        <v>0</v>
      </c>
      <c r="I172" s="10" t="s">
        <v>20</v>
      </c>
      <c r="J172" s="11">
        <v>1.98</v>
      </c>
      <c r="K172" s="12">
        <f t="shared" si="18"/>
        <v>0</v>
      </c>
    </row>
    <row r="173" spans="1:11" hidden="1" x14ac:dyDescent="0.35">
      <c r="A173" s="103"/>
      <c r="B173" s="40" t="s">
        <v>4</v>
      </c>
      <c r="C173" s="41" t="s">
        <v>330</v>
      </c>
      <c r="D173" s="227"/>
      <c r="E173" s="170"/>
      <c r="F173" s="153" t="str">
        <f t="shared" si="17"/>
        <v/>
      </c>
      <c r="G173" s="256"/>
      <c r="H173" s="166">
        <f t="shared" si="12"/>
        <v>0</v>
      </c>
      <c r="I173" s="10" t="s">
        <v>20</v>
      </c>
      <c r="J173" s="11">
        <v>1.98</v>
      </c>
      <c r="K173" s="12">
        <f t="shared" si="18"/>
        <v>0</v>
      </c>
    </row>
    <row r="174" spans="1:11" hidden="1" x14ac:dyDescent="0.35">
      <c r="A174" s="103"/>
      <c r="B174" s="40" t="s">
        <v>4</v>
      </c>
      <c r="C174" s="41" t="s">
        <v>331</v>
      </c>
      <c r="D174" s="227"/>
      <c r="E174" s="170"/>
      <c r="F174" s="153" t="str">
        <f t="shared" si="17"/>
        <v/>
      </c>
      <c r="G174" s="256"/>
      <c r="H174" s="166">
        <f t="shared" si="12"/>
        <v>0</v>
      </c>
      <c r="I174" s="10" t="s">
        <v>20</v>
      </c>
      <c r="J174" s="11">
        <v>1.98</v>
      </c>
      <c r="K174" s="12">
        <f t="shared" si="18"/>
        <v>0</v>
      </c>
    </row>
    <row r="175" spans="1:11" hidden="1" x14ac:dyDescent="0.35">
      <c r="A175" s="103"/>
      <c r="B175" s="40" t="s">
        <v>4</v>
      </c>
      <c r="C175" s="41" t="s">
        <v>413</v>
      </c>
      <c r="D175" s="227"/>
      <c r="E175" s="170"/>
      <c r="F175" s="153" t="str">
        <f t="shared" si="17"/>
        <v/>
      </c>
      <c r="G175" s="256"/>
      <c r="H175" s="166">
        <f t="shared" ref="H175:H240" si="19">IF(ISNUMBER(E175),E175,0)+IF(ISNUMBER(F175),F175,0)-IF(ISNUMBER(G175),G175,0)</f>
        <v>0</v>
      </c>
      <c r="I175" s="41" t="s">
        <v>20</v>
      </c>
      <c r="J175" s="42">
        <v>1.98</v>
      </c>
      <c r="K175" s="12">
        <f t="shared" si="18"/>
        <v>0</v>
      </c>
    </row>
    <row r="176" spans="1:11" ht="15.5" hidden="1" x14ac:dyDescent="0.35">
      <c r="A176" s="114" t="s">
        <v>333</v>
      </c>
      <c r="B176" s="120"/>
      <c r="C176" s="120"/>
      <c r="D176" s="228"/>
      <c r="E176" s="170"/>
      <c r="F176" s="153" t="str">
        <f t="shared" si="17"/>
        <v/>
      </c>
      <c r="G176" s="292"/>
      <c r="H176" s="166">
        <f t="shared" si="19"/>
        <v>0</v>
      </c>
      <c r="I176" s="121"/>
      <c r="J176" s="122" t="s">
        <v>18</v>
      </c>
      <c r="K176" s="274">
        <f>SUM(K177:K186)</f>
        <v>0</v>
      </c>
    </row>
    <row r="177" spans="1:11" hidden="1" x14ac:dyDescent="0.35">
      <c r="A177" s="103"/>
      <c r="B177" s="12" t="s">
        <v>26</v>
      </c>
      <c r="C177" s="10" t="s">
        <v>334</v>
      </c>
      <c r="D177" s="152"/>
      <c r="E177" s="170"/>
      <c r="F177" s="153" t="str">
        <f t="shared" si="17"/>
        <v/>
      </c>
      <c r="G177" s="256"/>
      <c r="H177" s="166">
        <f t="shared" si="19"/>
        <v>0</v>
      </c>
      <c r="I177" s="10" t="s">
        <v>335</v>
      </c>
      <c r="J177" s="11">
        <v>20</v>
      </c>
      <c r="K177" s="12">
        <f t="shared" ref="K177:K186" si="20">G177*J177</f>
        <v>0</v>
      </c>
    </row>
    <row r="178" spans="1:11" hidden="1" x14ac:dyDescent="0.35">
      <c r="A178" s="103"/>
      <c r="B178" s="20" t="s">
        <v>26</v>
      </c>
      <c r="C178" s="18" t="s">
        <v>53</v>
      </c>
      <c r="D178" s="229"/>
      <c r="E178" s="170"/>
      <c r="F178" s="153" t="str">
        <f t="shared" si="17"/>
        <v/>
      </c>
      <c r="G178" s="256"/>
      <c r="H178" s="166">
        <f t="shared" si="19"/>
        <v>0</v>
      </c>
      <c r="I178" s="18" t="s">
        <v>20</v>
      </c>
      <c r="J178" s="19">
        <v>0.43</v>
      </c>
      <c r="K178" s="20">
        <f t="shared" si="20"/>
        <v>0</v>
      </c>
    </row>
    <row r="179" spans="1:11" hidden="1" x14ac:dyDescent="0.35">
      <c r="A179" s="103"/>
      <c r="B179" s="20" t="s">
        <v>26</v>
      </c>
      <c r="C179" s="18" t="s">
        <v>336</v>
      </c>
      <c r="D179" s="229"/>
      <c r="E179" s="170"/>
      <c r="F179" s="153" t="str">
        <f t="shared" si="17"/>
        <v/>
      </c>
      <c r="G179" s="256"/>
      <c r="H179" s="166">
        <f t="shared" si="19"/>
        <v>0</v>
      </c>
      <c r="I179" s="18" t="s">
        <v>20</v>
      </c>
      <c r="J179" s="19">
        <v>0.43</v>
      </c>
      <c r="K179" s="20">
        <f t="shared" si="20"/>
        <v>0</v>
      </c>
    </row>
    <row r="180" spans="1:11" hidden="1" x14ac:dyDescent="0.35">
      <c r="A180" s="103"/>
      <c r="B180" s="12" t="s">
        <v>26</v>
      </c>
      <c r="C180" s="10" t="s">
        <v>337</v>
      </c>
      <c r="D180" s="152"/>
      <c r="E180" s="170"/>
      <c r="F180" s="153" t="str">
        <f t="shared" si="17"/>
        <v/>
      </c>
      <c r="G180" s="256"/>
      <c r="H180" s="166">
        <f t="shared" si="19"/>
        <v>0</v>
      </c>
      <c r="I180" s="10" t="s">
        <v>20</v>
      </c>
      <c r="J180" s="11">
        <v>0.43</v>
      </c>
      <c r="K180" s="12">
        <f t="shared" si="20"/>
        <v>0</v>
      </c>
    </row>
    <row r="181" spans="1:11" hidden="1" x14ac:dyDescent="0.35">
      <c r="A181" s="103"/>
      <c r="B181" s="12" t="s">
        <v>26</v>
      </c>
      <c r="C181" s="10" t="s">
        <v>51</v>
      </c>
      <c r="D181" s="152"/>
      <c r="E181" s="170"/>
      <c r="F181" s="153" t="str">
        <f t="shared" si="17"/>
        <v/>
      </c>
      <c r="G181" s="256"/>
      <c r="H181" s="166">
        <f t="shared" si="19"/>
        <v>0</v>
      </c>
      <c r="I181" s="10" t="s">
        <v>61</v>
      </c>
      <c r="J181" s="11">
        <v>14</v>
      </c>
      <c r="K181" s="12">
        <f t="shared" si="20"/>
        <v>0</v>
      </c>
    </row>
    <row r="182" spans="1:11" hidden="1" x14ac:dyDescent="0.35">
      <c r="A182" s="103"/>
      <c r="B182" s="12" t="s">
        <v>26</v>
      </c>
      <c r="C182" s="10" t="s">
        <v>338</v>
      </c>
      <c r="D182" s="152"/>
      <c r="E182" s="170"/>
      <c r="F182" s="153" t="str">
        <f t="shared" si="17"/>
        <v/>
      </c>
      <c r="G182" s="256"/>
      <c r="H182" s="166">
        <f t="shared" si="19"/>
        <v>0</v>
      </c>
      <c r="I182" s="10" t="s">
        <v>61</v>
      </c>
      <c r="J182" s="11">
        <v>14.78</v>
      </c>
      <c r="K182" s="12">
        <f t="shared" si="20"/>
        <v>0</v>
      </c>
    </row>
    <row r="183" spans="1:11" hidden="1" x14ac:dyDescent="0.35">
      <c r="A183" s="103"/>
      <c r="B183" s="12" t="s">
        <v>26</v>
      </c>
      <c r="C183" s="10" t="s">
        <v>339</v>
      </c>
      <c r="D183" s="152"/>
      <c r="E183" s="170"/>
      <c r="F183" s="153" t="str">
        <f t="shared" si="17"/>
        <v/>
      </c>
      <c r="G183" s="256"/>
      <c r="H183" s="166">
        <f t="shared" si="19"/>
        <v>0</v>
      </c>
      <c r="I183" s="10" t="s">
        <v>61</v>
      </c>
      <c r="J183" s="11">
        <v>14.78</v>
      </c>
      <c r="K183" s="12">
        <f t="shared" si="20"/>
        <v>0</v>
      </c>
    </row>
    <row r="184" spans="1:11" hidden="1" x14ac:dyDescent="0.35">
      <c r="A184" s="103"/>
      <c r="B184" s="12" t="s">
        <v>26</v>
      </c>
      <c r="C184" s="10" t="s">
        <v>340</v>
      </c>
      <c r="D184" s="152"/>
      <c r="E184" s="170"/>
      <c r="F184" s="153" t="str">
        <f t="shared" si="17"/>
        <v/>
      </c>
      <c r="G184" s="256"/>
      <c r="H184" s="166">
        <f t="shared" si="19"/>
        <v>0</v>
      </c>
      <c r="I184" s="10" t="s">
        <v>61</v>
      </c>
      <c r="J184" s="11">
        <v>14.78</v>
      </c>
      <c r="K184" s="12">
        <f t="shared" si="20"/>
        <v>0</v>
      </c>
    </row>
    <row r="185" spans="1:11" hidden="1" x14ac:dyDescent="0.35">
      <c r="A185" s="103"/>
      <c r="B185" s="12" t="s">
        <v>26</v>
      </c>
      <c r="C185" s="10" t="s">
        <v>341</v>
      </c>
      <c r="D185" s="152"/>
      <c r="E185" s="170"/>
      <c r="F185" s="153" t="str">
        <f t="shared" si="17"/>
        <v/>
      </c>
      <c r="G185" s="256"/>
      <c r="H185" s="166">
        <f t="shared" si="19"/>
        <v>0</v>
      </c>
      <c r="I185" s="10" t="s">
        <v>61</v>
      </c>
      <c r="J185" s="11">
        <v>14.78</v>
      </c>
      <c r="K185" s="12">
        <f t="shared" si="20"/>
        <v>0</v>
      </c>
    </row>
    <row r="186" spans="1:11" hidden="1" x14ac:dyDescent="0.35">
      <c r="A186" s="103"/>
      <c r="B186" s="12" t="s">
        <v>26</v>
      </c>
      <c r="C186" s="10" t="s">
        <v>342</v>
      </c>
      <c r="D186" s="152"/>
      <c r="E186" s="170"/>
      <c r="F186" s="153" t="str">
        <f t="shared" si="17"/>
        <v/>
      </c>
      <c r="G186" s="256"/>
      <c r="H186" s="166">
        <f t="shared" si="19"/>
        <v>0</v>
      </c>
      <c r="I186" s="10" t="s">
        <v>61</v>
      </c>
      <c r="J186" s="11">
        <v>14.78</v>
      </c>
      <c r="K186" s="10">
        <f t="shared" si="20"/>
        <v>0</v>
      </c>
    </row>
    <row r="187" spans="1:11" ht="15.5" x14ac:dyDescent="0.35">
      <c r="A187" s="108" t="s">
        <v>343</v>
      </c>
      <c r="B187" s="108"/>
      <c r="C187" s="108"/>
      <c r="D187" s="223"/>
      <c r="E187" s="250"/>
      <c r="F187" s="165" t="str">
        <f t="shared" si="17"/>
        <v/>
      </c>
      <c r="G187" s="186"/>
      <c r="H187" s="247"/>
      <c r="I187" s="108"/>
      <c r="J187" s="106" t="s">
        <v>18</v>
      </c>
      <c r="K187" s="269">
        <f>SUM(K188:K192)</f>
        <v>237.83999999999997</v>
      </c>
    </row>
    <row r="188" spans="1:11" hidden="1" x14ac:dyDescent="0.35">
      <c r="A188" s="103"/>
      <c r="B188" s="7" t="s">
        <v>6</v>
      </c>
      <c r="C188" s="14" t="s">
        <v>344</v>
      </c>
      <c r="D188" s="152"/>
      <c r="E188" s="170"/>
      <c r="F188" s="153" t="str">
        <f t="shared" si="17"/>
        <v/>
      </c>
      <c r="G188" s="256"/>
      <c r="H188" s="166">
        <f t="shared" si="19"/>
        <v>0</v>
      </c>
      <c r="I188" s="14" t="s">
        <v>20</v>
      </c>
      <c r="J188" s="35">
        <v>0.79</v>
      </c>
      <c r="K188" s="7">
        <f>G188*J188</f>
        <v>0</v>
      </c>
    </row>
    <row r="189" spans="1:11" x14ac:dyDescent="0.35">
      <c r="A189" s="103"/>
      <c r="B189" s="7" t="s">
        <v>6</v>
      </c>
      <c r="C189" s="14" t="s">
        <v>345</v>
      </c>
      <c r="D189" s="152">
        <v>30</v>
      </c>
      <c r="E189" s="170">
        <v>34</v>
      </c>
      <c r="F189" s="153" t="str">
        <f t="shared" si="17"/>
        <v/>
      </c>
      <c r="G189" s="256"/>
      <c r="H189" s="166">
        <f t="shared" si="19"/>
        <v>34</v>
      </c>
      <c r="I189" s="14" t="s">
        <v>20</v>
      </c>
      <c r="J189" s="35">
        <v>2.76</v>
      </c>
      <c r="K189" s="7">
        <f>H189*J189</f>
        <v>93.839999999999989</v>
      </c>
    </row>
    <row r="190" spans="1:11" x14ac:dyDescent="0.35">
      <c r="A190" s="103"/>
      <c r="B190" s="7" t="s">
        <v>6</v>
      </c>
      <c r="C190" s="14" t="s">
        <v>346</v>
      </c>
      <c r="D190" s="152"/>
      <c r="E190" s="170"/>
      <c r="F190" s="153" t="str">
        <f t="shared" si="17"/>
        <v/>
      </c>
      <c r="G190" s="256"/>
      <c r="H190" s="166">
        <f t="shared" si="19"/>
        <v>0</v>
      </c>
      <c r="I190" s="14" t="s">
        <v>20</v>
      </c>
      <c r="J190" s="35">
        <v>1</v>
      </c>
      <c r="K190" s="7">
        <f t="shared" ref="K190:K192" si="21">H190*J190</f>
        <v>0</v>
      </c>
    </row>
    <row r="191" spans="1:11" x14ac:dyDescent="0.35">
      <c r="A191" s="103"/>
      <c r="B191" s="7" t="s">
        <v>6</v>
      </c>
      <c r="C191" s="14" t="s">
        <v>34</v>
      </c>
      <c r="D191" s="152">
        <v>40</v>
      </c>
      <c r="E191" s="170">
        <v>15</v>
      </c>
      <c r="F191" s="153">
        <f t="shared" si="17"/>
        <v>25</v>
      </c>
      <c r="G191" s="256"/>
      <c r="H191" s="166">
        <f t="shared" si="19"/>
        <v>40</v>
      </c>
      <c r="I191" s="14" t="s">
        <v>20</v>
      </c>
      <c r="J191" s="35">
        <v>1.8</v>
      </c>
      <c r="K191" s="7">
        <f t="shared" si="21"/>
        <v>72</v>
      </c>
    </row>
    <row r="192" spans="1:11" x14ac:dyDescent="0.35">
      <c r="A192" s="103"/>
      <c r="B192" s="7" t="s">
        <v>6</v>
      </c>
      <c r="C192" s="14" t="s">
        <v>35</v>
      </c>
      <c r="D192" s="152">
        <v>40</v>
      </c>
      <c r="E192" s="170">
        <v>12</v>
      </c>
      <c r="F192" s="153">
        <f t="shared" si="17"/>
        <v>28</v>
      </c>
      <c r="G192" s="256"/>
      <c r="H192" s="166">
        <f t="shared" si="19"/>
        <v>40</v>
      </c>
      <c r="I192" s="14" t="s">
        <v>20</v>
      </c>
      <c r="J192" s="35">
        <v>1.8</v>
      </c>
      <c r="K192" s="7">
        <f t="shared" si="21"/>
        <v>72</v>
      </c>
    </row>
    <row r="193" spans="1:11" ht="15.5" hidden="1" x14ac:dyDescent="0.35">
      <c r="A193" s="112" t="s">
        <v>347</v>
      </c>
      <c r="B193" s="116"/>
      <c r="C193" s="116"/>
      <c r="D193" s="228"/>
      <c r="E193" s="250"/>
      <c r="F193" s="165" t="str">
        <f t="shared" si="17"/>
        <v/>
      </c>
      <c r="G193" s="260"/>
      <c r="H193" s="247"/>
      <c r="I193" s="117"/>
      <c r="J193" s="118" t="s">
        <v>18</v>
      </c>
      <c r="K193" s="275">
        <f>SUM(K194:K194)</f>
        <v>0</v>
      </c>
    </row>
    <row r="194" spans="1:11" hidden="1" x14ac:dyDescent="0.35">
      <c r="A194" s="103"/>
      <c r="B194" s="12" t="s">
        <v>5</v>
      </c>
      <c r="C194" s="10" t="s">
        <v>55</v>
      </c>
      <c r="D194" s="152"/>
      <c r="E194" s="170"/>
      <c r="F194" s="153" t="str">
        <f t="shared" si="17"/>
        <v/>
      </c>
      <c r="G194" s="256"/>
      <c r="H194" s="166">
        <f t="shared" si="19"/>
        <v>0</v>
      </c>
      <c r="I194" s="10" t="s">
        <v>20</v>
      </c>
      <c r="J194" s="11">
        <v>1.01</v>
      </c>
      <c r="K194" s="12">
        <f>H194*J194</f>
        <v>0</v>
      </c>
    </row>
    <row r="195" spans="1:11" ht="15.5" x14ac:dyDescent="0.35">
      <c r="A195" s="112" t="s">
        <v>348</v>
      </c>
      <c r="B195" s="116"/>
      <c r="C195" s="116"/>
      <c r="D195" s="228"/>
      <c r="E195" s="250"/>
      <c r="F195" s="165" t="str">
        <f t="shared" si="17"/>
        <v/>
      </c>
      <c r="G195" s="260"/>
      <c r="H195" s="247"/>
      <c r="I195" s="117"/>
      <c r="J195" s="118" t="s">
        <v>18</v>
      </c>
      <c r="K195" s="275">
        <f>SUM(K196:K207)</f>
        <v>0</v>
      </c>
    </row>
    <row r="196" spans="1:11" hidden="1" x14ac:dyDescent="0.35">
      <c r="A196" s="103"/>
      <c r="B196" s="20" t="s">
        <v>8</v>
      </c>
      <c r="C196" s="18" t="s">
        <v>349</v>
      </c>
      <c r="D196" s="229"/>
      <c r="E196" s="170"/>
      <c r="F196" s="153" t="str">
        <f t="shared" si="17"/>
        <v/>
      </c>
      <c r="G196" s="256"/>
      <c r="H196" s="166">
        <f t="shared" si="19"/>
        <v>0</v>
      </c>
      <c r="I196" s="18" t="s">
        <v>27</v>
      </c>
      <c r="J196" s="20">
        <v>28.62</v>
      </c>
      <c r="K196" s="12">
        <f t="shared" ref="K196:K207" si="22">G196*J196</f>
        <v>0</v>
      </c>
    </row>
    <row r="197" spans="1:11" hidden="1" x14ac:dyDescent="0.35">
      <c r="A197" s="103"/>
      <c r="B197" s="12" t="s">
        <v>8</v>
      </c>
      <c r="C197" s="10" t="s">
        <v>350</v>
      </c>
      <c r="D197" s="152"/>
      <c r="E197" s="170"/>
      <c r="F197" s="153" t="str">
        <f t="shared" si="17"/>
        <v/>
      </c>
      <c r="G197" s="256"/>
      <c r="H197" s="166">
        <f t="shared" si="19"/>
        <v>0</v>
      </c>
      <c r="I197" s="10" t="s">
        <v>335</v>
      </c>
      <c r="J197" s="12">
        <v>30</v>
      </c>
      <c r="K197" s="12">
        <f t="shared" si="22"/>
        <v>0</v>
      </c>
    </row>
    <row r="198" spans="1:11" hidden="1" x14ac:dyDescent="0.35">
      <c r="A198" s="103"/>
      <c r="B198" s="12" t="s">
        <v>8</v>
      </c>
      <c r="C198" s="10" t="s">
        <v>351</v>
      </c>
      <c r="D198" s="152"/>
      <c r="E198" s="170"/>
      <c r="F198" s="153" t="str">
        <f t="shared" si="17"/>
        <v/>
      </c>
      <c r="G198" s="256"/>
      <c r="H198" s="166">
        <f t="shared" si="19"/>
        <v>0</v>
      </c>
      <c r="I198" s="10" t="s">
        <v>335</v>
      </c>
      <c r="J198" s="11">
        <v>1.1499999999999999</v>
      </c>
      <c r="K198" s="12">
        <f t="shared" si="22"/>
        <v>0</v>
      </c>
    </row>
    <row r="199" spans="1:11" hidden="1" x14ac:dyDescent="0.35">
      <c r="A199" s="103"/>
      <c r="B199" s="12" t="s">
        <v>8</v>
      </c>
      <c r="C199" s="10" t="s">
        <v>352</v>
      </c>
      <c r="D199" s="152"/>
      <c r="E199" s="170"/>
      <c r="F199" s="153" t="str">
        <f t="shared" si="17"/>
        <v/>
      </c>
      <c r="G199" s="256"/>
      <c r="H199" s="166">
        <f t="shared" si="19"/>
        <v>0</v>
      </c>
      <c r="I199" s="10">
        <v>23.83</v>
      </c>
      <c r="J199" s="11">
        <v>30.95</v>
      </c>
      <c r="K199" s="12">
        <f>H199*J199</f>
        <v>0</v>
      </c>
    </row>
    <row r="200" spans="1:11" hidden="1" x14ac:dyDescent="0.35">
      <c r="A200" s="103"/>
      <c r="B200" s="12" t="s">
        <v>8</v>
      </c>
      <c r="C200" s="10" t="s">
        <v>353</v>
      </c>
      <c r="D200" s="152"/>
      <c r="E200" s="170"/>
      <c r="F200" s="153" t="str">
        <f t="shared" si="17"/>
        <v/>
      </c>
      <c r="G200" s="256"/>
      <c r="H200" s="166">
        <f t="shared" si="19"/>
        <v>0</v>
      </c>
      <c r="I200" s="10" t="s">
        <v>27</v>
      </c>
      <c r="J200" s="11">
        <v>28.89</v>
      </c>
      <c r="K200" s="12">
        <f t="shared" ref="K200" si="23">H200*J200</f>
        <v>0</v>
      </c>
    </row>
    <row r="201" spans="1:11" hidden="1" x14ac:dyDescent="0.35">
      <c r="A201" s="103"/>
      <c r="B201" s="12" t="s">
        <v>8</v>
      </c>
      <c r="C201" s="10" t="s">
        <v>354</v>
      </c>
      <c r="D201" s="152"/>
      <c r="E201" s="170"/>
      <c r="F201" s="153" t="str">
        <f>IF(E201="","",IF(D201-E201&gt;0,D201-E201,""))</f>
        <v/>
      </c>
      <c r="G201" s="256"/>
      <c r="H201" s="166">
        <f>IF(ISNUMBER(E201),E201,0)+IF(ISNUMBER(F201),F201,0)-IF(ISNUMBER(G201),G201,0)</f>
        <v>0</v>
      </c>
      <c r="I201" s="10" t="s">
        <v>27</v>
      </c>
      <c r="J201" s="11">
        <v>19.37</v>
      </c>
      <c r="K201" s="12">
        <f>H201*J201</f>
        <v>0</v>
      </c>
    </row>
    <row r="202" spans="1:11" x14ac:dyDescent="0.35">
      <c r="A202" s="103"/>
      <c r="B202" s="12" t="s">
        <v>8</v>
      </c>
      <c r="C202" s="10" t="s">
        <v>429</v>
      </c>
      <c r="D202" s="152"/>
      <c r="E202" s="170"/>
      <c r="F202" s="153"/>
      <c r="G202" s="256"/>
      <c r="H202" s="166">
        <f t="shared" ref="H202:H204" si="24">IF(ISNUMBER(E202),E202,0)+IF(ISNUMBER(F202),F202,0)-IF(ISNUMBER(G202),G202,0)</f>
        <v>0</v>
      </c>
      <c r="I202" s="10">
        <v>14.07</v>
      </c>
      <c r="J202" s="11"/>
      <c r="K202" s="12"/>
    </row>
    <row r="203" spans="1:11" x14ac:dyDescent="0.35">
      <c r="A203" s="103"/>
      <c r="B203" s="12" t="s">
        <v>8</v>
      </c>
      <c r="C203" s="10" t="s">
        <v>430</v>
      </c>
      <c r="D203" s="152"/>
      <c r="E203" s="170"/>
      <c r="F203" s="153"/>
      <c r="G203" s="256"/>
      <c r="H203" s="166">
        <f t="shared" si="24"/>
        <v>0</v>
      </c>
      <c r="I203" s="10">
        <v>16.07</v>
      </c>
      <c r="J203" s="11"/>
      <c r="K203" s="12"/>
    </row>
    <row r="204" spans="1:11" x14ac:dyDescent="0.35">
      <c r="A204" s="103"/>
      <c r="B204" s="12" t="s">
        <v>8</v>
      </c>
      <c r="C204" s="10" t="s">
        <v>431</v>
      </c>
      <c r="D204" s="152"/>
      <c r="G204" s="256"/>
      <c r="H204" s="166">
        <f t="shared" si="24"/>
        <v>0</v>
      </c>
      <c r="I204" s="289">
        <v>14.62</v>
      </c>
      <c r="J204" s="11"/>
    </row>
    <row r="205" spans="1:11" x14ac:dyDescent="0.35">
      <c r="A205" s="103"/>
      <c r="B205" s="12" t="s">
        <v>8</v>
      </c>
      <c r="C205" s="10" t="s">
        <v>355</v>
      </c>
      <c r="D205" s="152">
        <v>3</v>
      </c>
      <c r="E205" s="170">
        <v>5</v>
      </c>
      <c r="F205" s="153" t="str">
        <f t="shared" si="17"/>
        <v/>
      </c>
      <c r="G205" s="256"/>
      <c r="H205" s="166">
        <f t="shared" si="19"/>
        <v>5</v>
      </c>
      <c r="I205" s="10" t="s">
        <v>61</v>
      </c>
      <c r="J205" s="11">
        <v>17.11</v>
      </c>
      <c r="K205" s="12">
        <f t="shared" si="22"/>
        <v>0</v>
      </c>
    </row>
    <row r="206" spans="1:11" x14ac:dyDescent="0.35">
      <c r="A206" s="103"/>
      <c r="B206" s="12" t="s">
        <v>8</v>
      </c>
      <c r="C206" s="10" t="s">
        <v>356</v>
      </c>
      <c r="D206" s="152">
        <v>3</v>
      </c>
      <c r="E206" s="170">
        <v>7</v>
      </c>
      <c r="F206" s="153" t="str">
        <f t="shared" si="17"/>
        <v/>
      </c>
      <c r="G206" s="256"/>
      <c r="H206" s="166">
        <f t="shared" si="19"/>
        <v>7</v>
      </c>
      <c r="I206" s="10" t="s">
        <v>61</v>
      </c>
      <c r="J206" s="11">
        <v>22.13</v>
      </c>
      <c r="K206" s="12">
        <f t="shared" si="22"/>
        <v>0</v>
      </c>
    </row>
    <row r="207" spans="1:11" x14ac:dyDescent="0.35">
      <c r="A207" s="103"/>
      <c r="B207" s="40" t="s">
        <v>8</v>
      </c>
      <c r="C207" s="41" t="s">
        <v>357</v>
      </c>
      <c r="D207" s="227">
        <v>3</v>
      </c>
      <c r="E207" s="170">
        <v>3</v>
      </c>
      <c r="F207" s="153" t="str">
        <f t="shared" si="17"/>
        <v/>
      </c>
      <c r="G207" s="256"/>
      <c r="H207" s="166">
        <f t="shared" si="19"/>
        <v>3</v>
      </c>
      <c r="I207" s="41" t="s">
        <v>61</v>
      </c>
      <c r="J207" s="42">
        <v>18.8</v>
      </c>
      <c r="K207" s="40">
        <f t="shared" si="22"/>
        <v>0</v>
      </c>
    </row>
    <row r="208" spans="1:11" ht="15.5" hidden="1" x14ac:dyDescent="0.35">
      <c r="A208" s="112" t="s">
        <v>358</v>
      </c>
      <c r="B208" s="116"/>
      <c r="C208" s="116"/>
      <c r="D208" s="228"/>
      <c r="E208" s="170"/>
      <c r="F208" s="165" t="str">
        <f t="shared" si="17"/>
        <v/>
      </c>
      <c r="G208" s="260"/>
      <c r="H208" s="247"/>
      <c r="I208" s="117"/>
      <c r="J208" s="118" t="s">
        <v>18</v>
      </c>
      <c r="K208" s="275">
        <f>SUM(K209)</f>
        <v>0</v>
      </c>
    </row>
    <row r="209" spans="1:11" hidden="1" x14ac:dyDescent="0.35">
      <c r="A209" s="103"/>
      <c r="B209" s="13" t="s">
        <v>11</v>
      </c>
      <c r="C209" s="18" t="s">
        <v>359</v>
      </c>
      <c r="D209" s="229"/>
      <c r="E209" s="170"/>
      <c r="F209" s="153" t="str">
        <f t="shared" si="17"/>
        <v/>
      </c>
      <c r="G209" s="256"/>
      <c r="H209" s="166">
        <f t="shared" si="19"/>
        <v>0</v>
      </c>
      <c r="I209" s="10" t="s">
        <v>52</v>
      </c>
      <c r="J209" s="11">
        <v>11.63</v>
      </c>
      <c r="K209" s="12">
        <f>G209*J209</f>
        <v>0</v>
      </c>
    </row>
    <row r="210" spans="1:11" ht="15.5" hidden="1" x14ac:dyDescent="0.35">
      <c r="A210" s="108" t="s">
        <v>360</v>
      </c>
      <c r="B210" s="108"/>
      <c r="C210" s="108"/>
      <c r="D210" s="223"/>
      <c r="E210" s="250"/>
      <c r="F210" s="165" t="str">
        <f t="shared" si="17"/>
        <v/>
      </c>
      <c r="G210" s="186"/>
      <c r="H210" s="247"/>
      <c r="I210" s="108"/>
      <c r="J210" s="106" t="s">
        <v>18</v>
      </c>
      <c r="K210" s="269">
        <f>SUM(K211:K212)</f>
        <v>0</v>
      </c>
    </row>
    <row r="211" spans="1:11" hidden="1" x14ac:dyDescent="0.35">
      <c r="A211" s="103"/>
      <c r="B211" s="12" t="s">
        <v>12</v>
      </c>
      <c r="C211" s="10" t="s">
        <v>70</v>
      </c>
      <c r="D211" s="152"/>
      <c r="E211" s="170"/>
      <c r="F211" s="153" t="str">
        <f t="shared" si="17"/>
        <v/>
      </c>
      <c r="G211" s="256"/>
      <c r="H211" s="166">
        <f t="shared" si="19"/>
        <v>0</v>
      </c>
      <c r="I211" s="10" t="s">
        <v>27</v>
      </c>
      <c r="J211" s="11">
        <v>20.7</v>
      </c>
      <c r="K211" s="12">
        <f>H211*J211</f>
        <v>0</v>
      </c>
    </row>
    <row r="212" spans="1:11" hidden="1" x14ac:dyDescent="0.35">
      <c r="A212" s="103"/>
      <c r="B212" s="12" t="s">
        <v>12</v>
      </c>
      <c r="C212" s="10" t="s">
        <v>71</v>
      </c>
      <c r="D212" s="152"/>
      <c r="E212" s="170"/>
      <c r="F212" s="153" t="str">
        <f t="shared" si="17"/>
        <v/>
      </c>
      <c r="G212" s="256"/>
      <c r="H212" s="166">
        <f t="shared" si="19"/>
        <v>0</v>
      </c>
      <c r="I212" s="10" t="s">
        <v>27</v>
      </c>
      <c r="J212" s="11">
        <v>13.7</v>
      </c>
      <c r="K212" s="12">
        <f>H212*J212</f>
        <v>0</v>
      </c>
    </row>
    <row r="213" spans="1:11" ht="15.5" hidden="1" x14ac:dyDescent="0.35">
      <c r="A213" s="108" t="s">
        <v>361</v>
      </c>
      <c r="B213" s="108"/>
      <c r="C213" s="108"/>
      <c r="D213" s="223"/>
      <c r="E213" s="250"/>
      <c r="F213" s="165" t="str">
        <f t="shared" si="17"/>
        <v/>
      </c>
      <c r="G213" s="186"/>
      <c r="H213" s="247"/>
      <c r="I213" s="108"/>
      <c r="J213" s="106" t="s">
        <v>18</v>
      </c>
      <c r="K213" s="269">
        <f>SUM(K214:K217)</f>
        <v>0</v>
      </c>
    </row>
    <row r="214" spans="1:11" hidden="1" x14ac:dyDescent="0.35">
      <c r="A214" s="103"/>
      <c r="B214" s="12" t="s">
        <v>10</v>
      </c>
      <c r="C214" s="10" t="s">
        <v>362</v>
      </c>
      <c r="D214" s="152"/>
      <c r="E214" s="170"/>
      <c r="F214" s="153" t="str">
        <f t="shared" si="17"/>
        <v/>
      </c>
      <c r="G214" s="256"/>
      <c r="H214" s="166">
        <f t="shared" si="19"/>
        <v>0</v>
      </c>
      <c r="I214" s="10" t="s">
        <v>20</v>
      </c>
      <c r="J214" s="11">
        <v>11.08</v>
      </c>
      <c r="K214" s="12">
        <f>H214*J214</f>
        <v>0</v>
      </c>
    </row>
    <row r="215" spans="1:11" hidden="1" x14ac:dyDescent="0.35">
      <c r="A215" s="103"/>
      <c r="B215" s="12" t="s">
        <v>10</v>
      </c>
      <c r="C215" s="10" t="s">
        <v>363</v>
      </c>
      <c r="D215" s="152"/>
      <c r="E215" s="170"/>
      <c r="F215" s="153" t="str">
        <f t="shared" si="17"/>
        <v/>
      </c>
      <c r="G215" s="256"/>
      <c r="H215" s="166">
        <f t="shared" si="19"/>
        <v>0</v>
      </c>
      <c r="I215" s="10" t="s">
        <v>27</v>
      </c>
      <c r="J215" s="11">
        <v>16.21</v>
      </c>
      <c r="K215" s="12">
        <f t="shared" ref="K215:K217" si="25">H215*J215</f>
        <v>0</v>
      </c>
    </row>
    <row r="216" spans="1:11" hidden="1" x14ac:dyDescent="0.35">
      <c r="A216" s="103"/>
      <c r="B216" s="12" t="s">
        <v>10</v>
      </c>
      <c r="C216" s="10" t="s">
        <v>364</v>
      </c>
      <c r="D216" s="152"/>
      <c r="E216" s="170"/>
      <c r="F216" s="153" t="str">
        <f t="shared" si="17"/>
        <v/>
      </c>
      <c r="G216" s="256"/>
      <c r="H216" s="166">
        <f t="shared" si="19"/>
        <v>0</v>
      </c>
      <c r="I216" s="10" t="s">
        <v>27</v>
      </c>
      <c r="J216" s="11">
        <v>19.350000000000001</v>
      </c>
      <c r="K216" s="12">
        <f t="shared" si="25"/>
        <v>0</v>
      </c>
    </row>
    <row r="217" spans="1:11" hidden="1" x14ac:dyDescent="0.35">
      <c r="A217" s="103"/>
      <c r="B217" s="12" t="s">
        <v>10</v>
      </c>
      <c r="C217" s="10" t="s">
        <v>365</v>
      </c>
      <c r="D217" s="152"/>
      <c r="E217" s="170"/>
      <c r="F217" s="153" t="str">
        <f t="shared" si="17"/>
        <v/>
      </c>
      <c r="G217" s="256"/>
      <c r="H217" s="166">
        <f t="shared" si="19"/>
        <v>0</v>
      </c>
      <c r="I217" s="10" t="s">
        <v>27</v>
      </c>
      <c r="J217" s="11">
        <v>19.809999999999999</v>
      </c>
      <c r="K217" s="12">
        <f t="shared" si="25"/>
        <v>0</v>
      </c>
    </row>
    <row r="218" spans="1:11" ht="15.5" hidden="1" x14ac:dyDescent="0.35">
      <c r="A218" s="108" t="s">
        <v>366</v>
      </c>
      <c r="B218" s="108"/>
      <c r="C218" s="108"/>
      <c r="D218" s="223"/>
      <c r="E218" s="170"/>
      <c r="F218" s="165" t="str">
        <f t="shared" si="17"/>
        <v/>
      </c>
      <c r="G218" s="186"/>
      <c r="H218" s="247"/>
      <c r="I218" s="108"/>
      <c r="J218" s="106" t="s">
        <v>18</v>
      </c>
      <c r="K218" s="269">
        <f>SUM(K219:K219)</f>
        <v>0</v>
      </c>
    </row>
    <row r="219" spans="1:11" hidden="1" x14ac:dyDescent="0.35">
      <c r="A219" s="103"/>
      <c r="B219" s="12" t="s">
        <v>28</v>
      </c>
      <c r="C219" s="10" t="s">
        <v>29</v>
      </c>
      <c r="D219" s="152"/>
      <c r="E219" s="170"/>
      <c r="F219" s="153" t="str">
        <f t="shared" si="17"/>
        <v/>
      </c>
      <c r="G219" s="256"/>
      <c r="H219" s="166">
        <f t="shared" si="19"/>
        <v>0</v>
      </c>
      <c r="I219" s="10" t="s">
        <v>54</v>
      </c>
      <c r="J219" s="11">
        <v>104</v>
      </c>
      <c r="K219" s="12">
        <f>+J219*G219</f>
        <v>0</v>
      </c>
    </row>
    <row r="220" spans="1:11" ht="15.5" x14ac:dyDescent="0.35">
      <c r="A220" s="108" t="s">
        <v>367</v>
      </c>
      <c r="B220" s="108"/>
      <c r="C220" s="108"/>
      <c r="D220" s="223"/>
      <c r="E220" s="250"/>
      <c r="F220" s="165" t="str">
        <f t="shared" ref="F220:F255" si="26">IF(E220="","",IF(D220-E220&gt;0,D220-E220,""))</f>
        <v/>
      </c>
      <c r="G220" s="186"/>
      <c r="H220" s="247"/>
      <c r="I220" s="108"/>
      <c r="J220" s="106" t="s">
        <v>18</v>
      </c>
      <c r="K220" s="269">
        <f>SUM(K224:K239)</f>
        <v>111.47</v>
      </c>
    </row>
    <row r="221" spans="1:11" x14ac:dyDescent="0.35">
      <c r="A221" s="103"/>
      <c r="B221" s="12" t="s">
        <v>9</v>
      </c>
      <c r="C221" s="10" t="s">
        <v>423</v>
      </c>
      <c r="D221" s="152">
        <v>1</v>
      </c>
      <c r="E221" s="170">
        <v>1</v>
      </c>
      <c r="F221" s="153" t="str">
        <f t="shared" si="26"/>
        <v/>
      </c>
      <c r="G221" s="256"/>
      <c r="H221" s="166">
        <f t="shared" si="19"/>
        <v>1</v>
      </c>
      <c r="I221" s="10" t="s">
        <v>20</v>
      </c>
      <c r="J221" s="11">
        <v>78</v>
      </c>
      <c r="K221" s="50">
        <f t="shared" ref="K221:K240" si="27">G221*J221</f>
        <v>0</v>
      </c>
    </row>
    <row r="222" spans="1:11" x14ac:dyDescent="0.35">
      <c r="A222" s="103"/>
      <c r="B222" s="12" t="s">
        <v>9</v>
      </c>
      <c r="C222" s="10" t="s">
        <v>424</v>
      </c>
      <c r="D222" s="152">
        <v>2</v>
      </c>
      <c r="E222" s="170">
        <v>1</v>
      </c>
      <c r="F222" s="153">
        <f t="shared" si="26"/>
        <v>1</v>
      </c>
      <c r="G222" s="256"/>
      <c r="H222" s="166">
        <f t="shared" si="19"/>
        <v>2</v>
      </c>
      <c r="I222" s="10" t="s">
        <v>61</v>
      </c>
      <c r="J222" s="51">
        <v>107.12</v>
      </c>
      <c r="K222" s="50">
        <f t="shared" si="27"/>
        <v>0</v>
      </c>
    </row>
    <row r="223" spans="1:11" x14ac:dyDescent="0.35">
      <c r="A223" s="103"/>
      <c r="B223" s="12" t="s">
        <v>9</v>
      </c>
      <c r="C223" s="10" t="s">
        <v>369</v>
      </c>
      <c r="D223" s="152"/>
      <c r="E223" s="170"/>
      <c r="F223" s="153" t="str">
        <f t="shared" si="26"/>
        <v/>
      </c>
      <c r="G223" s="256"/>
      <c r="H223" s="166">
        <f t="shared" si="19"/>
        <v>0</v>
      </c>
      <c r="I223" s="10" t="s">
        <v>20</v>
      </c>
      <c r="J223" s="11">
        <v>0.04</v>
      </c>
      <c r="K223" s="50">
        <f t="shared" si="27"/>
        <v>0</v>
      </c>
    </row>
    <row r="224" spans="1:11" x14ac:dyDescent="0.35">
      <c r="A224" s="103"/>
      <c r="B224" s="12" t="s">
        <v>9</v>
      </c>
      <c r="C224" s="10" t="s">
        <v>370</v>
      </c>
      <c r="D224" s="152"/>
      <c r="E224" s="170"/>
      <c r="F224" s="153" t="str">
        <f t="shared" si="26"/>
        <v/>
      </c>
      <c r="G224" s="256"/>
      <c r="H224" s="166">
        <f t="shared" si="19"/>
        <v>0</v>
      </c>
      <c r="I224" s="10" t="s">
        <v>20</v>
      </c>
      <c r="J224" s="11">
        <v>7.0999999999999994E-2</v>
      </c>
      <c r="K224" s="233">
        <f>H224*J224</f>
        <v>0</v>
      </c>
    </row>
    <row r="225" spans="1:11" x14ac:dyDescent="0.35">
      <c r="A225" s="103"/>
      <c r="B225" s="12" t="s">
        <v>9</v>
      </c>
      <c r="C225" s="10" t="s">
        <v>411</v>
      </c>
      <c r="D225" s="152"/>
      <c r="E225" s="170"/>
      <c r="F225" s="153" t="str">
        <f t="shared" si="26"/>
        <v/>
      </c>
      <c r="G225" s="256"/>
      <c r="H225" s="166">
        <f t="shared" si="19"/>
        <v>0</v>
      </c>
      <c r="I225" s="10" t="s">
        <v>20</v>
      </c>
      <c r="J225" s="11">
        <v>1.97</v>
      </c>
      <c r="K225" s="233">
        <f>H225*J225</f>
        <v>0</v>
      </c>
    </row>
    <row r="226" spans="1:11" x14ac:dyDescent="0.35">
      <c r="A226" s="103"/>
      <c r="B226" s="12" t="s">
        <v>9</v>
      </c>
      <c r="C226" s="10" t="s">
        <v>371</v>
      </c>
      <c r="D226" s="152"/>
      <c r="E226" s="170"/>
      <c r="F226" s="153" t="str">
        <f t="shared" si="26"/>
        <v/>
      </c>
      <c r="G226" s="256"/>
      <c r="H226" s="166">
        <f t="shared" si="19"/>
        <v>0</v>
      </c>
      <c r="I226" s="10" t="s">
        <v>61</v>
      </c>
      <c r="J226" s="11">
        <v>163.80000000000001</v>
      </c>
      <c r="K226" s="233">
        <f t="shared" ref="K226:K239" si="28">H226*J226</f>
        <v>0</v>
      </c>
    </row>
    <row r="227" spans="1:11" x14ac:dyDescent="0.35">
      <c r="A227" s="103"/>
      <c r="B227" s="12" t="s">
        <v>9</v>
      </c>
      <c r="C227" s="10" t="s">
        <v>410</v>
      </c>
      <c r="D227" s="152"/>
      <c r="E227" s="170"/>
      <c r="F227" s="153" t="str">
        <f t="shared" si="26"/>
        <v/>
      </c>
      <c r="G227" s="256"/>
      <c r="H227" s="166">
        <f t="shared" si="19"/>
        <v>0</v>
      </c>
      <c r="I227" s="10" t="s">
        <v>61</v>
      </c>
      <c r="J227" s="11">
        <v>49.33</v>
      </c>
      <c r="K227" s="233">
        <f t="shared" si="28"/>
        <v>0</v>
      </c>
    </row>
    <row r="228" spans="1:11" x14ac:dyDescent="0.35">
      <c r="A228" s="103"/>
      <c r="B228" s="12" t="s">
        <v>9</v>
      </c>
      <c r="C228" s="10" t="s">
        <v>373</v>
      </c>
      <c r="D228" s="152"/>
      <c r="E228" s="170"/>
      <c r="F228" s="153" t="str">
        <f t="shared" si="26"/>
        <v/>
      </c>
      <c r="G228" s="256"/>
      <c r="H228" s="166">
        <f t="shared" si="19"/>
        <v>0</v>
      </c>
      <c r="I228" s="10" t="s">
        <v>61</v>
      </c>
      <c r="J228" s="11">
        <v>105.6</v>
      </c>
      <c r="K228" s="233">
        <f t="shared" si="28"/>
        <v>0</v>
      </c>
    </row>
    <row r="229" spans="1:11" ht="13.75" customHeight="1" x14ac:dyDescent="0.35">
      <c r="A229" s="103"/>
      <c r="B229" s="12" t="s">
        <v>9</v>
      </c>
      <c r="C229" s="10" t="s">
        <v>374</v>
      </c>
      <c r="D229" s="152"/>
      <c r="E229" s="170"/>
      <c r="F229" s="153" t="str">
        <f t="shared" si="26"/>
        <v/>
      </c>
      <c r="G229" s="256"/>
      <c r="H229" s="166">
        <f t="shared" si="19"/>
        <v>0</v>
      </c>
      <c r="I229" s="10" t="s">
        <v>61</v>
      </c>
      <c r="J229" s="11">
        <v>114.75</v>
      </c>
      <c r="K229" s="233">
        <f t="shared" si="28"/>
        <v>0</v>
      </c>
    </row>
    <row r="230" spans="1:11" x14ac:dyDescent="0.35">
      <c r="A230" s="103"/>
      <c r="B230" s="12" t="s">
        <v>9</v>
      </c>
      <c r="C230" s="10" t="s">
        <v>375</v>
      </c>
      <c r="D230" s="152"/>
      <c r="E230" s="170"/>
      <c r="F230" s="153" t="str">
        <f t="shared" si="26"/>
        <v/>
      </c>
      <c r="G230" s="256"/>
      <c r="H230" s="166">
        <f t="shared" si="19"/>
        <v>0</v>
      </c>
      <c r="I230" s="10" t="s">
        <v>61</v>
      </c>
      <c r="J230" s="11">
        <v>105.55</v>
      </c>
      <c r="K230" s="233">
        <f t="shared" si="28"/>
        <v>0</v>
      </c>
    </row>
    <row r="231" spans="1:11" x14ac:dyDescent="0.35">
      <c r="A231" s="103"/>
      <c r="B231" s="12" t="s">
        <v>9</v>
      </c>
      <c r="C231" s="10" t="s">
        <v>376</v>
      </c>
      <c r="D231" s="152"/>
      <c r="E231" s="170"/>
      <c r="F231" s="153" t="str">
        <f t="shared" si="26"/>
        <v/>
      </c>
      <c r="G231" s="256"/>
      <c r="H231" s="166">
        <f t="shared" si="19"/>
        <v>0</v>
      </c>
      <c r="I231" s="10" t="s">
        <v>61</v>
      </c>
      <c r="J231" s="11">
        <v>33.25</v>
      </c>
      <c r="K231" s="233">
        <f t="shared" si="28"/>
        <v>0</v>
      </c>
    </row>
    <row r="232" spans="1:11" x14ac:dyDescent="0.35">
      <c r="A232" s="103"/>
      <c r="B232" s="12" t="s">
        <v>9</v>
      </c>
      <c r="C232" s="10" t="s">
        <v>377</v>
      </c>
      <c r="D232" s="152"/>
      <c r="E232" s="170"/>
      <c r="F232" s="153" t="str">
        <f t="shared" si="26"/>
        <v/>
      </c>
      <c r="G232" s="256"/>
      <c r="H232" s="166">
        <f t="shared" si="19"/>
        <v>0</v>
      </c>
      <c r="I232" s="10" t="s">
        <v>20</v>
      </c>
      <c r="J232" s="11">
        <v>0.28999999999999998</v>
      </c>
      <c r="K232" s="233">
        <f t="shared" si="28"/>
        <v>0</v>
      </c>
    </row>
    <row r="233" spans="1:11" x14ac:dyDescent="0.35">
      <c r="A233" s="103"/>
      <c r="B233" s="12" t="s">
        <v>9</v>
      </c>
      <c r="C233" s="10" t="s">
        <v>378</v>
      </c>
      <c r="D233" s="152"/>
      <c r="E233" s="170"/>
      <c r="F233" s="153" t="str">
        <f t="shared" si="26"/>
        <v/>
      </c>
      <c r="G233" s="256"/>
      <c r="H233" s="166">
        <f t="shared" si="19"/>
        <v>0</v>
      </c>
      <c r="I233" s="10" t="s">
        <v>61</v>
      </c>
      <c r="J233" s="35">
        <v>37.85</v>
      </c>
      <c r="K233" s="233">
        <f t="shared" si="28"/>
        <v>0</v>
      </c>
    </row>
    <row r="234" spans="1:11" x14ac:dyDescent="0.35">
      <c r="A234" s="103"/>
      <c r="B234" s="12" t="s">
        <v>9</v>
      </c>
      <c r="C234" s="10" t="s">
        <v>425</v>
      </c>
      <c r="D234" s="152">
        <v>1</v>
      </c>
      <c r="E234" s="170">
        <v>1</v>
      </c>
      <c r="F234" s="153" t="str">
        <f t="shared" si="26"/>
        <v/>
      </c>
      <c r="G234" s="256"/>
      <c r="H234" s="166">
        <f t="shared" si="19"/>
        <v>1</v>
      </c>
      <c r="I234" s="10" t="s">
        <v>61</v>
      </c>
      <c r="J234" s="35">
        <v>111.47</v>
      </c>
      <c r="K234" s="233">
        <f t="shared" si="28"/>
        <v>111.47</v>
      </c>
    </row>
    <row r="235" spans="1:11" x14ac:dyDescent="0.35">
      <c r="A235" s="103"/>
      <c r="B235" s="12" t="s">
        <v>9</v>
      </c>
      <c r="C235" s="10" t="s">
        <v>379</v>
      </c>
      <c r="D235" s="152"/>
      <c r="E235" s="170"/>
      <c r="F235" s="153" t="str">
        <f t="shared" si="26"/>
        <v/>
      </c>
      <c r="G235" s="256"/>
      <c r="H235" s="166">
        <f t="shared" si="19"/>
        <v>0</v>
      </c>
      <c r="I235" s="10" t="s">
        <v>61</v>
      </c>
      <c r="J235" s="35">
        <v>174.97</v>
      </c>
      <c r="K235" s="233">
        <f t="shared" si="28"/>
        <v>0</v>
      </c>
    </row>
    <row r="236" spans="1:11" x14ac:dyDescent="0.35">
      <c r="A236" s="103"/>
      <c r="B236" s="12" t="s">
        <v>9</v>
      </c>
      <c r="C236" s="10" t="s">
        <v>380</v>
      </c>
      <c r="D236" s="152"/>
      <c r="E236" s="170"/>
      <c r="F236" s="153" t="str">
        <f t="shared" si="26"/>
        <v/>
      </c>
      <c r="G236" s="256"/>
      <c r="H236" s="166">
        <f t="shared" si="19"/>
        <v>0</v>
      </c>
      <c r="I236" s="10" t="s">
        <v>61</v>
      </c>
      <c r="J236" s="35">
        <v>44.93</v>
      </c>
      <c r="K236" s="233">
        <f t="shared" si="28"/>
        <v>0</v>
      </c>
    </row>
    <row r="237" spans="1:11" x14ac:dyDescent="0.35">
      <c r="A237" s="103"/>
      <c r="B237" s="12" t="s">
        <v>9</v>
      </c>
      <c r="C237" s="10" t="s">
        <v>426</v>
      </c>
      <c r="D237" s="152">
        <v>1</v>
      </c>
      <c r="E237" s="170"/>
      <c r="F237" s="153" t="str">
        <f t="shared" si="26"/>
        <v/>
      </c>
      <c r="G237" s="256"/>
      <c r="H237" s="166">
        <f t="shared" si="19"/>
        <v>0</v>
      </c>
      <c r="I237" s="10" t="s">
        <v>61</v>
      </c>
      <c r="J237" s="35"/>
      <c r="K237" s="233">
        <f t="shared" si="28"/>
        <v>0</v>
      </c>
    </row>
    <row r="238" spans="1:11" x14ac:dyDescent="0.35">
      <c r="A238" s="103"/>
      <c r="B238" s="12" t="s">
        <v>9</v>
      </c>
      <c r="C238" s="10" t="s">
        <v>427</v>
      </c>
      <c r="D238" s="152"/>
      <c r="E238" s="170"/>
      <c r="F238" s="153" t="str">
        <f t="shared" si="26"/>
        <v/>
      </c>
      <c r="G238" s="256"/>
      <c r="H238" s="166">
        <f t="shared" si="19"/>
        <v>0</v>
      </c>
      <c r="I238" s="10" t="s">
        <v>61</v>
      </c>
      <c r="J238" s="35"/>
      <c r="K238" s="233">
        <f>H238*J238</f>
        <v>0</v>
      </c>
    </row>
    <row r="239" spans="1:11" x14ac:dyDescent="0.35">
      <c r="A239" s="103"/>
      <c r="B239" s="12" t="s">
        <v>9</v>
      </c>
      <c r="C239" s="10" t="s">
        <v>428</v>
      </c>
      <c r="D239" s="152">
        <v>1</v>
      </c>
      <c r="E239" s="170"/>
      <c r="F239" s="153" t="str">
        <f t="shared" si="26"/>
        <v/>
      </c>
      <c r="G239" s="256"/>
      <c r="H239" s="166">
        <f t="shared" si="19"/>
        <v>0</v>
      </c>
      <c r="I239" s="10" t="s">
        <v>61</v>
      </c>
      <c r="J239" s="35"/>
      <c r="K239" s="233">
        <f t="shared" si="28"/>
        <v>0</v>
      </c>
    </row>
    <row r="240" spans="1:11" x14ac:dyDescent="0.35">
      <c r="A240" s="103"/>
      <c r="B240" s="12" t="s">
        <v>9</v>
      </c>
      <c r="C240" s="10" t="s">
        <v>381</v>
      </c>
      <c r="D240" s="152"/>
      <c r="E240" s="170"/>
      <c r="F240" s="153" t="str">
        <f t="shared" si="26"/>
        <v/>
      </c>
      <c r="G240" s="256"/>
      <c r="H240" s="166">
        <f t="shared" si="19"/>
        <v>0</v>
      </c>
      <c r="I240" s="10" t="s">
        <v>61</v>
      </c>
      <c r="J240" s="35">
        <v>0.02</v>
      </c>
      <c r="K240" s="50">
        <f t="shared" si="27"/>
        <v>0</v>
      </c>
    </row>
    <row r="241" spans="1:18" ht="15.5" x14ac:dyDescent="0.35">
      <c r="A241" s="108" t="s">
        <v>382</v>
      </c>
      <c r="B241" s="108"/>
      <c r="C241" s="108"/>
      <c r="D241" s="223"/>
      <c r="E241" s="250"/>
      <c r="F241" s="165" t="str">
        <f t="shared" si="26"/>
        <v/>
      </c>
      <c r="G241" s="186"/>
      <c r="H241" s="247"/>
      <c r="I241" s="108">
        <v>29.2</v>
      </c>
      <c r="J241" s="106" t="s">
        <v>18</v>
      </c>
      <c r="K241" s="269">
        <f>SUM(K242:K252)</f>
        <v>46.89</v>
      </c>
    </row>
    <row r="242" spans="1:18" hidden="1" x14ac:dyDescent="0.35">
      <c r="A242" s="103"/>
      <c r="B242" s="12" t="s">
        <v>31</v>
      </c>
      <c r="C242" s="10" t="s">
        <v>383</v>
      </c>
      <c r="D242" s="152"/>
      <c r="E242" s="170"/>
      <c r="F242" s="153" t="str">
        <f t="shared" si="26"/>
        <v/>
      </c>
      <c r="G242" s="256"/>
      <c r="H242" s="166">
        <f t="shared" ref="H242:H255" si="29">IF(ISNUMBER(E242),E242,0)+IF(ISNUMBER(F242),F242,0)-IF(ISNUMBER(G242),G242,0)</f>
        <v>0</v>
      </c>
      <c r="I242" s="10">
        <v>19.03</v>
      </c>
      <c r="J242" s="11">
        <v>5.5</v>
      </c>
      <c r="K242" s="12">
        <f t="shared" ref="K242" si="30">G242*J242</f>
        <v>0</v>
      </c>
    </row>
    <row r="243" spans="1:18" x14ac:dyDescent="0.35">
      <c r="A243" s="103"/>
      <c r="B243" s="12" t="s">
        <v>31</v>
      </c>
      <c r="C243" s="10" t="s">
        <v>39</v>
      </c>
      <c r="D243" s="152">
        <v>1</v>
      </c>
      <c r="E243" s="170">
        <v>1</v>
      </c>
      <c r="F243" s="153" t="str">
        <f t="shared" si="26"/>
        <v/>
      </c>
      <c r="G243" s="256"/>
      <c r="H243" s="166">
        <f t="shared" si="29"/>
        <v>1</v>
      </c>
      <c r="I243" s="10">
        <v>8.4600000000000009</v>
      </c>
      <c r="J243" s="11">
        <v>4.55</v>
      </c>
      <c r="K243" s="12">
        <f>H243*J243</f>
        <v>4.55</v>
      </c>
      <c r="R243" s="87"/>
    </row>
    <row r="244" spans="1:18" x14ac:dyDescent="0.35">
      <c r="A244" s="103"/>
      <c r="B244" s="12" t="s">
        <v>31</v>
      </c>
      <c r="C244" s="10" t="s">
        <v>422</v>
      </c>
      <c r="D244" s="152">
        <v>1</v>
      </c>
      <c r="E244" s="170">
        <v>1</v>
      </c>
      <c r="F244" s="153" t="str">
        <f t="shared" si="26"/>
        <v/>
      </c>
      <c r="G244" s="256"/>
      <c r="H244" s="166">
        <f t="shared" si="29"/>
        <v>1</v>
      </c>
      <c r="I244" s="10" t="s">
        <v>20</v>
      </c>
      <c r="J244" s="11">
        <v>3.7</v>
      </c>
      <c r="K244" s="12">
        <f t="shared" ref="K244:K255" si="31">H244*J244</f>
        <v>3.7</v>
      </c>
    </row>
    <row r="245" spans="1:18" x14ac:dyDescent="0.35">
      <c r="A245" s="103"/>
      <c r="B245" s="12" t="s">
        <v>31</v>
      </c>
      <c r="C245" s="10" t="s">
        <v>67</v>
      </c>
      <c r="D245" s="152">
        <v>1</v>
      </c>
      <c r="E245" s="170">
        <v>1</v>
      </c>
      <c r="F245" s="153" t="str">
        <f t="shared" si="26"/>
        <v/>
      </c>
      <c r="G245" s="256"/>
      <c r="H245" s="166">
        <f t="shared" si="29"/>
        <v>1</v>
      </c>
      <c r="I245" s="10" t="s">
        <v>20</v>
      </c>
      <c r="J245" s="11">
        <v>15.56</v>
      </c>
      <c r="K245" s="12">
        <f t="shared" si="31"/>
        <v>15.56</v>
      </c>
    </row>
    <row r="246" spans="1:18" hidden="1" x14ac:dyDescent="0.35">
      <c r="A246" s="103"/>
      <c r="B246" s="12" t="s">
        <v>31</v>
      </c>
      <c r="C246" s="10" t="s">
        <v>384</v>
      </c>
      <c r="D246" s="152"/>
      <c r="E246" s="170"/>
      <c r="F246" s="153" t="str">
        <f t="shared" si="26"/>
        <v/>
      </c>
      <c r="G246" s="256"/>
      <c r="H246" s="166">
        <f t="shared" si="29"/>
        <v>0</v>
      </c>
      <c r="I246" s="10" t="s">
        <v>20</v>
      </c>
      <c r="J246" s="11">
        <v>0.8</v>
      </c>
      <c r="K246" s="12">
        <f t="shared" si="31"/>
        <v>0</v>
      </c>
    </row>
    <row r="247" spans="1:18" hidden="1" x14ac:dyDescent="0.35">
      <c r="A247" s="103"/>
      <c r="B247" s="12" t="s">
        <v>31</v>
      </c>
      <c r="C247" s="10" t="s">
        <v>385</v>
      </c>
      <c r="D247" s="152"/>
      <c r="E247" s="170"/>
      <c r="F247" s="153" t="str">
        <f t="shared" si="26"/>
        <v/>
      </c>
      <c r="G247" s="256"/>
      <c r="H247" s="166">
        <f t="shared" si="29"/>
        <v>0</v>
      </c>
      <c r="I247" s="10" t="s">
        <v>20</v>
      </c>
      <c r="J247" s="11">
        <v>1.83</v>
      </c>
      <c r="K247" s="12">
        <f t="shared" si="31"/>
        <v>0</v>
      </c>
    </row>
    <row r="248" spans="1:18" x14ac:dyDescent="0.35">
      <c r="A248" s="103"/>
      <c r="B248" s="12" t="s">
        <v>31</v>
      </c>
      <c r="C248" s="10" t="s">
        <v>386</v>
      </c>
      <c r="D248" s="152">
        <v>1</v>
      </c>
      <c r="E248" s="170">
        <v>0</v>
      </c>
      <c r="F248" s="153">
        <f t="shared" si="26"/>
        <v>1</v>
      </c>
      <c r="G248" s="256"/>
      <c r="H248" s="166">
        <f t="shared" si="29"/>
        <v>1</v>
      </c>
      <c r="I248" s="10" t="s">
        <v>20</v>
      </c>
      <c r="J248" s="11">
        <v>2.65</v>
      </c>
      <c r="K248" s="12">
        <f t="shared" si="31"/>
        <v>2.65</v>
      </c>
    </row>
    <row r="249" spans="1:18" x14ac:dyDescent="0.35">
      <c r="A249" s="103"/>
      <c r="B249" s="12" t="s">
        <v>31</v>
      </c>
      <c r="C249" s="10" t="s">
        <v>65</v>
      </c>
      <c r="D249" s="152">
        <v>1</v>
      </c>
      <c r="E249" s="170">
        <v>1</v>
      </c>
      <c r="F249" s="153" t="str">
        <f t="shared" si="26"/>
        <v/>
      </c>
      <c r="G249" s="256"/>
      <c r="H249" s="166">
        <f t="shared" si="29"/>
        <v>1</v>
      </c>
      <c r="I249" s="10" t="s">
        <v>20</v>
      </c>
      <c r="J249" s="11">
        <v>13.43</v>
      </c>
      <c r="K249" s="12">
        <f t="shared" si="31"/>
        <v>13.43</v>
      </c>
    </row>
    <row r="250" spans="1:18" hidden="1" x14ac:dyDescent="0.35">
      <c r="A250" s="103"/>
      <c r="B250" s="12" t="s">
        <v>31</v>
      </c>
      <c r="C250" s="10" t="s">
        <v>66</v>
      </c>
      <c r="D250" s="152"/>
      <c r="E250" s="170"/>
      <c r="F250" s="153" t="str">
        <f t="shared" si="26"/>
        <v/>
      </c>
      <c r="G250" s="256"/>
      <c r="H250" s="166">
        <f t="shared" si="29"/>
        <v>0</v>
      </c>
      <c r="I250" s="10" t="s">
        <v>20</v>
      </c>
      <c r="J250" s="11">
        <v>75.38</v>
      </c>
      <c r="K250" s="12">
        <f t="shared" si="31"/>
        <v>0</v>
      </c>
    </row>
    <row r="251" spans="1:18" hidden="1" x14ac:dyDescent="0.35">
      <c r="A251" s="103"/>
      <c r="B251" s="12" t="s">
        <v>31</v>
      </c>
      <c r="C251" s="10" t="s">
        <v>412</v>
      </c>
      <c r="D251" s="152"/>
      <c r="E251" s="170"/>
      <c r="F251" s="153" t="str">
        <f t="shared" si="26"/>
        <v/>
      </c>
      <c r="G251" s="256"/>
      <c r="H251" s="166">
        <f t="shared" si="29"/>
        <v>0</v>
      </c>
      <c r="I251" s="10" t="s">
        <v>20</v>
      </c>
      <c r="J251" s="11">
        <v>8.43</v>
      </c>
      <c r="K251" s="12">
        <f t="shared" si="31"/>
        <v>0</v>
      </c>
    </row>
    <row r="252" spans="1:18" x14ac:dyDescent="0.35">
      <c r="A252" s="103"/>
      <c r="B252" s="12" t="s">
        <v>31</v>
      </c>
      <c r="C252" s="10" t="s">
        <v>69</v>
      </c>
      <c r="D252" s="152">
        <v>1</v>
      </c>
      <c r="E252" s="170">
        <v>2</v>
      </c>
      <c r="F252" s="153" t="str">
        <f t="shared" si="26"/>
        <v/>
      </c>
      <c r="G252" s="256"/>
      <c r="H252" s="166">
        <f t="shared" si="29"/>
        <v>2</v>
      </c>
      <c r="I252" s="10" t="s">
        <v>63</v>
      </c>
      <c r="J252" s="11">
        <v>3.5</v>
      </c>
      <c r="K252" s="12">
        <f t="shared" si="31"/>
        <v>7</v>
      </c>
    </row>
    <row r="253" spans="1:18" ht="15.5" hidden="1" x14ac:dyDescent="0.35">
      <c r="A253" s="108" t="s">
        <v>57</v>
      </c>
      <c r="B253" s="108"/>
      <c r="C253" s="108"/>
      <c r="D253" s="111"/>
      <c r="E253" s="250">
        <f>'[8]Visiteur (2)'!E250</f>
        <v>0</v>
      </c>
      <c r="F253" s="165" t="str">
        <f t="shared" si="26"/>
        <v/>
      </c>
      <c r="G253" s="186"/>
      <c r="H253" s="247"/>
      <c r="I253" s="108"/>
      <c r="J253" s="106" t="s">
        <v>18</v>
      </c>
      <c r="K253" s="270">
        <f>K254+K255</f>
        <v>0</v>
      </c>
    </row>
    <row r="254" spans="1:18" hidden="1" x14ac:dyDescent="0.35">
      <c r="A254" s="103"/>
      <c r="B254" s="12" t="s">
        <v>56</v>
      </c>
      <c r="C254" s="10" t="s">
        <v>58</v>
      </c>
      <c r="D254" s="135"/>
      <c r="E254" s="170">
        <f>'[8]Visiteur (2)'!E251</f>
        <v>0</v>
      </c>
      <c r="F254" s="153" t="str">
        <f t="shared" si="26"/>
        <v/>
      </c>
      <c r="G254" s="256"/>
      <c r="H254" s="166">
        <f t="shared" si="29"/>
        <v>0</v>
      </c>
      <c r="I254" s="10" t="s">
        <v>20</v>
      </c>
      <c r="J254" s="11">
        <v>54.05</v>
      </c>
      <c r="K254" s="12">
        <f t="shared" si="31"/>
        <v>0</v>
      </c>
    </row>
    <row r="255" spans="1:18" hidden="1" x14ac:dyDescent="0.35">
      <c r="A255" s="103"/>
      <c r="B255" s="12" t="s">
        <v>56</v>
      </c>
      <c r="C255" s="10" t="s">
        <v>388</v>
      </c>
      <c r="D255" s="135"/>
      <c r="E255" s="170">
        <f>'[8]Visiteur (2)'!E252</f>
        <v>0</v>
      </c>
      <c r="F255" s="153" t="str">
        <f t="shared" si="26"/>
        <v/>
      </c>
      <c r="G255" s="256"/>
      <c r="H255" s="166">
        <f t="shared" si="29"/>
        <v>0</v>
      </c>
      <c r="I255" s="10" t="s">
        <v>20</v>
      </c>
      <c r="J255" s="11">
        <v>0</v>
      </c>
      <c r="K255" s="12">
        <f t="shared" si="31"/>
        <v>0</v>
      </c>
    </row>
  </sheetData>
  <mergeCells count="2">
    <mergeCell ref="B1:C1"/>
    <mergeCell ref="B2:C2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F47CF-7564-4F8A-BF24-A80732442BAB}">
  <sheetPr codeName="Feuil42">
    <tabColor rgb="FFFF5050"/>
  </sheetPr>
  <dimension ref="A1:Q257"/>
  <sheetViews>
    <sheetView topLeftCell="A195" zoomScaleNormal="100" workbookViewId="0">
      <selection activeCell="M244" sqref="M244"/>
    </sheetView>
  </sheetViews>
  <sheetFormatPr baseColWidth="10" defaultColWidth="10.7265625" defaultRowHeight="14.5" x14ac:dyDescent="0.35"/>
  <cols>
    <col min="1" max="1" width="2.81640625" customWidth="1"/>
    <col min="2" max="2" width="30.1796875" bestFit="1" customWidth="1"/>
    <col min="3" max="3" width="49.1796875" bestFit="1" customWidth="1"/>
    <col min="4" max="4" width="11.54296875" style="13" bestFit="1" customWidth="1"/>
    <col min="5" max="5" width="10.7265625" customWidth="1"/>
    <col min="6" max="6" width="18.26953125" hidden="1" customWidth="1"/>
    <col min="7" max="7" width="18.54296875" style="86" customWidth="1"/>
    <col min="8" max="8" width="16.7265625" style="86" hidden="1" customWidth="1"/>
    <col min="9" max="9" width="10.7265625" customWidth="1"/>
    <col min="10" max="10" width="10.26953125" customWidth="1"/>
    <col min="11" max="11" width="19.54296875" bestFit="1" customWidth="1"/>
  </cols>
  <sheetData>
    <row r="1" spans="2:6" ht="15" thickBot="1" x14ac:dyDescent="0.4">
      <c r="B1" s="321" t="s">
        <v>198</v>
      </c>
      <c r="C1" s="322"/>
      <c r="E1" s="89"/>
      <c r="F1" s="89"/>
    </row>
    <row r="2" spans="2:6" ht="15" thickBot="1" x14ac:dyDescent="0.4">
      <c r="B2" s="319"/>
      <c r="C2" s="320"/>
      <c r="E2" s="90"/>
      <c r="F2" s="90"/>
    </row>
    <row r="3" spans="2:6" x14ac:dyDescent="0.35">
      <c r="B3" s="75"/>
      <c r="C3" s="75"/>
      <c r="E3" s="75"/>
      <c r="F3" s="75"/>
    </row>
    <row r="4" spans="2:6" ht="15.5" x14ac:dyDescent="0.35">
      <c r="B4" s="70" t="s">
        <v>0</v>
      </c>
      <c r="C4" s="70" t="s">
        <v>1</v>
      </c>
      <c r="E4" s="91"/>
      <c r="F4" s="91"/>
    </row>
    <row r="5" spans="2:6" x14ac:dyDescent="0.35">
      <c r="B5" s="71" t="s">
        <v>2</v>
      </c>
      <c r="C5" s="72">
        <f>K23</f>
        <v>578.08000000000004</v>
      </c>
      <c r="E5" s="75"/>
      <c r="F5" s="75"/>
    </row>
    <row r="6" spans="2:6" x14ac:dyDescent="0.35">
      <c r="B6" s="71" t="s">
        <v>7</v>
      </c>
      <c r="C6" s="72">
        <f>K41</f>
        <v>0</v>
      </c>
      <c r="E6" s="75"/>
      <c r="F6" s="75"/>
    </row>
    <row r="7" spans="2:6" x14ac:dyDescent="0.35">
      <c r="B7" s="71" t="s">
        <v>13</v>
      </c>
      <c r="C7" s="72">
        <f>K50</f>
        <v>643.5</v>
      </c>
      <c r="E7" s="75"/>
      <c r="F7" s="75"/>
    </row>
    <row r="8" spans="2:6" x14ac:dyDescent="0.35">
      <c r="B8" s="71" t="s">
        <v>3</v>
      </c>
      <c r="C8" s="72">
        <f>K78</f>
        <v>297.2</v>
      </c>
      <c r="E8" s="75"/>
      <c r="F8" s="75"/>
    </row>
    <row r="9" spans="2:6" x14ac:dyDescent="0.35">
      <c r="B9" s="71" t="s">
        <v>4</v>
      </c>
      <c r="C9" s="72">
        <f>K122</f>
        <v>782.65</v>
      </c>
      <c r="E9" s="75"/>
      <c r="F9" s="75"/>
    </row>
    <row r="10" spans="2:6" x14ac:dyDescent="0.35">
      <c r="B10" s="71" t="s">
        <v>199</v>
      </c>
      <c r="C10" s="72">
        <f>K176</f>
        <v>9.4600000000000009</v>
      </c>
      <c r="E10" s="75"/>
      <c r="F10" s="75"/>
    </row>
    <row r="11" spans="2:6" x14ac:dyDescent="0.35">
      <c r="B11" s="71" t="s">
        <v>200</v>
      </c>
      <c r="C11" s="72">
        <f>K187</f>
        <v>201.83999999999997</v>
      </c>
      <c r="E11" s="75"/>
      <c r="F11" s="75"/>
    </row>
    <row r="12" spans="2:6" x14ac:dyDescent="0.35">
      <c r="B12" s="71" t="s">
        <v>201</v>
      </c>
      <c r="C12" s="72">
        <f>K193</f>
        <v>0</v>
      </c>
      <c r="E12" s="75"/>
      <c r="F12" s="75"/>
    </row>
    <row r="13" spans="2:6" x14ac:dyDescent="0.35">
      <c r="B13" s="71" t="s">
        <v>202</v>
      </c>
      <c r="C13" s="72">
        <f>K195</f>
        <v>125.41</v>
      </c>
      <c r="E13" s="75"/>
      <c r="F13" s="75"/>
    </row>
    <row r="14" spans="2:6" x14ac:dyDescent="0.35">
      <c r="B14" s="71" t="s">
        <v>203</v>
      </c>
      <c r="C14" s="72">
        <f>K208</f>
        <v>0</v>
      </c>
      <c r="E14" s="75"/>
      <c r="F14" s="75"/>
    </row>
    <row r="15" spans="2:6" x14ac:dyDescent="0.35">
      <c r="B15" s="71" t="s">
        <v>416</v>
      </c>
      <c r="C15" s="72">
        <f>K213</f>
        <v>0</v>
      </c>
      <c r="E15" s="75"/>
      <c r="F15" s="75"/>
    </row>
    <row r="16" spans="2:6" x14ac:dyDescent="0.35">
      <c r="B16" s="71" t="s">
        <v>204</v>
      </c>
      <c r="C16" s="72">
        <f>K218</f>
        <v>0</v>
      </c>
      <c r="E16" s="75"/>
      <c r="F16" s="75"/>
    </row>
    <row r="17" spans="1:17" x14ac:dyDescent="0.35">
      <c r="B17" s="71" t="s">
        <v>9</v>
      </c>
      <c r="C17" s="72">
        <f>K220</f>
        <v>144.90199999999999</v>
      </c>
      <c r="E17" s="75"/>
      <c r="F17" s="75"/>
    </row>
    <row r="18" spans="1:17" x14ac:dyDescent="0.35">
      <c r="B18" s="71" t="s">
        <v>205</v>
      </c>
      <c r="C18" s="72">
        <f>K241</f>
        <v>207.99</v>
      </c>
      <c r="E18" s="75"/>
      <c r="F18" s="75"/>
    </row>
    <row r="19" spans="1:17" x14ac:dyDescent="0.35">
      <c r="B19" s="71" t="s">
        <v>56</v>
      </c>
      <c r="C19" s="72">
        <f>K253</f>
        <v>0</v>
      </c>
      <c r="E19" s="75"/>
      <c r="F19" s="75"/>
    </row>
    <row r="20" spans="1:17" x14ac:dyDescent="0.35">
      <c r="B20" s="73" t="s">
        <v>14</v>
      </c>
      <c r="C20" s="74">
        <f>C5+C6+C7+C8+C9+C10+C11+C12+C13+C14+C15+C16+C17+C18+C19</f>
        <v>2991.0320000000002</v>
      </c>
      <c r="E20" s="243"/>
      <c r="F20" s="243"/>
    </row>
    <row r="21" spans="1:17" ht="18.5" x14ac:dyDescent="0.45">
      <c r="A21" s="76" t="s">
        <v>397</v>
      </c>
      <c r="B21" s="76"/>
      <c r="C21" s="76"/>
      <c r="D21" s="244"/>
      <c r="E21" s="245"/>
      <c r="F21" s="245"/>
      <c r="G21" s="246"/>
      <c r="H21" s="262"/>
      <c r="I21" s="76"/>
      <c r="J21" s="76"/>
      <c r="K21" s="76"/>
    </row>
    <row r="22" spans="1:17" x14ac:dyDescent="0.35">
      <c r="A22" s="129"/>
      <c r="B22" s="129" t="s">
        <v>15</v>
      </c>
      <c r="C22" s="129" t="s">
        <v>16</v>
      </c>
      <c r="D22" s="235" t="s">
        <v>398</v>
      </c>
      <c r="E22" s="130" t="s">
        <v>407</v>
      </c>
      <c r="F22" s="130" t="s">
        <v>399</v>
      </c>
      <c r="G22" s="236" t="s">
        <v>405</v>
      </c>
      <c r="H22" s="236"/>
      <c r="I22" s="129" t="s">
        <v>406</v>
      </c>
      <c r="J22" s="133" t="s">
        <v>45</v>
      </c>
      <c r="K22" s="129" t="s">
        <v>1</v>
      </c>
    </row>
    <row r="23" spans="1:17" ht="15.5" x14ac:dyDescent="0.35">
      <c r="A23" s="108" t="s">
        <v>208</v>
      </c>
      <c r="B23" s="108"/>
      <c r="C23" s="108"/>
      <c r="D23" s="111"/>
      <c r="E23" s="108"/>
      <c r="F23" s="108"/>
      <c r="G23" s="110"/>
      <c r="H23" s="110"/>
      <c r="I23" s="108"/>
      <c r="J23" s="110" t="s">
        <v>18</v>
      </c>
      <c r="K23" s="269">
        <f>SUM(K24:K40)</f>
        <v>578.08000000000004</v>
      </c>
    </row>
    <row r="24" spans="1:17" x14ac:dyDescent="0.35">
      <c r="A24" s="103"/>
      <c r="B24" s="7" t="s">
        <v>2</v>
      </c>
      <c r="C24" s="14" t="s">
        <v>19</v>
      </c>
      <c r="D24" s="152"/>
      <c r="E24" s="166"/>
      <c r="F24" s="135"/>
      <c r="G24" s="293" t="str">
        <f t="shared" ref="G24:G86" si="0">IF(E24="","",IF(D24-IF(E24="",0,E24)&gt;0,D24-IF(E24="",0,E24),""))</f>
        <v/>
      </c>
      <c r="H24" s="237"/>
      <c r="I24" s="10" t="s">
        <v>20</v>
      </c>
      <c r="J24" s="11">
        <v>55.95</v>
      </c>
      <c r="K24" s="12">
        <f>E24*J24</f>
        <v>0</v>
      </c>
    </row>
    <row r="25" spans="1:17" x14ac:dyDescent="0.35">
      <c r="A25" s="103"/>
      <c r="B25" s="7" t="s">
        <v>2</v>
      </c>
      <c r="C25" s="14" t="s">
        <v>209</v>
      </c>
      <c r="D25" s="152"/>
      <c r="E25" s="166"/>
      <c r="F25" s="135"/>
      <c r="G25" s="293" t="str">
        <f t="shared" si="0"/>
        <v/>
      </c>
      <c r="H25" s="237"/>
      <c r="I25" s="10" t="s">
        <v>20</v>
      </c>
      <c r="J25" s="11">
        <v>173.1</v>
      </c>
      <c r="K25" s="12">
        <f t="shared" ref="K25:K40" si="1">E25*J25</f>
        <v>0</v>
      </c>
    </row>
    <row r="26" spans="1:17" x14ac:dyDescent="0.35">
      <c r="A26" s="103"/>
      <c r="B26" s="12" t="s">
        <v>2</v>
      </c>
      <c r="C26" s="10" t="s">
        <v>21</v>
      </c>
      <c r="D26" s="152"/>
      <c r="E26" s="166"/>
      <c r="F26" s="135"/>
      <c r="G26" s="293" t="str">
        <f t="shared" si="0"/>
        <v/>
      </c>
      <c r="H26" s="237"/>
      <c r="I26" s="10" t="s">
        <v>20</v>
      </c>
      <c r="J26" s="11">
        <v>75.400000000000006</v>
      </c>
      <c r="K26" s="12">
        <f t="shared" si="1"/>
        <v>0</v>
      </c>
    </row>
    <row r="27" spans="1:17" x14ac:dyDescent="0.35">
      <c r="A27" s="103"/>
      <c r="B27" s="12" t="s">
        <v>2</v>
      </c>
      <c r="C27" s="10" t="s">
        <v>210</v>
      </c>
      <c r="D27" s="152"/>
      <c r="E27" s="166"/>
      <c r="F27" s="135"/>
      <c r="G27" s="293" t="str">
        <f t="shared" si="0"/>
        <v/>
      </c>
      <c r="H27" s="237"/>
      <c r="I27" s="10" t="s">
        <v>20</v>
      </c>
      <c r="J27" s="11">
        <v>84.9</v>
      </c>
      <c r="K27" s="12">
        <f t="shared" si="1"/>
        <v>0</v>
      </c>
    </row>
    <row r="28" spans="1:17" x14ac:dyDescent="0.35">
      <c r="A28" s="103"/>
      <c r="B28" s="12" t="s">
        <v>2</v>
      </c>
      <c r="C28" s="10" t="s">
        <v>433</v>
      </c>
      <c r="D28" s="152">
        <v>48</v>
      </c>
      <c r="E28" s="295">
        <v>40</v>
      </c>
      <c r="F28" s="135"/>
      <c r="G28" s="293">
        <f t="shared" si="0"/>
        <v>8</v>
      </c>
      <c r="H28" s="237"/>
      <c r="I28" s="10" t="s">
        <v>20</v>
      </c>
      <c r="J28" s="11">
        <v>2.96</v>
      </c>
      <c r="K28" s="12">
        <f t="shared" si="1"/>
        <v>118.4</v>
      </c>
    </row>
    <row r="29" spans="1:17" x14ac:dyDescent="0.35">
      <c r="A29" s="103"/>
      <c r="B29" s="12" t="s">
        <v>2</v>
      </c>
      <c r="C29" s="10" t="s">
        <v>435</v>
      </c>
      <c r="D29" s="152">
        <v>48</v>
      </c>
      <c r="E29" s="295">
        <v>40</v>
      </c>
      <c r="F29" s="135"/>
      <c r="G29" s="293">
        <f t="shared" si="0"/>
        <v>8</v>
      </c>
      <c r="H29" s="237"/>
      <c r="I29" s="10" t="s">
        <v>20</v>
      </c>
      <c r="J29" s="11">
        <v>2.96</v>
      </c>
      <c r="K29" s="12">
        <f t="shared" si="1"/>
        <v>118.4</v>
      </c>
    </row>
    <row r="30" spans="1:17" x14ac:dyDescent="0.35">
      <c r="A30" s="103"/>
      <c r="B30" s="12" t="s">
        <v>2</v>
      </c>
      <c r="C30" s="10" t="s">
        <v>434</v>
      </c>
      <c r="D30" s="152">
        <v>48</v>
      </c>
      <c r="E30" s="295">
        <v>10</v>
      </c>
      <c r="F30" s="135"/>
      <c r="G30" s="293">
        <f t="shared" si="0"/>
        <v>38</v>
      </c>
      <c r="H30" s="237"/>
      <c r="I30" s="10" t="s">
        <v>20</v>
      </c>
      <c r="J30" s="11">
        <v>2.96</v>
      </c>
      <c r="K30" s="12">
        <f t="shared" si="1"/>
        <v>29.6</v>
      </c>
      <c r="Q30" s="268"/>
    </row>
    <row r="31" spans="1:17" x14ac:dyDescent="0.35">
      <c r="A31" s="103"/>
      <c r="B31" s="7" t="s">
        <v>2</v>
      </c>
      <c r="C31" s="14" t="s">
        <v>22</v>
      </c>
      <c r="D31" s="152"/>
      <c r="E31" s="166"/>
      <c r="F31" s="135"/>
      <c r="G31" s="293" t="str">
        <f t="shared" si="0"/>
        <v/>
      </c>
      <c r="H31" s="237"/>
      <c r="I31" s="10" t="s">
        <v>20</v>
      </c>
      <c r="J31" s="11">
        <v>107.2</v>
      </c>
      <c r="K31" s="12">
        <f t="shared" si="1"/>
        <v>0</v>
      </c>
    </row>
    <row r="32" spans="1:17" x14ac:dyDescent="0.35">
      <c r="A32" s="103"/>
      <c r="B32" s="7" t="s">
        <v>2</v>
      </c>
      <c r="C32" s="14" t="s">
        <v>214</v>
      </c>
      <c r="D32" s="152"/>
      <c r="E32" s="166"/>
      <c r="F32" s="135"/>
      <c r="G32" s="293" t="str">
        <f t="shared" si="0"/>
        <v/>
      </c>
      <c r="H32" s="237"/>
      <c r="I32" s="10" t="s">
        <v>20</v>
      </c>
      <c r="J32" s="11">
        <v>170.7</v>
      </c>
      <c r="K32" s="12">
        <f t="shared" si="1"/>
        <v>0</v>
      </c>
      <c r="M32" s="87"/>
    </row>
    <row r="33" spans="1:14" x14ac:dyDescent="0.35">
      <c r="A33" s="103"/>
      <c r="B33" s="12" t="s">
        <v>2</v>
      </c>
      <c r="C33" s="10" t="s">
        <v>215</v>
      </c>
      <c r="D33" s="152">
        <v>1000</v>
      </c>
      <c r="E33" s="166"/>
      <c r="F33" s="135"/>
      <c r="G33" s="293" t="str">
        <f t="shared" si="0"/>
        <v/>
      </c>
      <c r="H33" s="237"/>
      <c r="I33" s="10" t="s">
        <v>216</v>
      </c>
      <c r="J33" s="11">
        <v>3.77</v>
      </c>
      <c r="K33" s="12">
        <f t="shared" si="1"/>
        <v>0</v>
      </c>
    </row>
    <row r="34" spans="1:14" x14ac:dyDescent="0.35">
      <c r="A34" s="103"/>
      <c r="B34" s="12" t="s">
        <v>2</v>
      </c>
      <c r="C34" s="10" t="s">
        <v>217</v>
      </c>
      <c r="D34" s="152">
        <v>48</v>
      </c>
      <c r="E34" s="295">
        <v>4</v>
      </c>
      <c r="F34" s="135"/>
      <c r="G34" s="293">
        <f t="shared" si="0"/>
        <v>44</v>
      </c>
      <c r="H34" s="237"/>
      <c r="I34" s="10" t="s">
        <v>20</v>
      </c>
      <c r="J34" s="11">
        <v>2.56</v>
      </c>
      <c r="K34" s="12">
        <f t="shared" si="1"/>
        <v>10.24</v>
      </c>
      <c r="N34" s="87"/>
    </row>
    <row r="35" spans="1:14" x14ac:dyDescent="0.35">
      <c r="A35" s="103"/>
      <c r="B35" s="12" t="s">
        <v>2</v>
      </c>
      <c r="C35" s="10" t="s">
        <v>218</v>
      </c>
      <c r="D35" s="152">
        <v>48</v>
      </c>
      <c r="E35" s="295">
        <v>48</v>
      </c>
      <c r="F35" s="135"/>
      <c r="G35" s="293" t="str">
        <f t="shared" si="0"/>
        <v/>
      </c>
      <c r="H35" s="237"/>
      <c r="I35" s="10" t="s">
        <v>20</v>
      </c>
      <c r="J35" s="11">
        <v>3.08</v>
      </c>
      <c r="K35" s="12">
        <f t="shared" si="1"/>
        <v>147.84</v>
      </c>
    </row>
    <row r="36" spans="1:14" x14ac:dyDescent="0.35">
      <c r="A36" s="103"/>
      <c r="B36" s="12" t="s">
        <v>2</v>
      </c>
      <c r="C36" s="10" t="s">
        <v>219</v>
      </c>
      <c r="D36" s="152">
        <v>48</v>
      </c>
      <c r="E36" s="295">
        <v>60</v>
      </c>
      <c r="F36" s="135"/>
      <c r="G36" s="293" t="str">
        <f t="shared" si="0"/>
        <v/>
      </c>
      <c r="H36" s="237"/>
      <c r="I36" s="10" t="s">
        <v>20</v>
      </c>
      <c r="J36" s="11">
        <v>2.56</v>
      </c>
      <c r="K36" s="12">
        <f t="shared" si="1"/>
        <v>153.6</v>
      </c>
    </row>
    <row r="37" spans="1:14" x14ac:dyDescent="0.35">
      <c r="A37" s="103"/>
      <c r="B37" s="12" t="s">
        <v>2</v>
      </c>
      <c r="C37" s="10" t="s">
        <v>220</v>
      </c>
      <c r="D37" s="152"/>
      <c r="E37" s="166"/>
      <c r="F37" s="135"/>
      <c r="G37" s="293" t="str">
        <f t="shared" si="0"/>
        <v/>
      </c>
      <c r="H37" s="237"/>
      <c r="I37" s="10" t="s">
        <v>20</v>
      </c>
      <c r="J37" s="11">
        <v>1.41</v>
      </c>
      <c r="K37" s="12">
        <f t="shared" si="1"/>
        <v>0</v>
      </c>
    </row>
    <row r="38" spans="1:14" x14ac:dyDescent="0.35">
      <c r="A38" s="103"/>
      <c r="B38" s="12" t="s">
        <v>2</v>
      </c>
      <c r="C38" s="10" t="s">
        <v>221</v>
      </c>
      <c r="D38" s="152"/>
      <c r="E38" s="166"/>
      <c r="F38" s="135"/>
      <c r="G38" s="293" t="str">
        <f t="shared" si="0"/>
        <v/>
      </c>
      <c r="H38" s="237"/>
      <c r="I38" s="10" t="s">
        <v>20</v>
      </c>
      <c r="J38" s="11">
        <v>1.73</v>
      </c>
      <c r="K38" s="12">
        <f t="shared" si="1"/>
        <v>0</v>
      </c>
    </row>
    <row r="39" spans="1:14" x14ac:dyDescent="0.35">
      <c r="A39" s="103"/>
      <c r="B39" s="12" t="s">
        <v>2</v>
      </c>
      <c r="C39" s="10" t="s">
        <v>222</v>
      </c>
      <c r="D39" s="152"/>
      <c r="E39" s="166"/>
      <c r="F39" s="135"/>
      <c r="G39" s="293" t="str">
        <f t="shared" si="0"/>
        <v/>
      </c>
      <c r="H39" s="237"/>
      <c r="I39" s="10" t="s">
        <v>20</v>
      </c>
      <c r="J39" s="11">
        <v>1.46</v>
      </c>
      <c r="K39" s="12">
        <f t="shared" si="1"/>
        <v>0</v>
      </c>
    </row>
    <row r="40" spans="1:14" x14ac:dyDescent="0.35">
      <c r="A40" s="103"/>
      <c r="B40" s="12" t="s">
        <v>2</v>
      </c>
      <c r="C40" s="10" t="s">
        <v>223</v>
      </c>
      <c r="D40" s="222"/>
      <c r="E40" s="166"/>
      <c r="F40" s="136"/>
      <c r="G40" s="293" t="str">
        <f t="shared" si="0"/>
        <v/>
      </c>
      <c r="H40" s="237"/>
      <c r="I40" s="10" t="s">
        <v>20</v>
      </c>
      <c r="J40" s="77">
        <v>3.45</v>
      </c>
      <c r="K40" s="12">
        <f t="shared" si="1"/>
        <v>0</v>
      </c>
    </row>
    <row r="41" spans="1:14" ht="15.5" x14ac:dyDescent="0.35">
      <c r="A41" s="108" t="s">
        <v>119</v>
      </c>
      <c r="B41" s="108"/>
      <c r="C41" s="108"/>
      <c r="D41" s="223"/>
      <c r="E41" s="247"/>
      <c r="F41" s="108"/>
      <c r="G41" s="294"/>
      <c r="H41" s="110"/>
      <c r="I41" s="108"/>
      <c r="J41" s="106" t="s">
        <v>18</v>
      </c>
      <c r="K41" s="269">
        <f>SUM(K42:K49)</f>
        <v>0</v>
      </c>
    </row>
    <row r="42" spans="1:14" x14ac:dyDescent="0.35">
      <c r="A42" s="103"/>
      <c r="B42" s="12" t="s">
        <v>7</v>
      </c>
      <c r="C42" s="10" t="s">
        <v>224</v>
      </c>
      <c r="D42" s="152"/>
      <c r="E42" s="166"/>
      <c r="F42" s="135"/>
      <c r="G42" s="293" t="str">
        <f t="shared" si="0"/>
        <v/>
      </c>
      <c r="H42" s="237"/>
      <c r="I42" s="10" t="s">
        <v>20</v>
      </c>
      <c r="J42" s="11">
        <v>100</v>
      </c>
      <c r="K42" s="12">
        <f>E42*J42</f>
        <v>0</v>
      </c>
    </row>
    <row r="43" spans="1:14" x14ac:dyDescent="0.35">
      <c r="A43" s="103"/>
      <c r="B43" s="12" t="s">
        <v>7</v>
      </c>
      <c r="C43" s="10" t="s">
        <v>225</v>
      </c>
      <c r="D43" s="152"/>
      <c r="E43" s="166"/>
      <c r="F43" s="135"/>
      <c r="G43" s="293" t="str">
        <f t="shared" si="0"/>
        <v/>
      </c>
      <c r="H43" s="237"/>
      <c r="I43" s="10" t="s">
        <v>20</v>
      </c>
      <c r="J43" s="11">
        <v>12.2</v>
      </c>
      <c r="K43" s="12">
        <f t="shared" ref="K43:K49" si="2">E43*J43</f>
        <v>0</v>
      </c>
    </row>
    <row r="44" spans="1:14" x14ac:dyDescent="0.35">
      <c r="A44" s="103"/>
      <c r="B44" s="12" t="s">
        <v>7</v>
      </c>
      <c r="C44" s="10" t="s">
        <v>226</v>
      </c>
      <c r="D44" s="152"/>
      <c r="E44" s="166"/>
      <c r="F44" s="135"/>
      <c r="G44" s="293" t="str">
        <f t="shared" si="0"/>
        <v/>
      </c>
      <c r="H44" s="237"/>
      <c r="I44" s="10" t="s">
        <v>20</v>
      </c>
      <c r="J44" s="11">
        <v>11</v>
      </c>
      <c r="K44" s="12">
        <f t="shared" si="2"/>
        <v>0</v>
      </c>
    </row>
    <row r="45" spans="1:14" x14ac:dyDescent="0.35">
      <c r="A45" s="103"/>
      <c r="B45" s="12" t="s">
        <v>7</v>
      </c>
      <c r="C45" s="10" t="s">
        <v>227</v>
      </c>
      <c r="D45" s="152"/>
      <c r="E45" s="166"/>
      <c r="F45" s="135"/>
      <c r="G45" s="293" t="str">
        <f t="shared" si="0"/>
        <v/>
      </c>
      <c r="H45" s="237"/>
      <c r="I45" s="10" t="s">
        <v>20</v>
      </c>
      <c r="J45" s="11">
        <v>5</v>
      </c>
      <c r="K45" s="12">
        <f t="shared" si="2"/>
        <v>0</v>
      </c>
    </row>
    <row r="46" spans="1:14" x14ac:dyDescent="0.35">
      <c r="A46" s="103"/>
      <c r="B46" s="12" t="s">
        <v>7</v>
      </c>
      <c r="C46" s="10" t="s">
        <v>46</v>
      </c>
      <c r="D46" s="152"/>
      <c r="E46" s="166"/>
      <c r="F46" s="135"/>
      <c r="G46" s="293" t="str">
        <f t="shared" si="0"/>
        <v/>
      </c>
      <c r="H46" s="237"/>
      <c r="I46" s="10" t="s">
        <v>20</v>
      </c>
      <c r="J46" s="11">
        <v>5</v>
      </c>
      <c r="K46" s="12">
        <f t="shared" si="2"/>
        <v>0</v>
      </c>
    </row>
    <row r="47" spans="1:14" x14ac:dyDescent="0.35">
      <c r="A47" s="103"/>
      <c r="B47" s="12" t="s">
        <v>7</v>
      </c>
      <c r="C47" s="10" t="s">
        <v>228</v>
      </c>
      <c r="D47" s="152"/>
      <c r="E47" s="166"/>
      <c r="F47" s="135"/>
      <c r="G47" s="293" t="str">
        <f t="shared" si="0"/>
        <v/>
      </c>
      <c r="H47" s="237"/>
      <c r="I47" s="10" t="s">
        <v>20</v>
      </c>
      <c r="J47" s="11">
        <v>11</v>
      </c>
      <c r="K47" s="12">
        <f t="shared" si="2"/>
        <v>0</v>
      </c>
    </row>
    <row r="48" spans="1:14" x14ac:dyDescent="0.35">
      <c r="A48" s="103"/>
      <c r="B48" s="12" t="s">
        <v>7</v>
      </c>
      <c r="C48" s="10" t="s">
        <v>229</v>
      </c>
      <c r="D48" s="152"/>
      <c r="E48" s="166"/>
      <c r="F48" s="135"/>
      <c r="G48" s="293" t="str">
        <f t="shared" si="0"/>
        <v/>
      </c>
      <c r="H48" s="237"/>
      <c r="I48" s="10" t="s">
        <v>20</v>
      </c>
      <c r="J48" s="11">
        <v>50</v>
      </c>
      <c r="K48" s="12">
        <f t="shared" si="2"/>
        <v>0</v>
      </c>
    </row>
    <row r="49" spans="1:12" x14ac:dyDescent="0.35">
      <c r="A49" s="103"/>
      <c r="B49" s="12" t="s">
        <v>7</v>
      </c>
      <c r="C49" s="78" t="s">
        <v>206</v>
      </c>
      <c r="D49" s="224"/>
      <c r="E49" s="166"/>
      <c r="F49" s="137"/>
      <c r="G49" s="293" t="str">
        <f t="shared" si="0"/>
        <v/>
      </c>
      <c r="H49" s="237"/>
      <c r="I49" s="10" t="s">
        <v>20</v>
      </c>
      <c r="J49" s="79">
        <v>5</v>
      </c>
      <c r="K49" s="12">
        <f t="shared" si="2"/>
        <v>0</v>
      </c>
    </row>
    <row r="50" spans="1:12" ht="15.5" x14ac:dyDescent="0.35">
      <c r="A50" s="103"/>
      <c r="B50" s="104" t="s">
        <v>230</v>
      </c>
      <c r="C50" s="105"/>
      <c r="D50" s="225"/>
      <c r="E50" s="247"/>
      <c r="F50" s="105"/>
      <c r="G50" s="294"/>
      <c r="H50" s="238"/>
      <c r="I50" s="105"/>
      <c r="J50" s="106" t="s">
        <v>18</v>
      </c>
      <c r="K50" s="269">
        <f>SUM(K52:K77)</f>
        <v>643.5</v>
      </c>
    </row>
    <row r="51" spans="1:12" ht="15.5" x14ac:dyDescent="0.35">
      <c r="A51" s="111"/>
      <c r="B51" s="126" t="s">
        <v>231</v>
      </c>
      <c r="C51" s="127"/>
      <c r="D51" s="226"/>
      <c r="E51" s="247"/>
      <c r="F51" s="127"/>
      <c r="G51" s="294"/>
      <c r="H51" s="239"/>
      <c r="I51" s="127"/>
      <c r="J51" s="127"/>
      <c r="K51" s="128"/>
    </row>
    <row r="52" spans="1:12" x14ac:dyDescent="0.35">
      <c r="A52" s="103"/>
      <c r="B52" s="12" t="s">
        <v>13</v>
      </c>
      <c r="C52" s="10" t="s">
        <v>78</v>
      </c>
      <c r="D52" s="152">
        <v>6</v>
      </c>
      <c r="E52" s="166"/>
      <c r="F52" s="135"/>
      <c r="G52" s="293" t="str">
        <f t="shared" si="0"/>
        <v/>
      </c>
      <c r="H52" s="237"/>
      <c r="I52" s="10" t="s">
        <v>20</v>
      </c>
      <c r="J52" s="11">
        <v>13</v>
      </c>
      <c r="K52" s="12">
        <f>E52*J52</f>
        <v>0</v>
      </c>
    </row>
    <row r="53" spans="1:12" x14ac:dyDescent="0.35">
      <c r="A53" s="103"/>
      <c r="B53" s="12" t="s">
        <v>13</v>
      </c>
      <c r="C53" s="10" t="s">
        <v>232</v>
      </c>
      <c r="D53" s="152"/>
      <c r="E53" s="166"/>
      <c r="F53" s="135"/>
      <c r="G53" s="293" t="str">
        <f t="shared" si="0"/>
        <v/>
      </c>
      <c r="H53" s="237"/>
      <c r="I53" s="10" t="s">
        <v>20</v>
      </c>
      <c r="J53" s="11">
        <v>13</v>
      </c>
      <c r="K53" s="12">
        <f t="shared" ref="K53:K77" si="3">E53*J53</f>
        <v>0</v>
      </c>
      <c r="L53" s="87"/>
    </row>
    <row r="54" spans="1:12" x14ac:dyDescent="0.35">
      <c r="A54" s="103"/>
      <c r="B54" s="12" t="s">
        <v>13</v>
      </c>
      <c r="C54" s="10" t="s">
        <v>233</v>
      </c>
      <c r="D54" s="152"/>
      <c r="E54" s="166"/>
      <c r="F54" s="135"/>
      <c r="G54" s="293" t="str">
        <f t="shared" si="0"/>
        <v/>
      </c>
      <c r="H54" s="237"/>
      <c r="I54" s="10" t="s">
        <v>20</v>
      </c>
      <c r="J54" s="11">
        <v>8.9</v>
      </c>
      <c r="K54" s="12">
        <f t="shared" si="3"/>
        <v>0</v>
      </c>
    </row>
    <row r="55" spans="1:12" x14ac:dyDescent="0.35">
      <c r="A55" s="103"/>
      <c r="B55" s="12" t="s">
        <v>13</v>
      </c>
      <c r="C55" s="10" t="s">
        <v>32</v>
      </c>
      <c r="D55" s="152">
        <v>24</v>
      </c>
      <c r="E55" s="295">
        <v>6</v>
      </c>
      <c r="F55" s="135"/>
      <c r="G55" s="293">
        <f t="shared" si="0"/>
        <v>18</v>
      </c>
      <c r="H55" s="237"/>
      <c r="I55" s="10" t="s">
        <v>20</v>
      </c>
      <c r="J55" s="11">
        <v>8.35</v>
      </c>
      <c r="K55" s="12">
        <f t="shared" si="3"/>
        <v>50.099999999999994</v>
      </c>
    </row>
    <row r="56" spans="1:12" x14ac:dyDescent="0.35">
      <c r="A56" s="103"/>
      <c r="B56" s="12" t="s">
        <v>13</v>
      </c>
      <c r="C56" s="10" t="s">
        <v>33</v>
      </c>
      <c r="D56" s="152">
        <v>24</v>
      </c>
      <c r="E56" s="295">
        <v>15</v>
      </c>
      <c r="F56" s="135"/>
      <c r="G56" s="293">
        <f t="shared" si="0"/>
        <v>9</v>
      </c>
      <c r="H56" s="237"/>
      <c r="I56" s="10" t="s">
        <v>20</v>
      </c>
      <c r="J56" s="11">
        <v>8.9</v>
      </c>
      <c r="K56" s="12">
        <f t="shared" si="3"/>
        <v>133.5</v>
      </c>
    </row>
    <row r="57" spans="1:12" x14ac:dyDescent="0.35">
      <c r="A57" s="103"/>
      <c r="B57" s="12" t="s">
        <v>13</v>
      </c>
      <c r="C57" s="10" t="s">
        <v>59</v>
      </c>
      <c r="D57" s="152">
        <v>24</v>
      </c>
      <c r="E57" s="295">
        <v>22</v>
      </c>
      <c r="F57" s="135"/>
      <c r="G57" s="293">
        <f t="shared" si="0"/>
        <v>2</v>
      </c>
      <c r="H57" s="237"/>
      <c r="I57" s="10" t="s">
        <v>20</v>
      </c>
      <c r="J57" s="11">
        <v>8.6999999999999993</v>
      </c>
      <c r="K57" s="12">
        <f t="shared" si="3"/>
        <v>191.39999999999998</v>
      </c>
    </row>
    <row r="58" spans="1:12" x14ac:dyDescent="0.35">
      <c r="A58" s="103"/>
      <c r="B58" s="12" t="s">
        <v>13</v>
      </c>
      <c r="C58" s="10" t="s">
        <v>234</v>
      </c>
      <c r="D58" s="152"/>
      <c r="E58" s="166"/>
      <c r="F58" s="135"/>
      <c r="G58" s="293" t="str">
        <f t="shared" si="0"/>
        <v/>
      </c>
      <c r="H58" s="237"/>
      <c r="I58" s="10" t="s">
        <v>20</v>
      </c>
      <c r="J58" s="11">
        <v>12.15</v>
      </c>
      <c r="K58" s="12">
        <f t="shared" si="3"/>
        <v>0</v>
      </c>
    </row>
    <row r="59" spans="1:12" x14ac:dyDescent="0.35">
      <c r="A59" s="103"/>
      <c r="B59" s="12" t="s">
        <v>13</v>
      </c>
      <c r="C59" s="10" t="s">
        <v>235</v>
      </c>
      <c r="D59" s="152">
        <v>36</v>
      </c>
      <c r="E59" s="295">
        <v>10</v>
      </c>
      <c r="F59" s="135"/>
      <c r="G59" s="293">
        <f t="shared" si="0"/>
        <v>26</v>
      </c>
      <c r="H59" s="237"/>
      <c r="I59" s="10" t="s">
        <v>20</v>
      </c>
      <c r="J59" s="11">
        <v>11.35</v>
      </c>
      <c r="K59" s="12">
        <f t="shared" si="3"/>
        <v>113.5</v>
      </c>
    </row>
    <row r="60" spans="1:12" hidden="1" x14ac:dyDescent="0.35">
      <c r="A60" s="103"/>
      <c r="B60" s="12" t="s">
        <v>13</v>
      </c>
      <c r="C60" s="10" t="s">
        <v>236</v>
      </c>
      <c r="D60" s="152"/>
      <c r="E60" s="295"/>
      <c r="F60" s="135"/>
      <c r="G60" s="293" t="str">
        <f t="shared" si="0"/>
        <v/>
      </c>
      <c r="H60" s="237"/>
      <c r="I60" s="10" t="s">
        <v>20</v>
      </c>
      <c r="J60" s="11">
        <v>14.65</v>
      </c>
      <c r="K60" s="12">
        <f t="shared" si="3"/>
        <v>0</v>
      </c>
    </row>
    <row r="61" spans="1:12" hidden="1" x14ac:dyDescent="0.35">
      <c r="A61" s="103"/>
      <c r="B61" s="12" t="s">
        <v>13</v>
      </c>
      <c r="C61" s="10" t="s">
        <v>237</v>
      </c>
      <c r="D61" s="152"/>
      <c r="E61" s="295"/>
      <c r="F61" s="135"/>
      <c r="G61" s="293" t="str">
        <f t="shared" si="0"/>
        <v/>
      </c>
      <c r="H61" s="237"/>
      <c r="I61" s="10" t="s">
        <v>20</v>
      </c>
      <c r="J61" s="11">
        <v>16.25</v>
      </c>
      <c r="K61" s="12">
        <f t="shared" si="3"/>
        <v>0</v>
      </c>
    </row>
    <row r="62" spans="1:12" hidden="1" x14ac:dyDescent="0.35">
      <c r="A62" s="103"/>
      <c r="B62" s="12" t="s">
        <v>13</v>
      </c>
      <c r="C62" s="10" t="s">
        <v>238</v>
      </c>
      <c r="D62" s="152"/>
      <c r="E62" s="295"/>
      <c r="F62" s="135"/>
      <c r="G62" s="293" t="str">
        <f t="shared" si="0"/>
        <v/>
      </c>
      <c r="H62" s="237"/>
      <c r="I62" s="10" t="s">
        <v>20</v>
      </c>
      <c r="J62" s="11">
        <v>17.899999999999999</v>
      </c>
      <c r="K62" s="12">
        <f t="shared" si="3"/>
        <v>0</v>
      </c>
    </row>
    <row r="63" spans="1:12" x14ac:dyDescent="0.35">
      <c r="A63" s="103"/>
      <c r="B63" s="12" t="s">
        <v>13</v>
      </c>
      <c r="C63" s="10" t="s">
        <v>239</v>
      </c>
      <c r="D63" s="152">
        <v>36</v>
      </c>
      <c r="E63" s="295">
        <v>4</v>
      </c>
      <c r="F63" s="135"/>
      <c r="G63" s="293">
        <f t="shared" si="0"/>
        <v>32</v>
      </c>
      <c r="H63" s="237"/>
      <c r="I63" s="10" t="s">
        <v>20</v>
      </c>
      <c r="J63" s="11">
        <v>15.95</v>
      </c>
      <c r="K63" s="12">
        <f t="shared" si="3"/>
        <v>63.8</v>
      </c>
    </row>
    <row r="64" spans="1:12" x14ac:dyDescent="0.35">
      <c r="A64" s="103"/>
      <c r="B64" s="12" t="s">
        <v>13</v>
      </c>
      <c r="C64" s="10" t="s">
        <v>240</v>
      </c>
      <c r="D64" s="152"/>
      <c r="E64" s="166"/>
      <c r="F64" s="135"/>
      <c r="G64" s="293" t="str">
        <f t="shared" si="0"/>
        <v/>
      </c>
      <c r="H64" s="237"/>
      <c r="I64" s="10" t="s">
        <v>20</v>
      </c>
      <c r="J64" s="11">
        <v>15.45</v>
      </c>
      <c r="K64" s="12">
        <f t="shared" si="3"/>
        <v>0</v>
      </c>
    </row>
    <row r="65" spans="1:11" ht="15.5" x14ac:dyDescent="0.35">
      <c r="A65" s="111"/>
      <c r="B65" s="126" t="s">
        <v>241</v>
      </c>
      <c r="C65" s="127"/>
      <c r="D65" s="226"/>
      <c r="E65" s="247"/>
      <c r="F65" s="127"/>
      <c r="G65" s="294"/>
      <c r="H65" s="239"/>
      <c r="I65" s="127"/>
      <c r="J65" s="127"/>
      <c r="K65" s="127"/>
    </row>
    <row r="66" spans="1:11" x14ac:dyDescent="0.35">
      <c r="A66" s="103"/>
      <c r="B66" s="12" t="s">
        <v>13</v>
      </c>
      <c r="C66" s="10" t="s">
        <v>242</v>
      </c>
      <c r="D66" s="152">
        <v>4</v>
      </c>
      <c r="E66" s="166"/>
      <c r="F66" s="135"/>
      <c r="G66" s="293" t="str">
        <f t="shared" si="0"/>
        <v/>
      </c>
      <c r="H66" s="237"/>
      <c r="I66" s="10" t="s">
        <v>20</v>
      </c>
      <c r="J66" s="11">
        <v>31.05</v>
      </c>
      <c r="K66" s="12">
        <f t="shared" si="3"/>
        <v>0</v>
      </c>
    </row>
    <row r="67" spans="1:11" x14ac:dyDescent="0.35">
      <c r="A67" s="103"/>
      <c r="B67" s="12" t="s">
        <v>13</v>
      </c>
      <c r="C67" s="10" t="s">
        <v>243</v>
      </c>
      <c r="D67" s="152"/>
      <c r="E67" s="166"/>
      <c r="F67" s="135"/>
      <c r="G67" s="293" t="str">
        <f t="shared" si="0"/>
        <v/>
      </c>
      <c r="H67" s="237"/>
      <c r="I67" s="10" t="s">
        <v>20</v>
      </c>
      <c r="J67" s="11">
        <v>60.79</v>
      </c>
      <c r="K67" s="12">
        <f t="shared" si="3"/>
        <v>0</v>
      </c>
    </row>
    <row r="68" spans="1:11" x14ac:dyDescent="0.35">
      <c r="A68" s="103"/>
      <c r="B68" s="12" t="s">
        <v>13</v>
      </c>
      <c r="C68" s="10" t="s">
        <v>244</v>
      </c>
      <c r="D68" s="152"/>
      <c r="E68" s="166"/>
      <c r="F68" s="135"/>
      <c r="G68" s="293" t="str">
        <f t="shared" si="0"/>
        <v/>
      </c>
      <c r="H68" s="237"/>
      <c r="I68" s="10" t="s">
        <v>20</v>
      </c>
      <c r="J68" s="11">
        <v>56.55</v>
      </c>
      <c r="K68" s="12">
        <f t="shared" si="3"/>
        <v>0</v>
      </c>
    </row>
    <row r="69" spans="1:11" x14ac:dyDescent="0.35">
      <c r="A69" s="103"/>
      <c r="B69" s="12" t="s">
        <v>13</v>
      </c>
      <c r="C69" s="10" t="s">
        <v>245</v>
      </c>
      <c r="D69" s="152"/>
      <c r="E69" s="166"/>
      <c r="F69" s="135"/>
      <c r="G69" s="293" t="str">
        <f t="shared" si="0"/>
        <v/>
      </c>
      <c r="H69" s="237"/>
      <c r="I69" s="10" t="s">
        <v>20</v>
      </c>
      <c r="J69" s="11">
        <v>107.44</v>
      </c>
      <c r="K69" s="12">
        <f t="shared" si="3"/>
        <v>0</v>
      </c>
    </row>
    <row r="70" spans="1:11" x14ac:dyDescent="0.35">
      <c r="A70" s="103"/>
      <c r="B70" s="12" t="s">
        <v>13</v>
      </c>
      <c r="C70" s="10" t="s">
        <v>246</v>
      </c>
      <c r="D70" s="152"/>
      <c r="E70" s="166"/>
      <c r="F70" s="135"/>
      <c r="G70" s="293" t="str">
        <f t="shared" si="0"/>
        <v/>
      </c>
      <c r="H70" s="237"/>
      <c r="I70" s="10" t="s">
        <v>20</v>
      </c>
      <c r="J70" s="11">
        <v>47.4</v>
      </c>
      <c r="K70" s="12">
        <f t="shared" si="3"/>
        <v>0</v>
      </c>
    </row>
    <row r="71" spans="1:11" x14ac:dyDescent="0.35">
      <c r="A71" s="103"/>
      <c r="B71" s="12" t="s">
        <v>13</v>
      </c>
      <c r="C71" s="10" t="s">
        <v>247</v>
      </c>
      <c r="D71" s="152"/>
      <c r="E71" s="166"/>
      <c r="F71" s="135"/>
      <c r="G71" s="293" t="str">
        <f t="shared" si="0"/>
        <v/>
      </c>
      <c r="H71" s="237"/>
      <c r="I71" s="10" t="s">
        <v>20</v>
      </c>
      <c r="J71" s="11">
        <v>87.63</v>
      </c>
      <c r="K71" s="12">
        <f t="shared" si="3"/>
        <v>0</v>
      </c>
    </row>
    <row r="72" spans="1:11" x14ac:dyDescent="0.35">
      <c r="A72" s="103"/>
      <c r="B72" s="12" t="s">
        <v>13</v>
      </c>
      <c r="C72" s="10" t="s">
        <v>248</v>
      </c>
      <c r="D72" s="152"/>
      <c r="E72" s="166"/>
      <c r="F72" s="135"/>
      <c r="G72" s="293" t="str">
        <f t="shared" si="0"/>
        <v/>
      </c>
      <c r="H72" s="237"/>
      <c r="I72" s="10" t="s">
        <v>20</v>
      </c>
      <c r="J72" s="11">
        <v>52.31</v>
      </c>
      <c r="K72" s="12">
        <f t="shared" si="3"/>
        <v>0</v>
      </c>
    </row>
    <row r="73" spans="1:11" ht="15.5" x14ac:dyDescent="0.35">
      <c r="A73" s="111"/>
      <c r="B73" s="126" t="s">
        <v>249</v>
      </c>
      <c r="C73" s="127"/>
      <c r="D73" s="226"/>
      <c r="E73" s="247"/>
      <c r="F73" s="127"/>
      <c r="G73" s="294"/>
      <c r="H73" s="239"/>
      <c r="I73" s="127"/>
      <c r="J73" s="127"/>
      <c r="K73" s="127"/>
    </row>
    <row r="74" spans="1:11" x14ac:dyDescent="0.35">
      <c r="A74" s="103"/>
      <c r="B74" s="12" t="s">
        <v>13</v>
      </c>
      <c r="C74" s="10" t="s">
        <v>250</v>
      </c>
      <c r="D74" s="152"/>
      <c r="E74" s="166"/>
      <c r="F74" s="135"/>
      <c r="G74" s="293" t="str">
        <f t="shared" si="0"/>
        <v/>
      </c>
      <c r="H74" s="237"/>
      <c r="I74" s="10" t="s">
        <v>20</v>
      </c>
      <c r="J74" s="11">
        <v>10.8</v>
      </c>
      <c r="K74" s="12">
        <f t="shared" si="3"/>
        <v>0</v>
      </c>
    </row>
    <row r="75" spans="1:11" x14ac:dyDescent="0.35">
      <c r="A75" s="103"/>
      <c r="B75" s="12" t="s">
        <v>13</v>
      </c>
      <c r="C75" s="10" t="s">
        <v>251</v>
      </c>
      <c r="D75" s="152"/>
      <c r="E75" s="166"/>
      <c r="F75" s="135"/>
      <c r="G75" s="293" t="str">
        <f t="shared" si="0"/>
        <v/>
      </c>
      <c r="H75" s="237"/>
      <c r="I75" s="10" t="s">
        <v>20</v>
      </c>
      <c r="J75" s="11">
        <v>11.2</v>
      </c>
      <c r="K75" s="12">
        <f t="shared" si="3"/>
        <v>0</v>
      </c>
    </row>
    <row r="76" spans="1:11" x14ac:dyDescent="0.35">
      <c r="A76" s="103"/>
      <c r="B76" s="12" t="s">
        <v>13</v>
      </c>
      <c r="C76" s="10" t="s">
        <v>252</v>
      </c>
      <c r="D76" s="152">
        <v>20</v>
      </c>
      <c r="E76" s="295">
        <v>20</v>
      </c>
      <c r="F76" s="135"/>
      <c r="G76" s="293" t="str">
        <f t="shared" si="0"/>
        <v/>
      </c>
      <c r="H76" s="237"/>
      <c r="I76" s="10" t="s">
        <v>23</v>
      </c>
      <c r="J76" s="11">
        <v>4.5599999999999996</v>
      </c>
      <c r="K76" s="12">
        <f t="shared" si="3"/>
        <v>91.199999999999989</v>
      </c>
    </row>
    <row r="77" spans="1:11" x14ac:dyDescent="0.35">
      <c r="A77" s="103"/>
      <c r="B77" s="12" t="s">
        <v>13</v>
      </c>
      <c r="C77" s="10" t="s">
        <v>253</v>
      </c>
      <c r="D77" s="152"/>
      <c r="E77" s="166"/>
      <c r="F77" s="135"/>
      <c r="G77" s="293" t="str">
        <f t="shared" si="0"/>
        <v/>
      </c>
      <c r="H77" s="237"/>
      <c r="I77" s="10" t="s">
        <v>23</v>
      </c>
      <c r="J77" s="11">
        <v>37.700000000000003</v>
      </c>
      <c r="K77" s="12">
        <f t="shared" si="3"/>
        <v>0</v>
      </c>
    </row>
    <row r="78" spans="1:11" ht="15.5" x14ac:dyDescent="0.35">
      <c r="A78" s="108" t="s">
        <v>254</v>
      </c>
      <c r="B78" s="108"/>
      <c r="C78" s="108"/>
      <c r="D78" s="223"/>
      <c r="E78" s="247"/>
      <c r="F78" s="108"/>
      <c r="G78" s="294"/>
      <c r="H78" s="110"/>
      <c r="I78" s="108"/>
      <c r="J78" s="110" t="s">
        <v>18</v>
      </c>
      <c r="K78" s="269">
        <f>SUM(K80:K121)</f>
        <v>297.2</v>
      </c>
    </row>
    <row r="79" spans="1:11" ht="15.5" x14ac:dyDescent="0.35">
      <c r="A79" s="111"/>
      <c r="B79" s="126" t="s">
        <v>255</v>
      </c>
      <c r="C79" s="127"/>
      <c r="D79" s="226"/>
      <c r="E79" s="247"/>
      <c r="F79" s="127"/>
      <c r="G79" s="294"/>
      <c r="H79" s="239"/>
      <c r="I79" s="127"/>
      <c r="J79" s="127"/>
      <c r="K79" s="128"/>
    </row>
    <row r="80" spans="1:11" x14ac:dyDescent="0.35">
      <c r="A80" s="103"/>
      <c r="B80" s="12" t="s">
        <v>3</v>
      </c>
      <c r="C80" s="10" t="s">
        <v>256</v>
      </c>
      <c r="D80" s="152"/>
      <c r="E80" s="166"/>
      <c r="F80" s="135"/>
      <c r="G80" s="293" t="str">
        <f t="shared" si="0"/>
        <v/>
      </c>
      <c r="H80" s="237"/>
      <c r="I80" s="10" t="s">
        <v>20</v>
      </c>
      <c r="J80" s="11">
        <v>32.950000000000003</v>
      </c>
      <c r="K80" s="12">
        <f>E80*J80</f>
        <v>0</v>
      </c>
    </row>
    <row r="81" spans="1:11" x14ac:dyDescent="0.35">
      <c r="A81" s="103"/>
      <c r="B81" s="12" t="s">
        <v>3</v>
      </c>
      <c r="C81" s="10" t="s">
        <v>257</v>
      </c>
      <c r="D81" s="152"/>
      <c r="E81" s="166"/>
      <c r="F81" s="135"/>
      <c r="G81" s="293" t="str">
        <f t="shared" si="0"/>
        <v/>
      </c>
      <c r="H81" s="237"/>
      <c r="I81" s="10" t="s">
        <v>20</v>
      </c>
      <c r="J81" s="11">
        <v>56.95</v>
      </c>
      <c r="K81" s="12">
        <f t="shared" ref="K81:K121" si="4">E81*J81</f>
        <v>0</v>
      </c>
    </row>
    <row r="82" spans="1:11" x14ac:dyDescent="0.35">
      <c r="A82" s="103"/>
      <c r="B82" s="12" t="s">
        <v>3</v>
      </c>
      <c r="C82" s="10" t="s">
        <v>258</v>
      </c>
      <c r="D82" s="152"/>
      <c r="E82" s="166"/>
      <c r="F82" s="135"/>
      <c r="G82" s="293" t="str">
        <f t="shared" si="0"/>
        <v/>
      </c>
      <c r="H82" s="237"/>
      <c r="I82" s="10" t="s">
        <v>20</v>
      </c>
      <c r="J82" s="11">
        <v>15.95</v>
      </c>
      <c r="K82" s="12">
        <f t="shared" si="4"/>
        <v>0</v>
      </c>
    </row>
    <row r="83" spans="1:11" x14ac:dyDescent="0.35">
      <c r="A83" s="103"/>
      <c r="B83" s="12" t="s">
        <v>3</v>
      </c>
      <c r="C83" s="10" t="s">
        <v>259</v>
      </c>
      <c r="D83" s="152"/>
      <c r="E83" s="166"/>
      <c r="F83" s="135"/>
      <c r="G83" s="293" t="str">
        <f t="shared" si="0"/>
        <v/>
      </c>
      <c r="H83" s="237"/>
      <c r="I83" s="10" t="s">
        <v>20</v>
      </c>
      <c r="J83" s="11">
        <v>19.95</v>
      </c>
      <c r="K83" s="12">
        <f t="shared" si="4"/>
        <v>0</v>
      </c>
    </row>
    <row r="84" spans="1:11" x14ac:dyDescent="0.35">
      <c r="A84" s="103"/>
      <c r="B84" s="12" t="s">
        <v>3</v>
      </c>
      <c r="C84" s="10" t="s">
        <v>260</v>
      </c>
      <c r="D84" s="152"/>
      <c r="E84" s="166"/>
      <c r="F84" s="135"/>
      <c r="G84" s="293" t="str">
        <f t="shared" si="0"/>
        <v/>
      </c>
      <c r="H84" s="237"/>
      <c r="I84" s="10" t="s">
        <v>20</v>
      </c>
      <c r="J84" s="11">
        <v>46.95</v>
      </c>
      <c r="K84" s="12">
        <f t="shared" si="4"/>
        <v>0</v>
      </c>
    </row>
    <row r="85" spans="1:11" x14ac:dyDescent="0.35">
      <c r="A85" s="103"/>
      <c r="B85" s="12" t="s">
        <v>3</v>
      </c>
      <c r="C85" s="10" t="s">
        <v>261</v>
      </c>
      <c r="D85" s="152"/>
      <c r="E85" s="166"/>
      <c r="F85" s="135"/>
      <c r="G85" s="293" t="str">
        <f t="shared" si="0"/>
        <v/>
      </c>
      <c r="H85" s="237"/>
      <c r="I85" s="10" t="s">
        <v>20</v>
      </c>
      <c r="J85" s="11">
        <v>34.950000000000003</v>
      </c>
      <c r="K85" s="12">
        <f t="shared" si="4"/>
        <v>0</v>
      </c>
    </row>
    <row r="86" spans="1:11" x14ac:dyDescent="0.35">
      <c r="A86" s="103"/>
      <c r="B86" s="12" t="s">
        <v>3</v>
      </c>
      <c r="C86" s="10" t="s">
        <v>262</v>
      </c>
      <c r="D86" s="152"/>
      <c r="E86" s="166"/>
      <c r="F86" s="135"/>
      <c r="G86" s="293" t="str">
        <f t="shared" si="0"/>
        <v/>
      </c>
      <c r="H86" s="237"/>
      <c r="I86" s="10" t="s">
        <v>20</v>
      </c>
      <c r="J86" s="11">
        <v>24.95</v>
      </c>
      <c r="K86" s="12">
        <f t="shared" si="4"/>
        <v>0</v>
      </c>
    </row>
    <row r="87" spans="1:11" ht="15.5" x14ac:dyDescent="0.35">
      <c r="A87" s="111"/>
      <c r="B87" s="126" t="s">
        <v>263</v>
      </c>
      <c r="C87" s="127"/>
      <c r="D87" s="226"/>
      <c r="E87" s="247"/>
      <c r="F87" s="127"/>
      <c r="G87" s="294"/>
      <c r="H87" s="239"/>
      <c r="I87" s="127"/>
      <c r="J87" s="127"/>
      <c r="K87" s="127"/>
    </row>
    <row r="88" spans="1:11" x14ac:dyDescent="0.35">
      <c r="A88" s="103"/>
      <c r="B88" s="12" t="s">
        <v>3</v>
      </c>
      <c r="C88" s="10" t="s">
        <v>264</v>
      </c>
      <c r="D88" s="152"/>
      <c r="E88" s="166"/>
      <c r="F88" s="135"/>
      <c r="G88" s="293" t="str">
        <f t="shared" ref="G88:G151" si="5">IF(E88="","",IF(D88-IF(E88="",0,E88)&gt;0,D88-IF(E88="",0,E88),""))</f>
        <v/>
      </c>
      <c r="H88" s="237"/>
      <c r="I88" s="10" t="s">
        <v>20</v>
      </c>
      <c r="J88" s="11">
        <v>19.5</v>
      </c>
      <c r="K88" s="12">
        <f t="shared" si="4"/>
        <v>0</v>
      </c>
    </row>
    <row r="89" spans="1:11" x14ac:dyDescent="0.35">
      <c r="A89" s="103"/>
      <c r="B89" s="12" t="s">
        <v>3</v>
      </c>
      <c r="C89" s="10" t="s">
        <v>265</v>
      </c>
      <c r="D89" s="152"/>
      <c r="E89" s="166"/>
      <c r="F89" s="135"/>
      <c r="G89" s="293" t="str">
        <f t="shared" si="5"/>
        <v/>
      </c>
      <c r="H89" s="237"/>
      <c r="I89" s="10" t="s">
        <v>20</v>
      </c>
      <c r="J89" s="11">
        <v>16.95</v>
      </c>
      <c r="K89" s="12">
        <f t="shared" si="4"/>
        <v>0</v>
      </c>
    </row>
    <row r="90" spans="1:11" x14ac:dyDescent="0.35">
      <c r="A90" s="103"/>
      <c r="B90" s="12" t="s">
        <v>3</v>
      </c>
      <c r="C90" s="10" t="s">
        <v>266</v>
      </c>
      <c r="D90" s="152"/>
      <c r="E90" s="166"/>
      <c r="F90" s="135"/>
      <c r="G90" s="293" t="str">
        <f t="shared" si="5"/>
        <v/>
      </c>
      <c r="H90" s="237"/>
      <c r="I90" s="10" t="s">
        <v>20</v>
      </c>
      <c r="J90" s="11">
        <v>17.95</v>
      </c>
      <c r="K90" s="12">
        <f t="shared" si="4"/>
        <v>0</v>
      </c>
    </row>
    <row r="91" spans="1:11" x14ac:dyDescent="0.35">
      <c r="A91" s="103"/>
      <c r="B91" s="12" t="s">
        <v>3</v>
      </c>
      <c r="C91" s="10" t="s">
        <v>267</v>
      </c>
      <c r="D91" s="152">
        <v>3</v>
      </c>
      <c r="E91" s="295">
        <v>7</v>
      </c>
      <c r="F91" s="135"/>
      <c r="G91" s="293" t="str">
        <f t="shared" si="5"/>
        <v/>
      </c>
      <c r="H91" s="237"/>
      <c r="I91" s="10" t="s">
        <v>20</v>
      </c>
      <c r="J91" s="11">
        <v>15.95</v>
      </c>
      <c r="K91" s="12">
        <f t="shared" si="4"/>
        <v>111.64999999999999</v>
      </c>
    </row>
    <row r="92" spans="1:11" x14ac:dyDescent="0.35">
      <c r="A92" s="103"/>
      <c r="B92" s="12" t="s">
        <v>3</v>
      </c>
      <c r="C92" s="10" t="s">
        <v>268</v>
      </c>
      <c r="D92" s="152"/>
      <c r="E92" s="166"/>
      <c r="F92" s="135"/>
      <c r="G92" s="293" t="str">
        <f t="shared" si="5"/>
        <v/>
      </c>
      <c r="H92" s="237"/>
      <c r="I92" s="10" t="s">
        <v>20</v>
      </c>
      <c r="J92" s="11">
        <v>20.95</v>
      </c>
      <c r="K92" s="12">
        <f t="shared" si="4"/>
        <v>0</v>
      </c>
    </row>
    <row r="93" spans="1:11" x14ac:dyDescent="0.35">
      <c r="A93" s="103"/>
      <c r="B93" s="12" t="s">
        <v>3</v>
      </c>
      <c r="C93" s="10" t="s">
        <v>269</v>
      </c>
      <c r="D93" s="152"/>
      <c r="E93" s="166"/>
      <c r="F93" s="135"/>
      <c r="G93" s="293" t="str">
        <f t="shared" si="5"/>
        <v/>
      </c>
      <c r="H93" s="237"/>
      <c r="I93" s="10" t="s">
        <v>20</v>
      </c>
      <c r="J93" s="11">
        <v>26.95</v>
      </c>
      <c r="K93" s="12">
        <f t="shared" si="4"/>
        <v>0</v>
      </c>
    </row>
    <row r="94" spans="1:11" x14ac:dyDescent="0.35">
      <c r="A94" s="103"/>
      <c r="B94" s="12" t="s">
        <v>3</v>
      </c>
      <c r="C94" s="10" t="s">
        <v>270</v>
      </c>
      <c r="D94" s="152"/>
      <c r="E94" s="166"/>
      <c r="F94" s="135"/>
      <c r="G94" s="293" t="str">
        <f t="shared" si="5"/>
        <v/>
      </c>
      <c r="H94" s="237"/>
      <c r="I94" s="10" t="s">
        <v>20</v>
      </c>
      <c r="J94" s="11">
        <v>26.95</v>
      </c>
      <c r="K94" s="12">
        <f t="shared" si="4"/>
        <v>0</v>
      </c>
    </row>
    <row r="95" spans="1:11" ht="15.5" x14ac:dyDescent="0.35">
      <c r="A95" s="111"/>
      <c r="B95" s="126" t="s">
        <v>271</v>
      </c>
      <c r="C95" s="127"/>
      <c r="D95" s="226"/>
      <c r="E95" s="247"/>
      <c r="F95" s="127"/>
      <c r="G95" s="294"/>
      <c r="H95" s="239"/>
      <c r="I95" s="127"/>
      <c r="J95" s="127"/>
      <c r="K95" s="127"/>
    </row>
    <row r="96" spans="1:11" x14ac:dyDescent="0.35">
      <c r="A96" s="103"/>
      <c r="B96" s="12" t="s">
        <v>3</v>
      </c>
      <c r="C96" s="10" t="s">
        <v>272</v>
      </c>
      <c r="D96" s="152"/>
      <c r="E96" s="166"/>
      <c r="F96" s="135"/>
      <c r="G96" s="293" t="str">
        <f t="shared" si="5"/>
        <v/>
      </c>
      <c r="H96" s="237"/>
      <c r="I96" s="10" t="s">
        <v>20</v>
      </c>
      <c r="J96" s="11">
        <v>20.95</v>
      </c>
      <c r="K96" s="12">
        <f t="shared" si="4"/>
        <v>0</v>
      </c>
    </row>
    <row r="97" spans="1:11" x14ac:dyDescent="0.35">
      <c r="A97" s="103"/>
      <c r="B97" s="12" t="s">
        <v>3</v>
      </c>
      <c r="C97" s="10" t="s">
        <v>273</v>
      </c>
      <c r="D97" s="152">
        <v>3</v>
      </c>
      <c r="E97" s="295">
        <v>3</v>
      </c>
      <c r="F97" s="135"/>
      <c r="G97" s="293" t="str">
        <f t="shared" si="5"/>
        <v/>
      </c>
      <c r="H97" s="237"/>
      <c r="I97" s="10" t="s">
        <v>20</v>
      </c>
      <c r="J97" s="11">
        <v>23.95</v>
      </c>
      <c r="K97" s="12">
        <f t="shared" si="4"/>
        <v>71.849999999999994</v>
      </c>
    </row>
    <row r="98" spans="1:11" x14ac:dyDescent="0.35">
      <c r="A98" s="103"/>
      <c r="B98" s="12" t="s">
        <v>3</v>
      </c>
      <c r="C98" s="10" t="s">
        <v>274</v>
      </c>
      <c r="D98" s="152"/>
      <c r="E98" s="166"/>
      <c r="F98" s="135"/>
      <c r="G98" s="293" t="str">
        <f t="shared" si="5"/>
        <v/>
      </c>
      <c r="H98" s="237"/>
      <c r="I98" s="10" t="s">
        <v>20</v>
      </c>
      <c r="J98" s="11">
        <v>22.5</v>
      </c>
      <c r="K98" s="12">
        <f t="shared" si="4"/>
        <v>0</v>
      </c>
    </row>
    <row r="99" spans="1:11" x14ac:dyDescent="0.35">
      <c r="A99" s="103"/>
      <c r="B99" s="12" t="s">
        <v>3</v>
      </c>
      <c r="C99" s="10" t="s">
        <v>275</v>
      </c>
      <c r="D99" s="152"/>
      <c r="E99" s="166"/>
      <c r="F99" s="135"/>
      <c r="G99" s="293" t="str">
        <f t="shared" si="5"/>
        <v/>
      </c>
      <c r="H99" s="237"/>
      <c r="I99" s="10" t="s">
        <v>20</v>
      </c>
      <c r="J99" s="11">
        <v>29.95</v>
      </c>
      <c r="K99" s="12">
        <f t="shared" si="4"/>
        <v>0</v>
      </c>
    </row>
    <row r="100" spans="1:11" ht="15.5" x14ac:dyDescent="0.35">
      <c r="A100" s="111"/>
      <c r="B100" s="126" t="s">
        <v>276</v>
      </c>
      <c r="C100" s="127"/>
      <c r="D100" s="226"/>
      <c r="E100" s="247"/>
      <c r="F100" s="127"/>
      <c r="G100" s="294"/>
      <c r="H100" s="239"/>
      <c r="I100" s="127"/>
      <c r="J100" s="127"/>
      <c r="K100" s="127"/>
    </row>
    <row r="101" spans="1:11" x14ac:dyDescent="0.35">
      <c r="A101" s="103"/>
      <c r="B101" s="12" t="s">
        <v>3</v>
      </c>
      <c r="C101" s="10" t="s">
        <v>277</v>
      </c>
      <c r="D101" s="152"/>
      <c r="E101" s="166"/>
      <c r="F101" s="135"/>
      <c r="G101" s="293" t="str">
        <f t="shared" si="5"/>
        <v/>
      </c>
      <c r="H101" s="237"/>
      <c r="I101" s="10" t="s">
        <v>20</v>
      </c>
      <c r="J101" s="11">
        <v>17.95</v>
      </c>
      <c r="K101" s="12">
        <f t="shared" si="4"/>
        <v>0</v>
      </c>
    </row>
    <row r="102" spans="1:11" x14ac:dyDescent="0.35">
      <c r="A102" s="103"/>
      <c r="B102" s="12" t="s">
        <v>3</v>
      </c>
      <c r="C102" s="10" t="s">
        <v>278</v>
      </c>
      <c r="D102" s="152">
        <v>3</v>
      </c>
      <c r="E102" s="295">
        <v>2</v>
      </c>
      <c r="F102" s="135"/>
      <c r="G102" s="293">
        <f t="shared" si="5"/>
        <v>1</v>
      </c>
      <c r="H102" s="237"/>
      <c r="I102" s="10" t="s">
        <v>20</v>
      </c>
      <c r="J102" s="11">
        <v>20.95</v>
      </c>
      <c r="K102" s="12">
        <f t="shared" si="4"/>
        <v>41.9</v>
      </c>
    </row>
    <row r="103" spans="1:11" x14ac:dyDescent="0.35">
      <c r="A103" s="103"/>
      <c r="B103" s="12" t="s">
        <v>3</v>
      </c>
      <c r="C103" s="10" t="s">
        <v>279</v>
      </c>
      <c r="D103" s="152"/>
      <c r="E103" s="166"/>
      <c r="F103" s="135"/>
      <c r="G103" s="293" t="str">
        <f t="shared" si="5"/>
        <v/>
      </c>
      <c r="H103" s="237"/>
      <c r="I103" s="10" t="s">
        <v>20</v>
      </c>
      <c r="J103" s="11">
        <v>19.95</v>
      </c>
      <c r="K103" s="12">
        <f t="shared" si="4"/>
        <v>0</v>
      </c>
    </row>
    <row r="104" spans="1:11" x14ac:dyDescent="0.35">
      <c r="A104" s="103"/>
      <c r="B104" s="40" t="s">
        <v>3</v>
      </c>
      <c r="C104" s="41" t="s">
        <v>280</v>
      </c>
      <c r="D104" s="227"/>
      <c r="E104" s="166"/>
      <c r="F104" s="138"/>
      <c r="G104" s="293" t="str">
        <f t="shared" si="5"/>
        <v/>
      </c>
      <c r="H104" s="263"/>
      <c r="I104" s="41" t="s">
        <v>20</v>
      </c>
      <c r="J104" s="42">
        <v>59.95</v>
      </c>
      <c r="K104" s="12">
        <f t="shared" si="4"/>
        <v>0</v>
      </c>
    </row>
    <row r="105" spans="1:11" ht="15.5" x14ac:dyDescent="0.35">
      <c r="A105" s="111"/>
      <c r="B105" s="126" t="s">
        <v>281</v>
      </c>
      <c r="C105" s="127"/>
      <c r="D105" s="226"/>
      <c r="E105" s="247"/>
      <c r="F105" s="127"/>
      <c r="G105" s="294"/>
      <c r="H105" s="239"/>
      <c r="I105" s="127"/>
      <c r="J105" s="127"/>
      <c r="K105" s="127"/>
    </row>
    <row r="106" spans="1:11" x14ac:dyDescent="0.35">
      <c r="A106" s="103"/>
      <c r="B106" s="12" t="s">
        <v>3</v>
      </c>
      <c r="C106" s="10" t="s">
        <v>282</v>
      </c>
      <c r="D106" s="152"/>
      <c r="E106" s="166"/>
      <c r="F106" s="135"/>
      <c r="G106" s="293" t="str">
        <f t="shared" si="5"/>
        <v/>
      </c>
      <c r="H106" s="237"/>
      <c r="I106" s="10" t="s">
        <v>20</v>
      </c>
      <c r="J106" s="11">
        <v>54.95</v>
      </c>
      <c r="K106" s="12">
        <f t="shared" si="4"/>
        <v>0</v>
      </c>
    </row>
    <row r="107" spans="1:11" x14ac:dyDescent="0.35">
      <c r="A107" s="103"/>
      <c r="B107" s="12" t="s">
        <v>3</v>
      </c>
      <c r="C107" s="10" t="s">
        <v>283</v>
      </c>
      <c r="D107" s="152"/>
      <c r="E107" s="166"/>
      <c r="F107" s="135"/>
      <c r="G107" s="293" t="str">
        <f t="shared" si="5"/>
        <v/>
      </c>
      <c r="H107" s="237"/>
      <c r="I107" s="10" t="s">
        <v>20</v>
      </c>
      <c r="J107" s="11">
        <v>49.95</v>
      </c>
      <c r="K107" s="12">
        <f t="shared" si="4"/>
        <v>0</v>
      </c>
    </row>
    <row r="108" spans="1:11" ht="15.5" x14ac:dyDescent="0.35">
      <c r="A108" s="111"/>
      <c r="B108" s="126" t="s">
        <v>284</v>
      </c>
      <c r="C108" s="127"/>
      <c r="D108" s="226"/>
      <c r="E108" s="247"/>
      <c r="F108" s="127"/>
      <c r="G108" s="294"/>
      <c r="H108" s="239"/>
      <c r="I108" s="127"/>
      <c r="J108" s="127"/>
      <c r="K108" s="127"/>
    </row>
    <row r="109" spans="1:11" x14ac:dyDescent="0.35">
      <c r="A109" s="103"/>
      <c r="B109" s="12" t="s">
        <v>3</v>
      </c>
      <c r="C109" s="10" t="s">
        <v>285</v>
      </c>
      <c r="D109" s="152"/>
      <c r="E109" s="166"/>
      <c r="F109" s="135"/>
      <c r="G109" s="293" t="str">
        <f t="shared" si="5"/>
        <v/>
      </c>
      <c r="H109" s="237"/>
      <c r="I109" s="10" t="s">
        <v>20</v>
      </c>
      <c r="J109" s="11">
        <v>41.5</v>
      </c>
      <c r="K109" s="12">
        <f t="shared" si="4"/>
        <v>0</v>
      </c>
    </row>
    <row r="110" spans="1:11" x14ac:dyDescent="0.35">
      <c r="A110" s="103"/>
      <c r="B110" s="12" t="s">
        <v>3</v>
      </c>
      <c r="C110" s="10" t="s">
        <v>286</v>
      </c>
      <c r="D110" s="152"/>
      <c r="E110" s="166"/>
      <c r="F110" s="135"/>
      <c r="G110" s="293" t="str">
        <f t="shared" si="5"/>
        <v/>
      </c>
      <c r="H110" s="237"/>
      <c r="I110" s="10" t="s">
        <v>20</v>
      </c>
      <c r="J110" s="11">
        <v>36.200000000000003</v>
      </c>
      <c r="K110" s="12">
        <f t="shared" si="4"/>
        <v>0</v>
      </c>
    </row>
    <row r="111" spans="1:11" x14ac:dyDescent="0.35">
      <c r="A111" s="103"/>
      <c r="B111" s="12" t="s">
        <v>3</v>
      </c>
      <c r="C111" s="10" t="s">
        <v>287</v>
      </c>
      <c r="D111" s="152"/>
      <c r="E111" s="166"/>
      <c r="F111" s="135"/>
      <c r="G111" s="293" t="str">
        <f t="shared" si="5"/>
        <v/>
      </c>
      <c r="H111" s="237"/>
      <c r="I111" s="10" t="s">
        <v>20</v>
      </c>
      <c r="J111" s="11">
        <v>25.95</v>
      </c>
      <c r="K111" s="12">
        <f t="shared" si="4"/>
        <v>0</v>
      </c>
    </row>
    <row r="112" spans="1:11" x14ac:dyDescent="0.35">
      <c r="A112" s="103"/>
      <c r="B112" s="12" t="s">
        <v>3</v>
      </c>
      <c r="C112" s="10" t="s">
        <v>288</v>
      </c>
      <c r="D112" s="152"/>
      <c r="E112" s="166"/>
      <c r="F112" s="135"/>
      <c r="G112" s="293" t="str">
        <f t="shared" si="5"/>
        <v/>
      </c>
      <c r="H112" s="237"/>
      <c r="I112" s="10" t="s">
        <v>20</v>
      </c>
      <c r="J112" s="11">
        <v>32.799999999999997</v>
      </c>
      <c r="K112" s="12">
        <f t="shared" si="4"/>
        <v>0</v>
      </c>
    </row>
    <row r="113" spans="1:11" x14ac:dyDescent="0.35">
      <c r="A113" s="103"/>
      <c r="B113" s="12" t="s">
        <v>3</v>
      </c>
      <c r="C113" s="10" t="s">
        <v>289</v>
      </c>
      <c r="D113" s="152"/>
      <c r="E113" s="166"/>
      <c r="F113" s="135"/>
      <c r="G113" s="293" t="str">
        <f t="shared" si="5"/>
        <v/>
      </c>
      <c r="H113" s="237"/>
      <c r="I113" s="10" t="s">
        <v>20</v>
      </c>
      <c r="J113" s="11">
        <v>29.2</v>
      </c>
      <c r="K113" s="12">
        <f t="shared" si="4"/>
        <v>0</v>
      </c>
    </row>
    <row r="114" spans="1:11" x14ac:dyDescent="0.35">
      <c r="A114" s="103"/>
      <c r="B114" s="12" t="s">
        <v>3</v>
      </c>
      <c r="C114" s="10" t="s">
        <v>290</v>
      </c>
      <c r="D114" s="152"/>
      <c r="E114" s="166"/>
      <c r="F114" s="135"/>
      <c r="G114" s="293" t="str">
        <f t="shared" si="5"/>
        <v/>
      </c>
      <c r="H114" s="237"/>
      <c r="I114" s="10" t="s">
        <v>20</v>
      </c>
      <c r="J114" s="11">
        <v>22.95</v>
      </c>
      <c r="K114" s="12">
        <f t="shared" si="4"/>
        <v>0</v>
      </c>
    </row>
    <row r="115" spans="1:11" ht="15.5" x14ac:dyDescent="0.35">
      <c r="A115" s="111"/>
      <c r="B115" s="126" t="s">
        <v>291</v>
      </c>
      <c r="C115" s="127"/>
      <c r="D115" s="226"/>
      <c r="E115" s="247"/>
      <c r="F115" s="127"/>
      <c r="G115" s="294"/>
      <c r="H115" s="239"/>
      <c r="I115" s="127"/>
      <c r="J115" s="127"/>
      <c r="K115" s="127"/>
    </row>
    <row r="116" spans="1:11" x14ac:dyDescent="0.35">
      <c r="A116" s="103"/>
      <c r="B116" s="12" t="s">
        <v>3</v>
      </c>
      <c r="C116" s="10" t="s">
        <v>292</v>
      </c>
      <c r="D116" s="152">
        <v>3</v>
      </c>
      <c r="E116" s="295">
        <v>4</v>
      </c>
      <c r="F116" s="135"/>
      <c r="G116" s="293" t="str">
        <f t="shared" si="5"/>
        <v/>
      </c>
      <c r="H116" s="237"/>
      <c r="I116" s="10" t="s">
        <v>20</v>
      </c>
      <c r="J116" s="11">
        <v>17.95</v>
      </c>
      <c r="K116" s="12">
        <f t="shared" si="4"/>
        <v>71.8</v>
      </c>
    </row>
    <row r="117" spans="1:11" x14ac:dyDescent="0.35">
      <c r="A117" s="103"/>
      <c r="B117" s="12" t="s">
        <v>3</v>
      </c>
      <c r="C117" s="10" t="s">
        <v>293</v>
      </c>
      <c r="D117" s="152">
        <v>3</v>
      </c>
      <c r="E117" s="295">
        <v>0</v>
      </c>
      <c r="F117" s="135"/>
      <c r="G117" s="293">
        <f t="shared" si="5"/>
        <v>3</v>
      </c>
      <c r="H117" s="237"/>
      <c r="I117" s="10" t="s">
        <v>20</v>
      </c>
      <c r="J117" s="11">
        <v>12.95</v>
      </c>
      <c r="K117" s="12">
        <f t="shared" si="4"/>
        <v>0</v>
      </c>
    </row>
    <row r="118" spans="1:11" x14ac:dyDescent="0.35">
      <c r="A118" s="103"/>
      <c r="B118" s="12" t="s">
        <v>3</v>
      </c>
      <c r="C118" s="10" t="s">
        <v>294</v>
      </c>
      <c r="D118" s="152"/>
      <c r="E118" s="166"/>
      <c r="F118" s="135"/>
      <c r="G118" s="293" t="str">
        <f t="shared" si="5"/>
        <v/>
      </c>
      <c r="H118" s="237"/>
      <c r="I118" s="10" t="s">
        <v>20</v>
      </c>
      <c r="J118" s="11">
        <v>21.95</v>
      </c>
      <c r="K118" s="12">
        <f t="shared" si="4"/>
        <v>0</v>
      </c>
    </row>
    <row r="119" spans="1:11" x14ac:dyDescent="0.35">
      <c r="A119" s="103"/>
      <c r="B119" s="12" t="s">
        <v>3</v>
      </c>
      <c r="C119" s="10" t="s">
        <v>295</v>
      </c>
      <c r="D119" s="152"/>
      <c r="E119" s="166"/>
      <c r="F119" s="135"/>
      <c r="G119" s="293" t="str">
        <f t="shared" si="5"/>
        <v/>
      </c>
      <c r="H119" s="237"/>
      <c r="I119" s="10" t="s">
        <v>20</v>
      </c>
      <c r="J119" s="11"/>
      <c r="K119" s="12">
        <f t="shared" si="4"/>
        <v>0</v>
      </c>
    </row>
    <row r="120" spans="1:11" x14ac:dyDescent="0.35">
      <c r="A120" s="103"/>
      <c r="B120" s="12" t="s">
        <v>3</v>
      </c>
      <c r="C120" s="10" t="s">
        <v>296</v>
      </c>
      <c r="D120" s="152"/>
      <c r="E120" s="166"/>
      <c r="F120" s="135"/>
      <c r="G120" s="293" t="str">
        <f t="shared" si="5"/>
        <v/>
      </c>
      <c r="H120" s="237"/>
      <c r="I120" s="10" t="s">
        <v>20</v>
      </c>
      <c r="J120" s="11"/>
      <c r="K120" s="12">
        <f t="shared" si="4"/>
        <v>0</v>
      </c>
    </row>
    <row r="121" spans="1:11" x14ac:dyDescent="0.35">
      <c r="A121" s="103"/>
      <c r="B121" s="12" t="s">
        <v>3</v>
      </c>
      <c r="C121" s="10" t="s">
        <v>297</v>
      </c>
      <c r="D121" s="152"/>
      <c r="E121" s="166"/>
      <c r="F121" s="135"/>
      <c r="G121" s="293" t="str">
        <f t="shared" si="5"/>
        <v/>
      </c>
      <c r="H121" s="237"/>
      <c r="I121" s="10" t="s">
        <v>20</v>
      </c>
      <c r="J121" s="11">
        <v>22.95</v>
      </c>
      <c r="K121" s="12">
        <f t="shared" si="4"/>
        <v>0</v>
      </c>
    </row>
    <row r="122" spans="1:11" ht="15.5" x14ac:dyDescent="0.35">
      <c r="A122" s="112" t="s">
        <v>298</v>
      </c>
      <c r="B122" s="116"/>
      <c r="C122" s="116"/>
      <c r="D122" s="228"/>
      <c r="E122" s="247"/>
      <c r="F122" s="116"/>
      <c r="G122" s="294"/>
      <c r="H122" s="240"/>
      <c r="I122" s="117"/>
      <c r="J122" s="106" t="s">
        <v>18</v>
      </c>
      <c r="K122" s="269">
        <f>SUM(K123:K175)</f>
        <v>782.65</v>
      </c>
    </row>
    <row r="123" spans="1:11" x14ac:dyDescent="0.35">
      <c r="A123" s="103"/>
      <c r="B123" s="20" t="s">
        <v>4</v>
      </c>
      <c r="C123" s="18" t="s">
        <v>62</v>
      </c>
      <c r="D123" s="229"/>
      <c r="E123" s="166"/>
      <c r="F123" s="139"/>
      <c r="G123" s="293" t="str">
        <f t="shared" si="5"/>
        <v/>
      </c>
      <c r="H123" s="264"/>
      <c r="I123" s="18" t="s">
        <v>20</v>
      </c>
      <c r="J123" s="19">
        <v>7.35</v>
      </c>
      <c r="K123" s="20">
        <f>E123*J123</f>
        <v>0</v>
      </c>
    </row>
    <row r="124" spans="1:11" x14ac:dyDescent="0.35">
      <c r="A124" s="103"/>
      <c r="B124" s="20" t="s">
        <v>4</v>
      </c>
      <c r="C124" s="18" t="s">
        <v>60</v>
      </c>
      <c r="D124" s="229"/>
      <c r="E124" s="166"/>
      <c r="F124" s="139"/>
      <c r="G124" s="293" t="str">
        <f t="shared" si="5"/>
        <v/>
      </c>
      <c r="H124" s="264"/>
      <c r="I124" s="18" t="s">
        <v>20</v>
      </c>
      <c r="J124" s="19">
        <v>10.65</v>
      </c>
      <c r="K124" s="20">
        <f t="shared" ref="K124:K175" si="6">E124*J124</f>
        <v>0</v>
      </c>
    </row>
    <row r="125" spans="1:11" x14ac:dyDescent="0.35">
      <c r="A125" s="113" t="s">
        <v>40</v>
      </c>
      <c r="B125" s="124"/>
      <c r="C125" s="124"/>
      <c r="D125" s="230"/>
      <c r="E125" s="247"/>
      <c r="F125" s="124"/>
      <c r="G125" s="294"/>
      <c r="H125" s="241"/>
      <c r="I125" s="124"/>
      <c r="J125" s="124"/>
      <c r="K125" s="291"/>
    </row>
    <row r="126" spans="1:11" x14ac:dyDescent="0.35">
      <c r="A126" s="103"/>
      <c r="B126" s="20" t="s">
        <v>4</v>
      </c>
      <c r="C126" s="18" t="s">
        <v>299</v>
      </c>
      <c r="D126" s="229"/>
      <c r="E126" s="166"/>
      <c r="F126" s="139"/>
      <c r="G126" s="293" t="str">
        <f t="shared" si="5"/>
        <v/>
      </c>
      <c r="H126" s="264"/>
      <c r="I126" s="18" t="s">
        <v>20</v>
      </c>
      <c r="J126" s="19">
        <v>1.31</v>
      </c>
      <c r="K126" s="20">
        <f t="shared" si="6"/>
        <v>0</v>
      </c>
    </row>
    <row r="127" spans="1:11" x14ac:dyDescent="0.35">
      <c r="A127" s="103"/>
      <c r="B127" s="12" t="s">
        <v>4</v>
      </c>
      <c r="C127" s="10" t="s">
        <v>300</v>
      </c>
      <c r="D127" s="152"/>
      <c r="E127" s="166"/>
      <c r="F127" s="135"/>
      <c r="G127" s="293" t="str">
        <f t="shared" si="5"/>
        <v/>
      </c>
      <c r="H127" s="237"/>
      <c r="I127" s="10" t="s">
        <v>20</v>
      </c>
      <c r="J127" s="11">
        <v>1.31</v>
      </c>
      <c r="K127" s="20">
        <f t="shared" si="6"/>
        <v>0</v>
      </c>
    </row>
    <row r="128" spans="1:11" x14ac:dyDescent="0.35">
      <c r="A128" s="103"/>
      <c r="B128" s="20" t="s">
        <v>4</v>
      </c>
      <c r="C128" s="18" t="s">
        <v>301</v>
      </c>
      <c r="D128" s="229"/>
      <c r="E128" s="166"/>
      <c r="F128" s="139"/>
      <c r="G128" s="293" t="str">
        <f t="shared" si="5"/>
        <v/>
      </c>
      <c r="H128" s="264"/>
      <c r="I128" s="18" t="s">
        <v>20</v>
      </c>
      <c r="J128" s="19">
        <v>1.4039999999999999</v>
      </c>
      <c r="K128" s="20">
        <f t="shared" si="6"/>
        <v>0</v>
      </c>
    </row>
    <row r="129" spans="1:11" x14ac:dyDescent="0.35">
      <c r="A129" s="103"/>
      <c r="B129" s="12" t="s">
        <v>4</v>
      </c>
      <c r="C129" s="10" t="s">
        <v>302</v>
      </c>
      <c r="D129" s="152"/>
      <c r="E129" s="166"/>
      <c r="F129" s="135"/>
      <c r="G129" s="293" t="str">
        <f t="shared" si="5"/>
        <v/>
      </c>
      <c r="H129" s="237"/>
      <c r="I129" s="10" t="s">
        <v>20</v>
      </c>
      <c r="J129" s="11">
        <v>1.4039999999999999</v>
      </c>
      <c r="K129" s="20">
        <f t="shared" si="6"/>
        <v>0</v>
      </c>
    </row>
    <row r="130" spans="1:11" x14ac:dyDescent="0.35">
      <c r="A130" s="103"/>
      <c r="B130" s="12" t="s">
        <v>4</v>
      </c>
      <c r="C130" s="10" t="s">
        <v>303</v>
      </c>
      <c r="D130" s="152"/>
      <c r="E130" s="166"/>
      <c r="F130" s="135"/>
      <c r="G130" s="293" t="str">
        <f t="shared" si="5"/>
        <v/>
      </c>
      <c r="H130" s="237"/>
      <c r="I130" s="10" t="s">
        <v>20</v>
      </c>
      <c r="J130" s="11">
        <v>1.53</v>
      </c>
      <c r="K130" s="20">
        <f t="shared" si="6"/>
        <v>0</v>
      </c>
    </row>
    <row r="131" spans="1:11" x14ac:dyDescent="0.35">
      <c r="A131" s="103"/>
      <c r="B131" s="12" t="s">
        <v>4</v>
      </c>
      <c r="C131" s="10" t="s">
        <v>304</v>
      </c>
      <c r="D131" s="152"/>
      <c r="E131" s="166"/>
      <c r="F131" s="135"/>
      <c r="G131" s="293" t="str">
        <f t="shared" si="5"/>
        <v/>
      </c>
      <c r="H131" s="237"/>
      <c r="I131" s="10" t="s">
        <v>20</v>
      </c>
      <c r="J131" s="11">
        <v>1.65</v>
      </c>
      <c r="K131" s="20">
        <f t="shared" si="6"/>
        <v>0</v>
      </c>
    </row>
    <row r="132" spans="1:11" x14ac:dyDescent="0.35">
      <c r="A132" s="103"/>
      <c r="B132" s="12" t="s">
        <v>4</v>
      </c>
      <c r="C132" s="10" t="s">
        <v>83</v>
      </c>
      <c r="D132" s="152">
        <v>48</v>
      </c>
      <c r="E132" s="295">
        <v>52</v>
      </c>
      <c r="F132" s="135"/>
      <c r="G132" s="293" t="str">
        <f t="shared" si="5"/>
        <v/>
      </c>
      <c r="H132" s="237"/>
      <c r="I132" s="10" t="s">
        <v>20</v>
      </c>
      <c r="J132" s="11">
        <v>1.04</v>
      </c>
      <c r="K132" s="20">
        <f t="shared" si="6"/>
        <v>54.08</v>
      </c>
    </row>
    <row r="133" spans="1:11" x14ac:dyDescent="0.35">
      <c r="A133" s="103"/>
      <c r="B133" s="12" t="s">
        <v>4</v>
      </c>
      <c r="C133" s="10" t="s">
        <v>305</v>
      </c>
      <c r="D133" s="152">
        <v>48</v>
      </c>
      <c r="E133" s="295">
        <v>0</v>
      </c>
      <c r="F133" s="135"/>
      <c r="G133" s="293">
        <f t="shared" si="5"/>
        <v>48</v>
      </c>
      <c r="H133" s="237"/>
      <c r="I133" s="10" t="s">
        <v>20</v>
      </c>
      <c r="J133" s="11">
        <v>1.04</v>
      </c>
      <c r="K133" s="20">
        <f t="shared" si="6"/>
        <v>0</v>
      </c>
    </row>
    <row r="134" spans="1:11" x14ac:dyDescent="0.35">
      <c r="A134" s="103"/>
      <c r="B134" s="12" t="s">
        <v>4</v>
      </c>
      <c r="C134" s="10" t="s">
        <v>306</v>
      </c>
      <c r="D134" s="152"/>
      <c r="E134" s="166"/>
      <c r="F134" s="135"/>
      <c r="G134" s="293" t="str">
        <f>IF(E134="","",IF(D134-IF(E134="",0,E134)&gt;0,D134-IF(E134="",0,E134),""))</f>
        <v/>
      </c>
      <c r="H134" s="237"/>
      <c r="I134" s="10" t="s">
        <v>20</v>
      </c>
      <c r="J134" s="11">
        <v>1.06</v>
      </c>
      <c r="K134" s="20">
        <f>E134*J134</f>
        <v>0</v>
      </c>
    </row>
    <row r="135" spans="1:11" x14ac:dyDescent="0.35">
      <c r="A135" s="103"/>
      <c r="B135" s="12" t="s">
        <v>4</v>
      </c>
      <c r="C135" s="10" t="s">
        <v>307</v>
      </c>
      <c r="D135" s="152"/>
      <c r="E135" s="166"/>
      <c r="F135" s="135"/>
      <c r="G135" s="293" t="str">
        <f>IF(E135="","",IF(D135-IF(E135="",0,E135)&gt;0,D135-IF(E135="",0,E135),""))</f>
        <v/>
      </c>
      <c r="H135" s="237"/>
      <c r="I135" s="10" t="s">
        <v>20</v>
      </c>
      <c r="J135" s="11">
        <v>1.06</v>
      </c>
      <c r="K135" s="20">
        <f>E135*J135</f>
        <v>0</v>
      </c>
    </row>
    <row r="136" spans="1:11" x14ac:dyDescent="0.35">
      <c r="A136" s="103"/>
      <c r="B136" s="12" t="s">
        <v>4</v>
      </c>
      <c r="C136" s="10" t="s">
        <v>308</v>
      </c>
      <c r="D136" s="152"/>
      <c r="E136" s="166"/>
      <c r="F136" s="135"/>
      <c r="G136" s="293" t="str">
        <f t="shared" si="5"/>
        <v/>
      </c>
      <c r="H136" s="237"/>
      <c r="I136" s="10" t="s">
        <v>20</v>
      </c>
      <c r="J136" s="11">
        <v>1.2869999999999999</v>
      </c>
      <c r="K136" s="20">
        <f t="shared" si="6"/>
        <v>0</v>
      </c>
    </row>
    <row r="137" spans="1:11" x14ac:dyDescent="0.35">
      <c r="A137" s="103"/>
      <c r="B137" s="12" t="s">
        <v>4</v>
      </c>
      <c r="C137" s="10" t="s">
        <v>309</v>
      </c>
      <c r="D137" s="152"/>
      <c r="E137" s="166"/>
      <c r="F137" s="135"/>
      <c r="G137" s="293" t="str">
        <f t="shared" si="5"/>
        <v/>
      </c>
      <c r="H137" s="237"/>
      <c r="I137" s="10" t="s">
        <v>20</v>
      </c>
      <c r="J137" s="11">
        <v>1.59</v>
      </c>
      <c r="K137" s="20">
        <f t="shared" si="6"/>
        <v>0</v>
      </c>
    </row>
    <row r="138" spans="1:11" x14ac:dyDescent="0.35">
      <c r="A138" s="113" t="s">
        <v>310</v>
      </c>
      <c r="B138" s="124"/>
      <c r="C138" s="124"/>
      <c r="D138" s="230"/>
      <c r="E138" s="247"/>
      <c r="F138" s="124"/>
      <c r="G138" s="294"/>
      <c r="H138" s="241"/>
      <c r="I138" s="124"/>
      <c r="J138" s="124"/>
      <c r="K138" s="291"/>
    </row>
    <row r="139" spans="1:11" x14ac:dyDescent="0.35">
      <c r="A139" s="103"/>
      <c r="B139" s="12" t="s">
        <v>4</v>
      </c>
      <c r="C139" s="10" t="s">
        <v>311</v>
      </c>
      <c r="D139" s="152"/>
      <c r="E139" s="166"/>
      <c r="F139" s="135"/>
      <c r="G139" s="293" t="str">
        <f t="shared" si="5"/>
        <v/>
      </c>
      <c r="H139" s="237"/>
      <c r="I139" s="10" t="s">
        <v>20</v>
      </c>
      <c r="J139" s="11">
        <v>1.1000000000000001</v>
      </c>
      <c r="K139" s="20">
        <f t="shared" si="6"/>
        <v>0</v>
      </c>
    </row>
    <row r="140" spans="1:11" x14ac:dyDescent="0.35">
      <c r="A140" s="103"/>
      <c r="B140" s="12" t="s">
        <v>4</v>
      </c>
      <c r="C140" s="10" t="s">
        <v>312</v>
      </c>
      <c r="D140" s="152"/>
      <c r="E140" s="166"/>
      <c r="F140" s="135"/>
      <c r="G140" s="293" t="str">
        <f t="shared" si="5"/>
        <v/>
      </c>
      <c r="H140" s="237"/>
      <c r="I140" s="10" t="s">
        <v>20</v>
      </c>
      <c r="J140" s="11">
        <v>1.1000000000000001</v>
      </c>
      <c r="K140" s="20">
        <f t="shared" si="6"/>
        <v>0</v>
      </c>
    </row>
    <row r="141" spans="1:11" x14ac:dyDescent="0.35">
      <c r="A141" s="103"/>
      <c r="B141" s="12" t="s">
        <v>4</v>
      </c>
      <c r="C141" s="10" t="s">
        <v>313</v>
      </c>
      <c r="D141" s="152"/>
      <c r="E141" s="166"/>
      <c r="F141" s="135"/>
      <c r="G141" s="293" t="str">
        <f t="shared" si="5"/>
        <v/>
      </c>
      <c r="H141" s="237"/>
      <c r="I141" s="10" t="s">
        <v>20</v>
      </c>
      <c r="J141" s="11">
        <v>1.3</v>
      </c>
      <c r="K141" s="20">
        <f t="shared" si="6"/>
        <v>0</v>
      </c>
    </row>
    <row r="142" spans="1:11" x14ac:dyDescent="0.35">
      <c r="A142" s="103"/>
      <c r="B142" s="12" t="s">
        <v>4</v>
      </c>
      <c r="C142" s="10" t="s">
        <v>314</v>
      </c>
      <c r="D142" s="152"/>
      <c r="E142" s="166"/>
      <c r="F142" s="135"/>
      <c r="G142" s="293" t="str">
        <f t="shared" si="5"/>
        <v/>
      </c>
      <c r="H142" s="237"/>
      <c r="I142" s="10" t="s">
        <v>20</v>
      </c>
      <c r="J142" s="11">
        <v>1.36</v>
      </c>
      <c r="K142" s="20">
        <f t="shared" si="6"/>
        <v>0</v>
      </c>
    </row>
    <row r="143" spans="1:11" x14ac:dyDescent="0.35">
      <c r="A143" s="103"/>
      <c r="B143" s="12" t="s">
        <v>4</v>
      </c>
      <c r="C143" s="10" t="s">
        <v>315</v>
      </c>
      <c r="D143" s="152"/>
      <c r="E143" s="166"/>
      <c r="F143" s="135"/>
      <c r="G143" s="293" t="str">
        <f t="shared" si="5"/>
        <v/>
      </c>
      <c r="H143" s="237"/>
      <c r="I143" s="10" t="s">
        <v>20</v>
      </c>
      <c r="J143" s="11">
        <v>1.3</v>
      </c>
      <c r="K143" s="20">
        <f t="shared" si="6"/>
        <v>0</v>
      </c>
    </row>
    <row r="144" spans="1:11" x14ac:dyDescent="0.35">
      <c r="A144" s="103"/>
      <c r="B144" s="12" t="s">
        <v>4</v>
      </c>
      <c r="C144" s="10" t="s">
        <v>316</v>
      </c>
      <c r="D144" s="152"/>
      <c r="E144" s="166"/>
      <c r="F144" s="135"/>
      <c r="G144" s="293" t="str">
        <f t="shared" si="5"/>
        <v/>
      </c>
      <c r="H144" s="237"/>
      <c r="I144" s="10" t="s">
        <v>20</v>
      </c>
      <c r="J144" s="11">
        <v>1.35</v>
      </c>
      <c r="K144" s="20">
        <f t="shared" si="6"/>
        <v>0</v>
      </c>
    </row>
    <row r="145" spans="1:11" x14ac:dyDescent="0.35">
      <c r="A145" s="103"/>
      <c r="B145" s="12" t="s">
        <v>4</v>
      </c>
      <c r="C145" s="10" t="s">
        <v>317</v>
      </c>
      <c r="D145" s="152"/>
      <c r="E145" s="166"/>
      <c r="F145" s="135"/>
      <c r="G145" s="293" t="str">
        <f t="shared" si="5"/>
        <v/>
      </c>
      <c r="H145" s="237"/>
      <c r="I145" s="10" t="s">
        <v>20</v>
      </c>
      <c r="J145" s="11">
        <v>1.28</v>
      </c>
      <c r="K145" s="20">
        <f t="shared" si="6"/>
        <v>0</v>
      </c>
    </row>
    <row r="146" spans="1:11" x14ac:dyDescent="0.35">
      <c r="A146" s="103"/>
      <c r="B146" s="12" t="s">
        <v>4</v>
      </c>
      <c r="C146" s="10" t="s">
        <v>318</v>
      </c>
      <c r="D146" s="152"/>
      <c r="E146" s="166"/>
      <c r="F146" s="135"/>
      <c r="G146" s="293" t="str">
        <f t="shared" si="5"/>
        <v/>
      </c>
      <c r="H146" s="237"/>
      <c r="I146" s="10" t="s">
        <v>20</v>
      </c>
      <c r="J146" s="11">
        <v>1.1000000000000001</v>
      </c>
      <c r="K146" s="20">
        <f t="shared" si="6"/>
        <v>0</v>
      </c>
    </row>
    <row r="147" spans="1:11" x14ac:dyDescent="0.35">
      <c r="A147" s="103"/>
      <c r="B147" s="12" t="s">
        <v>4</v>
      </c>
      <c r="C147" s="10" t="s">
        <v>319</v>
      </c>
      <c r="D147" s="152"/>
      <c r="E147" s="166"/>
      <c r="F147" s="135"/>
      <c r="G147" s="293" t="str">
        <f t="shared" si="5"/>
        <v/>
      </c>
      <c r="H147" s="237"/>
      <c r="I147" s="10" t="s">
        <v>20</v>
      </c>
      <c r="J147" s="11">
        <v>1.1000000000000001</v>
      </c>
      <c r="K147" s="20">
        <f t="shared" si="6"/>
        <v>0</v>
      </c>
    </row>
    <row r="148" spans="1:11" x14ac:dyDescent="0.35">
      <c r="A148" s="103"/>
      <c r="B148" s="12" t="s">
        <v>4</v>
      </c>
      <c r="C148" s="10" t="s">
        <v>320</v>
      </c>
      <c r="D148" s="152"/>
      <c r="E148" s="166"/>
      <c r="F148" s="135"/>
      <c r="G148" s="293" t="str">
        <f t="shared" si="5"/>
        <v/>
      </c>
      <c r="H148" s="237"/>
      <c r="I148" s="10" t="s">
        <v>20</v>
      </c>
      <c r="J148" s="11">
        <v>1.1000000000000001</v>
      </c>
      <c r="K148" s="20">
        <f t="shared" si="6"/>
        <v>0</v>
      </c>
    </row>
    <row r="149" spans="1:11" x14ac:dyDescent="0.35">
      <c r="A149" s="103"/>
      <c r="B149" s="12" t="s">
        <v>4</v>
      </c>
      <c r="C149" s="10" t="s">
        <v>321</v>
      </c>
      <c r="D149" s="152"/>
      <c r="E149" s="166"/>
      <c r="F149" s="135"/>
      <c r="G149" s="293" t="str">
        <f t="shared" si="5"/>
        <v/>
      </c>
      <c r="H149" s="237"/>
      <c r="I149" s="10" t="s">
        <v>20</v>
      </c>
      <c r="J149" s="11">
        <v>1.1000000000000001</v>
      </c>
      <c r="K149" s="20">
        <f t="shared" si="6"/>
        <v>0</v>
      </c>
    </row>
    <row r="150" spans="1:11" x14ac:dyDescent="0.35">
      <c r="A150" s="113" t="s">
        <v>41</v>
      </c>
      <c r="B150" s="124"/>
      <c r="C150" s="124"/>
      <c r="D150" s="230"/>
      <c r="E150" s="247"/>
      <c r="F150" s="124"/>
      <c r="G150" s="294"/>
      <c r="H150" s="241"/>
      <c r="I150" s="124"/>
      <c r="J150" s="124"/>
      <c r="K150" s="291"/>
    </row>
    <row r="151" spans="1:11" x14ac:dyDescent="0.35">
      <c r="A151" s="103"/>
      <c r="B151" s="12" t="s">
        <v>4</v>
      </c>
      <c r="C151" s="10" t="s">
        <v>24</v>
      </c>
      <c r="D151" s="152">
        <v>48</v>
      </c>
      <c r="E151" s="295">
        <v>12</v>
      </c>
      <c r="F151" s="135"/>
      <c r="G151" s="293">
        <f t="shared" si="5"/>
        <v>36</v>
      </c>
      <c r="H151" s="237"/>
      <c r="I151" s="10" t="s">
        <v>20</v>
      </c>
      <c r="J151" s="11">
        <v>3.04</v>
      </c>
      <c r="K151" s="20">
        <f t="shared" si="6"/>
        <v>36.480000000000004</v>
      </c>
    </row>
    <row r="152" spans="1:11" x14ac:dyDescent="0.35">
      <c r="A152" s="103"/>
      <c r="B152" s="12" t="s">
        <v>4</v>
      </c>
      <c r="C152" s="10" t="s">
        <v>80</v>
      </c>
      <c r="D152" s="152">
        <v>96</v>
      </c>
      <c r="E152" s="295">
        <v>24</v>
      </c>
      <c r="F152" s="135"/>
      <c r="G152" s="293">
        <f t="shared" ref="G152:G157" si="7">IF(E152="","",IF(D152-IF(E152="",0,E152)&gt;0,D152-IF(E152="",0,E152),""))</f>
        <v>72</v>
      </c>
      <c r="H152" s="237"/>
      <c r="I152" s="10" t="s">
        <v>20</v>
      </c>
      <c r="J152" s="11">
        <v>2.31</v>
      </c>
      <c r="K152" s="20">
        <f t="shared" si="6"/>
        <v>55.44</v>
      </c>
    </row>
    <row r="153" spans="1:11" x14ac:dyDescent="0.35">
      <c r="A153" s="103"/>
      <c r="B153" s="12" t="s">
        <v>4</v>
      </c>
      <c r="C153" s="10" t="s">
        <v>84</v>
      </c>
      <c r="D153" s="152">
        <v>48</v>
      </c>
      <c r="E153" s="295">
        <v>42</v>
      </c>
      <c r="F153" s="135"/>
      <c r="G153" s="293">
        <f t="shared" si="7"/>
        <v>6</v>
      </c>
      <c r="H153" s="237"/>
      <c r="I153" s="10" t="s">
        <v>20</v>
      </c>
      <c r="J153" s="11">
        <v>2.31</v>
      </c>
      <c r="K153" s="20">
        <f t="shared" si="6"/>
        <v>97.02</v>
      </c>
    </row>
    <row r="154" spans="1:11" x14ac:dyDescent="0.35">
      <c r="A154" s="103"/>
      <c r="B154" s="12" t="s">
        <v>4</v>
      </c>
      <c r="C154" s="10" t="s">
        <v>394</v>
      </c>
      <c r="D154" s="152"/>
      <c r="E154" s="166"/>
      <c r="F154" s="135"/>
      <c r="G154" s="293" t="str">
        <f t="shared" si="7"/>
        <v/>
      </c>
      <c r="H154" s="237"/>
      <c r="I154" s="10" t="s">
        <v>20</v>
      </c>
      <c r="J154" s="11">
        <v>2.54</v>
      </c>
      <c r="K154" s="20">
        <f t="shared" si="6"/>
        <v>0</v>
      </c>
    </row>
    <row r="155" spans="1:11" x14ac:dyDescent="0.35">
      <c r="A155" s="103"/>
      <c r="B155" s="12" t="s">
        <v>4</v>
      </c>
      <c r="C155" s="10" t="s">
        <v>394</v>
      </c>
      <c r="D155" s="152"/>
      <c r="E155" s="166"/>
      <c r="F155" s="135"/>
      <c r="G155" s="293" t="str">
        <f t="shared" si="7"/>
        <v/>
      </c>
      <c r="H155" s="237"/>
      <c r="I155" s="10" t="s">
        <v>20</v>
      </c>
      <c r="J155" s="11">
        <v>2.54</v>
      </c>
      <c r="K155" s="20">
        <f t="shared" si="6"/>
        <v>0</v>
      </c>
    </row>
    <row r="156" spans="1:11" x14ac:dyDescent="0.35">
      <c r="A156" s="103"/>
      <c r="B156" s="12" t="s">
        <v>4</v>
      </c>
      <c r="C156" s="10" t="s">
        <v>25</v>
      </c>
      <c r="D156" s="152"/>
      <c r="E156" s="166"/>
      <c r="F156" s="135"/>
      <c r="G156" s="293" t="str">
        <f t="shared" si="7"/>
        <v/>
      </c>
      <c r="H156" s="237"/>
      <c r="I156" s="10" t="s">
        <v>20</v>
      </c>
      <c r="J156" s="11">
        <v>1.79</v>
      </c>
      <c r="K156" s="20">
        <f t="shared" si="6"/>
        <v>0</v>
      </c>
    </row>
    <row r="157" spans="1:11" x14ac:dyDescent="0.35">
      <c r="A157" s="103"/>
      <c r="B157" s="12" t="s">
        <v>4</v>
      </c>
      <c r="C157" s="10" t="s">
        <v>322</v>
      </c>
      <c r="D157" s="152"/>
      <c r="E157" s="166"/>
      <c r="F157" s="135"/>
      <c r="G157" s="293" t="str">
        <f t="shared" si="7"/>
        <v/>
      </c>
      <c r="H157" s="237"/>
      <c r="I157" s="10" t="s">
        <v>20</v>
      </c>
      <c r="J157" s="11">
        <v>2.46</v>
      </c>
      <c r="K157" s="20">
        <f t="shared" si="6"/>
        <v>0</v>
      </c>
    </row>
    <row r="158" spans="1:11" x14ac:dyDescent="0.35">
      <c r="A158" s="103"/>
      <c r="B158" s="12" t="s">
        <v>4</v>
      </c>
      <c r="C158" s="10" t="s">
        <v>393</v>
      </c>
      <c r="D158" s="152">
        <v>96</v>
      </c>
      <c r="E158" s="295"/>
      <c r="F158" s="135"/>
      <c r="G158" s="293">
        <f>IF(D158-IF(E158="",0,E158)=0,"",D158-IF(E158="",0,E158))</f>
        <v>96</v>
      </c>
      <c r="H158" s="237"/>
      <c r="I158" s="10" t="s">
        <v>20</v>
      </c>
      <c r="J158" s="11">
        <v>2.46</v>
      </c>
      <c r="K158" s="20">
        <f t="shared" si="6"/>
        <v>0</v>
      </c>
    </row>
    <row r="159" spans="1:11" x14ac:dyDescent="0.35">
      <c r="A159" s="103"/>
      <c r="B159" s="12" t="s">
        <v>4</v>
      </c>
      <c r="C159" s="10" t="s">
        <v>43</v>
      </c>
      <c r="D159" s="152"/>
      <c r="E159" s="166"/>
      <c r="F159" s="135"/>
      <c r="G159" s="293" t="str">
        <f t="shared" ref="G159:G222" si="8">IF(D159-IF(E159="",0,E159)=0,"",D159-IF(E159="",0,E159))</f>
        <v/>
      </c>
      <c r="H159" s="237"/>
      <c r="I159" s="10" t="s">
        <v>20</v>
      </c>
      <c r="J159" s="11">
        <v>2.5499999999999998</v>
      </c>
      <c r="K159" s="20">
        <f t="shared" si="6"/>
        <v>0</v>
      </c>
    </row>
    <row r="160" spans="1:11" x14ac:dyDescent="0.35">
      <c r="A160" s="103"/>
      <c r="B160" s="12" t="s">
        <v>4</v>
      </c>
      <c r="C160" s="10" t="s">
        <v>81</v>
      </c>
      <c r="D160" s="152">
        <v>96</v>
      </c>
      <c r="E160" s="295">
        <v>46</v>
      </c>
      <c r="F160" s="135"/>
      <c r="G160" s="293">
        <f t="shared" si="8"/>
        <v>50</v>
      </c>
      <c r="H160" s="237"/>
      <c r="I160" s="10" t="s">
        <v>20</v>
      </c>
      <c r="J160" s="11">
        <v>1.51</v>
      </c>
      <c r="K160" s="20">
        <f t="shared" si="6"/>
        <v>69.459999999999994</v>
      </c>
    </row>
    <row r="161" spans="1:11" x14ac:dyDescent="0.35">
      <c r="A161" s="103"/>
      <c r="B161" s="12" t="s">
        <v>4</v>
      </c>
      <c r="C161" s="10" t="s">
        <v>82</v>
      </c>
      <c r="D161" s="152">
        <v>96</v>
      </c>
      <c r="E161" s="295">
        <v>1</v>
      </c>
      <c r="F161" s="135"/>
      <c r="G161" s="293">
        <f t="shared" si="8"/>
        <v>95</v>
      </c>
      <c r="H161" s="237"/>
      <c r="I161" s="10" t="s">
        <v>20</v>
      </c>
      <c r="J161" s="11">
        <v>1.51</v>
      </c>
      <c r="K161" s="20">
        <f t="shared" si="6"/>
        <v>1.51</v>
      </c>
    </row>
    <row r="162" spans="1:11" x14ac:dyDescent="0.35">
      <c r="A162" s="103"/>
      <c r="B162" s="12" t="s">
        <v>4</v>
      </c>
      <c r="C162" s="10" t="s">
        <v>323</v>
      </c>
      <c r="D162" s="152"/>
      <c r="E162" s="166"/>
      <c r="F162" s="135"/>
      <c r="G162" s="293" t="str">
        <f t="shared" si="8"/>
        <v/>
      </c>
      <c r="H162" s="237"/>
      <c r="I162" s="10" t="s">
        <v>20</v>
      </c>
      <c r="J162" s="11">
        <v>1.54</v>
      </c>
      <c r="K162" s="20">
        <f t="shared" si="6"/>
        <v>0</v>
      </c>
    </row>
    <row r="163" spans="1:11" x14ac:dyDescent="0.35">
      <c r="A163" s="103"/>
      <c r="B163" s="12" t="s">
        <v>4</v>
      </c>
      <c r="C163" s="10" t="s">
        <v>324</v>
      </c>
      <c r="D163" s="152"/>
      <c r="E163" s="166"/>
      <c r="F163" s="135"/>
      <c r="G163" s="293" t="str">
        <f t="shared" si="8"/>
        <v/>
      </c>
      <c r="H163" s="237"/>
      <c r="I163" s="10" t="s">
        <v>20</v>
      </c>
      <c r="J163" s="11">
        <v>1.6</v>
      </c>
      <c r="K163" s="20">
        <f t="shared" si="6"/>
        <v>0</v>
      </c>
    </row>
    <row r="164" spans="1:11" x14ac:dyDescent="0.35">
      <c r="A164" s="103"/>
      <c r="B164" s="12" t="s">
        <v>4</v>
      </c>
      <c r="C164" s="78" t="s">
        <v>325</v>
      </c>
      <c r="D164" s="224"/>
      <c r="E164" s="166"/>
      <c r="F164" s="137"/>
      <c r="G164" s="293" t="str">
        <f t="shared" si="8"/>
        <v/>
      </c>
      <c r="H164" s="237"/>
      <c r="I164" s="10" t="s">
        <v>20</v>
      </c>
      <c r="J164" s="79">
        <v>49.95</v>
      </c>
      <c r="K164" s="20">
        <f t="shared" si="6"/>
        <v>0</v>
      </c>
    </row>
    <row r="165" spans="1:11" x14ac:dyDescent="0.35">
      <c r="A165" s="113" t="s">
        <v>44</v>
      </c>
      <c r="B165" s="124"/>
      <c r="C165" s="124"/>
      <c r="D165" s="230"/>
      <c r="E165" s="247"/>
      <c r="F165" s="124"/>
      <c r="G165" s="293" t="str">
        <f t="shared" si="8"/>
        <v/>
      </c>
      <c r="H165" s="241"/>
      <c r="I165" s="124"/>
      <c r="J165" s="124"/>
      <c r="K165" s="291"/>
    </row>
    <row r="166" spans="1:11" x14ac:dyDescent="0.35">
      <c r="A166" s="103"/>
      <c r="B166" s="12" t="s">
        <v>4</v>
      </c>
      <c r="C166" s="10" t="s">
        <v>48</v>
      </c>
      <c r="D166" s="152">
        <v>48</v>
      </c>
      <c r="E166" s="166"/>
      <c r="F166" s="135"/>
      <c r="G166" s="293">
        <f t="shared" si="8"/>
        <v>48</v>
      </c>
      <c r="H166" s="237"/>
      <c r="I166" s="10" t="s">
        <v>20</v>
      </c>
      <c r="J166" s="11">
        <v>1.94</v>
      </c>
      <c r="K166" s="20">
        <f t="shared" si="6"/>
        <v>0</v>
      </c>
    </row>
    <row r="167" spans="1:11" x14ac:dyDescent="0.35">
      <c r="A167" s="103"/>
      <c r="B167" s="12" t="s">
        <v>4</v>
      </c>
      <c r="C167" s="10" t="s">
        <v>49</v>
      </c>
      <c r="D167" s="152">
        <v>48</v>
      </c>
      <c r="E167" s="295">
        <v>15</v>
      </c>
      <c r="F167" s="135"/>
      <c r="G167" s="293">
        <f t="shared" si="8"/>
        <v>33</v>
      </c>
      <c r="H167" s="237"/>
      <c r="I167" s="10" t="s">
        <v>20</v>
      </c>
      <c r="J167" s="11">
        <v>1.94</v>
      </c>
      <c r="K167" s="20">
        <f t="shared" si="6"/>
        <v>29.099999999999998</v>
      </c>
    </row>
    <row r="168" spans="1:11" x14ac:dyDescent="0.35">
      <c r="A168" s="103"/>
      <c r="B168" s="12" t="s">
        <v>4</v>
      </c>
      <c r="C168" s="10" t="s">
        <v>50</v>
      </c>
      <c r="D168" s="152">
        <v>48</v>
      </c>
      <c r="E168" s="166"/>
      <c r="F168" s="135"/>
      <c r="G168" s="293">
        <f t="shared" si="8"/>
        <v>48</v>
      </c>
      <c r="H168" s="237"/>
      <c r="I168" s="10" t="s">
        <v>20</v>
      </c>
      <c r="J168" s="11">
        <v>1.94</v>
      </c>
      <c r="K168" s="20">
        <f t="shared" si="6"/>
        <v>0</v>
      </c>
    </row>
    <row r="169" spans="1:11" x14ac:dyDescent="0.35">
      <c r="A169" s="103"/>
      <c r="B169" s="12" t="s">
        <v>4</v>
      </c>
      <c r="C169" s="10" t="s">
        <v>415</v>
      </c>
      <c r="D169" s="152"/>
      <c r="E169" s="295">
        <v>48</v>
      </c>
      <c r="F169" s="135"/>
      <c r="G169" s="293">
        <f t="shared" si="8"/>
        <v>-48</v>
      </c>
      <c r="H169" s="237"/>
      <c r="I169" s="10" t="s">
        <v>20</v>
      </c>
      <c r="J169" s="11">
        <v>1.98</v>
      </c>
      <c r="K169" s="20">
        <f t="shared" si="6"/>
        <v>95.039999999999992</v>
      </c>
    </row>
    <row r="170" spans="1:11" x14ac:dyDescent="0.35">
      <c r="A170" s="103"/>
      <c r="B170" s="12" t="s">
        <v>4</v>
      </c>
      <c r="C170" s="10" t="s">
        <v>414</v>
      </c>
      <c r="D170" s="152"/>
      <c r="E170" s="295">
        <v>25</v>
      </c>
      <c r="F170" s="135"/>
      <c r="G170" s="293">
        <f t="shared" si="8"/>
        <v>-25</v>
      </c>
      <c r="H170" s="237"/>
      <c r="I170" s="10" t="s">
        <v>20</v>
      </c>
      <c r="J170" s="11">
        <v>1.98</v>
      </c>
      <c r="K170" s="20">
        <f t="shared" si="6"/>
        <v>49.5</v>
      </c>
    </row>
    <row r="171" spans="1:11" hidden="1" x14ac:dyDescent="0.35">
      <c r="A171" s="103"/>
      <c r="B171" s="12" t="s">
        <v>4</v>
      </c>
      <c r="C171" s="10" t="s">
        <v>415</v>
      </c>
      <c r="D171" s="152">
        <v>48</v>
      </c>
      <c r="E171" s="166"/>
      <c r="F171" s="135"/>
      <c r="G171" s="293">
        <f t="shared" si="8"/>
        <v>48</v>
      </c>
      <c r="H171" s="237"/>
      <c r="I171" s="10" t="s">
        <v>20</v>
      </c>
      <c r="J171" s="11">
        <v>1.98</v>
      </c>
      <c r="K171" s="20">
        <f t="shared" si="6"/>
        <v>0</v>
      </c>
    </row>
    <row r="172" spans="1:11" hidden="1" x14ac:dyDescent="0.35">
      <c r="A172" s="103"/>
      <c r="B172" s="12" t="s">
        <v>4</v>
      </c>
      <c r="C172" s="10" t="s">
        <v>432</v>
      </c>
      <c r="D172" s="152">
        <v>48</v>
      </c>
      <c r="E172" s="166">
        <v>25</v>
      </c>
      <c r="F172" s="135"/>
      <c r="G172" s="293">
        <f t="shared" si="8"/>
        <v>23</v>
      </c>
      <c r="H172" s="237"/>
      <c r="I172" s="10" t="s">
        <v>20</v>
      </c>
      <c r="J172" s="11">
        <v>1.98</v>
      </c>
      <c r="K172" s="20">
        <f t="shared" si="6"/>
        <v>49.5</v>
      </c>
    </row>
    <row r="173" spans="1:11" x14ac:dyDescent="0.35">
      <c r="A173" s="103"/>
      <c r="B173" s="40" t="s">
        <v>4</v>
      </c>
      <c r="C173" s="41" t="s">
        <v>330</v>
      </c>
      <c r="D173" s="227"/>
      <c r="E173" s="166"/>
      <c r="F173" s="138"/>
      <c r="G173" s="293" t="str">
        <f t="shared" si="8"/>
        <v/>
      </c>
      <c r="H173" s="237"/>
      <c r="I173" s="10" t="s">
        <v>20</v>
      </c>
      <c r="J173" s="11">
        <v>1.98</v>
      </c>
      <c r="K173" s="20">
        <f t="shared" si="6"/>
        <v>0</v>
      </c>
    </row>
    <row r="174" spans="1:11" x14ac:dyDescent="0.35">
      <c r="A174" s="103"/>
      <c r="B174" s="40" t="s">
        <v>4</v>
      </c>
      <c r="C174" s="41" t="s">
        <v>331</v>
      </c>
      <c r="D174" s="227"/>
      <c r="E174" s="166"/>
      <c r="F174" s="138"/>
      <c r="G174" s="293" t="str">
        <f t="shared" si="8"/>
        <v/>
      </c>
      <c r="H174" s="237"/>
      <c r="I174" s="10" t="s">
        <v>20</v>
      </c>
      <c r="J174" s="11">
        <v>1.98</v>
      </c>
      <c r="K174" s="20">
        <f t="shared" si="6"/>
        <v>0</v>
      </c>
    </row>
    <row r="175" spans="1:11" x14ac:dyDescent="0.35">
      <c r="A175" s="103"/>
      <c r="B175" s="40" t="s">
        <v>4</v>
      </c>
      <c r="C175" s="41" t="s">
        <v>413</v>
      </c>
      <c r="D175" s="227">
        <v>48</v>
      </c>
      <c r="E175" s="295">
        <f>52+72</f>
        <v>124</v>
      </c>
      <c r="F175" s="138"/>
      <c r="G175" s="293">
        <f t="shared" si="8"/>
        <v>-76</v>
      </c>
      <c r="H175" s="263"/>
      <c r="I175" s="41" t="s">
        <v>20</v>
      </c>
      <c r="J175" s="42">
        <v>1.98</v>
      </c>
      <c r="K175" s="20">
        <f t="shared" si="6"/>
        <v>245.52</v>
      </c>
    </row>
    <row r="176" spans="1:11" ht="15.5" x14ac:dyDescent="0.35">
      <c r="A176" s="114" t="s">
        <v>333</v>
      </c>
      <c r="B176" s="120"/>
      <c r="C176" s="120"/>
      <c r="D176" s="228"/>
      <c r="E176" s="247"/>
      <c r="F176" s="120"/>
      <c r="G176" s="293" t="str">
        <f t="shared" si="8"/>
        <v/>
      </c>
      <c r="H176" s="242"/>
      <c r="I176" s="121"/>
      <c r="J176" s="122" t="s">
        <v>18</v>
      </c>
      <c r="K176" s="274">
        <f>SUM(K177:K186)</f>
        <v>9.4600000000000009</v>
      </c>
    </row>
    <row r="177" spans="1:11" x14ac:dyDescent="0.35">
      <c r="A177" s="103"/>
      <c r="B177" s="12" t="s">
        <v>26</v>
      </c>
      <c r="C177" s="10" t="s">
        <v>334</v>
      </c>
      <c r="D177" s="152"/>
      <c r="E177" s="166"/>
      <c r="F177" s="135"/>
      <c r="G177" s="293" t="str">
        <f t="shared" si="8"/>
        <v/>
      </c>
      <c r="H177" s="237"/>
      <c r="I177" s="10" t="s">
        <v>335</v>
      </c>
      <c r="J177" s="11">
        <v>20</v>
      </c>
      <c r="K177" s="12">
        <f>E177*J177</f>
        <v>0</v>
      </c>
    </row>
    <row r="178" spans="1:11" x14ac:dyDescent="0.35">
      <c r="A178" s="103"/>
      <c r="B178" s="20" t="s">
        <v>26</v>
      </c>
      <c r="C178" s="18" t="s">
        <v>53</v>
      </c>
      <c r="D178" s="229">
        <v>3</v>
      </c>
      <c r="E178" s="295">
        <v>10</v>
      </c>
      <c r="F178" s="139"/>
      <c r="G178" s="293">
        <f t="shared" si="8"/>
        <v>-7</v>
      </c>
      <c r="H178" s="264"/>
      <c r="I178" s="18" t="s">
        <v>20</v>
      </c>
      <c r="J178" s="19">
        <v>0.43</v>
      </c>
      <c r="K178" s="12">
        <f t="shared" ref="K178:K186" si="9">E178*J178</f>
        <v>4.3</v>
      </c>
    </row>
    <row r="179" spans="1:11" x14ac:dyDescent="0.35">
      <c r="A179" s="103"/>
      <c r="B179" s="20" t="s">
        <v>26</v>
      </c>
      <c r="C179" s="18" t="s">
        <v>336</v>
      </c>
      <c r="D179" s="229">
        <v>3</v>
      </c>
      <c r="E179" s="295">
        <v>12</v>
      </c>
      <c r="F179" s="139"/>
      <c r="G179" s="293">
        <f t="shared" si="8"/>
        <v>-9</v>
      </c>
      <c r="H179" s="264"/>
      <c r="I179" s="18" t="s">
        <v>20</v>
      </c>
      <c r="J179" s="19">
        <v>0.43</v>
      </c>
      <c r="K179" s="12">
        <f t="shared" si="9"/>
        <v>5.16</v>
      </c>
    </row>
    <row r="180" spans="1:11" x14ac:dyDescent="0.35">
      <c r="A180" s="103"/>
      <c r="B180" s="12" t="s">
        <v>26</v>
      </c>
      <c r="C180" s="10" t="s">
        <v>337</v>
      </c>
      <c r="D180" s="152"/>
      <c r="E180" s="166"/>
      <c r="F180" s="135"/>
      <c r="G180" s="293" t="str">
        <f t="shared" si="8"/>
        <v/>
      </c>
      <c r="H180" s="237"/>
      <c r="I180" s="10" t="s">
        <v>20</v>
      </c>
      <c r="J180" s="11">
        <v>0.43</v>
      </c>
      <c r="K180" s="12">
        <f t="shared" si="9"/>
        <v>0</v>
      </c>
    </row>
    <row r="181" spans="1:11" x14ac:dyDescent="0.35">
      <c r="A181" s="103"/>
      <c r="B181" s="12" t="s">
        <v>26</v>
      </c>
      <c r="C181" s="10" t="s">
        <v>51</v>
      </c>
      <c r="D181" s="152"/>
      <c r="E181" s="166"/>
      <c r="F181" s="135"/>
      <c r="G181" s="293" t="str">
        <f t="shared" si="8"/>
        <v/>
      </c>
      <c r="H181" s="237"/>
      <c r="I181" s="10" t="s">
        <v>61</v>
      </c>
      <c r="J181" s="11">
        <v>14</v>
      </c>
      <c r="K181" s="12">
        <f t="shared" si="9"/>
        <v>0</v>
      </c>
    </row>
    <row r="182" spans="1:11" x14ac:dyDescent="0.35">
      <c r="A182" s="103"/>
      <c r="B182" s="12" t="s">
        <v>26</v>
      </c>
      <c r="C182" s="10" t="s">
        <v>338</v>
      </c>
      <c r="D182" s="152"/>
      <c r="E182" s="166"/>
      <c r="F182" s="135"/>
      <c r="G182" s="293" t="str">
        <f t="shared" si="8"/>
        <v/>
      </c>
      <c r="H182" s="237"/>
      <c r="I182" s="10" t="s">
        <v>61</v>
      </c>
      <c r="J182" s="11">
        <v>14.78</v>
      </c>
      <c r="K182" s="12">
        <f t="shared" si="9"/>
        <v>0</v>
      </c>
    </row>
    <row r="183" spans="1:11" x14ac:dyDescent="0.35">
      <c r="A183" s="103"/>
      <c r="B183" s="12" t="s">
        <v>26</v>
      </c>
      <c r="C183" s="10" t="s">
        <v>339</v>
      </c>
      <c r="D183" s="152"/>
      <c r="E183" s="166"/>
      <c r="F183" s="135"/>
      <c r="G183" s="293" t="str">
        <f t="shared" si="8"/>
        <v/>
      </c>
      <c r="H183" s="237"/>
      <c r="I183" s="10" t="s">
        <v>61</v>
      </c>
      <c r="J183" s="11">
        <v>14.78</v>
      </c>
      <c r="K183" s="12">
        <f t="shared" si="9"/>
        <v>0</v>
      </c>
    </row>
    <row r="184" spans="1:11" x14ac:dyDescent="0.35">
      <c r="A184" s="103"/>
      <c r="B184" s="12" t="s">
        <v>26</v>
      </c>
      <c r="C184" s="10" t="s">
        <v>340</v>
      </c>
      <c r="D184" s="152"/>
      <c r="E184" s="166"/>
      <c r="F184" s="135"/>
      <c r="G184" s="293" t="str">
        <f t="shared" si="8"/>
        <v/>
      </c>
      <c r="H184" s="237"/>
      <c r="I184" s="10" t="s">
        <v>61</v>
      </c>
      <c r="J184" s="11">
        <v>14.78</v>
      </c>
      <c r="K184" s="12">
        <f t="shared" si="9"/>
        <v>0</v>
      </c>
    </row>
    <row r="185" spans="1:11" x14ac:dyDescent="0.35">
      <c r="A185" s="103"/>
      <c r="B185" s="12" t="s">
        <v>26</v>
      </c>
      <c r="C185" s="10" t="s">
        <v>341</v>
      </c>
      <c r="D185" s="152"/>
      <c r="E185" s="166"/>
      <c r="F185" s="135"/>
      <c r="G185" s="293" t="str">
        <f t="shared" si="8"/>
        <v/>
      </c>
      <c r="H185" s="237"/>
      <c r="I185" s="10" t="s">
        <v>61</v>
      </c>
      <c r="J185" s="11">
        <v>14.78</v>
      </c>
      <c r="K185" s="12">
        <f t="shared" si="9"/>
        <v>0</v>
      </c>
    </row>
    <row r="186" spans="1:11" x14ac:dyDescent="0.35">
      <c r="A186" s="103"/>
      <c r="B186" s="12" t="s">
        <v>26</v>
      </c>
      <c r="C186" s="10" t="s">
        <v>342</v>
      </c>
      <c r="D186" s="152"/>
      <c r="E186" s="166"/>
      <c r="F186" s="135"/>
      <c r="G186" s="293" t="str">
        <f t="shared" si="8"/>
        <v/>
      </c>
      <c r="H186" s="237"/>
      <c r="I186" s="10" t="s">
        <v>61</v>
      </c>
      <c r="J186" s="11">
        <v>14.78</v>
      </c>
      <c r="K186" s="12">
        <f t="shared" si="9"/>
        <v>0</v>
      </c>
    </row>
    <row r="187" spans="1:11" ht="15.5" x14ac:dyDescent="0.35">
      <c r="A187" s="108" t="s">
        <v>343</v>
      </c>
      <c r="B187" s="108"/>
      <c r="C187" s="108"/>
      <c r="D187" s="223"/>
      <c r="E187" s="247"/>
      <c r="F187" s="108"/>
      <c r="G187" s="293" t="str">
        <f t="shared" si="8"/>
        <v/>
      </c>
      <c r="H187" s="110"/>
      <c r="I187" s="108"/>
      <c r="J187" s="106" t="s">
        <v>18</v>
      </c>
      <c r="K187" s="269">
        <f>SUM(K188:K192)</f>
        <v>201.83999999999997</v>
      </c>
    </row>
    <row r="188" spans="1:11" x14ac:dyDescent="0.35">
      <c r="A188" s="103"/>
      <c r="B188" s="7" t="s">
        <v>6</v>
      </c>
      <c r="C188" s="14" t="s">
        <v>344</v>
      </c>
      <c r="D188" s="152"/>
      <c r="E188" s="166"/>
      <c r="F188" s="135"/>
      <c r="G188" s="293" t="str">
        <f t="shared" si="8"/>
        <v/>
      </c>
      <c r="H188" s="237"/>
      <c r="I188" s="14" t="s">
        <v>20</v>
      </c>
      <c r="J188" s="35">
        <v>0.79</v>
      </c>
      <c r="K188" s="7">
        <f>E188*J188</f>
        <v>0</v>
      </c>
    </row>
    <row r="189" spans="1:11" x14ac:dyDescent="0.35">
      <c r="A189" s="103"/>
      <c r="B189" s="7" t="s">
        <v>6</v>
      </c>
      <c r="C189" s="14" t="s">
        <v>345</v>
      </c>
      <c r="D189" s="152">
        <v>20</v>
      </c>
      <c r="E189" s="295">
        <v>34</v>
      </c>
      <c r="F189" s="135"/>
      <c r="G189" s="293">
        <f t="shared" si="8"/>
        <v>-14</v>
      </c>
      <c r="H189" s="237"/>
      <c r="I189" s="14" t="s">
        <v>20</v>
      </c>
      <c r="J189" s="35">
        <v>2.76</v>
      </c>
      <c r="K189" s="7">
        <f t="shared" ref="K189:K192" si="10">E189*J189</f>
        <v>93.839999999999989</v>
      </c>
    </row>
    <row r="190" spans="1:11" x14ac:dyDescent="0.35">
      <c r="A190" s="103"/>
      <c r="B190" s="7" t="s">
        <v>6</v>
      </c>
      <c r="C190" s="14" t="s">
        <v>346</v>
      </c>
      <c r="D190" s="152"/>
      <c r="E190" s="166"/>
      <c r="F190" s="135"/>
      <c r="G190" s="293" t="str">
        <f t="shared" si="8"/>
        <v/>
      </c>
      <c r="H190" s="237"/>
      <c r="I190" s="14" t="s">
        <v>20</v>
      </c>
      <c r="J190" s="35">
        <v>1</v>
      </c>
      <c r="K190" s="7">
        <f t="shared" si="10"/>
        <v>0</v>
      </c>
    </row>
    <row r="191" spans="1:11" x14ac:dyDescent="0.35">
      <c r="A191" s="103"/>
      <c r="B191" s="7" t="s">
        <v>6</v>
      </c>
      <c r="C191" s="14" t="s">
        <v>34</v>
      </c>
      <c r="D191" s="152">
        <v>100</v>
      </c>
      <c r="E191" s="295">
        <v>60</v>
      </c>
      <c r="F191" s="135"/>
      <c r="G191" s="293">
        <f t="shared" si="8"/>
        <v>40</v>
      </c>
      <c r="H191" s="237"/>
      <c r="I191" s="14" t="s">
        <v>20</v>
      </c>
      <c r="J191" s="35">
        <v>1.8</v>
      </c>
      <c r="K191" s="7">
        <f t="shared" si="10"/>
        <v>108</v>
      </c>
    </row>
    <row r="192" spans="1:11" x14ac:dyDescent="0.35">
      <c r="A192" s="103"/>
      <c r="B192" s="7" t="s">
        <v>6</v>
      </c>
      <c r="C192" s="14" t="s">
        <v>35</v>
      </c>
      <c r="D192" s="152">
        <v>100</v>
      </c>
      <c r="E192" s="295">
        <v>0</v>
      </c>
      <c r="F192" s="135"/>
      <c r="G192" s="293">
        <f t="shared" si="8"/>
        <v>100</v>
      </c>
      <c r="H192" s="237"/>
      <c r="I192" s="14" t="s">
        <v>20</v>
      </c>
      <c r="J192" s="35">
        <v>1.8</v>
      </c>
      <c r="K192" s="7">
        <f t="shared" si="10"/>
        <v>0</v>
      </c>
    </row>
    <row r="193" spans="1:11" ht="15.5" x14ac:dyDescent="0.35">
      <c r="A193" s="112" t="s">
        <v>347</v>
      </c>
      <c r="B193" s="116"/>
      <c r="C193" s="116"/>
      <c r="D193" s="228"/>
      <c r="E193" s="247"/>
      <c r="F193" s="116"/>
      <c r="G193" s="293" t="str">
        <f t="shared" si="8"/>
        <v/>
      </c>
      <c r="H193" s="240"/>
      <c r="I193" s="117"/>
      <c r="J193" s="118" t="s">
        <v>18</v>
      </c>
      <c r="K193" s="275">
        <f>SUM(K194:K194)</f>
        <v>0</v>
      </c>
    </row>
    <row r="194" spans="1:11" x14ac:dyDescent="0.35">
      <c r="A194" s="103"/>
      <c r="B194" s="12" t="s">
        <v>5</v>
      </c>
      <c r="C194" s="10" t="s">
        <v>55</v>
      </c>
      <c r="D194" s="152"/>
      <c r="E194" s="166"/>
      <c r="F194" s="135"/>
      <c r="G194" s="293" t="str">
        <f t="shared" si="8"/>
        <v/>
      </c>
      <c r="H194" s="237"/>
      <c r="I194" s="10" t="s">
        <v>20</v>
      </c>
      <c r="J194" s="11">
        <v>1.01</v>
      </c>
      <c r="K194" s="12">
        <f>E194*J194</f>
        <v>0</v>
      </c>
    </row>
    <row r="195" spans="1:11" ht="15.5" x14ac:dyDescent="0.35">
      <c r="A195" s="112" t="s">
        <v>348</v>
      </c>
      <c r="B195" s="116"/>
      <c r="C195" s="116"/>
      <c r="D195" s="228"/>
      <c r="E195" s="247"/>
      <c r="F195" s="116"/>
      <c r="G195" s="293" t="str">
        <f t="shared" si="8"/>
        <v/>
      </c>
      <c r="H195" s="240"/>
      <c r="I195" s="117"/>
      <c r="J195" s="118" t="s">
        <v>18</v>
      </c>
      <c r="K195" s="275">
        <f>SUM(K196:K207)</f>
        <v>125.41</v>
      </c>
    </row>
    <row r="196" spans="1:11" x14ac:dyDescent="0.35">
      <c r="A196" s="103"/>
      <c r="B196" s="20" t="s">
        <v>8</v>
      </c>
      <c r="C196" s="18" t="s">
        <v>349</v>
      </c>
      <c r="D196" s="229"/>
      <c r="E196" s="166"/>
      <c r="F196" s="139"/>
      <c r="G196" s="293" t="str">
        <f t="shared" si="8"/>
        <v/>
      </c>
      <c r="H196" s="264"/>
      <c r="I196" s="18" t="s">
        <v>27</v>
      </c>
      <c r="J196" s="20">
        <v>28.62</v>
      </c>
      <c r="K196" s="12">
        <f>E196*J196</f>
        <v>0</v>
      </c>
    </row>
    <row r="197" spans="1:11" x14ac:dyDescent="0.35">
      <c r="A197" s="103"/>
      <c r="B197" s="12" t="s">
        <v>8</v>
      </c>
      <c r="C197" s="10" t="s">
        <v>350</v>
      </c>
      <c r="D197" s="152"/>
      <c r="E197" s="166"/>
      <c r="F197" s="135"/>
      <c r="G197" s="293" t="str">
        <f t="shared" si="8"/>
        <v/>
      </c>
      <c r="H197" s="237"/>
      <c r="I197" s="10" t="s">
        <v>335</v>
      </c>
      <c r="J197" s="12">
        <v>30</v>
      </c>
      <c r="K197" s="12">
        <f t="shared" ref="K197:K207" si="11">E197*J197</f>
        <v>0</v>
      </c>
    </row>
    <row r="198" spans="1:11" x14ac:dyDescent="0.35">
      <c r="A198" s="103"/>
      <c r="B198" s="12" t="s">
        <v>8</v>
      </c>
      <c r="C198" s="10" t="s">
        <v>351</v>
      </c>
      <c r="D198" s="152"/>
      <c r="E198" s="166"/>
      <c r="F198" s="135"/>
      <c r="G198" s="293" t="str">
        <f t="shared" si="8"/>
        <v/>
      </c>
      <c r="H198" s="237"/>
      <c r="I198" s="10" t="s">
        <v>335</v>
      </c>
      <c r="J198" s="11">
        <v>1.1499999999999999</v>
      </c>
      <c r="K198" s="12">
        <f t="shared" si="11"/>
        <v>0</v>
      </c>
    </row>
    <row r="199" spans="1:11" x14ac:dyDescent="0.35">
      <c r="A199" s="103"/>
      <c r="B199" s="12" t="s">
        <v>8</v>
      </c>
      <c r="C199" s="10" t="s">
        <v>352</v>
      </c>
      <c r="D199" s="152"/>
      <c r="E199" s="166"/>
      <c r="F199" s="135"/>
      <c r="G199" s="293" t="str">
        <f t="shared" si="8"/>
        <v/>
      </c>
      <c r="H199" s="237"/>
      <c r="I199" s="10">
        <v>23.83</v>
      </c>
      <c r="J199" s="11">
        <v>30.95</v>
      </c>
      <c r="K199" s="12">
        <f t="shared" si="11"/>
        <v>0</v>
      </c>
    </row>
    <row r="200" spans="1:11" x14ac:dyDescent="0.35">
      <c r="A200" s="103"/>
      <c r="B200" s="12" t="s">
        <v>8</v>
      </c>
      <c r="C200" s="10" t="s">
        <v>353</v>
      </c>
      <c r="D200" s="152"/>
      <c r="E200" s="295">
        <v>3</v>
      </c>
      <c r="F200" s="135"/>
      <c r="G200" s="293">
        <f t="shared" si="8"/>
        <v>-3</v>
      </c>
      <c r="H200" s="237"/>
      <c r="I200" s="10" t="s">
        <v>27</v>
      </c>
      <c r="J200" s="11">
        <v>28.89</v>
      </c>
      <c r="K200" s="12">
        <f t="shared" si="11"/>
        <v>86.67</v>
      </c>
    </row>
    <row r="201" spans="1:11" x14ac:dyDescent="0.35">
      <c r="A201" s="103"/>
      <c r="B201" s="12" t="s">
        <v>8</v>
      </c>
      <c r="C201" s="10" t="s">
        <v>354</v>
      </c>
      <c r="D201" s="152"/>
      <c r="E201" s="295">
        <v>2</v>
      </c>
      <c r="F201" s="135"/>
      <c r="G201" s="293">
        <f t="shared" si="8"/>
        <v>-2</v>
      </c>
      <c r="H201" s="237"/>
      <c r="I201" s="10" t="s">
        <v>27</v>
      </c>
      <c r="J201" s="11">
        <v>19.37</v>
      </c>
      <c r="K201" s="12">
        <f t="shared" si="11"/>
        <v>38.74</v>
      </c>
    </row>
    <row r="202" spans="1:11" x14ac:dyDescent="0.35">
      <c r="A202" s="103"/>
      <c r="B202" s="12" t="s">
        <v>8</v>
      </c>
      <c r="C202" s="10" t="s">
        <v>429</v>
      </c>
      <c r="D202" s="152">
        <v>5</v>
      </c>
      <c r="E202" s="166"/>
      <c r="F202" s="135"/>
      <c r="G202" s="293">
        <f t="shared" si="8"/>
        <v>5</v>
      </c>
      <c r="H202" s="237"/>
      <c r="I202" s="10">
        <v>14.07</v>
      </c>
      <c r="J202" s="11"/>
      <c r="K202" s="12">
        <f t="shared" si="11"/>
        <v>0</v>
      </c>
    </row>
    <row r="203" spans="1:11" x14ac:dyDescent="0.35">
      <c r="A203" s="103"/>
      <c r="B203" s="12" t="s">
        <v>8</v>
      </c>
      <c r="C203" s="10" t="s">
        <v>430</v>
      </c>
      <c r="D203" s="152">
        <v>5</v>
      </c>
      <c r="E203" s="166"/>
      <c r="F203" s="135"/>
      <c r="G203" s="293">
        <f t="shared" si="8"/>
        <v>5</v>
      </c>
      <c r="H203" s="237"/>
      <c r="I203" s="10">
        <v>16.07</v>
      </c>
      <c r="J203" s="11"/>
      <c r="K203" s="12">
        <f t="shared" si="11"/>
        <v>0</v>
      </c>
    </row>
    <row r="204" spans="1:11" x14ac:dyDescent="0.35">
      <c r="A204" s="103"/>
      <c r="B204" s="12" t="s">
        <v>8</v>
      </c>
      <c r="C204" s="10" t="s">
        <v>431</v>
      </c>
      <c r="D204" s="152">
        <v>5</v>
      </c>
      <c r="G204" s="293">
        <f t="shared" si="8"/>
        <v>5</v>
      </c>
      <c r="H204" s="237"/>
      <c r="I204" s="289">
        <v>14.62</v>
      </c>
      <c r="J204" s="11"/>
      <c r="K204" s="12">
        <f t="shared" si="11"/>
        <v>0</v>
      </c>
    </row>
    <row r="205" spans="1:11" x14ac:dyDescent="0.35">
      <c r="A205" s="103"/>
      <c r="B205" s="12" t="s">
        <v>8</v>
      </c>
      <c r="C205" s="10" t="s">
        <v>355</v>
      </c>
      <c r="D205" s="152"/>
      <c r="E205" s="166"/>
      <c r="F205" s="135"/>
      <c r="G205" s="293" t="str">
        <f t="shared" si="8"/>
        <v/>
      </c>
      <c r="H205" s="237"/>
      <c r="I205" s="10" t="s">
        <v>61</v>
      </c>
      <c r="J205" s="11">
        <v>17.11</v>
      </c>
      <c r="K205" s="12">
        <f t="shared" si="11"/>
        <v>0</v>
      </c>
    </row>
    <row r="206" spans="1:11" x14ac:dyDescent="0.35">
      <c r="A206" s="103"/>
      <c r="B206" s="12" t="s">
        <v>8</v>
      </c>
      <c r="C206" s="10" t="s">
        <v>356</v>
      </c>
      <c r="D206" s="152"/>
      <c r="E206" s="166"/>
      <c r="F206" s="135"/>
      <c r="G206" s="293" t="str">
        <f t="shared" si="8"/>
        <v/>
      </c>
      <c r="H206" s="237"/>
      <c r="I206" s="10" t="s">
        <v>61</v>
      </c>
      <c r="J206" s="11">
        <v>22.13</v>
      </c>
      <c r="K206" s="12">
        <f t="shared" si="11"/>
        <v>0</v>
      </c>
    </row>
    <row r="207" spans="1:11" x14ac:dyDescent="0.35">
      <c r="A207" s="103"/>
      <c r="B207" s="40" t="s">
        <v>8</v>
      </c>
      <c r="C207" s="41" t="s">
        <v>357</v>
      </c>
      <c r="D207" s="227"/>
      <c r="E207" s="166"/>
      <c r="F207" s="138"/>
      <c r="G207" s="293" t="str">
        <f t="shared" si="8"/>
        <v/>
      </c>
      <c r="H207" s="263"/>
      <c r="I207" s="41" t="s">
        <v>61</v>
      </c>
      <c r="J207" s="42">
        <v>18.8</v>
      </c>
      <c r="K207" s="12">
        <f t="shared" si="11"/>
        <v>0</v>
      </c>
    </row>
    <row r="208" spans="1:11" ht="15.5" x14ac:dyDescent="0.35">
      <c r="A208" s="112" t="s">
        <v>358</v>
      </c>
      <c r="B208" s="116"/>
      <c r="C208" s="116"/>
      <c r="D208" s="228"/>
      <c r="E208" s="247"/>
      <c r="F208" s="116"/>
      <c r="G208" s="293" t="str">
        <f t="shared" si="8"/>
        <v/>
      </c>
      <c r="H208" s="240"/>
      <c r="I208" s="117"/>
      <c r="J208" s="118" t="s">
        <v>18</v>
      </c>
      <c r="K208" s="275">
        <f>SUM(K209)</f>
        <v>0</v>
      </c>
    </row>
    <row r="209" spans="1:11" x14ac:dyDescent="0.35">
      <c r="A209" s="103"/>
      <c r="B209" s="13" t="s">
        <v>11</v>
      </c>
      <c r="C209" s="18" t="s">
        <v>359</v>
      </c>
      <c r="D209" s="229"/>
      <c r="E209" s="166"/>
      <c r="F209" s="139"/>
      <c r="G209" s="293" t="str">
        <f t="shared" si="8"/>
        <v/>
      </c>
      <c r="H209" s="237"/>
      <c r="I209" s="10" t="s">
        <v>52</v>
      </c>
      <c r="J209" s="11">
        <v>11.63</v>
      </c>
      <c r="K209" s="12">
        <f>E209*J209</f>
        <v>0</v>
      </c>
    </row>
    <row r="210" spans="1:11" ht="15.5" x14ac:dyDescent="0.35">
      <c r="A210" s="108" t="s">
        <v>360</v>
      </c>
      <c r="B210" s="108"/>
      <c r="C210" s="108"/>
      <c r="D210" s="223"/>
      <c r="E210" s="247"/>
      <c r="F210" s="108"/>
      <c r="G210" s="293" t="str">
        <f t="shared" si="8"/>
        <v/>
      </c>
      <c r="H210" s="110"/>
      <c r="I210" s="108"/>
      <c r="J210" s="106" t="s">
        <v>18</v>
      </c>
      <c r="K210" s="269">
        <f>SUM(K211:K212)</f>
        <v>0</v>
      </c>
    </row>
    <row r="211" spans="1:11" x14ac:dyDescent="0.35">
      <c r="A211" s="103"/>
      <c r="B211" s="12" t="s">
        <v>12</v>
      </c>
      <c r="C211" s="10" t="s">
        <v>70</v>
      </c>
      <c r="D211" s="152"/>
      <c r="E211" s="166"/>
      <c r="F211" s="135"/>
      <c r="G211" s="293" t="str">
        <f t="shared" si="8"/>
        <v/>
      </c>
      <c r="H211" s="237"/>
      <c r="I211" s="10" t="s">
        <v>27</v>
      </c>
      <c r="J211" s="11">
        <v>20.7</v>
      </c>
      <c r="K211" s="12">
        <f>E211*J211</f>
        <v>0</v>
      </c>
    </row>
    <row r="212" spans="1:11" x14ac:dyDescent="0.35">
      <c r="A212" s="103"/>
      <c r="B212" s="12" t="s">
        <v>12</v>
      </c>
      <c r="C212" s="10" t="s">
        <v>71</v>
      </c>
      <c r="D212" s="152"/>
      <c r="E212" s="166"/>
      <c r="F212" s="135"/>
      <c r="G212" s="293" t="str">
        <f t="shared" si="8"/>
        <v/>
      </c>
      <c r="H212" s="237"/>
      <c r="I212" s="10" t="s">
        <v>27</v>
      </c>
      <c r="J212" s="11">
        <v>13.7</v>
      </c>
      <c r="K212" s="12">
        <f>E212*J212</f>
        <v>0</v>
      </c>
    </row>
    <row r="213" spans="1:11" ht="15.5" x14ac:dyDescent="0.35">
      <c r="A213" s="108" t="s">
        <v>361</v>
      </c>
      <c r="B213" s="108"/>
      <c r="C213" s="108"/>
      <c r="D213" s="223"/>
      <c r="E213" s="247"/>
      <c r="F213" s="108"/>
      <c r="G213" s="293" t="str">
        <f t="shared" si="8"/>
        <v/>
      </c>
      <c r="H213" s="110"/>
      <c r="I213" s="108"/>
      <c r="J213" s="106" t="s">
        <v>18</v>
      </c>
      <c r="K213" s="269">
        <f>SUM(K214:K217)</f>
        <v>0</v>
      </c>
    </row>
    <row r="214" spans="1:11" x14ac:dyDescent="0.35">
      <c r="A214" s="103"/>
      <c r="B214" s="12" t="s">
        <v>10</v>
      </c>
      <c r="C214" s="10" t="s">
        <v>362</v>
      </c>
      <c r="D214" s="152"/>
      <c r="E214" s="166"/>
      <c r="F214" s="135"/>
      <c r="G214" s="293" t="str">
        <f t="shared" si="8"/>
        <v/>
      </c>
      <c r="H214" s="237"/>
      <c r="I214" s="10" t="s">
        <v>20</v>
      </c>
      <c r="J214" s="11">
        <v>11.08</v>
      </c>
      <c r="K214" s="12">
        <f>E214*J214</f>
        <v>0</v>
      </c>
    </row>
    <row r="215" spans="1:11" x14ac:dyDescent="0.35">
      <c r="A215" s="103"/>
      <c r="B215" s="12" t="s">
        <v>10</v>
      </c>
      <c r="C215" s="10" t="s">
        <v>363</v>
      </c>
      <c r="D215" s="152"/>
      <c r="E215" s="166"/>
      <c r="F215" s="135"/>
      <c r="G215" s="293" t="str">
        <f t="shared" si="8"/>
        <v/>
      </c>
      <c r="H215" s="237"/>
      <c r="I215" s="10" t="s">
        <v>27</v>
      </c>
      <c r="J215" s="11">
        <v>16.21</v>
      </c>
      <c r="K215" s="12">
        <f t="shared" ref="K215:K217" si="12">E215*J215</f>
        <v>0</v>
      </c>
    </row>
    <row r="216" spans="1:11" x14ac:dyDescent="0.35">
      <c r="A216" s="103"/>
      <c r="B216" s="12" t="s">
        <v>10</v>
      </c>
      <c r="C216" s="10" t="s">
        <v>364</v>
      </c>
      <c r="D216" s="152"/>
      <c r="E216" s="166"/>
      <c r="F216" s="135"/>
      <c r="G216" s="293" t="str">
        <f t="shared" si="8"/>
        <v/>
      </c>
      <c r="H216" s="237"/>
      <c r="I216" s="10" t="s">
        <v>27</v>
      </c>
      <c r="J216" s="11">
        <v>19.350000000000001</v>
      </c>
      <c r="K216" s="12">
        <f t="shared" si="12"/>
        <v>0</v>
      </c>
    </row>
    <row r="217" spans="1:11" x14ac:dyDescent="0.35">
      <c r="A217" s="103"/>
      <c r="B217" s="12" t="s">
        <v>10</v>
      </c>
      <c r="C217" s="10" t="s">
        <v>365</v>
      </c>
      <c r="D217" s="152"/>
      <c r="E217" s="166"/>
      <c r="F217" s="135"/>
      <c r="G217" s="293" t="str">
        <f t="shared" si="8"/>
        <v/>
      </c>
      <c r="H217" s="237"/>
      <c r="I217" s="10" t="s">
        <v>27</v>
      </c>
      <c r="J217" s="11">
        <v>19.809999999999999</v>
      </c>
      <c r="K217" s="12">
        <f t="shared" si="12"/>
        <v>0</v>
      </c>
    </row>
    <row r="218" spans="1:11" ht="15.5" x14ac:dyDescent="0.35">
      <c r="A218" s="108" t="s">
        <v>366</v>
      </c>
      <c r="B218" s="108"/>
      <c r="C218" s="108"/>
      <c r="D218" s="223"/>
      <c r="E218" s="247"/>
      <c r="F218" s="108"/>
      <c r="G218" s="293" t="str">
        <f t="shared" si="8"/>
        <v/>
      </c>
      <c r="H218" s="110"/>
      <c r="I218" s="108"/>
      <c r="J218" s="106" t="s">
        <v>18</v>
      </c>
      <c r="K218" s="269">
        <f>SUM(K219:K219)</f>
        <v>0</v>
      </c>
    </row>
    <row r="219" spans="1:11" x14ac:dyDescent="0.35">
      <c r="A219" s="103"/>
      <c r="B219" s="12" t="s">
        <v>28</v>
      </c>
      <c r="C219" s="10" t="s">
        <v>29</v>
      </c>
      <c r="D219" s="152"/>
      <c r="E219" s="166"/>
      <c r="F219" s="140"/>
      <c r="G219" s="293" t="str">
        <f t="shared" si="8"/>
        <v/>
      </c>
      <c r="H219" s="237"/>
      <c r="I219" s="10" t="s">
        <v>54</v>
      </c>
      <c r="J219" s="11">
        <v>104</v>
      </c>
      <c r="K219" s="12">
        <f>E219*J219</f>
        <v>0</v>
      </c>
    </row>
    <row r="220" spans="1:11" ht="15.5" x14ac:dyDescent="0.35">
      <c r="A220" s="108" t="s">
        <v>367</v>
      </c>
      <c r="B220" s="108"/>
      <c r="C220" s="108"/>
      <c r="D220" s="223"/>
      <c r="E220" s="247"/>
      <c r="F220" s="108"/>
      <c r="G220" s="293" t="str">
        <f t="shared" si="8"/>
        <v/>
      </c>
      <c r="H220" s="110"/>
      <c r="I220" s="108"/>
      <c r="J220" s="106" t="s">
        <v>18</v>
      </c>
      <c r="K220" s="269">
        <f>SUM(K221:K240)</f>
        <v>144.90199999999999</v>
      </c>
    </row>
    <row r="221" spans="1:11" x14ac:dyDescent="0.35">
      <c r="A221" s="103"/>
      <c r="B221" s="12" t="s">
        <v>9</v>
      </c>
      <c r="C221" s="10" t="s">
        <v>423</v>
      </c>
      <c r="D221" s="152"/>
      <c r="E221" s="166"/>
      <c r="F221" s="135"/>
      <c r="G221" s="293" t="str">
        <f t="shared" si="8"/>
        <v/>
      </c>
      <c r="H221" s="237"/>
      <c r="I221" s="10" t="s">
        <v>20</v>
      </c>
      <c r="J221" s="11">
        <v>78</v>
      </c>
      <c r="K221" s="50">
        <f>E221*J221</f>
        <v>0</v>
      </c>
    </row>
    <row r="222" spans="1:11" x14ac:dyDescent="0.35">
      <c r="A222" s="103"/>
      <c r="B222" s="12" t="s">
        <v>9</v>
      </c>
      <c r="C222" s="10" t="s">
        <v>424</v>
      </c>
      <c r="D222" s="152">
        <v>1</v>
      </c>
      <c r="E222" s="166"/>
      <c r="F222" s="135"/>
      <c r="G222" s="293">
        <f t="shared" si="8"/>
        <v>1</v>
      </c>
      <c r="H222" s="237"/>
      <c r="I222" s="10" t="s">
        <v>61</v>
      </c>
      <c r="J222" s="51">
        <v>107.12</v>
      </c>
      <c r="K222" s="50">
        <f t="shared" ref="K222:K240" si="13">E222*J222</f>
        <v>0</v>
      </c>
    </row>
    <row r="223" spans="1:11" x14ac:dyDescent="0.35">
      <c r="A223" s="103"/>
      <c r="B223" s="12" t="s">
        <v>9</v>
      </c>
      <c r="C223" s="10" t="s">
        <v>369</v>
      </c>
      <c r="D223" s="152">
        <v>1</v>
      </c>
      <c r="E223" s="295">
        <v>1</v>
      </c>
      <c r="F223" s="135"/>
      <c r="G223" s="293" t="str">
        <f t="shared" ref="G223:G255" si="14">IF(D223-IF(E223="",0,E223)=0,"",D223-IF(E223="",0,E223))</f>
        <v/>
      </c>
      <c r="H223" s="237"/>
      <c r="I223" s="10" t="s">
        <v>20</v>
      </c>
      <c r="J223" s="11">
        <v>0.04</v>
      </c>
      <c r="K223" s="50">
        <f t="shared" si="13"/>
        <v>0.04</v>
      </c>
    </row>
    <row r="224" spans="1:11" x14ac:dyDescent="0.35">
      <c r="A224" s="103"/>
      <c r="B224" s="12" t="s">
        <v>9</v>
      </c>
      <c r="C224" s="10" t="s">
        <v>370</v>
      </c>
      <c r="D224" s="152">
        <v>1</v>
      </c>
      <c r="E224" s="295">
        <v>2</v>
      </c>
      <c r="F224" s="135"/>
      <c r="G224" s="293">
        <f t="shared" si="14"/>
        <v>-1</v>
      </c>
      <c r="H224" s="237"/>
      <c r="I224" s="10" t="s">
        <v>20</v>
      </c>
      <c r="J224" s="11">
        <v>7.0999999999999994E-2</v>
      </c>
      <c r="K224" s="50">
        <f t="shared" si="13"/>
        <v>0.14199999999999999</v>
      </c>
    </row>
    <row r="225" spans="1:11" x14ac:dyDescent="0.35">
      <c r="A225" s="103"/>
      <c r="B225" s="12" t="s">
        <v>9</v>
      </c>
      <c r="C225" s="10" t="s">
        <v>411</v>
      </c>
      <c r="D225" s="152"/>
      <c r="E225" s="166"/>
      <c r="F225" s="135"/>
      <c r="G225" s="293" t="str">
        <f t="shared" si="14"/>
        <v/>
      </c>
      <c r="H225" s="237"/>
      <c r="I225" s="10" t="s">
        <v>20</v>
      </c>
      <c r="J225" s="11">
        <v>1.97</v>
      </c>
      <c r="K225" s="50">
        <f>H225*J225</f>
        <v>0</v>
      </c>
    </row>
    <row r="226" spans="1:11" x14ac:dyDescent="0.35">
      <c r="A226" s="103"/>
      <c r="B226" s="12" t="s">
        <v>9</v>
      </c>
      <c r="C226" s="10" t="s">
        <v>371</v>
      </c>
      <c r="D226" s="152"/>
      <c r="E226" s="166"/>
      <c r="F226" s="135"/>
      <c r="G226" s="293" t="str">
        <f t="shared" si="14"/>
        <v/>
      </c>
      <c r="H226" s="237"/>
      <c r="I226" s="10" t="s">
        <v>61</v>
      </c>
      <c r="J226" s="11">
        <v>163.80000000000001</v>
      </c>
      <c r="K226" s="50">
        <f t="shared" si="13"/>
        <v>0</v>
      </c>
    </row>
    <row r="227" spans="1:11" x14ac:dyDescent="0.35">
      <c r="A227" s="103"/>
      <c r="B227" s="12" t="s">
        <v>9</v>
      </c>
      <c r="C227" s="10" t="s">
        <v>410</v>
      </c>
      <c r="D227" s="152"/>
      <c r="E227" s="166"/>
      <c r="F227" s="101"/>
      <c r="G227" s="293" t="str">
        <f t="shared" si="14"/>
        <v/>
      </c>
      <c r="H227" s="237"/>
      <c r="I227" s="10" t="s">
        <v>61</v>
      </c>
      <c r="J227" s="11">
        <v>49.33</v>
      </c>
      <c r="K227" s="50">
        <f t="shared" si="13"/>
        <v>0</v>
      </c>
    </row>
    <row r="228" spans="1:11" x14ac:dyDescent="0.35">
      <c r="A228" s="103"/>
      <c r="B228" s="12" t="s">
        <v>9</v>
      </c>
      <c r="C228" s="10" t="s">
        <v>373</v>
      </c>
      <c r="D228" s="152"/>
      <c r="E228" s="166"/>
      <c r="F228" s="101"/>
      <c r="G228" s="293" t="str">
        <f t="shared" si="14"/>
        <v/>
      </c>
      <c r="H228" s="237"/>
      <c r="I228" s="10" t="s">
        <v>61</v>
      </c>
      <c r="J228" s="11">
        <v>105.6</v>
      </c>
      <c r="K228" s="50">
        <f t="shared" si="13"/>
        <v>0</v>
      </c>
    </row>
    <row r="229" spans="1:11" x14ac:dyDescent="0.35">
      <c r="A229" s="103"/>
      <c r="B229" s="12" t="s">
        <v>9</v>
      </c>
      <c r="C229" s="10" t="s">
        <v>374</v>
      </c>
      <c r="D229" s="152"/>
      <c r="E229" s="166"/>
      <c r="F229" s="101"/>
      <c r="G229" s="293" t="str">
        <f t="shared" si="14"/>
        <v/>
      </c>
      <c r="H229" s="237"/>
      <c r="I229" s="10" t="s">
        <v>61</v>
      </c>
      <c r="J229" s="11">
        <v>114.75</v>
      </c>
      <c r="K229" s="50">
        <f t="shared" si="13"/>
        <v>0</v>
      </c>
    </row>
    <row r="230" spans="1:11" x14ac:dyDescent="0.35">
      <c r="A230" s="103"/>
      <c r="B230" s="12" t="s">
        <v>9</v>
      </c>
      <c r="C230" s="10" t="s">
        <v>375</v>
      </c>
      <c r="D230" s="152"/>
      <c r="E230" s="166"/>
      <c r="F230" s="135"/>
      <c r="G230" s="293" t="str">
        <f t="shared" si="14"/>
        <v/>
      </c>
      <c r="H230" s="237"/>
      <c r="I230" s="10" t="s">
        <v>61</v>
      </c>
      <c r="J230" s="11">
        <v>105.55</v>
      </c>
      <c r="K230" s="50">
        <f t="shared" si="13"/>
        <v>0</v>
      </c>
    </row>
    <row r="231" spans="1:11" x14ac:dyDescent="0.35">
      <c r="A231" s="103"/>
      <c r="B231" s="12" t="s">
        <v>9</v>
      </c>
      <c r="C231" s="10" t="s">
        <v>376</v>
      </c>
      <c r="D231" s="152">
        <v>2</v>
      </c>
      <c r="E231" s="295">
        <v>1</v>
      </c>
      <c r="F231" s="135"/>
      <c r="G231" s="293">
        <f t="shared" si="14"/>
        <v>1</v>
      </c>
      <c r="H231" s="237"/>
      <c r="I231" s="10" t="s">
        <v>61</v>
      </c>
      <c r="J231" s="11">
        <v>33.25</v>
      </c>
      <c r="K231" s="50">
        <f t="shared" si="13"/>
        <v>33.25</v>
      </c>
    </row>
    <row r="232" spans="1:11" x14ac:dyDescent="0.35">
      <c r="A232" s="103"/>
      <c r="B232" s="12" t="s">
        <v>9</v>
      </c>
      <c r="C232" s="10" t="s">
        <v>377</v>
      </c>
      <c r="D232" s="152"/>
      <c r="E232" s="166"/>
      <c r="F232" s="135"/>
      <c r="G232" s="293" t="str">
        <f t="shared" si="14"/>
        <v/>
      </c>
      <c r="H232" s="237"/>
      <c r="I232" s="10" t="s">
        <v>20</v>
      </c>
      <c r="J232" s="11">
        <v>0.28999999999999998</v>
      </c>
      <c r="K232" s="50">
        <f t="shared" si="13"/>
        <v>0</v>
      </c>
    </row>
    <row r="233" spans="1:11" x14ac:dyDescent="0.35">
      <c r="A233" s="103"/>
      <c r="B233" s="12" t="s">
        <v>9</v>
      </c>
      <c r="C233" s="10" t="s">
        <v>378</v>
      </c>
      <c r="D233" s="152"/>
      <c r="E233" s="166"/>
      <c r="F233" s="135"/>
      <c r="G233" s="293" t="str">
        <f t="shared" si="14"/>
        <v/>
      </c>
      <c r="H233" s="237"/>
      <c r="I233" s="10" t="s">
        <v>61</v>
      </c>
      <c r="J233" s="35">
        <v>37.85</v>
      </c>
      <c r="K233" s="50">
        <f t="shared" si="13"/>
        <v>0</v>
      </c>
    </row>
    <row r="234" spans="1:11" x14ac:dyDescent="0.35">
      <c r="A234" s="103"/>
      <c r="B234" s="12" t="s">
        <v>9</v>
      </c>
      <c r="C234" s="10" t="s">
        <v>425</v>
      </c>
      <c r="D234" s="152">
        <v>2</v>
      </c>
      <c r="E234" s="295">
        <v>1</v>
      </c>
      <c r="F234" s="135"/>
      <c r="G234" s="293">
        <f t="shared" si="14"/>
        <v>1</v>
      </c>
      <c r="H234" s="237"/>
      <c r="I234" s="10" t="s">
        <v>61</v>
      </c>
      <c r="J234" s="35">
        <v>111.47</v>
      </c>
      <c r="K234" s="50">
        <f t="shared" si="13"/>
        <v>111.47</v>
      </c>
    </row>
    <row r="235" spans="1:11" x14ac:dyDescent="0.35">
      <c r="A235" s="103"/>
      <c r="B235" s="12" t="s">
        <v>9</v>
      </c>
      <c r="C235" s="10" t="s">
        <v>379</v>
      </c>
      <c r="D235" s="152"/>
      <c r="E235" s="166"/>
      <c r="F235" s="135"/>
      <c r="G235" s="293" t="str">
        <f t="shared" si="14"/>
        <v/>
      </c>
      <c r="H235" s="237"/>
      <c r="I235" s="10" t="s">
        <v>61</v>
      </c>
      <c r="J235" s="35">
        <v>174.97</v>
      </c>
      <c r="K235" s="50">
        <f t="shared" si="13"/>
        <v>0</v>
      </c>
    </row>
    <row r="236" spans="1:11" x14ac:dyDescent="0.35">
      <c r="A236" s="103"/>
      <c r="B236" s="12" t="s">
        <v>9</v>
      </c>
      <c r="C236" s="10" t="s">
        <v>380</v>
      </c>
      <c r="D236" s="152"/>
      <c r="E236" s="166"/>
      <c r="F236" s="135"/>
      <c r="G236" s="293" t="str">
        <f t="shared" si="14"/>
        <v/>
      </c>
      <c r="H236" s="237"/>
      <c r="I236" s="10" t="s">
        <v>61</v>
      </c>
      <c r="J236" s="35">
        <v>44.93</v>
      </c>
      <c r="K236" s="50">
        <f t="shared" si="13"/>
        <v>0</v>
      </c>
    </row>
    <row r="237" spans="1:11" x14ac:dyDescent="0.35">
      <c r="A237" s="103"/>
      <c r="B237" s="12" t="s">
        <v>9</v>
      </c>
      <c r="C237" s="10" t="s">
        <v>426</v>
      </c>
      <c r="D237" s="152">
        <v>2</v>
      </c>
      <c r="E237" s="166"/>
      <c r="F237" s="135"/>
      <c r="G237" s="293">
        <f t="shared" si="14"/>
        <v>2</v>
      </c>
      <c r="H237" s="237"/>
      <c r="I237" s="10" t="s">
        <v>61</v>
      </c>
      <c r="J237" s="35"/>
      <c r="K237" s="50">
        <f t="shared" si="13"/>
        <v>0</v>
      </c>
    </row>
    <row r="238" spans="1:11" x14ac:dyDescent="0.35">
      <c r="A238" s="103"/>
      <c r="B238" s="12" t="s">
        <v>9</v>
      </c>
      <c r="C238" s="10" t="s">
        <v>427</v>
      </c>
      <c r="D238" s="152">
        <v>2</v>
      </c>
      <c r="E238" s="295">
        <v>4</v>
      </c>
      <c r="F238" s="135"/>
      <c r="G238" s="293">
        <f t="shared" si="14"/>
        <v>-2</v>
      </c>
      <c r="H238" s="237"/>
      <c r="I238" s="10" t="s">
        <v>61</v>
      </c>
      <c r="J238" s="35"/>
      <c r="K238" s="50">
        <f>H238*J238</f>
        <v>0</v>
      </c>
    </row>
    <row r="239" spans="1:11" x14ac:dyDescent="0.35">
      <c r="A239" s="103"/>
      <c r="B239" s="12" t="s">
        <v>9</v>
      </c>
      <c r="C239" s="10" t="s">
        <v>428</v>
      </c>
      <c r="D239" s="152">
        <v>2</v>
      </c>
      <c r="E239" s="295">
        <v>8</v>
      </c>
      <c r="F239" s="135"/>
      <c r="G239" s="293">
        <f t="shared" si="14"/>
        <v>-6</v>
      </c>
      <c r="H239" s="237"/>
      <c r="I239" s="10" t="s">
        <v>61</v>
      </c>
      <c r="J239" s="35"/>
      <c r="K239" s="50">
        <f t="shared" si="13"/>
        <v>0</v>
      </c>
    </row>
    <row r="240" spans="1:11" x14ac:dyDescent="0.35">
      <c r="A240" s="103"/>
      <c r="B240" s="12" t="s">
        <v>9</v>
      </c>
      <c r="C240" s="10" t="s">
        <v>381</v>
      </c>
      <c r="D240" s="152"/>
      <c r="E240" s="166"/>
      <c r="F240" s="135"/>
      <c r="G240" s="293" t="str">
        <f t="shared" si="14"/>
        <v/>
      </c>
      <c r="H240" s="237"/>
      <c r="I240" s="10" t="s">
        <v>61</v>
      </c>
      <c r="J240" s="35">
        <v>0.02</v>
      </c>
      <c r="K240" s="50">
        <f t="shared" si="13"/>
        <v>0</v>
      </c>
    </row>
    <row r="241" spans="1:16" ht="15.5" x14ac:dyDescent="0.35">
      <c r="A241" s="108" t="s">
        <v>382</v>
      </c>
      <c r="B241" s="108"/>
      <c r="C241" s="108"/>
      <c r="D241" s="223"/>
      <c r="E241" s="247"/>
      <c r="F241" s="108"/>
      <c r="G241" s="293" t="str">
        <f t="shared" si="14"/>
        <v/>
      </c>
      <c r="H241" s="110"/>
      <c r="I241" s="108">
        <v>29.2</v>
      </c>
      <c r="J241" s="106" t="s">
        <v>18</v>
      </c>
      <c r="K241" s="269">
        <f>SUM(K242:K252)</f>
        <v>207.99</v>
      </c>
    </row>
    <row r="242" spans="1:16" x14ac:dyDescent="0.35">
      <c r="A242" s="103"/>
      <c r="B242" s="12" t="s">
        <v>31</v>
      </c>
      <c r="C242" s="10" t="s">
        <v>383</v>
      </c>
      <c r="D242" s="152"/>
      <c r="E242" s="166"/>
      <c r="F242" s="135"/>
      <c r="G242" s="293" t="str">
        <f t="shared" si="14"/>
        <v/>
      </c>
      <c r="H242" s="237"/>
      <c r="I242" s="10">
        <v>19.03</v>
      </c>
      <c r="J242" s="11">
        <v>5.5</v>
      </c>
      <c r="K242" s="12">
        <f>E242*J242</f>
        <v>0</v>
      </c>
    </row>
    <row r="243" spans="1:16" x14ac:dyDescent="0.35">
      <c r="A243" s="103"/>
      <c r="B243" s="12" t="s">
        <v>31</v>
      </c>
      <c r="C243" s="10" t="s">
        <v>39</v>
      </c>
      <c r="D243" s="152">
        <v>6</v>
      </c>
      <c r="E243" s="166"/>
      <c r="F243" s="135"/>
      <c r="G243" s="293">
        <f t="shared" si="14"/>
        <v>6</v>
      </c>
      <c r="H243" s="237"/>
      <c r="I243" s="10">
        <v>8.4600000000000009</v>
      </c>
      <c r="J243" s="11">
        <v>4.55</v>
      </c>
      <c r="K243" s="12">
        <f t="shared" ref="K243:K252" si="15">E243*J243</f>
        <v>0</v>
      </c>
    </row>
    <row r="244" spans="1:16" x14ac:dyDescent="0.35">
      <c r="A244" s="103"/>
      <c r="B244" s="12" t="s">
        <v>31</v>
      </c>
      <c r="C244" s="10" t="s">
        <v>422</v>
      </c>
      <c r="D244" s="152">
        <v>10</v>
      </c>
      <c r="E244" s="295">
        <v>1</v>
      </c>
      <c r="F244" s="135"/>
      <c r="G244" s="293">
        <f t="shared" si="14"/>
        <v>9</v>
      </c>
      <c r="H244" s="237"/>
      <c r="I244" s="10" t="s">
        <v>20</v>
      </c>
      <c r="J244" s="11">
        <v>3.7</v>
      </c>
      <c r="K244" s="12">
        <f t="shared" si="15"/>
        <v>3.7</v>
      </c>
    </row>
    <row r="245" spans="1:16" x14ac:dyDescent="0.35">
      <c r="A245" s="103"/>
      <c r="B245" s="12" t="s">
        <v>31</v>
      </c>
      <c r="C245" s="10" t="s">
        <v>67</v>
      </c>
      <c r="D245" s="152"/>
      <c r="E245" s="295">
        <v>3</v>
      </c>
      <c r="F245" s="135"/>
      <c r="G245" s="293">
        <f t="shared" si="14"/>
        <v>-3</v>
      </c>
      <c r="H245" s="237"/>
      <c r="I245" s="10" t="s">
        <v>20</v>
      </c>
      <c r="J245" s="11">
        <v>15.56</v>
      </c>
      <c r="K245" s="12">
        <f t="shared" si="15"/>
        <v>46.68</v>
      </c>
    </row>
    <row r="246" spans="1:16" x14ac:dyDescent="0.35">
      <c r="A246" s="103"/>
      <c r="B246" s="12" t="s">
        <v>31</v>
      </c>
      <c r="C246" s="10" t="s">
        <v>384</v>
      </c>
      <c r="D246" s="152"/>
      <c r="E246" s="166"/>
      <c r="F246" s="135"/>
      <c r="G246" s="293" t="str">
        <f t="shared" si="14"/>
        <v/>
      </c>
      <c r="H246" s="237"/>
      <c r="I246" s="10" t="s">
        <v>20</v>
      </c>
      <c r="J246" s="11">
        <v>0.8</v>
      </c>
      <c r="K246" s="12">
        <f t="shared" si="15"/>
        <v>0</v>
      </c>
    </row>
    <row r="247" spans="1:16" x14ac:dyDescent="0.35">
      <c r="A247" s="103"/>
      <c r="B247" s="12" t="s">
        <v>31</v>
      </c>
      <c r="C247" s="10" t="s">
        <v>385</v>
      </c>
      <c r="D247" s="152"/>
      <c r="E247" s="295">
        <v>21</v>
      </c>
      <c r="F247" s="135"/>
      <c r="G247" s="293">
        <f t="shared" si="14"/>
        <v>-21</v>
      </c>
      <c r="H247" s="237"/>
      <c r="I247" s="10" t="s">
        <v>20</v>
      </c>
      <c r="J247" s="11">
        <v>1.83</v>
      </c>
      <c r="K247" s="12">
        <f t="shared" si="15"/>
        <v>38.43</v>
      </c>
    </row>
    <row r="248" spans="1:16" x14ac:dyDescent="0.35">
      <c r="A248" s="103"/>
      <c r="B248" s="12" t="s">
        <v>31</v>
      </c>
      <c r="C248" s="10" t="s">
        <v>386</v>
      </c>
      <c r="D248" s="152">
        <v>10</v>
      </c>
      <c r="E248" s="295">
        <v>14</v>
      </c>
      <c r="F248" s="135"/>
      <c r="G248" s="293">
        <f t="shared" si="14"/>
        <v>-4</v>
      </c>
      <c r="H248" s="237"/>
      <c r="I248" s="10" t="s">
        <v>20</v>
      </c>
      <c r="J248" s="11">
        <v>2.65</v>
      </c>
      <c r="K248" s="12">
        <f t="shared" si="15"/>
        <v>37.1</v>
      </c>
    </row>
    <row r="249" spans="1:16" x14ac:dyDescent="0.35">
      <c r="A249" s="103"/>
      <c r="B249" s="12" t="s">
        <v>31</v>
      </c>
      <c r="C249" s="10" t="s">
        <v>65</v>
      </c>
      <c r="D249" s="152"/>
      <c r="E249" s="166"/>
      <c r="F249" s="135"/>
      <c r="G249" s="293" t="str">
        <f t="shared" si="14"/>
        <v/>
      </c>
      <c r="H249" s="237"/>
      <c r="I249" s="10" t="s">
        <v>20</v>
      </c>
      <c r="J249" s="11">
        <v>13.43</v>
      </c>
      <c r="K249" s="12">
        <f t="shared" si="15"/>
        <v>0</v>
      </c>
      <c r="P249" s="87"/>
    </row>
    <row r="250" spans="1:16" x14ac:dyDescent="0.35">
      <c r="A250" s="103"/>
      <c r="B250" s="12" t="s">
        <v>31</v>
      </c>
      <c r="C250" s="10" t="s">
        <v>66</v>
      </c>
      <c r="D250" s="152"/>
      <c r="E250" s="166"/>
      <c r="F250" s="135"/>
      <c r="G250" s="293" t="str">
        <f t="shared" si="14"/>
        <v/>
      </c>
      <c r="H250" s="237"/>
      <c r="I250" s="10" t="s">
        <v>20</v>
      </c>
      <c r="J250" s="11">
        <v>75.38</v>
      </c>
      <c r="K250" s="12">
        <f t="shared" si="15"/>
        <v>0</v>
      </c>
      <c r="P250" s="87"/>
    </row>
    <row r="251" spans="1:16" x14ac:dyDescent="0.35">
      <c r="A251" s="103"/>
      <c r="B251" s="12" t="s">
        <v>31</v>
      </c>
      <c r="C251" s="10" t="s">
        <v>412</v>
      </c>
      <c r="D251" s="152">
        <v>3</v>
      </c>
      <c r="E251" s="295">
        <v>6</v>
      </c>
      <c r="F251" s="135"/>
      <c r="G251" s="293">
        <f t="shared" si="14"/>
        <v>-3</v>
      </c>
      <c r="H251" s="237"/>
      <c r="I251" s="10" t="s">
        <v>20</v>
      </c>
      <c r="J251" s="11">
        <v>8.43</v>
      </c>
      <c r="K251" s="12">
        <f t="shared" si="15"/>
        <v>50.58</v>
      </c>
      <c r="P251" s="87"/>
    </row>
    <row r="252" spans="1:16" x14ac:dyDescent="0.35">
      <c r="A252" s="103"/>
      <c r="B252" s="12" t="s">
        <v>31</v>
      </c>
      <c r="C252" s="10" t="s">
        <v>69</v>
      </c>
      <c r="D252" s="152">
        <v>6</v>
      </c>
      <c r="E252" s="295">
        <v>9</v>
      </c>
      <c r="F252" s="135"/>
      <c r="G252" s="293">
        <f>IF(D252-IF(E252="",0,E252)=0,"",D252-IF(E252="",0,E252))</f>
        <v>-3</v>
      </c>
      <c r="H252" s="237"/>
      <c r="I252" s="10" t="s">
        <v>63</v>
      </c>
      <c r="J252" s="11">
        <v>3.5</v>
      </c>
      <c r="K252" s="12">
        <f t="shared" si="15"/>
        <v>31.5</v>
      </c>
    </row>
    <row r="253" spans="1:16" ht="15.5" x14ac:dyDescent="0.35">
      <c r="A253" s="108" t="s">
        <v>57</v>
      </c>
      <c r="B253" s="108"/>
      <c r="C253" s="108"/>
      <c r="D253" s="223"/>
      <c r="E253" s="247"/>
      <c r="F253" s="108"/>
      <c r="G253" s="293" t="str">
        <f t="shared" si="14"/>
        <v/>
      </c>
      <c r="H253" s="110"/>
      <c r="I253" s="108"/>
      <c r="J253" s="106" t="s">
        <v>18</v>
      </c>
      <c r="K253" s="270">
        <f>K254+K255</f>
        <v>0</v>
      </c>
    </row>
    <row r="254" spans="1:16" x14ac:dyDescent="0.35">
      <c r="A254" s="103"/>
      <c r="B254" s="12" t="s">
        <v>56</v>
      </c>
      <c r="C254" s="10" t="s">
        <v>58</v>
      </c>
      <c r="D254" s="152"/>
      <c r="E254" s="290"/>
      <c r="F254" s="135"/>
      <c r="G254" s="293" t="str">
        <f t="shared" si="14"/>
        <v/>
      </c>
      <c r="H254" s="237"/>
      <c r="I254" s="10" t="s">
        <v>20</v>
      </c>
      <c r="J254" s="11">
        <v>54.05</v>
      </c>
      <c r="K254" s="12">
        <f>E254*J254</f>
        <v>0</v>
      </c>
    </row>
    <row r="255" spans="1:16" x14ac:dyDescent="0.35">
      <c r="A255" s="103"/>
      <c r="B255" s="12" t="s">
        <v>56</v>
      </c>
      <c r="C255" s="10" t="s">
        <v>388</v>
      </c>
      <c r="D255" s="152"/>
      <c r="E255" s="290"/>
      <c r="F255" s="135"/>
      <c r="G255" s="293" t="str">
        <f t="shared" si="14"/>
        <v/>
      </c>
      <c r="H255" s="237"/>
      <c r="I255" s="10" t="s">
        <v>20</v>
      </c>
      <c r="J255" s="11">
        <v>0</v>
      </c>
      <c r="K255" s="12">
        <f>E255*J255</f>
        <v>0</v>
      </c>
    </row>
    <row r="257" spans="5:5" x14ac:dyDescent="0.35">
      <c r="E257" s="288"/>
    </row>
  </sheetData>
  <mergeCells count="2">
    <mergeCell ref="B1:C1"/>
    <mergeCell ref="B2:C2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8FC1B-877D-4BC8-899F-82A1C32CEB3A}">
  <sheetPr codeName="Feuil43"/>
  <dimension ref="A1"/>
  <sheetViews>
    <sheetView workbookViewId="0">
      <selection activeCell="O41" sqref="O41"/>
    </sheetView>
  </sheetViews>
  <sheetFormatPr baseColWidth="10" defaultColWidth="9.1796875"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e7dc4e7e-1310-4c7b-ba42-3612ce4ebadf">
      <UserInfo>
        <DisplayName/>
        <AccountId xsi:nil="true"/>
        <AccountType/>
      </UserInfo>
    </SharedWithUsers>
    <_activity xmlns="e9e1b224-9e16-498e-9b2b-3a6c9a21d04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5B5F2DA2ACBD4EB9FCE13267E96610" ma:contentTypeVersion="14" ma:contentTypeDescription="Crée un document." ma:contentTypeScope="" ma:versionID="1184ddaa0f160e18fb992df80e18f9f0">
  <xsd:schema xmlns:xsd="http://www.w3.org/2001/XMLSchema" xmlns:xs="http://www.w3.org/2001/XMLSchema" xmlns:p="http://schemas.microsoft.com/office/2006/metadata/properties" xmlns:ns3="e9e1b224-9e16-498e-9b2b-3a6c9a21d045" xmlns:ns4="e7dc4e7e-1310-4c7b-ba42-3612ce4ebadf" targetNamespace="http://schemas.microsoft.com/office/2006/metadata/properties" ma:root="true" ma:fieldsID="390e9301dc1050c4be6acb5425f15c39" ns3:_="" ns4:_="">
    <xsd:import namespace="e9e1b224-9e16-498e-9b2b-3a6c9a21d045"/>
    <xsd:import namespace="e7dc4e7e-1310-4c7b-ba42-3612ce4ebad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e1b224-9e16-498e-9b2b-3a6c9a21d0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dc4e7e-1310-4c7b-ba42-3612ce4ebadf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Partage du hachage d’indicateu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20A67EA-3284-4877-BD05-B47BB12E860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1BD3A94-69AE-4DF6-991D-441077A6B715}">
  <ds:schemaRefs>
    <ds:schemaRef ds:uri="http://schemas.microsoft.com/office/2006/metadata/properties"/>
    <ds:schemaRef ds:uri="http://www.w3.org/2000/xmlns/"/>
    <ds:schemaRef ds:uri="e7dc4e7e-1310-4c7b-ba42-3612ce4ebadf"/>
    <ds:schemaRef ds:uri="http://www.w3.org/2001/XMLSchema-instance"/>
    <ds:schemaRef ds:uri="e9e1b224-9e16-498e-9b2b-3a6c9a21d045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96DE247-8618-4D85-A7DE-108EF2FC52BB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e9e1b224-9e16-498e-9b2b-3a6c9a21d045"/>
    <ds:schemaRef ds:uri="e7dc4e7e-1310-4c7b-ba42-3612ce4ebadf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42</vt:i4>
      </vt:variant>
      <vt:variant>
        <vt:lpstr>Plages nommées</vt:lpstr>
      </vt:variant>
      <vt:variant>
        <vt:i4>19</vt:i4>
      </vt:variant>
    </vt:vector>
  </HeadingPairs>
  <TitlesOfParts>
    <vt:vector size="61" baseType="lpstr">
      <vt:lpstr>Recap Commande Inventaire</vt:lpstr>
      <vt:lpstr>START</vt:lpstr>
      <vt:lpstr>Inventaire Patinoire &amp; Stade</vt:lpstr>
      <vt:lpstr>Inventaire Generale</vt:lpstr>
      <vt:lpstr>Réserve Nord</vt:lpstr>
      <vt:lpstr>Nord Mobile 1</vt:lpstr>
      <vt:lpstr>Nord 1</vt:lpstr>
      <vt:lpstr>Nord 2</vt:lpstr>
      <vt:lpstr>Nord Mobile 2</vt:lpstr>
      <vt:lpstr>Esplanade</vt:lpstr>
      <vt:lpstr>Est mobile 1</vt:lpstr>
      <vt:lpstr>Est 1</vt:lpstr>
      <vt:lpstr>Est mobile 2</vt:lpstr>
      <vt:lpstr>Est Mobile 3</vt:lpstr>
      <vt:lpstr>Est 2</vt:lpstr>
      <vt:lpstr>Est mobile 4</vt:lpstr>
      <vt:lpstr>Réserve Sud</vt:lpstr>
      <vt:lpstr>Sud 1</vt:lpstr>
      <vt:lpstr>Sud 2</vt:lpstr>
      <vt:lpstr>Visiteurs</vt:lpstr>
      <vt:lpstr>Principale mobile 1</vt:lpstr>
      <vt:lpstr>Principale 1 </vt:lpstr>
      <vt:lpstr>Principale mobile 2</vt:lpstr>
      <vt:lpstr>Principale mobile 3</vt:lpstr>
      <vt:lpstr>Principale 2</vt:lpstr>
      <vt:lpstr>Principale mobile 4</vt:lpstr>
      <vt:lpstr>Rapport tcpos</vt:lpstr>
      <vt:lpstr>Inventaire General Patinoire</vt:lpstr>
      <vt:lpstr>Buvette 1</vt:lpstr>
      <vt:lpstr>Buvette 2</vt:lpstr>
      <vt:lpstr>Buvette 3</vt:lpstr>
      <vt:lpstr>2023</vt:lpstr>
      <vt:lpstr>Food Genevois</vt:lpstr>
      <vt:lpstr>Food Bretzel</vt:lpstr>
      <vt:lpstr>Chalet 1</vt:lpstr>
      <vt:lpstr>Chalet 2</vt:lpstr>
      <vt:lpstr>Chalet 3</vt:lpstr>
      <vt:lpstr>Cocktail</vt:lpstr>
      <vt:lpstr>Home Corner</vt:lpstr>
      <vt:lpstr>Visiteur</vt:lpstr>
      <vt:lpstr>Stock Principal</vt:lpstr>
      <vt:lpstr>END</vt:lpstr>
      <vt:lpstr>Esplanade!Zone_d_impression</vt:lpstr>
      <vt:lpstr>'Est 1'!Zone_d_impression</vt:lpstr>
      <vt:lpstr>'Est 2'!Zone_d_impression</vt:lpstr>
      <vt:lpstr>'Est mobile 1'!Zone_d_impression</vt:lpstr>
      <vt:lpstr>'Est mobile 2'!Zone_d_impression</vt:lpstr>
      <vt:lpstr>'Est Mobile 3'!Zone_d_impression</vt:lpstr>
      <vt:lpstr>'Est mobile 4'!Zone_d_impression</vt:lpstr>
      <vt:lpstr>'Nord 2'!Zone_d_impression</vt:lpstr>
      <vt:lpstr>'Nord Mobile 1'!Zone_d_impression</vt:lpstr>
      <vt:lpstr>'Nord Mobile 2'!Zone_d_impression</vt:lpstr>
      <vt:lpstr>'Principale 1 '!Zone_d_impression</vt:lpstr>
      <vt:lpstr>'Principale 2'!Zone_d_impression</vt:lpstr>
      <vt:lpstr>'Principale mobile 2'!Zone_d_impression</vt:lpstr>
      <vt:lpstr>'Principale mobile 3'!Zone_d_impression</vt:lpstr>
      <vt:lpstr>'Principale mobile 4'!Zone_d_impression</vt:lpstr>
      <vt:lpstr>'Réserve Nord'!Zone_d_impression</vt:lpstr>
      <vt:lpstr>'Réserve Sud'!Zone_d_impression</vt:lpstr>
      <vt:lpstr>'Sud 1'!Zone_d_impression</vt:lpstr>
      <vt:lpstr>Visiteurs!Zone_d_impression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Kendo UI</dc:creator>
  <cp:keywords/>
  <dc:description/>
  <cp:lastModifiedBy>Logistique Prime</cp:lastModifiedBy>
  <cp:revision/>
  <cp:lastPrinted>2024-07-08T10:46:00Z</cp:lastPrinted>
  <dcterms:created xsi:type="dcterms:W3CDTF">2021-09-09T12:29:14Z</dcterms:created>
  <dcterms:modified xsi:type="dcterms:W3CDTF">2025-11-05T16:13:58Z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0x010100EA5B5F2DA2ACBD4EB9FCE13267E96610</vt:lpwstr>
  </property>
  <property fmtid="{D5CDD505-2E9C-101B-9397-08002B2CF9AE}" pid="3" name="Order">
    <vt:r8>524200</vt:r8>
  </property>
  <property fmtid="{D5CDD505-2E9C-101B-9397-08002B2CF9AE}" pid="4" name="MediaServiceImageTags">
    <vt:lpwstr/>
  </property>
  <property fmtid="{D5CDD505-2E9C-101B-9397-08002B2CF9AE}" pid="5" name="ComplianceAsset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</Properties>
</file>